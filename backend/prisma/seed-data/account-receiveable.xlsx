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-User\Downloads\"/>
    </mc:Choice>
  </mc:AlternateContent>
  <xr:revisionPtr revIDLastSave="0" documentId="13_ncr:1_{69C2888A-4B0C-46CE-9A61-4FB86DAF3CFD}" xr6:coauthVersionLast="47" xr6:coauthVersionMax="47" xr10:uidLastSave="{00000000-0000-0000-0000-000000000000}"/>
  <bookViews>
    <workbookView xWindow="-103" yWindow="-103" windowWidth="24892" windowHeight="14914" xr2:uid="{C49568A5-158C-924F-8878-5D75329F86B5}"/>
  </bookViews>
  <sheets>
    <sheet name="AR" sheetId="36" r:id="rId1"/>
  </sheets>
  <definedNames>
    <definedName name="_xlnm._FilterDatabase" localSheetId="0" hidden="1">AR!$A$4:$R$995</definedName>
    <definedName name="_xlnm.Print_Area" localSheetId="0">AR!$B$3:$R$999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74" i="36" l="1"/>
  <c r="H874" i="36"/>
  <c r="R873" i="36"/>
  <c r="H873" i="36"/>
  <c r="R983" i="36"/>
  <c r="H983" i="36"/>
  <c r="R886" i="36"/>
  <c r="R885" i="36"/>
  <c r="R884" i="36"/>
  <c r="R883" i="36"/>
  <c r="R882" i="36"/>
  <c r="R881" i="36"/>
  <c r="R880" i="36"/>
  <c r="R879" i="36"/>
  <c r="R878" i="36"/>
  <c r="H880" i="36"/>
  <c r="R988" i="36"/>
  <c r="H988" i="36"/>
  <c r="R890" i="36" l="1"/>
  <c r="H890" i="36"/>
  <c r="R994" i="36" l="1"/>
  <c r="H994" i="36"/>
  <c r="R460" i="36" l="1"/>
  <c r="H460" i="36"/>
  <c r="R982" i="36"/>
  <c r="H982" i="36"/>
  <c r="R981" i="36"/>
  <c r="H981" i="36"/>
  <c r="R980" i="36"/>
  <c r="H980" i="36"/>
  <c r="R979" i="36"/>
  <c r="H979" i="36"/>
  <c r="R978" i="36"/>
  <c r="H978" i="36"/>
  <c r="R995" i="36"/>
  <c r="H995" i="36"/>
  <c r="R993" i="36"/>
  <c r="H993" i="36"/>
  <c r="R992" i="36"/>
  <c r="H992" i="36"/>
  <c r="R991" i="36"/>
  <c r="H991" i="36"/>
  <c r="R990" i="36"/>
  <c r="H990" i="36"/>
  <c r="R989" i="36"/>
  <c r="H989" i="36"/>
  <c r="R987" i="36"/>
  <c r="H987" i="36"/>
  <c r="R986" i="36"/>
  <c r="H986" i="36"/>
  <c r="R985" i="36"/>
  <c r="H985" i="36"/>
  <c r="R984" i="36"/>
  <c r="H984" i="36"/>
  <c r="R977" i="36"/>
  <c r="H977" i="36"/>
  <c r="R234" i="36"/>
  <c r="H234" i="36"/>
  <c r="R875" i="36" l="1"/>
  <c r="H875" i="36"/>
  <c r="R872" i="36"/>
  <c r="H872" i="36"/>
  <c r="R871" i="36"/>
  <c r="H871" i="36"/>
  <c r="R870" i="36"/>
  <c r="H870" i="36"/>
  <c r="R869" i="36"/>
  <c r="H869" i="36"/>
  <c r="R868" i="36"/>
  <c r="H868" i="36"/>
  <c r="R867" i="36"/>
  <c r="H867" i="36"/>
  <c r="R866" i="36"/>
  <c r="H866" i="36"/>
  <c r="R865" i="36"/>
  <c r="H865" i="36"/>
  <c r="R864" i="36"/>
  <c r="H864" i="36"/>
  <c r="R863" i="36"/>
  <c r="H863" i="36"/>
  <c r="R862" i="36"/>
  <c r="H862" i="36"/>
  <c r="R861" i="36"/>
  <c r="H861" i="36"/>
  <c r="R860" i="36"/>
  <c r="H860" i="36"/>
  <c r="R859" i="36"/>
  <c r="H859" i="36"/>
  <c r="R858" i="36"/>
  <c r="H858" i="36"/>
  <c r="R857" i="36"/>
  <c r="H857" i="36"/>
  <c r="R856" i="36"/>
  <c r="H856" i="36"/>
  <c r="R855" i="36"/>
  <c r="H855" i="36"/>
  <c r="R854" i="36"/>
  <c r="H854" i="36"/>
  <c r="R853" i="36"/>
  <c r="H853" i="36"/>
  <c r="R852" i="36"/>
  <c r="H852" i="36"/>
  <c r="R851" i="36"/>
  <c r="H851" i="36"/>
  <c r="R850" i="36"/>
  <c r="H850" i="36"/>
  <c r="R849" i="36"/>
  <c r="H849" i="36"/>
  <c r="R848" i="36"/>
  <c r="H848" i="36"/>
  <c r="R847" i="36"/>
  <c r="H847" i="36"/>
  <c r="R846" i="36"/>
  <c r="H846" i="36"/>
  <c r="R845" i="36"/>
  <c r="H845" i="36"/>
  <c r="R844" i="36"/>
  <c r="H844" i="36"/>
  <c r="R843" i="36"/>
  <c r="H843" i="36"/>
  <c r="R842" i="36"/>
  <c r="H842" i="36"/>
  <c r="R841" i="36"/>
  <c r="H841" i="36"/>
  <c r="R840" i="36"/>
  <c r="H840" i="36"/>
  <c r="R839" i="36"/>
  <c r="H839" i="36"/>
  <c r="R838" i="36"/>
  <c r="H838" i="36"/>
  <c r="R837" i="36"/>
  <c r="H837" i="36"/>
  <c r="R836" i="36"/>
  <c r="H836" i="36"/>
  <c r="R835" i="36"/>
  <c r="H835" i="36"/>
  <c r="R834" i="36"/>
  <c r="H834" i="36"/>
  <c r="R833" i="36"/>
  <c r="H833" i="36"/>
  <c r="R832" i="36"/>
  <c r="H832" i="36"/>
  <c r="R831" i="36"/>
  <c r="H831" i="36"/>
  <c r="R830" i="36"/>
  <c r="H830" i="36"/>
  <c r="R829" i="36"/>
  <c r="H829" i="36"/>
  <c r="R828" i="36"/>
  <c r="H828" i="36"/>
  <c r="R827" i="36"/>
  <c r="H827" i="36"/>
  <c r="R826" i="36"/>
  <c r="H826" i="36"/>
  <c r="R825" i="36"/>
  <c r="H825" i="36"/>
  <c r="R824" i="36"/>
  <c r="H824" i="36"/>
  <c r="R823" i="36"/>
  <c r="H823" i="36"/>
  <c r="R822" i="36"/>
  <c r="H822" i="36"/>
  <c r="R821" i="36"/>
  <c r="H821" i="36"/>
  <c r="R820" i="36"/>
  <c r="H820" i="36"/>
  <c r="R819" i="36"/>
  <c r="H819" i="36"/>
  <c r="R818" i="36"/>
  <c r="H818" i="36"/>
  <c r="R817" i="36"/>
  <c r="H817" i="36"/>
  <c r="R816" i="36"/>
  <c r="H816" i="36"/>
  <c r="R815" i="36"/>
  <c r="H815" i="36"/>
  <c r="R814" i="36"/>
  <c r="H814" i="36"/>
  <c r="R813" i="36"/>
  <c r="H813" i="36"/>
  <c r="R812" i="36"/>
  <c r="H812" i="36"/>
  <c r="R810" i="36"/>
  <c r="H810" i="36"/>
  <c r="R811" i="36"/>
  <c r="H811" i="36"/>
  <c r="R809" i="36"/>
  <c r="H809" i="36"/>
  <c r="R808" i="36"/>
  <c r="H808" i="36"/>
  <c r="R807" i="36"/>
  <c r="H807" i="36"/>
  <c r="R806" i="36"/>
  <c r="H806" i="36"/>
  <c r="R805" i="36"/>
  <c r="H805" i="36"/>
  <c r="R804" i="36"/>
  <c r="H804" i="36"/>
  <c r="R803" i="36"/>
  <c r="H803" i="36"/>
  <c r="R802" i="36"/>
  <c r="H802" i="36"/>
  <c r="R801" i="36"/>
  <c r="H801" i="36"/>
  <c r="R800" i="36"/>
  <c r="H800" i="36"/>
  <c r="R889" i="36"/>
  <c r="H889" i="36"/>
  <c r="O467" i="36" l="1"/>
  <c r="R793" i="36"/>
  <c r="R794" i="36"/>
  <c r="R797" i="36"/>
  <c r="R798" i="36"/>
  <c r="R799" i="36"/>
  <c r="R752" i="36"/>
  <c r="R753" i="36"/>
  <c r="R758" i="36"/>
  <c r="R759" i="36"/>
  <c r="R760" i="36"/>
  <c r="R761" i="36"/>
  <c r="R762" i="36"/>
  <c r="R763" i="36"/>
  <c r="R765" i="36"/>
  <c r="R768" i="36"/>
  <c r="R770" i="36"/>
  <c r="R771" i="36"/>
  <c r="R772" i="36"/>
  <c r="R773" i="36"/>
  <c r="R774" i="36"/>
  <c r="R775" i="36"/>
  <c r="R776" i="36"/>
  <c r="R777" i="36"/>
  <c r="R780" i="36"/>
  <c r="R781" i="36"/>
  <c r="R782" i="36"/>
  <c r="R783" i="36"/>
  <c r="R784" i="36"/>
  <c r="R785" i="36"/>
  <c r="R786" i="36"/>
  <c r="R787" i="36"/>
  <c r="R789" i="36"/>
  <c r="H799" i="36"/>
  <c r="H798" i="36"/>
  <c r="H797" i="36"/>
  <c r="R796" i="36"/>
  <c r="H796" i="36"/>
  <c r="R795" i="36"/>
  <c r="H795" i="36"/>
  <c r="H794" i="36"/>
  <c r="H793" i="36"/>
  <c r="R792" i="36"/>
  <c r="H792" i="36"/>
  <c r="R791" i="36"/>
  <c r="H791" i="36"/>
  <c r="R790" i="36"/>
  <c r="H790" i="36"/>
  <c r="H789" i="36"/>
  <c r="R788" i="36"/>
  <c r="H788" i="36"/>
  <c r="H787" i="36"/>
  <c r="H786" i="36"/>
  <c r="H785" i="36"/>
  <c r="H784" i="36"/>
  <c r="H783" i="36"/>
  <c r="H782" i="36"/>
  <c r="H781" i="36"/>
  <c r="H780" i="36"/>
  <c r="R779" i="36"/>
  <c r="H779" i="36"/>
  <c r="R778" i="36"/>
  <c r="H778" i="36"/>
  <c r="H777" i="36"/>
  <c r="H776" i="36"/>
  <c r="H775" i="36"/>
  <c r="H774" i="36"/>
  <c r="H773" i="36"/>
  <c r="H772" i="36"/>
  <c r="H771" i="36"/>
  <c r="H770" i="36"/>
  <c r="R769" i="36"/>
  <c r="H769" i="36"/>
  <c r="H768" i="36"/>
  <c r="R767" i="36"/>
  <c r="H767" i="36"/>
  <c r="R766" i="36"/>
  <c r="H766" i="36"/>
  <c r="H765" i="36"/>
  <c r="R764" i="36"/>
  <c r="H764" i="36"/>
  <c r="H763" i="36"/>
  <c r="H762" i="36"/>
  <c r="H761" i="36"/>
  <c r="H760" i="36"/>
  <c r="H759" i="36"/>
  <c r="H758" i="36"/>
  <c r="R757" i="36"/>
  <c r="H757" i="36"/>
  <c r="R756" i="36"/>
  <c r="H756" i="36"/>
  <c r="R755" i="36"/>
  <c r="H755" i="36"/>
  <c r="R754" i="36"/>
  <c r="H754" i="36"/>
  <c r="H753" i="36"/>
  <c r="H752" i="36"/>
  <c r="R751" i="36"/>
  <c r="H751" i="36"/>
  <c r="R750" i="36"/>
  <c r="H750" i="36"/>
  <c r="R504" i="36"/>
  <c r="H504" i="36"/>
  <c r="R496" i="36"/>
  <c r="H496" i="36"/>
  <c r="R491" i="36"/>
  <c r="H491" i="36"/>
  <c r="R490" i="36"/>
  <c r="H490" i="36"/>
  <c r="R489" i="36"/>
  <c r="H489" i="36"/>
  <c r="R488" i="36"/>
  <c r="H488" i="36"/>
  <c r="R472" i="36"/>
  <c r="H472" i="36"/>
  <c r="R471" i="36"/>
  <c r="H471" i="36"/>
  <c r="H473" i="36"/>
  <c r="R473" i="36"/>
  <c r="R467" i="36"/>
  <c r="R469" i="36"/>
  <c r="H469" i="36"/>
  <c r="R468" i="36"/>
  <c r="H468" i="36"/>
  <c r="H467" i="36"/>
  <c r="R519" i="36" l="1"/>
  <c r="H519" i="36"/>
  <c r="R518" i="36"/>
  <c r="H518" i="36"/>
  <c r="R517" i="36"/>
  <c r="H517" i="36"/>
  <c r="R516" i="36"/>
  <c r="H516" i="36"/>
  <c r="R515" i="36"/>
  <c r="H515" i="36"/>
  <c r="R514" i="36"/>
  <c r="H514" i="36"/>
  <c r="R513" i="36"/>
  <c r="H513" i="36"/>
  <c r="R512" i="36"/>
  <c r="H512" i="36"/>
  <c r="R511" i="36"/>
  <c r="H511" i="36"/>
  <c r="R510" i="36"/>
  <c r="H510" i="36"/>
  <c r="R509" i="36"/>
  <c r="H509" i="36"/>
  <c r="R508" i="36"/>
  <c r="H508" i="36"/>
  <c r="R507" i="36"/>
  <c r="H507" i="36"/>
  <c r="R506" i="36"/>
  <c r="H506" i="36"/>
  <c r="R505" i="36"/>
  <c r="H505" i="36"/>
  <c r="R503" i="36"/>
  <c r="H503" i="36"/>
  <c r="R502" i="36"/>
  <c r="H502" i="36"/>
  <c r="R501" i="36"/>
  <c r="H501" i="36"/>
  <c r="R500" i="36"/>
  <c r="H500" i="36"/>
  <c r="R499" i="36"/>
  <c r="H499" i="36"/>
  <c r="R498" i="36"/>
  <c r="H498" i="36"/>
  <c r="R497" i="36"/>
  <c r="H497" i="36"/>
  <c r="R495" i="36"/>
  <c r="H495" i="36"/>
  <c r="R494" i="36"/>
  <c r="H494" i="36"/>
  <c r="R493" i="36"/>
  <c r="H493" i="36"/>
  <c r="R492" i="36"/>
  <c r="H492" i="36"/>
  <c r="R482" i="36"/>
  <c r="R481" i="36"/>
  <c r="R480" i="36"/>
  <c r="R479" i="36"/>
  <c r="R478" i="36"/>
  <c r="R477" i="36"/>
  <c r="H482" i="36"/>
  <c r="H481" i="36"/>
  <c r="H480" i="36"/>
  <c r="H479" i="36"/>
  <c r="H478" i="36"/>
  <c r="H477" i="36"/>
  <c r="R476" i="36"/>
  <c r="H476" i="36"/>
  <c r="R475" i="36"/>
  <c r="H475" i="36"/>
  <c r="R474" i="36"/>
  <c r="H474" i="36"/>
  <c r="R470" i="36"/>
  <c r="H470" i="36"/>
  <c r="R466" i="36"/>
  <c r="H466" i="36"/>
  <c r="R465" i="36"/>
  <c r="H465" i="36"/>
  <c r="R464" i="36"/>
  <c r="H464" i="36"/>
  <c r="R463" i="36"/>
  <c r="H463" i="36"/>
  <c r="R462" i="36"/>
  <c r="H462" i="36"/>
  <c r="R461" i="36"/>
  <c r="H461" i="36"/>
  <c r="R459" i="36"/>
  <c r="H459" i="36"/>
  <c r="R191" i="36"/>
  <c r="H191" i="36"/>
  <c r="R183" i="36"/>
  <c r="H183" i="36"/>
  <c r="R202" i="36"/>
  <c r="H202" i="36"/>
  <c r="R199" i="36"/>
  <c r="H199" i="36"/>
  <c r="R194" i="36"/>
  <c r="H194" i="36"/>
  <c r="R572" i="36" l="1"/>
  <c r="R571" i="36"/>
  <c r="R570" i="36"/>
  <c r="R569" i="36"/>
  <c r="R567" i="36"/>
  <c r="R566" i="36"/>
  <c r="R565" i="36"/>
  <c r="R564" i="36"/>
  <c r="R560" i="36"/>
  <c r="R559" i="36"/>
  <c r="R558" i="36"/>
  <c r="R556" i="36"/>
  <c r="R554" i="36"/>
  <c r="R553" i="36"/>
  <c r="R552" i="36"/>
  <c r="R549" i="36"/>
  <c r="R548" i="36"/>
  <c r="R547" i="36"/>
  <c r="R546" i="36"/>
  <c r="R545" i="36"/>
  <c r="R542" i="36"/>
  <c r="R541" i="36"/>
  <c r="R540" i="36"/>
  <c r="R539" i="36"/>
  <c r="R538" i="36"/>
  <c r="R536" i="36"/>
  <c r="R535" i="36"/>
  <c r="R534" i="36"/>
  <c r="R530" i="36"/>
  <c r="R529" i="36"/>
  <c r="R528" i="36"/>
  <c r="R575" i="36"/>
  <c r="H575" i="36"/>
  <c r="R574" i="36"/>
  <c r="H574" i="36"/>
  <c r="R573" i="36"/>
  <c r="H573" i="36"/>
  <c r="H572" i="36"/>
  <c r="H571" i="36"/>
  <c r="H570" i="36"/>
  <c r="H569" i="36"/>
  <c r="R568" i="36"/>
  <c r="H568" i="36"/>
  <c r="H567" i="36"/>
  <c r="H566" i="36"/>
  <c r="H565" i="36"/>
  <c r="H564" i="36"/>
  <c r="R563" i="36"/>
  <c r="H563" i="36"/>
  <c r="R562" i="36"/>
  <c r="H562" i="36"/>
  <c r="R561" i="36"/>
  <c r="H561" i="36"/>
  <c r="H560" i="36"/>
  <c r="H559" i="36"/>
  <c r="H558" i="36"/>
  <c r="R557" i="36"/>
  <c r="H557" i="36"/>
  <c r="H556" i="36"/>
  <c r="R555" i="36"/>
  <c r="H555" i="36"/>
  <c r="H554" i="36"/>
  <c r="H553" i="36"/>
  <c r="H552" i="36"/>
  <c r="R551" i="36"/>
  <c r="H551" i="36"/>
  <c r="R550" i="36"/>
  <c r="H550" i="36"/>
  <c r="H549" i="36"/>
  <c r="H548" i="36"/>
  <c r="H547" i="36"/>
  <c r="H546" i="36"/>
  <c r="H545" i="36"/>
  <c r="R544" i="36"/>
  <c r="H544" i="36"/>
  <c r="R543" i="36"/>
  <c r="H543" i="36"/>
  <c r="H542" i="36"/>
  <c r="H541" i="36"/>
  <c r="H540" i="36"/>
  <c r="H539" i="36"/>
  <c r="H538" i="36"/>
  <c r="R537" i="36"/>
  <c r="H537" i="36"/>
  <c r="H536" i="36"/>
  <c r="H535" i="36"/>
  <c r="H534" i="36"/>
  <c r="R533" i="36"/>
  <c r="H533" i="36"/>
  <c r="R532" i="36"/>
  <c r="H532" i="36"/>
  <c r="R531" i="36"/>
  <c r="H531" i="36"/>
  <c r="H530" i="36"/>
  <c r="H529" i="36"/>
  <c r="H528" i="36"/>
  <c r="R527" i="36"/>
  <c r="H527" i="36"/>
  <c r="R526" i="36"/>
  <c r="H526" i="36"/>
  <c r="R525" i="36"/>
  <c r="H525" i="36"/>
  <c r="R524" i="36"/>
  <c r="H524" i="36"/>
  <c r="R523" i="36"/>
  <c r="H523" i="36"/>
  <c r="R522" i="36"/>
  <c r="H522" i="36"/>
  <c r="R521" i="36"/>
  <c r="H521" i="36"/>
  <c r="R520" i="36"/>
  <c r="H520" i="36"/>
  <c r="R452" i="36"/>
  <c r="H452" i="36"/>
  <c r="R451" i="36"/>
  <c r="H451" i="36"/>
  <c r="R448" i="36"/>
  <c r="H448" i="36"/>
  <c r="R444" i="36"/>
  <c r="H444" i="36"/>
  <c r="R443" i="36"/>
  <c r="H443" i="36"/>
  <c r="R442" i="36"/>
  <c r="H442" i="36"/>
  <c r="R439" i="36"/>
  <c r="H439" i="36"/>
  <c r="R409" i="36"/>
  <c r="H409" i="36"/>
  <c r="R408" i="36"/>
  <c r="H408" i="36"/>
  <c r="R407" i="36"/>
  <c r="H407" i="36"/>
  <c r="R378" i="36"/>
  <c r="H378" i="36"/>
  <c r="R377" i="36"/>
  <c r="H377" i="36"/>
  <c r="R376" i="36"/>
  <c r="H376" i="36"/>
  <c r="R375" i="36"/>
  <c r="H375" i="36"/>
  <c r="R374" i="36"/>
  <c r="H374" i="36"/>
  <c r="R373" i="36"/>
  <c r="H373" i="36"/>
  <c r="R372" i="36"/>
  <c r="H372" i="36"/>
  <c r="R371" i="36"/>
  <c r="H371" i="36"/>
  <c r="R370" i="36"/>
  <c r="H370" i="36"/>
  <c r="R369" i="36"/>
  <c r="H369" i="36"/>
  <c r="R368" i="36"/>
  <c r="H368" i="36"/>
  <c r="R364" i="36"/>
  <c r="H364" i="36"/>
  <c r="R362" i="36"/>
  <c r="H362" i="36"/>
  <c r="R361" i="36"/>
  <c r="H361" i="36"/>
  <c r="R360" i="36"/>
  <c r="H360" i="36"/>
  <c r="R359" i="36"/>
  <c r="H359" i="36"/>
  <c r="R350" i="36"/>
  <c r="H350" i="36"/>
  <c r="R341" i="36"/>
  <c r="H341" i="36"/>
  <c r="R340" i="36"/>
  <c r="H340" i="36"/>
  <c r="R339" i="36"/>
  <c r="H339" i="36"/>
  <c r="R338" i="36"/>
  <c r="H338" i="36"/>
  <c r="R337" i="36"/>
  <c r="H337" i="36"/>
  <c r="R336" i="36"/>
  <c r="H336" i="36"/>
  <c r="R335" i="36"/>
  <c r="H335" i="36"/>
  <c r="R334" i="36"/>
  <c r="H334" i="36"/>
  <c r="R333" i="36"/>
  <c r="H333" i="36"/>
  <c r="R332" i="36"/>
  <c r="H332" i="36"/>
  <c r="R331" i="36"/>
  <c r="H331" i="36"/>
  <c r="R330" i="36"/>
  <c r="H330" i="36"/>
  <c r="R329" i="36"/>
  <c r="H329" i="36"/>
  <c r="R328" i="36"/>
  <c r="H328" i="36"/>
  <c r="R327" i="36"/>
  <c r="H327" i="36"/>
  <c r="R326" i="36"/>
  <c r="H326" i="36"/>
  <c r="R325" i="36"/>
  <c r="H325" i="36"/>
  <c r="R324" i="36"/>
  <c r="H324" i="36"/>
  <c r="R314" i="36"/>
  <c r="H314" i="36"/>
  <c r="R313" i="36"/>
  <c r="H313" i="36"/>
  <c r="R312" i="36"/>
  <c r="H312" i="36"/>
  <c r="R311" i="36"/>
  <c r="H311" i="36"/>
  <c r="R310" i="36"/>
  <c r="H310" i="36"/>
  <c r="R309" i="36"/>
  <c r="H309" i="36"/>
  <c r="R308" i="36"/>
  <c r="H308" i="36"/>
  <c r="R307" i="36"/>
  <c r="H307" i="36"/>
  <c r="R301" i="36"/>
  <c r="H301" i="36"/>
  <c r="R296" i="36"/>
  <c r="H296" i="36"/>
  <c r="R282" i="36"/>
  <c r="H282" i="36"/>
  <c r="R263" i="36"/>
  <c r="H263" i="36"/>
  <c r="R262" i="36"/>
  <c r="H262" i="36"/>
  <c r="R256" i="36"/>
  <c r="H256" i="36"/>
  <c r="R247" i="36"/>
  <c r="H247" i="36"/>
  <c r="R240" i="36"/>
  <c r="H240" i="36"/>
  <c r="R235" i="36"/>
  <c r="H235" i="36"/>
  <c r="R229" i="36"/>
  <c r="H229" i="36"/>
  <c r="R223" i="36"/>
  <c r="H223" i="36"/>
  <c r="R221" i="36"/>
  <c r="H221" i="36"/>
  <c r="R219" i="36"/>
  <c r="H219" i="36"/>
  <c r="R217" i="36"/>
  <c r="H217" i="36"/>
  <c r="R216" i="36"/>
  <c r="H216" i="36"/>
  <c r="R215" i="36"/>
  <c r="H215" i="36"/>
  <c r="R196" i="36"/>
  <c r="H196" i="36"/>
  <c r="R177" i="36"/>
  <c r="H177" i="36"/>
  <c r="R171" i="36"/>
  <c r="H171" i="36"/>
  <c r="R164" i="36"/>
  <c r="H164" i="36"/>
  <c r="R163" i="36"/>
  <c r="H163" i="36"/>
  <c r="R162" i="36"/>
  <c r="H162" i="36"/>
  <c r="R158" i="36"/>
  <c r="H158" i="36"/>
  <c r="R156" i="36"/>
  <c r="H156" i="36"/>
  <c r="R154" i="36"/>
  <c r="H154" i="36"/>
  <c r="R152" i="36"/>
  <c r="H152" i="36"/>
  <c r="R151" i="36"/>
  <c r="H151" i="36"/>
  <c r="R150" i="36"/>
  <c r="H150" i="36"/>
  <c r="R146" i="36"/>
  <c r="H146" i="36"/>
  <c r="R144" i="36"/>
  <c r="H144" i="36"/>
  <c r="R140" i="36"/>
  <c r="H140" i="36"/>
  <c r="R138" i="36"/>
  <c r="H138" i="36"/>
  <c r="R135" i="36"/>
  <c r="H135" i="36"/>
  <c r="R134" i="36"/>
  <c r="H134" i="36"/>
  <c r="R132" i="36"/>
  <c r="H132" i="36"/>
  <c r="R131" i="36"/>
  <c r="H131" i="36"/>
  <c r="R130" i="36"/>
  <c r="H130" i="36"/>
  <c r="R129" i="36"/>
  <c r="H129" i="36"/>
  <c r="R128" i="36"/>
  <c r="H128" i="36"/>
  <c r="R127" i="36"/>
  <c r="H127" i="36"/>
  <c r="R126" i="36"/>
  <c r="H126" i="36"/>
  <c r="R125" i="36"/>
  <c r="H125" i="36"/>
  <c r="R124" i="36"/>
  <c r="H124" i="36"/>
  <c r="R123" i="36"/>
  <c r="H123" i="36"/>
  <c r="R122" i="36"/>
  <c r="H122" i="36"/>
  <c r="R121" i="36"/>
  <c r="H121" i="36"/>
  <c r="R120" i="36"/>
  <c r="H120" i="36"/>
  <c r="R119" i="36"/>
  <c r="H119" i="36"/>
  <c r="R100" i="36"/>
  <c r="H100" i="36"/>
  <c r="R89" i="36"/>
  <c r="H89" i="36"/>
  <c r="R77" i="36"/>
  <c r="H77" i="36"/>
  <c r="R75" i="36"/>
  <c r="H75" i="36"/>
  <c r="R74" i="36"/>
  <c r="H74" i="36"/>
  <c r="R72" i="36"/>
  <c r="H72" i="36"/>
  <c r="R64" i="36"/>
  <c r="H64" i="36"/>
  <c r="R63" i="36"/>
  <c r="H63" i="36"/>
  <c r="R62" i="36"/>
  <c r="H62" i="36"/>
  <c r="R61" i="36"/>
  <c r="H61" i="36"/>
  <c r="R60" i="36"/>
  <c r="H60" i="36"/>
  <c r="R59" i="36"/>
  <c r="H59" i="36"/>
  <c r="R57" i="36"/>
  <c r="H57" i="36"/>
  <c r="R56" i="36"/>
  <c r="H56" i="36"/>
  <c r="R55" i="36"/>
  <c r="H55" i="36"/>
  <c r="R35" i="36"/>
  <c r="H35" i="36"/>
  <c r="R32" i="36"/>
  <c r="H32" i="36"/>
  <c r="R31" i="36"/>
  <c r="H31" i="36"/>
  <c r="R29" i="36"/>
  <c r="H29" i="36"/>
  <c r="R28" i="36"/>
  <c r="H28" i="36"/>
  <c r="R30" i="36"/>
  <c r="H30" i="36"/>
  <c r="R749" i="36"/>
  <c r="H749" i="36"/>
  <c r="R748" i="36"/>
  <c r="H748" i="36"/>
  <c r="R747" i="36"/>
  <c r="H747" i="36"/>
  <c r="R746" i="36"/>
  <c r="H746" i="36"/>
  <c r="R745" i="36"/>
  <c r="H745" i="36"/>
  <c r="R744" i="36"/>
  <c r="H744" i="36"/>
  <c r="R743" i="36"/>
  <c r="H743" i="36"/>
  <c r="R742" i="36"/>
  <c r="H742" i="36"/>
  <c r="R741" i="36"/>
  <c r="H741" i="36"/>
  <c r="R740" i="36"/>
  <c r="H740" i="36"/>
  <c r="R739" i="36"/>
  <c r="H739" i="36"/>
  <c r="R738" i="36"/>
  <c r="H738" i="36"/>
  <c r="R737" i="36"/>
  <c r="H737" i="36"/>
  <c r="R736" i="36"/>
  <c r="H736" i="36"/>
  <c r="R725" i="36"/>
  <c r="H725" i="36"/>
  <c r="R724" i="36"/>
  <c r="H724" i="36"/>
  <c r="R723" i="36"/>
  <c r="H723" i="36"/>
  <c r="R722" i="36"/>
  <c r="H722" i="36"/>
  <c r="R721" i="36"/>
  <c r="H721" i="36"/>
  <c r="R720" i="36"/>
  <c r="H720" i="36"/>
  <c r="R719" i="36"/>
  <c r="H719" i="36"/>
  <c r="R718" i="36"/>
  <c r="H718" i="36"/>
  <c r="R717" i="36"/>
  <c r="H717" i="36"/>
  <c r="R716" i="36"/>
  <c r="H716" i="36"/>
  <c r="R715" i="36"/>
  <c r="H715" i="36"/>
  <c r="R714" i="36"/>
  <c r="H714" i="36"/>
  <c r="R713" i="36"/>
  <c r="H713" i="36"/>
  <c r="R712" i="36"/>
  <c r="H712" i="36"/>
  <c r="R711" i="36"/>
  <c r="H711" i="36"/>
  <c r="R710" i="36"/>
  <c r="H710" i="36"/>
  <c r="R709" i="36"/>
  <c r="H709" i="36"/>
  <c r="R708" i="36"/>
  <c r="H708" i="36"/>
  <c r="O691" i="36"/>
  <c r="R707" i="36"/>
  <c r="H707" i="36"/>
  <c r="R706" i="36"/>
  <c r="H706" i="36"/>
  <c r="R705" i="36"/>
  <c r="H705" i="36"/>
  <c r="R702" i="36"/>
  <c r="H702" i="36"/>
  <c r="R701" i="36"/>
  <c r="H701" i="36"/>
  <c r="R700" i="36"/>
  <c r="H700" i="36"/>
  <c r="R699" i="36"/>
  <c r="H699" i="36"/>
  <c r="R698" i="36"/>
  <c r="H698" i="36"/>
  <c r="R697" i="36"/>
  <c r="H697" i="36"/>
  <c r="R696" i="36"/>
  <c r="H696" i="36"/>
  <c r="R695" i="36"/>
  <c r="H695" i="36"/>
  <c r="R694" i="36"/>
  <c r="H694" i="36"/>
  <c r="R693" i="36"/>
  <c r="H693" i="36"/>
  <c r="R692" i="36"/>
  <c r="H692" i="36"/>
  <c r="H691" i="36"/>
  <c r="R690" i="36"/>
  <c r="H690" i="36"/>
  <c r="R689" i="36"/>
  <c r="H689" i="36"/>
  <c r="R688" i="36"/>
  <c r="H688" i="36"/>
  <c r="R687" i="36"/>
  <c r="H687" i="36"/>
  <c r="R686" i="36"/>
  <c r="H686" i="36"/>
  <c r="R685" i="36"/>
  <c r="H685" i="36"/>
  <c r="R684" i="36"/>
  <c r="H684" i="36"/>
  <c r="R683" i="36"/>
  <c r="H683" i="36"/>
  <c r="R682" i="36"/>
  <c r="H682" i="36"/>
  <c r="R681" i="36"/>
  <c r="H681" i="36"/>
  <c r="R680" i="36"/>
  <c r="H680" i="36"/>
  <c r="R679" i="36"/>
  <c r="H679" i="36"/>
  <c r="R678" i="36"/>
  <c r="H678" i="36"/>
  <c r="R677" i="36"/>
  <c r="H677" i="36"/>
  <c r="R323" i="36"/>
  <c r="H323" i="36"/>
  <c r="R322" i="36"/>
  <c r="H322" i="36"/>
  <c r="R321" i="36"/>
  <c r="H321" i="36"/>
  <c r="R320" i="36"/>
  <c r="H320" i="36"/>
  <c r="R319" i="36"/>
  <c r="H319" i="36"/>
  <c r="R317" i="36"/>
  <c r="H317" i="36"/>
  <c r="R316" i="36"/>
  <c r="H316" i="36"/>
  <c r="R297" i="36"/>
  <c r="H297" i="36"/>
  <c r="R293" i="36"/>
  <c r="H293" i="36"/>
  <c r="R291" i="36"/>
  <c r="H291" i="36"/>
  <c r="R290" i="36"/>
  <c r="H290" i="36"/>
  <c r="R288" i="36"/>
  <c r="H288" i="36"/>
  <c r="R271" i="36"/>
  <c r="H271" i="36"/>
  <c r="R118" i="36"/>
  <c r="H118" i="36"/>
  <c r="R117" i="36"/>
  <c r="H117" i="36"/>
  <c r="R116" i="36"/>
  <c r="H116" i="36"/>
  <c r="R115" i="36"/>
  <c r="H115" i="36"/>
  <c r="R114" i="36"/>
  <c r="H114" i="36"/>
  <c r="R113" i="36"/>
  <c r="H113" i="36"/>
  <c r="R112" i="36"/>
  <c r="H112" i="36"/>
  <c r="R111" i="36"/>
  <c r="H111" i="36"/>
  <c r="K78" i="36"/>
  <c r="R110" i="36"/>
  <c r="H110" i="36"/>
  <c r="R109" i="36"/>
  <c r="H109" i="36"/>
  <c r="R108" i="36"/>
  <c r="H108" i="36"/>
  <c r="R107" i="36"/>
  <c r="H107" i="36"/>
  <c r="R106" i="36"/>
  <c r="H106" i="36"/>
  <c r="R105" i="36"/>
  <c r="H105" i="36"/>
  <c r="R104" i="36"/>
  <c r="H104" i="36"/>
  <c r="R103" i="36"/>
  <c r="H103" i="36"/>
  <c r="R102" i="36"/>
  <c r="H102" i="36"/>
  <c r="R101" i="36"/>
  <c r="H101" i="36"/>
  <c r="R97" i="36"/>
  <c r="H97" i="36"/>
  <c r="R96" i="36"/>
  <c r="H96" i="36"/>
  <c r="R95" i="36"/>
  <c r="H95" i="36"/>
  <c r="R94" i="36"/>
  <c r="H94" i="36"/>
  <c r="R93" i="36"/>
  <c r="H93" i="36"/>
  <c r="R92" i="36"/>
  <c r="H92" i="36"/>
  <c r="R91" i="36"/>
  <c r="H91" i="36"/>
  <c r="R88" i="36"/>
  <c r="H88" i="36"/>
  <c r="R87" i="36"/>
  <c r="H87" i="36"/>
  <c r="R86" i="36"/>
  <c r="H86" i="36"/>
  <c r="R85" i="36"/>
  <c r="H85" i="36"/>
  <c r="R54" i="36"/>
  <c r="H54" i="36"/>
  <c r="R53" i="36"/>
  <c r="H53" i="36"/>
  <c r="R52" i="36"/>
  <c r="H52" i="36"/>
  <c r="R50" i="36"/>
  <c r="H50" i="36"/>
  <c r="R49" i="36"/>
  <c r="H49" i="36"/>
  <c r="R48" i="36"/>
  <c r="H48" i="36"/>
  <c r="R47" i="36"/>
  <c r="H47" i="36"/>
  <c r="R46" i="36"/>
  <c r="H46" i="36"/>
  <c r="R45" i="36"/>
  <c r="H45" i="36"/>
  <c r="R44" i="36"/>
  <c r="H44" i="36"/>
  <c r="R43" i="36"/>
  <c r="H43" i="36"/>
  <c r="R42" i="36"/>
  <c r="H42" i="36"/>
  <c r="R41" i="36"/>
  <c r="H41" i="36"/>
  <c r="R40" i="36"/>
  <c r="H40" i="36"/>
  <c r="R691" i="36" l="1"/>
  <c r="O997" i="36"/>
  <c r="R300" i="36"/>
  <c r="H300" i="36"/>
  <c r="R299" i="36"/>
  <c r="H299" i="36"/>
  <c r="R298" i="36"/>
  <c r="H298" i="36"/>
  <c r="R295" i="36"/>
  <c r="H295" i="36"/>
  <c r="R294" i="36"/>
  <c r="H294" i="36"/>
  <c r="R292" i="36"/>
  <c r="H292" i="36"/>
  <c r="R877" i="36" l="1"/>
  <c r="H877" i="36"/>
  <c r="R51" i="36"/>
  <c r="H51" i="36"/>
  <c r="R735" i="36" l="1"/>
  <c r="H735" i="36"/>
  <c r="R734" i="36"/>
  <c r="H734" i="36"/>
  <c r="R733" i="36"/>
  <c r="H733" i="36"/>
  <c r="R732" i="36"/>
  <c r="H732" i="36"/>
  <c r="R731" i="36"/>
  <c r="H731" i="36"/>
  <c r="R730" i="36"/>
  <c r="H730" i="36"/>
  <c r="R729" i="36"/>
  <c r="H729" i="36"/>
  <c r="R728" i="36"/>
  <c r="H728" i="36"/>
  <c r="R727" i="36"/>
  <c r="H727" i="36"/>
  <c r="R726" i="36"/>
  <c r="H726" i="36"/>
  <c r="R704" i="36"/>
  <c r="H704" i="36"/>
  <c r="R703" i="36" l="1"/>
  <c r="H703" i="36"/>
  <c r="R676" i="36"/>
  <c r="H676" i="36"/>
  <c r="R888" i="36" l="1"/>
  <c r="H888" i="36"/>
  <c r="R429" i="36" l="1"/>
  <c r="H429" i="36"/>
  <c r="R454" i="36"/>
  <c r="H454" i="36"/>
  <c r="R348" i="36" l="1"/>
  <c r="R349" i="36"/>
  <c r="R351" i="36"/>
  <c r="R352" i="36"/>
  <c r="R353" i="36"/>
  <c r="R354" i="36"/>
  <c r="R355" i="36"/>
  <c r="R356" i="36"/>
  <c r="R357" i="36"/>
  <c r="R366" i="36"/>
  <c r="R367" i="36"/>
  <c r="R379" i="36"/>
  <c r="R380" i="36"/>
  <c r="R381" i="36"/>
  <c r="R382" i="36"/>
  <c r="R383" i="36"/>
  <c r="R384" i="36"/>
  <c r="R385" i="36"/>
  <c r="R389" i="36"/>
  <c r="R390" i="36"/>
  <c r="R391" i="36"/>
  <c r="R392" i="36"/>
  <c r="R393" i="36"/>
  <c r="R394" i="36"/>
  <c r="R395" i="36"/>
  <c r="R396" i="36"/>
  <c r="R397" i="36"/>
  <c r="R402" i="36"/>
  <c r="R403" i="36"/>
  <c r="R404" i="36"/>
  <c r="R405" i="36"/>
  <c r="R406" i="36"/>
  <c r="R410" i="36"/>
  <c r="R411" i="36"/>
  <c r="R412" i="36"/>
  <c r="R416" i="36"/>
  <c r="R417" i="36"/>
  <c r="R418" i="36"/>
  <c r="R419" i="36"/>
  <c r="R421" i="36"/>
  <c r="R422" i="36"/>
  <c r="R423" i="36"/>
  <c r="R424" i="36"/>
  <c r="R425" i="36"/>
  <c r="R428" i="36"/>
  <c r="R431" i="36"/>
  <c r="R432" i="36"/>
  <c r="R433" i="36"/>
  <c r="R434" i="36"/>
  <c r="R435" i="36"/>
  <c r="R436" i="36"/>
  <c r="R441" i="36"/>
  <c r="R445" i="36"/>
  <c r="R446" i="36"/>
  <c r="R447" i="36"/>
  <c r="R449" i="36"/>
  <c r="R450" i="36"/>
  <c r="R453" i="36"/>
  <c r="R455" i="36"/>
  <c r="R483" i="36"/>
  <c r="R484" i="36"/>
  <c r="R485" i="36"/>
  <c r="R486" i="36"/>
  <c r="R487" i="36"/>
  <c r="R576" i="36"/>
  <c r="R577" i="36"/>
  <c r="R578" i="36"/>
  <c r="R579" i="36"/>
  <c r="R580" i="36"/>
  <c r="R583" i="36"/>
  <c r="R584" i="36"/>
  <c r="R585" i="36"/>
  <c r="R586" i="36"/>
  <c r="R587" i="36"/>
  <c r="R588" i="36"/>
  <c r="R589" i="36"/>
  <c r="R590" i="36"/>
  <c r="R591" i="36"/>
  <c r="R595" i="36"/>
  <c r="R596" i="36"/>
  <c r="R597" i="36"/>
  <c r="R598" i="36"/>
  <c r="R599" i="36"/>
  <c r="R601" i="36"/>
  <c r="R602" i="36"/>
  <c r="R603" i="36"/>
  <c r="R606" i="36"/>
  <c r="R607" i="36"/>
  <c r="R608" i="36"/>
  <c r="R609" i="36"/>
  <c r="R612" i="36"/>
  <c r="R613" i="36"/>
  <c r="R614" i="36"/>
  <c r="R615" i="36"/>
  <c r="R621" i="36"/>
  <c r="R622" i="36"/>
  <c r="R623" i="36"/>
  <c r="R624" i="36"/>
  <c r="R625" i="36"/>
  <c r="R626" i="36"/>
  <c r="R627" i="36"/>
  <c r="R630" i="36"/>
  <c r="R631" i="36"/>
  <c r="R633" i="36"/>
  <c r="R634" i="36"/>
  <c r="R635" i="36"/>
  <c r="R636" i="36"/>
  <c r="R637" i="36"/>
  <c r="R638" i="36"/>
  <c r="R639" i="36"/>
  <c r="R640" i="36"/>
  <c r="R643" i="36"/>
  <c r="R645" i="36"/>
  <c r="R646" i="36"/>
  <c r="R647" i="36"/>
  <c r="R648" i="36"/>
  <c r="R649" i="36"/>
  <c r="R650" i="36"/>
  <c r="R651" i="36"/>
  <c r="R656" i="36"/>
  <c r="R657" i="36"/>
  <c r="R658" i="36"/>
  <c r="R659" i="36"/>
  <c r="R660" i="36"/>
  <c r="R661" i="36"/>
  <c r="R662" i="36"/>
  <c r="R663" i="36"/>
  <c r="R667" i="36"/>
  <c r="R668" i="36"/>
  <c r="R669" i="36"/>
  <c r="R670" i="36"/>
  <c r="R672" i="36"/>
  <c r="R673" i="36"/>
  <c r="R674" i="36"/>
  <c r="R675" i="36"/>
  <c r="H351" i="36"/>
  <c r="H352" i="36"/>
  <c r="H353" i="36"/>
  <c r="H354" i="36"/>
  <c r="H355" i="36"/>
  <c r="H356" i="36"/>
  <c r="H357" i="36"/>
  <c r="H358" i="36"/>
  <c r="R358" i="36"/>
  <c r="H363" i="36"/>
  <c r="R363" i="36"/>
  <c r="H365" i="36"/>
  <c r="R365" i="36"/>
  <c r="H366" i="36"/>
  <c r="H367" i="36"/>
  <c r="H379" i="36"/>
  <c r="H380" i="36"/>
  <c r="H381" i="36"/>
  <c r="H382" i="36"/>
  <c r="H383" i="36"/>
  <c r="H384" i="36"/>
  <c r="H385" i="36"/>
  <c r="H386" i="36"/>
  <c r="R386" i="36"/>
  <c r="H387" i="36"/>
  <c r="R387" i="36"/>
  <c r="H388" i="36"/>
  <c r="R388" i="36"/>
  <c r="H389" i="36"/>
  <c r="H390" i="36"/>
  <c r="H391" i="36"/>
  <c r="H392" i="36"/>
  <c r="H393" i="36"/>
  <c r="H394" i="36"/>
  <c r="H395" i="36"/>
  <c r="H396" i="36"/>
  <c r="H397" i="36"/>
  <c r="H398" i="36"/>
  <c r="R398" i="36"/>
  <c r="H399" i="36"/>
  <c r="R399" i="36"/>
  <c r="H400" i="36"/>
  <c r="R400" i="36"/>
  <c r="H401" i="36"/>
  <c r="R401" i="36"/>
  <c r="H402" i="36"/>
  <c r="H403" i="36"/>
  <c r="H404" i="36"/>
  <c r="H405" i="36"/>
  <c r="H406" i="36"/>
  <c r="H410" i="36"/>
  <c r="H411" i="36"/>
  <c r="H412" i="36"/>
  <c r="H413" i="36"/>
  <c r="R413" i="36"/>
  <c r="H414" i="36"/>
  <c r="R414" i="36"/>
  <c r="H415" i="36"/>
  <c r="R415" i="36"/>
  <c r="H416" i="36"/>
  <c r="H417" i="36"/>
  <c r="H418" i="36"/>
  <c r="H419" i="36"/>
  <c r="H420" i="36"/>
  <c r="R420" i="36"/>
  <c r="H421" i="36"/>
  <c r="H422" i="36"/>
  <c r="H423" i="36"/>
  <c r="H424" i="36"/>
  <c r="H425" i="36"/>
  <c r="H426" i="36"/>
  <c r="R426" i="36"/>
  <c r="H427" i="36"/>
  <c r="R427" i="36"/>
  <c r="H428" i="36"/>
  <c r="H430" i="36"/>
  <c r="R430" i="36"/>
  <c r="H431" i="36"/>
  <c r="H432" i="36"/>
  <c r="H433" i="36"/>
  <c r="H434" i="36"/>
  <c r="H435" i="36"/>
  <c r="H436" i="36"/>
  <c r="H437" i="36"/>
  <c r="R437" i="36"/>
  <c r="H438" i="36"/>
  <c r="R438" i="36"/>
  <c r="H440" i="36"/>
  <c r="R440" i="36"/>
  <c r="H441" i="36"/>
  <c r="H445" i="36"/>
  <c r="H446" i="36"/>
  <c r="H447" i="36"/>
  <c r="H449" i="36"/>
  <c r="H450" i="36"/>
  <c r="H453" i="36"/>
  <c r="H455" i="36"/>
  <c r="H456" i="36"/>
  <c r="R456" i="36"/>
  <c r="H457" i="36"/>
  <c r="R457" i="36"/>
  <c r="H458" i="36"/>
  <c r="R458" i="36"/>
  <c r="H483" i="36"/>
  <c r="H484" i="36"/>
  <c r="H485" i="36"/>
  <c r="H486" i="36"/>
  <c r="H487" i="36"/>
  <c r="H576" i="36"/>
  <c r="H577" i="36"/>
  <c r="H578" i="36"/>
  <c r="H579" i="36"/>
  <c r="H580" i="36"/>
  <c r="H581" i="36"/>
  <c r="R581" i="36"/>
  <c r="H582" i="36"/>
  <c r="R582" i="36"/>
  <c r="H583" i="36"/>
  <c r="H584" i="36"/>
  <c r="H585" i="36"/>
  <c r="H586" i="36"/>
  <c r="H587" i="36"/>
  <c r="H588" i="36"/>
  <c r="H589" i="36"/>
  <c r="H590" i="36"/>
  <c r="H591" i="36"/>
  <c r="H592" i="36"/>
  <c r="R592" i="36"/>
  <c r="H593" i="36"/>
  <c r="R593" i="36"/>
  <c r="H594" i="36"/>
  <c r="R594" i="36"/>
  <c r="H595" i="36"/>
  <c r="H596" i="36"/>
  <c r="H597" i="36"/>
  <c r="H598" i="36"/>
  <c r="H599" i="36"/>
  <c r="H600" i="36"/>
  <c r="R600" i="36"/>
  <c r="H601" i="36"/>
  <c r="H602" i="36"/>
  <c r="H603" i="36"/>
  <c r="H604" i="36"/>
  <c r="R604" i="36"/>
  <c r="H605" i="36"/>
  <c r="R605" i="36"/>
  <c r="H606" i="36"/>
  <c r="H607" i="36"/>
  <c r="H608" i="36"/>
  <c r="H609" i="36"/>
  <c r="H610" i="36"/>
  <c r="R610" i="36"/>
  <c r="H611" i="36"/>
  <c r="R611" i="36"/>
  <c r="H612" i="36"/>
  <c r="H613" i="36"/>
  <c r="H614" i="36"/>
  <c r="H615" i="36"/>
  <c r="H616" i="36"/>
  <c r="R616" i="36"/>
  <c r="H617" i="36"/>
  <c r="R617" i="36"/>
  <c r="H618" i="36"/>
  <c r="R618" i="36"/>
  <c r="H619" i="36"/>
  <c r="R619" i="36"/>
  <c r="H620" i="36"/>
  <c r="R620" i="36"/>
  <c r="H621" i="36"/>
  <c r="H622" i="36"/>
  <c r="H623" i="36"/>
  <c r="H624" i="36"/>
  <c r="H625" i="36"/>
  <c r="H626" i="36"/>
  <c r="H627" i="36"/>
  <c r="H628" i="36"/>
  <c r="R628" i="36"/>
  <c r="H629" i="36"/>
  <c r="R629" i="36"/>
  <c r="H630" i="36"/>
  <c r="H631" i="36"/>
  <c r="H632" i="36"/>
  <c r="R632" i="36"/>
  <c r="H633" i="36"/>
  <c r="H634" i="36"/>
  <c r="H635" i="36"/>
  <c r="H636" i="36"/>
  <c r="H637" i="36"/>
  <c r="H638" i="36"/>
  <c r="H639" i="36"/>
  <c r="H640" i="36"/>
  <c r="H641" i="36"/>
  <c r="R641" i="36"/>
  <c r="H642" i="36"/>
  <c r="R642" i="36"/>
  <c r="H643" i="36"/>
  <c r="H644" i="36"/>
  <c r="R644" i="36"/>
  <c r="H645" i="36"/>
  <c r="H646" i="36"/>
  <c r="H647" i="36"/>
  <c r="H648" i="36"/>
  <c r="H649" i="36"/>
  <c r="H650" i="36"/>
  <c r="H651" i="36"/>
  <c r="H652" i="36"/>
  <c r="R652" i="36"/>
  <c r="H653" i="36"/>
  <c r="R653" i="36"/>
  <c r="H654" i="36"/>
  <c r="R654" i="36"/>
  <c r="H655" i="36"/>
  <c r="R655" i="36"/>
  <c r="H656" i="36"/>
  <c r="H657" i="36"/>
  <c r="H658" i="36"/>
  <c r="H659" i="36"/>
  <c r="H660" i="36"/>
  <c r="H661" i="36"/>
  <c r="H662" i="36"/>
  <c r="H663" i="36"/>
  <c r="H664" i="36"/>
  <c r="R664" i="36"/>
  <c r="H665" i="36"/>
  <c r="R665" i="36"/>
  <c r="H666" i="36"/>
  <c r="R666" i="36"/>
  <c r="H667" i="36"/>
  <c r="H668" i="36"/>
  <c r="H669" i="36"/>
  <c r="H670" i="36"/>
  <c r="H671" i="36"/>
  <c r="R671" i="36"/>
  <c r="H672" i="36"/>
  <c r="H673" i="36"/>
  <c r="H674" i="36"/>
  <c r="H675" i="36"/>
  <c r="H349" i="36"/>
  <c r="R193" i="36"/>
  <c r="H193" i="36"/>
  <c r="R178" i="36"/>
  <c r="H178" i="36"/>
  <c r="R142" i="36"/>
  <c r="R143" i="36"/>
  <c r="R145" i="36"/>
  <c r="R147" i="36"/>
  <c r="R148" i="36"/>
  <c r="R149" i="36"/>
  <c r="R153" i="36"/>
  <c r="R155" i="36"/>
  <c r="R161" i="36"/>
  <c r="R167" i="36"/>
  <c r="R168" i="36"/>
  <c r="R169" i="36"/>
  <c r="R170" i="36"/>
  <c r="R172" i="36"/>
  <c r="R176" i="36"/>
  <c r="R179" i="36"/>
  <c r="R180" i="36"/>
  <c r="R181" i="36"/>
  <c r="R182" i="36"/>
  <c r="R184" i="36"/>
  <c r="R185" i="36"/>
  <c r="R186" i="36"/>
  <c r="R187" i="36"/>
  <c r="R192" i="36"/>
  <c r="R195" i="36"/>
  <c r="R197" i="36"/>
  <c r="R198" i="36"/>
  <c r="R200" i="36"/>
  <c r="R201" i="36"/>
  <c r="R203" i="36"/>
  <c r="R204" i="36"/>
  <c r="R205" i="36"/>
  <c r="R210" i="36"/>
  <c r="R211" i="36"/>
  <c r="R212" i="36"/>
  <c r="R213" i="36"/>
  <c r="R214" i="36"/>
  <c r="R218" i="36"/>
  <c r="R220" i="36"/>
  <c r="R226" i="36"/>
  <c r="R227" i="36"/>
  <c r="R228" i="36"/>
  <c r="R230" i="36"/>
  <c r="R231" i="36"/>
  <c r="R232" i="36"/>
  <c r="R233" i="36"/>
  <c r="R236" i="36"/>
  <c r="R237" i="36"/>
  <c r="R242" i="36"/>
  <c r="R243" i="36"/>
  <c r="R245" i="36"/>
  <c r="R246" i="36"/>
  <c r="R248" i="36"/>
  <c r="R249" i="36"/>
  <c r="R250" i="36"/>
  <c r="R251" i="36"/>
  <c r="R258" i="36"/>
  <c r="R259" i="36"/>
  <c r="R261" i="36"/>
  <c r="R264" i="36"/>
  <c r="R265" i="36"/>
  <c r="R266" i="36"/>
  <c r="R270" i="36"/>
  <c r="R272" i="36"/>
  <c r="R274" i="36"/>
  <c r="R275" i="36"/>
  <c r="R276" i="36"/>
  <c r="R277" i="36"/>
  <c r="R278" i="36"/>
  <c r="R279" i="36"/>
  <c r="R284" i="36"/>
  <c r="R285" i="36"/>
  <c r="R286" i="36"/>
  <c r="R287" i="36"/>
  <c r="R289" i="36"/>
  <c r="R133" i="36"/>
  <c r="R165" i="36"/>
  <c r="R166" i="36"/>
  <c r="R257" i="36"/>
  <c r="H348" i="36"/>
  <c r="R347" i="36"/>
  <c r="H347" i="36"/>
  <c r="R346" i="36"/>
  <c r="H346" i="36"/>
  <c r="R345" i="36"/>
  <c r="H345" i="36"/>
  <c r="R344" i="36"/>
  <c r="H344" i="36"/>
  <c r="R343" i="36"/>
  <c r="H343" i="36"/>
  <c r="R342" i="36"/>
  <c r="H342" i="36"/>
  <c r="R318" i="36"/>
  <c r="H318" i="36"/>
  <c r="R315" i="36"/>
  <c r="H315" i="36"/>
  <c r="R306" i="36"/>
  <c r="H306" i="36"/>
  <c r="R305" i="36"/>
  <c r="H305" i="36"/>
  <c r="R304" i="36"/>
  <c r="H304" i="36"/>
  <c r="R303" i="36"/>
  <c r="H303" i="36"/>
  <c r="R302" i="36"/>
  <c r="H302" i="36"/>
  <c r="H289" i="36"/>
  <c r="H287" i="36"/>
  <c r="H286" i="36"/>
  <c r="H285" i="36"/>
  <c r="H284" i="36"/>
  <c r="R283" i="36"/>
  <c r="H283" i="36"/>
  <c r="R281" i="36"/>
  <c r="H281" i="36"/>
  <c r="R280" i="36"/>
  <c r="H280" i="36"/>
  <c r="H279" i="36"/>
  <c r="H278" i="36"/>
  <c r="H277" i="36"/>
  <c r="H276" i="36"/>
  <c r="H275" i="36"/>
  <c r="H274" i="36"/>
  <c r="R273" i="36"/>
  <c r="H273" i="36"/>
  <c r="H272" i="36"/>
  <c r="H270" i="36"/>
  <c r="R269" i="36"/>
  <c r="H269" i="36"/>
  <c r="R268" i="36"/>
  <c r="H268" i="36"/>
  <c r="R267" i="36"/>
  <c r="H267" i="36"/>
  <c r="H266" i="36"/>
  <c r="H265" i="36"/>
  <c r="H264" i="36"/>
  <c r="H261" i="36"/>
  <c r="R260" i="36"/>
  <c r="H260" i="36"/>
  <c r="H259" i="36"/>
  <c r="H258" i="36"/>
  <c r="H257" i="36"/>
  <c r="R255" i="36"/>
  <c r="H255" i="36"/>
  <c r="R254" i="36"/>
  <c r="H254" i="36"/>
  <c r="R253" i="36"/>
  <c r="H253" i="36"/>
  <c r="R252" i="36"/>
  <c r="H252" i="36"/>
  <c r="H251" i="36"/>
  <c r="H250" i="36"/>
  <c r="H249" i="36"/>
  <c r="H248" i="36"/>
  <c r="H246" i="36"/>
  <c r="H245" i="36"/>
  <c r="R244" i="36"/>
  <c r="H244" i="36"/>
  <c r="H243" i="36"/>
  <c r="H242" i="36"/>
  <c r="R241" i="36"/>
  <c r="H241" i="36"/>
  <c r="R239" i="36"/>
  <c r="H239" i="36"/>
  <c r="R238" i="36"/>
  <c r="H238" i="36"/>
  <c r="H237" i="36"/>
  <c r="H236" i="36"/>
  <c r="H233" i="36"/>
  <c r="H232" i="36"/>
  <c r="H231" i="36"/>
  <c r="H230" i="36"/>
  <c r="H228" i="36"/>
  <c r="H227" i="36"/>
  <c r="H226" i="36"/>
  <c r="R225" i="36"/>
  <c r="H225" i="36"/>
  <c r="R224" i="36"/>
  <c r="H224" i="36"/>
  <c r="R222" i="36"/>
  <c r="H222" i="36"/>
  <c r="H220" i="36"/>
  <c r="H218" i="36"/>
  <c r="H214" i="36"/>
  <c r="H213" i="36"/>
  <c r="H212" i="36"/>
  <c r="H211" i="36"/>
  <c r="H210" i="36"/>
  <c r="R209" i="36"/>
  <c r="H209" i="36"/>
  <c r="R208" i="36"/>
  <c r="H208" i="36"/>
  <c r="R207" i="36"/>
  <c r="H207" i="36"/>
  <c r="R206" i="36"/>
  <c r="H206" i="36"/>
  <c r="H205" i="36"/>
  <c r="H204" i="36"/>
  <c r="H203" i="36"/>
  <c r="H201" i="36"/>
  <c r="H200" i="36"/>
  <c r="H198" i="36"/>
  <c r="H197" i="36"/>
  <c r="H195" i="36"/>
  <c r="H192" i="36"/>
  <c r="R190" i="36"/>
  <c r="H190" i="36"/>
  <c r="R189" i="36"/>
  <c r="H189" i="36"/>
  <c r="R188" i="36"/>
  <c r="H188" i="36"/>
  <c r="H187" i="36"/>
  <c r="H186" i="36"/>
  <c r="H185" i="36"/>
  <c r="H184" i="36"/>
  <c r="H182" i="36"/>
  <c r="H181" i="36"/>
  <c r="H180" i="36"/>
  <c r="H179" i="36"/>
  <c r="H176" i="36"/>
  <c r="R175" i="36"/>
  <c r="H175" i="36"/>
  <c r="R174" i="36"/>
  <c r="H174" i="36"/>
  <c r="R173" i="36"/>
  <c r="H173" i="36"/>
  <c r="H172" i="36"/>
  <c r="H170" i="36"/>
  <c r="H169" i="36"/>
  <c r="H168" i="36"/>
  <c r="H167" i="36"/>
  <c r="H166" i="36"/>
  <c r="H165" i="36"/>
  <c r="H161" i="36"/>
  <c r="R160" i="36"/>
  <c r="H160" i="36"/>
  <c r="R159" i="36"/>
  <c r="H159" i="36"/>
  <c r="R157" i="36"/>
  <c r="H157" i="36"/>
  <c r="H155" i="36"/>
  <c r="H153" i="36"/>
  <c r="H149" i="36"/>
  <c r="H148" i="36"/>
  <c r="H147" i="36"/>
  <c r="H145" i="36"/>
  <c r="H143" i="36"/>
  <c r="H142" i="36"/>
  <c r="R141" i="36"/>
  <c r="H141" i="36"/>
  <c r="R139" i="36"/>
  <c r="H139" i="36"/>
  <c r="R137" i="36"/>
  <c r="H137" i="36"/>
  <c r="R136" i="36"/>
  <c r="H136" i="36"/>
  <c r="H133" i="36"/>
  <c r="R78" i="36"/>
  <c r="H78" i="36"/>
  <c r="R99" i="36"/>
  <c r="H99" i="36"/>
  <c r="R98" i="36"/>
  <c r="H98" i="36"/>
  <c r="R90" i="36"/>
  <c r="H90" i="36"/>
  <c r="R84" i="36"/>
  <c r="H84" i="36"/>
  <c r="R83" i="36"/>
  <c r="H83" i="36"/>
  <c r="R82" i="36"/>
  <c r="H82" i="36"/>
  <c r="R81" i="36"/>
  <c r="H81" i="36"/>
  <c r="R80" i="36"/>
  <c r="H80" i="36"/>
  <c r="R79" i="36"/>
  <c r="H79" i="36"/>
  <c r="R76" i="36"/>
  <c r="H76" i="36"/>
  <c r="R73" i="36"/>
  <c r="H73" i="36"/>
  <c r="R71" i="36"/>
  <c r="H71" i="36"/>
  <c r="R70" i="36"/>
  <c r="H70" i="36"/>
  <c r="R69" i="36"/>
  <c r="H69" i="36"/>
  <c r="R68" i="36"/>
  <c r="H68" i="36"/>
  <c r="R67" i="36"/>
  <c r="H67" i="36"/>
  <c r="R66" i="36"/>
  <c r="H66" i="36"/>
  <c r="R65" i="36"/>
  <c r="H65" i="36"/>
  <c r="R58" i="36"/>
  <c r="H58" i="36"/>
  <c r="R39" i="36"/>
  <c r="H39" i="36"/>
  <c r="R38" i="36"/>
  <c r="H38" i="36"/>
  <c r="R37" i="36"/>
  <c r="H37" i="36"/>
  <c r="R36" i="36"/>
  <c r="H36" i="36"/>
  <c r="R34" i="36"/>
  <c r="H34" i="36"/>
  <c r="R33" i="36"/>
  <c r="H33" i="36"/>
  <c r="R27" i="36"/>
  <c r="H27" i="36"/>
  <c r="R975" i="36" l="1"/>
  <c r="H975" i="36"/>
  <c r="R904" i="36" l="1"/>
  <c r="H904" i="36"/>
  <c r="R893" i="36"/>
  <c r="H893" i="36"/>
  <c r="R892" i="36"/>
  <c r="H892" i="36"/>
  <c r="H884" i="36"/>
  <c r="R901" i="36" l="1"/>
  <c r="R900" i="36"/>
  <c r="H900" i="36"/>
  <c r="L961" i="36" l="1"/>
  <c r="L958" i="36"/>
  <c r="J956" i="36"/>
  <c r="R916" i="36" l="1"/>
  <c r="H916" i="36"/>
  <c r="R915" i="36" l="1"/>
  <c r="H915" i="36"/>
  <c r="R914" i="36"/>
  <c r="H914" i="36"/>
  <c r="R6" i="36" l="1"/>
  <c r="R7" i="36"/>
  <c r="R8" i="36"/>
  <c r="R9" i="36"/>
  <c r="R10" i="36"/>
  <c r="R11" i="36"/>
  <c r="R12" i="36"/>
  <c r="R13" i="36"/>
  <c r="R14" i="36"/>
  <c r="R15" i="36"/>
  <c r="R16" i="36"/>
  <c r="R17" i="36"/>
  <c r="R18" i="36"/>
  <c r="R19" i="36"/>
  <c r="R20" i="36"/>
  <c r="R21" i="36"/>
  <c r="R22" i="36"/>
  <c r="R23" i="36"/>
  <c r="R24" i="36"/>
  <c r="R25" i="36"/>
  <c r="R26" i="36"/>
  <c r="R876" i="36"/>
  <c r="R887" i="36"/>
  <c r="R891" i="36"/>
  <c r="R894" i="36"/>
  <c r="R895" i="36"/>
  <c r="R896" i="36"/>
  <c r="R897" i="36"/>
  <c r="R898" i="36"/>
  <c r="R899" i="36"/>
  <c r="R902" i="36"/>
  <c r="R903" i="36"/>
  <c r="R905" i="36"/>
  <c r="R906" i="36"/>
  <c r="R907" i="36"/>
  <c r="R908" i="36"/>
  <c r="R909" i="36"/>
  <c r="R910" i="36"/>
  <c r="R911" i="36"/>
  <c r="R912" i="36"/>
  <c r="R913" i="36"/>
  <c r="R917" i="36"/>
  <c r="R918" i="36"/>
  <c r="R919" i="36"/>
  <c r="R920" i="36"/>
  <c r="R921" i="36"/>
  <c r="R922" i="36"/>
  <c r="R923" i="36"/>
  <c r="R924" i="36"/>
  <c r="R925" i="36"/>
  <c r="R926" i="36"/>
  <c r="R927" i="36"/>
  <c r="R928" i="36"/>
  <c r="R929" i="36"/>
  <c r="R930" i="36"/>
  <c r="R931" i="36"/>
  <c r="R932" i="36"/>
  <c r="R933" i="36"/>
  <c r="R934" i="36"/>
  <c r="R935" i="36"/>
  <c r="R936" i="36"/>
  <c r="R937" i="36"/>
  <c r="R938" i="36"/>
  <c r="R939" i="36"/>
  <c r="R940" i="36"/>
  <c r="R941" i="36"/>
  <c r="R942" i="36"/>
  <c r="R943" i="36"/>
  <c r="R944" i="36"/>
  <c r="R945" i="36"/>
  <c r="R946" i="36"/>
  <c r="R947" i="36"/>
  <c r="R948" i="36"/>
  <c r="R949" i="36"/>
  <c r="R950" i="36"/>
  <c r="R951" i="36"/>
  <c r="R952" i="36"/>
  <c r="R953" i="36"/>
  <c r="R954" i="36"/>
  <c r="R955" i="36"/>
  <c r="R956" i="36"/>
  <c r="R957" i="36"/>
  <c r="R958" i="36"/>
  <c r="R959" i="36"/>
  <c r="R960" i="36"/>
  <c r="R961" i="36"/>
  <c r="R962" i="36"/>
  <c r="R963" i="36"/>
  <c r="R964" i="36"/>
  <c r="R965" i="36"/>
  <c r="R966" i="36"/>
  <c r="R967" i="36"/>
  <c r="R968" i="36"/>
  <c r="R969" i="36"/>
  <c r="R970" i="36"/>
  <c r="R971" i="36"/>
  <c r="R972" i="36"/>
  <c r="R973" i="36"/>
  <c r="R974" i="36"/>
  <c r="R976" i="36"/>
  <c r="F997" i="36"/>
  <c r="H5" i="36" l="1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876" i="36"/>
  <c r="H878" i="36"/>
  <c r="H879" i="36"/>
  <c r="H881" i="36"/>
  <c r="H882" i="36"/>
  <c r="H883" i="36"/>
  <c r="H885" i="36"/>
  <c r="H886" i="36"/>
  <c r="H887" i="36"/>
  <c r="H891" i="36"/>
  <c r="H894" i="36"/>
  <c r="H895" i="36"/>
  <c r="H896" i="36"/>
  <c r="H897" i="36"/>
  <c r="H898" i="36"/>
  <c r="H899" i="36"/>
  <c r="H901" i="36"/>
  <c r="H902" i="36"/>
  <c r="H903" i="36"/>
  <c r="H905" i="36"/>
  <c r="H906" i="36"/>
  <c r="H907" i="36"/>
  <c r="H908" i="36"/>
  <c r="H909" i="36"/>
  <c r="H910" i="36"/>
  <c r="H911" i="36"/>
  <c r="H912" i="36"/>
  <c r="H913" i="36"/>
  <c r="H917" i="36"/>
  <c r="H918" i="36"/>
  <c r="H919" i="36"/>
  <c r="H920" i="36"/>
  <c r="H921" i="36"/>
  <c r="H922" i="36"/>
  <c r="H923" i="36"/>
  <c r="H924" i="36"/>
  <c r="H925" i="36"/>
  <c r="H926" i="36"/>
  <c r="H927" i="36"/>
  <c r="H928" i="36"/>
  <c r="H929" i="36"/>
  <c r="H930" i="36"/>
  <c r="H931" i="36"/>
  <c r="H932" i="36"/>
  <c r="H933" i="36"/>
  <c r="H934" i="36"/>
  <c r="H935" i="36"/>
  <c r="H936" i="36"/>
  <c r="H937" i="36"/>
  <c r="H938" i="36"/>
  <c r="H939" i="36"/>
  <c r="H940" i="36"/>
  <c r="H941" i="36"/>
  <c r="H942" i="36"/>
  <c r="H943" i="36"/>
  <c r="H944" i="36"/>
  <c r="H945" i="36"/>
  <c r="H946" i="36"/>
  <c r="H947" i="36"/>
  <c r="H948" i="36"/>
  <c r="H949" i="36"/>
  <c r="H950" i="36"/>
  <c r="H951" i="36"/>
  <c r="H952" i="36"/>
  <c r="H953" i="36"/>
  <c r="H954" i="36"/>
  <c r="H955" i="36"/>
  <c r="H956" i="36"/>
  <c r="H957" i="36"/>
  <c r="H958" i="36"/>
  <c r="H959" i="36"/>
  <c r="H960" i="36"/>
  <c r="H961" i="36"/>
  <c r="H962" i="36"/>
  <c r="H963" i="36"/>
  <c r="H964" i="36"/>
  <c r="H965" i="36"/>
  <c r="H966" i="36"/>
  <c r="H967" i="36"/>
  <c r="H968" i="36"/>
  <c r="H969" i="36"/>
  <c r="H970" i="36"/>
  <c r="H971" i="36"/>
  <c r="H972" i="36"/>
  <c r="H973" i="36"/>
  <c r="H974" i="36"/>
  <c r="H976" i="36"/>
  <c r="P997" i="36"/>
  <c r="P1001" i="36" s="1"/>
  <c r="O1001" i="36"/>
  <c r="N997" i="36"/>
  <c r="N1001" i="36" s="1"/>
  <c r="M997" i="36"/>
  <c r="M1001" i="36" s="1"/>
  <c r="L997" i="36"/>
  <c r="L1001" i="36" s="1"/>
  <c r="K997" i="36"/>
  <c r="K1001" i="36" s="1"/>
  <c r="J997" i="36"/>
  <c r="J1001" i="36" s="1"/>
  <c r="G997" i="36"/>
  <c r="R5" i="36"/>
  <c r="R997" i="36" s="1"/>
  <c r="F999" i="36" l="1"/>
  <c r="H997" i="36"/>
  <c r="R999" i="36" l="1"/>
</calcChain>
</file>

<file path=xl/sharedStrings.xml><?xml version="1.0" encoding="utf-8"?>
<sst xmlns="http://schemas.openxmlformats.org/spreadsheetml/2006/main" count="3146" uniqueCount="1097">
  <si>
    <t>AR Cash Advance</t>
  </si>
  <si>
    <t>Odhey</t>
  </si>
  <si>
    <t>AR Trade</t>
  </si>
  <si>
    <t>David Harsamto</t>
  </si>
  <si>
    <t xml:space="preserve"> </t>
  </si>
  <si>
    <t>IDR</t>
  </si>
  <si>
    <t>USD</t>
  </si>
  <si>
    <t>Cash IDR</t>
  </si>
  <si>
    <t>Non CB</t>
  </si>
  <si>
    <t>Anne Hidayat</t>
  </si>
  <si>
    <t>Alex</t>
  </si>
  <si>
    <t>Analita</t>
  </si>
  <si>
    <t>Frieda</t>
  </si>
  <si>
    <t>Januar</t>
  </si>
  <si>
    <t>Titing</t>
  </si>
  <si>
    <t>Yogi</t>
  </si>
  <si>
    <t>AR Staff Loan</t>
  </si>
  <si>
    <t>Year</t>
  </si>
  <si>
    <t xml:space="preserve"> </t>
    <phoneticPr fontId="0" type="noConversion"/>
  </si>
  <si>
    <t>AR Others</t>
  </si>
  <si>
    <t>AR Prepaid Tax</t>
  </si>
  <si>
    <t>Praja</t>
  </si>
  <si>
    <t>Sukanda</t>
  </si>
  <si>
    <t>Supriyadi</t>
  </si>
  <si>
    <t>AR Temporary Notes</t>
  </si>
  <si>
    <t>AR Refund</t>
  </si>
  <si>
    <t>Telkomsel Pengadaan Sales Fee Indihome Halo</t>
  </si>
  <si>
    <t>Rizky</t>
  </si>
  <si>
    <t>Telkomsel Digiads Solutions Updated</t>
  </si>
  <si>
    <t>Telkomsel MICE Sumatra - Last Evaluation Sprint in 2023</t>
  </si>
  <si>
    <t>Telkomsel IBOS 2023 - Pembiayaan Q3</t>
  </si>
  <si>
    <t>Telkomsel Meeting Koordinasi GA Semester 1 2024</t>
  </si>
  <si>
    <t>Telkomsel PON XXI - Sumut Aceh</t>
  </si>
  <si>
    <t>Telkomsel PON XXI Aceh Sumut 2024 (Bang Hadi)</t>
  </si>
  <si>
    <t>Telkomsel Mentawai Merdeka Sinyal</t>
  </si>
  <si>
    <t>Telkomsel Signing PKS NGPP Vol.3 Sumatera</t>
  </si>
  <si>
    <t>Telkomsel JPP 2025 Sumatera Heart</t>
  </si>
  <si>
    <t>Telkomsel CGBA Last Quartal 2024</t>
  </si>
  <si>
    <t>Telkomsel BOS</t>
  </si>
  <si>
    <t>Telkomsel DRM Meeting A1</t>
  </si>
  <si>
    <t>Telkomsel RAN Nasional Q4 2024</t>
  </si>
  <si>
    <t>Telkomsel Safari Ramadhan Sumbagteng</t>
  </si>
  <si>
    <t>FIT Air Ticket And Others</t>
  </si>
  <si>
    <t>Telkomsel Event Musik Sekolah A2</t>
  </si>
  <si>
    <t>Telkomsel Focus Action Sumatera</t>
  </si>
  <si>
    <t>Telkomsel API Sales Racing Program</t>
  </si>
  <si>
    <t>Telkomsel Lets Win Costumers Trust Batam</t>
  </si>
  <si>
    <t>Telkomsel Pembahasan Vandalisme Area Sumatera Bulan Juli 2024</t>
  </si>
  <si>
    <t>Telkomsel Support and Recovery Impact FMC Migrasi Sumatera</t>
  </si>
  <si>
    <t xml:space="preserve">PLN Indonesia Power Inpower Festival </t>
  </si>
  <si>
    <t>Telkomsel Hear Me at GraPARI</t>
  </si>
  <si>
    <t>Patricia</t>
  </si>
  <si>
    <t>AR Deposit to vendor</t>
  </si>
  <si>
    <t>PPn</t>
  </si>
  <si>
    <t>Adun Sopandi</t>
  </si>
  <si>
    <t>Atno</t>
  </si>
  <si>
    <t>Ujer</t>
  </si>
  <si>
    <t xml:space="preserve">   </t>
  </si>
  <si>
    <t xml:space="preserve">Telkomsel Market Visit Initiative Program Q3 </t>
  </si>
  <si>
    <t>BCA Juanda</t>
  </si>
  <si>
    <t>BCA Sahardjo</t>
  </si>
  <si>
    <t>Telkomsel Meeting Koordinasi Channel Partnership Sumatera</t>
  </si>
  <si>
    <t>Telkomsel Alignment Revenue Sumatera</t>
  </si>
  <si>
    <t>Telkomsel Meeting Koordinasi GA Medan Desember 2024</t>
  </si>
  <si>
    <t>Telkomsel Leadership Area Sumatera</t>
  </si>
  <si>
    <t xml:space="preserve">TSel Fiberisasi TS Fave PLG 12-14Feb  YOGI PURWO WIDODO </t>
  </si>
  <si>
    <t xml:space="preserve">TSel FiberasiTargetS 04273  Trf  KE PANTRAVEL </t>
  </si>
  <si>
    <t>TSel FiberTargetSum  04329  MCM InhouseTrf  KE PANTRAVEL</t>
  </si>
  <si>
    <t xml:space="preserve">TSel Fiber TargetSum 04436  MCM InhouseTrf  KE PANTRAVEL </t>
  </si>
  <si>
    <t xml:space="preserve">TSel Fiber TargetSum 04367 MCM InhouseTrf  KE PANTRAVEL </t>
  </si>
  <si>
    <t xml:space="preserve">TSel Safari Ramadhan 04529 MCM InhouseTrf  KE PANTRAVEL </t>
  </si>
  <si>
    <t>TSel Safari Ramadhan 04545 MCM InhouseTrf  KE PANTRAVEL</t>
  </si>
  <si>
    <t xml:space="preserve">TSel Safari Ramadhan 04519 MCM InhouseTrf  KE PANTRAVEL </t>
  </si>
  <si>
    <t xml:space="preserve">TSel Safari Ramadhan 04552 MCM InhouseTrf  KE PANTRAVEL </t>
  </si>
  <si>
    <t>TSel Harmoni Sumatra 04689  MCM InhouseTrf  KE HOTEL RAZ INDONESIA</t>
  </si>
  <si>
    <t xml:space="preserve">TSel Harmoni Sumatra04709  BSMDIDJA/MAJELIS TELKOMSEL TAQWA SUMBAGS </t>
  </si>
  <si>
    <t>Tsel SalesTownHallSPJ 25May         ADUN SOPANDI,</t>
  </si>
  <si>
    <t xml:space="preserve">TSel Harmoni Sum BackDrop+Dekor Pkb MAS DERU KURLI  </t>
  </si>
  <si>
    <t xml:space="preserve">TSel Harmoni Sum BackDropHalbil MES DEDDY SOFYAN  </t>
  </si>
  <si>
    <t xml:space="preserve">TSel Implement NWW Santika 11Rms27Mei PESONA INDONESIA M  </t>
  </si>
  <si>
    <t>TSel Securing Target SM1 - 29-30Mei IFT_TO_SENTRAL THETA JAYA</t>
  </si>
  <si>
    <t>Trimegah Training Camp Lombok</t>
  </si>
  <si>
    <t>Telkomsel IPTV Product Sales Incentives Q3 2024</t>
  </si>
  <si>
    <t>Telkomsel ANO Forum 2024 (Lampung)</t>
  </si>
  <si>
    <t>Shell Visit Factory Bangkok 2025</t>
  </si>
  <si>
    <t>Telkomsel Implentasi New Ways of Working</t>
  </si>
  <si>
    <t>Snack Meeting 29 April 2025</t>
  </si>
  <si>
    <t>Parkir Valey 29 April 2025</t>
  </si>
  <si>
    <t>078/PCMI/AR/IV/2025</t>
  </si>
  <si>
    <t>080/PCMI/AR/IV/2025</t>
  </si>
  <si>
    <t>Telkomsel Fiberisasi Target Sumatera</t>
  </si>
  <si>
    <t>Telkomsel Delight &amp; Excellent Execution 2025</t>
  </si>
  <si>
    <t>Telkomsel Safari Ramadhan BOD Aceh - Pekanbaru  2025</t>
  </si>
  <si>
    <t>Telkomsel Townhall Network Q2 2025</t>
  </si>
  <si>
    <t>Telkomsel Harmoni Sumatera</t>
  </si>
  <si>
    <t>Traveloka3Ds-1224883446 - Inv 1224883446 tiket an. Agus</t>
  </si>
  <si>
    <t>Traveloka3Ds-1224882239 - inv 1224882239 tiket an. Agus</t>
  </si>
  <si>
    <t>Traveloka3Ds-1224897124 - inv 1224897124 tiket an. Franky</t>
  </si>
  <si>
    <t>Traveloka3Ds-1224897064 - inv 1224897064 tiket an. Guntur</t>
  </si>
  <si>
    <t>Hotel Aryaduta Palembang - Room &amp; Bfast Hotel Aryaduta Palembang 3 rooms 12-14 Feb 2025</t>
  </si>
  <si>
    <t>Traveloka3Ds-1226887382 - inv 1226887382 tiket an. M Saleh</t>
  </si>
  <si>
    <t>Traveloka3Ds-1226884869 - Inv 1226884869 tiket an. Agus</t>
  </si>
  <si>
    <t>Traveloka3Ds-1227253219 - inv 1227253219 tiket an. M saleh</t>
  </si>
  <si>
    <t>Tiket.Com - Hotel Axana Padang 26-28 Feb 2025 an Dony Arlian Nst</t>
  </si>
  <si>
    <t>Telkomsel Safari Ramadhan BOD Aceh - Pekanbaru 2025</t>
  </si>
  <si>
    <t>Tiket.Com - Hotel Ayani Aceh 11-13 Mar 2025 an Fridolin Silalahi</t>
  </si>
  <si>
    <t>Tiket.Com - Hotel Ayani Aceh 11-13 Mar 2025 an Surya Hamdani</t>
  </si>
  <si>
    <t>Tiket.Com - Hotel Ayani Aceh 11-13 Mar 2025 an Nurdianto</t>
  </si>
  <si>
    <t>Traveloka3Ds-1234379185 - inv 1234379185 tiket an. Hendri</t>
  </si>
  <si>
    <t>Traveloka3Ds-1235237028 - Inv 1235237028 tiket an. Nugroho</t>
  </si>
  <si>
    <t>Traveloka3Ds-1236628508 - inv 1236628508 tiket an. Hendri</t>
  </si>
  <si>
    <t>Traveloka3Ds-1236628508 - refund inv 1236628508 tiket an. Hendri</t>
  </si>
  <si>
    <t>Marlena</t>
  </si>
  <si>
    <t>TSel SalesTownHallSPJ 25-26 May     DEDI PURWANTO SE,</t>
  </si>
  <si>
    <t>TSel SalesTownHallSPJ 25-26 May     CLARA LIA RESTU SA,</t>
  </si>
  <si>
    <t>TSel Implement NWWSPJ 28-April      YOGI PURWO WIDODO,</t>
  </si>
  <si>
    <t>TSel SalesTownHallSPJ 25-26May      SUPRIYADI,</t>
  </si>
  <si>
    <t>TSel SalesTownHallSPJ 25-26 May     YOGI PURWO WIDODO,</t>
  </si>
  <si>
    <t xml:space="preserve">TSel SalesTownHall PIC Prod+Load 2D R DINAR KUSUMAYANT  </t>
  </si>
  <si>
    <t xml:space="preserve">TSel SalesTownHall CrewLog Komeng 2D MOCH SUPRIYADI  </t>
  </si>
  <si>
    <t xml:space="preserve">TSel SaleTownHall Crew Runner 2D MOH SUPRIYATNA  </t>
  </si>
  <si>
    <t xml:space="preserve">TSel SalesTownHall Taman Area Booth HARTONO  </t>
  </si>
  <si>
    <t xml:space="preserve">TSel SalesTownHall Dekor Booth Sum BAMBANG SUPRIYANTO  </t>
  </si>
  <si>
    <t xml:space="preserve">TSel SalesTownHall 30 Pin Logo YOSEFINA JUNIARTA  </t>
  </si>
  <si>
    <t xml:space="preserve">Refund Santika Bkt kelebihan pemby PESONA INDONESIA M  </t>
  </si>
  <si>
    <t xml:space="preserve">TSel FaberisasiTarSu04532  BNINIDJA/HADI PRASTYA UTAMA </t>
  </si>
  <si>
    <t xml:space="preserve">TSel Harmoni Sum    04787   MAJELIS TELKOMSEL TAQWA R SUMBA </t>
  </si>
  <si>
    <t xml:space="preserve">Tsel SafariRamadaBOD04559   I PUTU EKA UDAYANA RUDITA,ST </t>
  </si>
  <si>
    <t>TSel Harmoni Sum    04728  AULIA AYU ASYURA</t>
  </si>
  <si>
    <t xml:space="preserve">Tsel Townhall NW Q2  04730  Trf  KE PANTRAVEL </t>
  </si>
  <si>
    <t xml:space="preserve">TSel Harmoni Sum    04685   AULIA AYU ASYURA </t>
  </si>
  <si>
    <t xml:space="preserve">TSel Harmoni Sum    04711   BESTAR SUMATERA </t>
  </si>
  <si>
    <t xml:space="preserve">TSel Mkt Valid BP Q2 04821  Trf  KE BUKIT MULTI PROPERTI </t>
  </si>
  <si>
    <t xml:space="preserve">TSel TownHall NW Q2  04779  Trf  KE PANTRAVEL </t>
  </si>
  <si>
    <t xml:space="preserve">TSel SalesTownHall  04927  BNINIDJA/JOHN APRYANTO </t>
  </si>
  <si>
    <t xml:space="preserve">TSel Implement NWW  04804    BSMDIDJA/AULIA AYU ASYURA </t>
  </si>
  <si>
    <t>TSel Safari Ramadan 04825  BNINIDJA/HADI PRASTYA UTAMA</t>
  </si>
  <si>
    <t xml:space="preserve">TSel Implement NWW  04788  BSMDIDJA/AULIA AYU ASYURA </t>
  </si>
  <si>
    <t xml:space="preserve">TSel Mkt Valid BP Q2 04823  Trf  KE PANTRAVEL </t>
  </si>
  <si>
    <t xml:space="preserve">TSel Mkt Valid BP Q2 04855 Trf  KE PANTRAVEL </t>
  </si>
  <si>
    <t xml:space="preserve">TSel Harmoni Sum    04743   BSMDIDJA/AULIA AYU ASYURA </t>
  </si>
  <si>
    <t xml:space="preserve">TSel Mkt Valid BP Q2 04837  Trf  KE PANTRAVEL </t>
  </si>
  <si>
    <t xml:space="preserve">TSel Harmoni Sum     04807  Trf  KE YURIANDA SAPUTRA PANE </t>
  </si>
  <si>
    <t xml:space="preserve">TSel Mkt Valid BP Q2 04834  Trf  KE PANTRAVEL </t>
  </si>
  <si>
    <t xml:space="preserve">TSel Implement NWW  04948  BSMDIDJA/AULIA AYU ASYURA </t>
  </si>
  <si>
    <t>TSel Implemet NWW   04879   BSMDIDJA/AULIA AYU ASYURA</t>
  </si>
  <si>
    <t xml:space="preserve">TSel SalesTownHall   04920 Trf  KE PANTRAVEL </t>
  </si>
  <si>
    <t xml:space="preserve">TSel SecureTarget SM 04931  Trf  KE PANTRAVEL </t>
  </si>
  <si>
    <t xml:space="preserve">TSel SalesTownHall   04919   Trf  KE PANTRAVEL </t>
  </si>
  <si>
    <t xml:space="preserve">TSel Implement NWW   04884  Trf  KE PANTRAVEL </t>
  </si>
  <si>
    <t xml:space="preserve">TSel SecureTarget SM 04940 Trf  KE PANTRAVEL </t>
  </si>
  <si>
    <t xml:space="preserve">TSel Implement NWW   04905  Trf  KE PANTRAVEL </t>
  </si>
  <si>
    <t>TSel SalesTownHall   04930 Trf  KE PANTRAVEL</t>
  </si>
  <si>
    <t xml:space="preserve">TSel Implement NWW   04883 Trf  KE PANTRAVEL </t>
  </si>
  <si>
    <t>TSel SalesTownHall   04928   Trf  KE PANTRAVEL</t>
  </si>
  <si>
    <t xml:space="preserve">TSel HUT 5G Batam   05062  BNINIDJA/KINARYA SELARAS PIRANTI </t>
  </si>
  <si>
    <t>TSel HUT 5G Batam    05166-151-150  Trf  KE PANTRAVEL</t>
  </si>
  <si>
    <t xml:space="preserve">TSel Implement NWW   05169-127-061 Trf  KE PANTRAVEL </t>
  </si>
  <si>
    <t xml:space="preserve">TSel SecureTargetSM1 04976  Trf  KE PANTRAVEL </t>
  </si>
  <si>
    <t>TSel SecureTargetSM105029  BSMDIDJA/AULIA AYU ASYURA</t>
  </si>
  <si>
    <t xml:space="preserve">TSel Sales Townhall 04967  BSMDIDJA/AULIA AYU ASYURA </t>
  </si>
  <si>
    <t xml:space="preserve">TSel Implement NWW  05210 BSMDIDJA/AULIA AYU ASYURA </t>
  </si>
  <si>
    <t xml:space="preserve">TSel Implent NWW    05047   JAGBIDJA/RAIHAN RAZAFUAD </t>
  </si>
  <si>
    <t xml:space="preserve">TSel HUT 5G Batam    05178 Trf  KE PANTRAVEL </t>
  </si>
  <si>
    <t>269/PCMI/AR/XII/2024</t>
  </si>
  <si>
    <t>270/PCMI/AR/XII/2024</t>
  </si>
  <si>
    <t>244/PCMI/AR/XII/2024</t>
  </si>
  <si>
    <t>245/PCMI/AR/XII/2024</t>
  </si>
  <si>
    <t>218/PCMI/AR/X/2024</t>
  </si>
  <si>
    <t>226/PCMI/AR/XI/2024</t>
  </si>
  <si>
    <t>BRI Sho</t>
  </si>
  <si>
    <t>BRI Sponsorship</t>
  </si>
  <si>
    <t xml:space="preserve">BRI Sponsorship Biaya Produksi PANCA OCTAVIAN WIR  </t>
  </si>
  <si>
    <t xml:space="preserve">BRI Sponsorship Viking Anniv 24  RICKY EKA KUSUMAH </t>
  </si>
  <si>
    <t xml:space="preserve">BRI Sponsorship TShirt,ID,Roll Bnr MUHAMMAD ANGGARA D  </t>
  </si>
  <si>
    <t xml:space="preserve">BRI Sponsorship MP Supv 1D AHMAD WIDYA NUGRAH  </t>
  </si>
  <si>
    <t xml:space="preserve">BRI Sponsorship BekasiAmbyar 11Okt ANDRE NANLOHY  </t>
  </si>
  <si>
    <t>cetak proposal BRI - BRI Sponsorship Events 2024</t>
  </si>
  <si>
    <t>Cetak Banner BRI "Viking" - BRI Sponsorship</t>
  </si>
  <si>
    <t>Laporan Kegiatan BRI "Viking" - BRI Sponsorship - Sutarno</t>
  </si>
  <si>
    <t>KBUMN Ibadah Perayaan Natal 2024</t>
  </si>
  <si>
    <t xml:space="preserve">KBUMN Natal 25 T1 Deposit Lyodra DONI AGUSTANDI  </t>
  </si>
  <si>
    <t>KBUMN Natal 2025     03842  MCM InhouseTrf  KE ANDIKA MULIA</t>
  </si>
  <si>
    <t>DP Sampel pembuatan Goody Bag</t>
  </si>
  <si>
    <t>PPn Masukan - Masa 2025</t>
  </si>
  <si>
    <t>PPn Masukan - Yang Belum/Tidak di kreditkan</t>
  </si>
  <si>
    <t>PPh-4 Ayat 2</t>
  </si>
  <si>
    <t>PPh-23 Tahun 2022</t>
  </si>
  <si>
    <t>Yang sudah dipotong oleh pelanggan - Ada Bukti Potong</t>
  </si>
  <si>
    <t>PPh-23 Tahun 2023</t>
  </si>
  <si>
    <t xml:space="preserve">PPh-23 Tahun 2024 </t>
  </si>
  <si>
    <t>PPh-23 Tidak ditemukan Invoice nya</t>
  </si>
  <si>
    <t>Tidak ditemukan invoice nya</t>
  </si>
  <si>
    <t xml:space="preserve">PPh-4 Ayat 2 Tahun 2024 </t>
  </si>
  <si>
    <t>Yang sudah dipotong oleh pelanggan</t>
  </si>
  <si>
    <t>Pantravel</t>
  </si>
  <si>
    <t xml:space="preserve">TSel LWCT Batam  03642  MCM InhouseTrf  KE PANTRAVEL </t>
  </si>
  <si>
    <t>Yulie Yahya</t>
  </si>
  <si>
    <t>Telkomsel Prestige Batam 2024</t>
  </si>
  <si>
    <t>Telkomsel Town Hall Sales 2024</t>
  </si>
  <si>
    <t>Telkomsel Visit Ringfence Mentawai dan Lampung 2025</t>
  </si>
  <si>
    <t>Telkomsel Meeting Procurement Q2 2025</t>
  </si>
  <si>
    <t>Telkomsel HUT Tsel dan 5G Relaunch Batam</t>
  </si>
  <si>
    <t>Telkomsel Sales Townhall 2025</t>
  </si>
  <si>
    <t>Telkomsel Securing Target SM 1 2025</t>
  </si>
  <si>
    <t>TSel Townhall NW Q2 Tix Citilink CGKPKU IFT_TO_NOVLI FELISIA SITUMO</t>
  </si>
  <si>
    <t>129/PCMI/AR/IV/2024</t>
  </si>
  <si>
    <t>130/PCMI/AR/IV/2024</t>
  </si>
  <si>
    <t>147/PCMI/AR/IX/2024</t>
  </si>
  <si>
    <t>149/PCMI/AR/X/2024</t>
  </si>
  <si>
    <t>150/PCMI/AR/IX/2024</t>
  </si>
  <si>
    <t>151/PCMI/AR/IX/2024</t>
  </si>
  <si>
    <t>152/PCMI/AR/IX/2024</t>
  </si>
  <si>
    <t>153/PCMI/AR/VII/2024</t>
  </si>
  <si>
    <t>168/PCMI/AR/VII/2024</t>
  </si>
  <si>
    <t>192/PCMI/AR/IX/2024</t>
  </si>
  <si>
    <t>194/PCMI/AR/IX/2024</t>
  </si>
  <si>
    <t>201/PCMI/AR/IX/2024</t>
  </si>
  <si>
    <t>202/PCMI/AR/X/2024</t>
  </si>
  <si>
    <t>207/PCMI/AR/IX/2024</t>
  </si>
  <si>
    <t>209/PCMI/AR/IX/2024</t>
  </si>
  <si>
    <t>213/PCMI/AR/X/2024</t>
  </si>
  <si>
    <t>215/PCMI/AR/X/2024</t>
  </si>
  <si>
    <t>216/PCMI/AR/XI/2024</t>
  </si>
  <si>
    <t>219/PCMI/AR/XI/2024</t>
  </si>
  <si>
    <t>223/PCMI/AR/XI/2024</t>
  </si>
  <si>
    <t>224/PCMI/AR/XI/2024</t>
  </si>
  <si>
    <t>225/PCMI/AR/XI/2024</t>
  </si>
  <si>
    <t>229/PCMI/AR/XI/2024</t>
  </si>
  <si>
    <t>232/PCMI/AR/XI/2024</t>
  </si>
  <si>
    <t>233/PCMI/AR/XI/2024</t>
  </si>
  <si>
    <t>235/PCMI/AR/XI/2024</t>
  </si>
  <si>
    <t>236/PCMI/AR/XI/2024</t>
  </si>
  <si>
    <t>237/PCMI/AR/II/2024</t>
  </si>
  <si>
    <t>242/PCMI/AR/XII/2024</t>
  </si>
  <si>
    <t>247/PCMI/AR/XII/2024</t>
  </si>
  <si>
    <t>249/PCMI/AR/XII/2024</t>
  </si>
  <si>
    <t>252/PCMI/AR/XII/2024</t>
  </si>
  <si>
    <t>254/PCMI/AR/XII/2024</t>
  </si>
  <si>
    <t>255/PCMI/AR/XII/2024</t>
  </si>
  <si>
    <t>261/PCMI/AR/XII/2024</t>
  </si>
  <si>
    <t>264/PCMI/AR/XII/2024</t>
  </si>
  <si>
    <t>265/PCMI/AR/XII/2024</t>
  </si>
  <si>
    <t>267/PCMI/AR/XII/2024</t>
  </si>
  <si>
    <t>268/PCMI/AR/XII/2024</t>
  </si>
  <si>
    <t>275/PCMI/AR/XII/2024</t>
  </si>
  <si>
    <t>276/PCMI/AR/XII/2024</t>
  </si>
  <si>
    <t>277/PCMI/AR/XII/2024</t>
  </si>
  <si>
    <t>279/PCMI/AR/XII/2024</t>
  </si>
  <si>
    <t>280/PCMI/AR/XII/2024</t>
  </si>
  <si>
    <t>284/PCMI/AR/XII/2024</t>
  </si>
  <si>
    <t>KSEI Junior CSD 2024</t>
  </si>
  <si>
    <t>Telkomsel Rebound H2- 2024</t>
  </si>
  <si>
    <t>PLN Indonesia Power PIKK Festival Bazaar UMKM</t>
  </si>
  <si>
    <t>Telkomsel BM Recovery &amp; Fundamentals Q3</t>
  </si>
  <si>
    <t>Telkomsel Racing – Pinjam Paket 2024.</t>
  </si>
  <si>
    <t>Telkomsel Aquabike Toba 2024</t>
  </si>
  <si>
    <t>Telkomsel Meeting Evaluasi Sem I 2024</t>
  </si>
  <si>
    <t>Telkomsel Reward Prog Racing Sellout Goes To Bali</t>
  </si>
  <si>
    <t>Telkomsel Visit CSO Padang 2024</t>
  </si>
  <si>
    <t>PLN NP Up Teluk KalTim Capacity Building</t>
  </si>
  <si>
    <t>Telkomsel Hari Koperasi Nasional, Batam 2024</t>
  </si>
  <si>
    <t>Telkomsel Winning Strenghten Mobile &amp; Expand Fixed Penetration</t>
  </si>
  <si>
    <t>SABIC Brochures and Souvenirs</t>
  </si>
  <si>
    <t>PLN Indonesia Power Hakordia dan Compliance Award Tahun 2024</t>
  </si>
  <si>
    <t>Telkomsel Defend Our Dominance Socialization 2024</t>
  </si>
  <si>
    <t xml:space="preserve">TSel Mkt Valid BP Q205229  BNINIDJA/HADI PRASTYA UTAMA </t>
  </si>
  <si>
    <t>TSel Implement NWW   05215 MCM InhouseTrf  KE PANTRAVEL</t>
  </si>
  <si>
    <t xml:space="preserve">TSel HUT 5G Ralaunch 05310 MCM InhouseTrf  KE PANTRAVEL </t>
  </si>
  <si>
    <t>TSel SecureTargetSM1 05297  MCM InhouseTrf  KE PANTRAVEL</t>
  </si>
  <si>
    <t>TSel Implement NWW   05311 MCM InhouseTrf  KE PANTRAVEL</t>
  </si>
  <si>
    <t xml:space="preserve">TSel HUT 5G RB, Ruma05209   BNINIDJA/KINARYA SELARAS PIRANTI </t>
  </si>
  <si>
    <t>TSel Implement NWW,  05275 MCM InhouseTrf  KE PANTRAVEL</t>
  </si>
  <si>
    <t>TSel Implement NWW, 05415 BSMDIDJA/AULIA AYU ASYURA</t>
  </si>
  <si>
    <t xml:space="preserve">PYC IEC 2025 Deposit venue GRAND INDONESIA PT  </t>
  </si>
  <si>
    <t xml:space="preserve">TSel Visit Ringfenc 05478 MCM InhouseTrf  KE PANTRAVEL </t>
  </si>
  <si>
    <t xml:space="preserve">TSel Consolidate Pek 05528  MCM InhouseTrf  KE PANTRAVEL </t>
  </si>
  <si>
    <t xml:space="preserve">TSel Focus Act Pay U 05671 MCM InhouseTrf  KE SADAMINA LAOLI </t>
  </si>
  <si>
    <t xml:space="preserve">TSel Focus Act Pay U05679 BRINIDJA/LURUSKAN ZEBUA </t>
  </si>
  <si>
    <t xml:space="preserve">TSel Collab Pacu Jal 05672  MCM InhouseTrf  KE SADAMINA LAOLI </t>
  </si>
  <si>
    <t xml:space="preserve">TSel Focus Act Pay U 05701  MCM InhouseTrf  KE PANTRAVEL </t>
  </si>
  <si>
    <t xml:space="preserve">TSel Dig Placement S 05686   MCM InhouseTrf  KE PANTRAVEL </t>
  </si>
  <si>
    <t xml:space="preserve">TSel Focus Act Pay U 05615  MCM InhouseTrf  KE PANTRAVEL </t>
  </si>
  <si>
    <t xml:space="preserve">TSel Implent NWW, Ti05532  BSMDIDJA/AULIA AYU ASYURA </t>
  </si>
  <si>
    <t>TSel Focus Act Pay U05604  BSMDIDJA/AULIA AYU ASYURA</t>
  </si>
  <si>
    <t xml:space="preserve">TSel TLP 2025, 01250 05676  MCM InhouseTrf  KE PANTRAVEL </t>
  </si>
  <si>
    <t xml:space="preserve">TSel TLP 2025, 01250 05677 MCM InhouseTrf  KE PANTRAVEL </t>
  </si>
  <si>
    <t xml:space="preserve">TSel Collab PacuJalu 05683 MCM InhouseTrf  KE PANTRAVEL </t>
  </si>
  <si>
    <t xml:space="preserve">TSel Focus Act Pay U 05684  MCM InhouseTrf  KE PANTRAVEL </t>
  </si>
  <si>
    <t xml:space="preserve">TSel Dig Placement S 05703  MCM InhouseTrf  KE PANTRAVEL </t>
  </si>
  <si>
    <t>TSel Collab PacuJalu 05685 MCM InhouseTrf  KE PANTRAVEL</t>
  </si>
  <si>
    <t xml:space="preserve">TSel Consolidate Pek 05678 MCM InhouseTrf  KE PANTRAVEL </t>
  </si>
  <si>
    <t xml:space="preserve">TSel Batam Redesign 05806  BNINIDJA/KINARYA SELARAS PIRANTI </t>
  </si>
  <si>
    <t xml:space="preserve">TSel Focus Act Pay U05730  BSMDIDJA/AULIA AYU ASYURA </t>
  </si>
  <si>
    <t xml:space="preserve">TSel Visit Ringfence 05759  MCM InhouseTrf  KE PANTRAVEL </t>
  </si>
  <si>
    <t xml:space="preserve">TSel Collab Pacu Jal 05706   MCM InhouseTrf  KE PANTRAVEL </t>
  </si>
  <si>
    <t xml:space="preserve">TSel Collab Pacu Jal 05745  MCM InhouseTrf  KE PANTRAVEL </t>
  </si>
  <si>
    <t>Pelita Air-Ipg - Inv 000200566 tiket an. Nurdianto</t>
  </si>
  <si>
    <t>Tiket.Com - Hotel Ibis Style Serpong an Nurdianto 23-25 April 2025</t>
  </si>
  <si>
    <t>Pelita Air-Ipg - inv 000202130 tiket an. Hendri, Nurdianto</t>
  </si>
  <si>
    <t>Senyata Mbl - Fullday Meeting @Senyata Senopati tgl 28 Apr 2025</t>
  </si>
  <si>
    <t>Csz*Indifoodcourt-Kasi - Snack Meeting TLT tgl 29 April 2025 Bpk Yuli Haryadi</t>
  </si>
  <si>
    <t>Csz*Indifoodcourt-Waru - Snack Meeting TLT tgl 29 April 2025 Bpk Yuli Haryadi</t>
  </si>
  <si>
    <t>Csz*Indifoodcourt-Drin - Snack Meeting TLT tgl 29 April 2025 Bpk Yuli Haryadi</t>
  </si>
  <si>
    <t>Csz*Indifoodcourt-Depo - Snack Meeting TLT tgl 29 April 2025 Bpk Yuli Haryadi</t>
  </si>
  <si>
    <t>Pelita Air-Ipg</t>
  </si>
  <si>
    <t>Tiket.Com - room and bfast Hotel Amaris Bengkulu 12-13 Mei 2025 an Beni Asmara &amp; Alya Solehat ( total 2 kamar)</t>
  </si>
  <si>
    <t xml:space="preserve">Tiket.Com - Hotel Aston Palembang 15-16 Mei 2025 an Muhammad Saleh Usman </t>
  </si>
  <si>
    <t>Tiket.Com - Hotel Aston Palembang 15-16 Mei 2025 an Nugroho Adi Wibowo</t>
  </si>
  <si>
    <t>Tiket.Com - Hotel Fave Palembang 15-16 Mei 2025 an Hadi Prastya Utama</t>
  </si>
  <si>
    <t>Tiket.Com - Hotel Aston Palembang 15-16 Mei 2025 an Muhammad Saleh Usman switch to Hendri M Tarigan</t>
  </si>
  <si>
    <t>Traveloka3Ds-1253088798 - inv 1253088798 tiket an. Ari , Agra</t>
  </si>
  <si>
    <t>Tiket.Com - Hotel Mercure Gatsu 19-22 Mei 2025 an Ari Pariski @Rp.1.523.273,-</t>
  </si>
  <si>
    <t>Pelita Air-Ipg - Inv 000211606 tiket an. Andri</t>
  </si>
  <si>
    <t>Tokopedia - Invoice Kursi Bar 6 pcs</t>
  </si>
  <si>
    <t>Mercure Jakarta Gatot Sub - Hotel Mercure gatsu Jkt 25-27 Mei 2025 total 4 Kamar 2 malam Telkomsel Grp</t>
  </si>
  <si>
    <t>Tokopedia - invoice tissue roll minyak</t>
  </si>
  <si>
    <t>Pelita Air-Ipg - inv 000212001 tiket an. Jakson</t>
  </si>
  <si>
    <t>Pelita Air-Ipg - inv CHOGMG tiket an. Wahyu</t>
  </si>
  <si>
    <t>Pelita Air-Ipg - inv 000212003 tiket an. Mustakim</t>
  </si>
  <si>
    <t>Pelita Air-Ipg - inv 000211929 tiket an. Mulya, Yuli</t>
  </si>
  <si>
    <t>Pelita Air-Ipg - inv 000211944 tiket an. Alfon, Agung, Fachrul, Fahmy, Erric</t>
  </si>
  <si>
    <t>Tiket.Com - Hotel Santika premiere Padang an Raulni Ghandi 26-27 Mei 2025</t>
  </si>
  <si>
    <t>Indomaret - Invoice Piring kertas</t>
  </si>
  <si>
    <t>Indomaret - Invoice Minyak Goreng</t>
  </si>
  <si>
    <t>Gojek Recurring Non3Ds - Gosend return Sewa baju adat</t>
  </si>
  <si>
    <t>Tiket.Com - Hotel Santika Bukittinggi An Aswar 28 -29 Mei 2025</t>
  </si>
  <si>
    <t>Tiket.Com - Hotel Santika Bukittinggi An Herul Hidayatullah 28-29 Mei 2025</t>
  </si>
  <si>
    <t>Tiket.Com - Hotel Santika Bukittinggi An Rendy 28-29 Mei 2025</t>
  </si>
  <si>
    <t>Pelita Air-Ipg - inv 000212956 tiket an. Mustakim</t>
  </si>
  <si>
    <t>Pelita Air-Ipg - inv 000213011 tiket an. Herul</t>
  </si>
  <si>
    <t>Tiket.Com - Hotel Santika Bukittinggi An Mustakim Wahyudi 28 -29 Mei 2025</t>
  </si>
  <si>
    <t>Tiket.Com - Hotel Santika Padang an Jackson Sihombing 29-30 Mei 2025</t>
  </si>
  <si>
    <t>Tiket.Com - Hotel Santika Medan 11-13 Jun 2025 an Ali AKbar Rafsanjani</t>
  </si>
  <si>
    <t>Tiket.Com - Hotel Santika Medan 11-13 Jun 2025 an Vivi Oktaviani Damanik</t>
  </si>
  <si>
    <t>Citilink Mobile Apps - Inv T95676 pembayaran block seat an. Agus</t>
  </si>
  <si>
    <t>Tiket.Com - favehotel Medan 11-13 Jun 2025 an Hendra Irawan</t>
  </si>
  <si>
    <t>Tiket.Com - favehotel Medan 11-13 Jun 2025 an Hotma Eduard HT</t>
  </si>
  <si>
    <t>Tiket.Com - favehotel Medan 11-13 Jun 2025 an Perdana Candra Desusetyo</t>
  </si>
  <si>
    <t>Tiket.Com - favehotel Medan 11-13 Jun 2025 an Alya Solehat</t>
  </si>
  <si>
    <t>Tiket.Com - favehotel Medan 11-13 Jun 2025 an Agus Sugiarto</t>
  </si>
  <si>
    <t>Tiket.Com - Hotel Aston Tanjung Pinang 13-14 Jun 2025 an Muh Saleh Usman</t>
  </si>
  <si>
    <t xml:space="preserve">Tiket.Com - Hotel Aston Tanjung Pinang 13-14 Jun 2025 an Hadi P Utama	</t>
  </si>
  <si>
    <t xml:space="preserve">Tiket.Com - Hotel Aston Tanjung Pinang 14-15 Jun 2025 an Agus Sugiarto	</t>
  </si>
  <si>
    <t>Tiket.Com - Hotel Aston Tanjung Pinang 13-14 Jun 2025 an Nugroho Adi Wibowo</t>
  </si>
  <si>
    <t>Tiket.Com - Hotel Santika Medan 11-12 Jun 2025 an Arinda Layla Alfira</t>
  </si>
  <si>
    <t>Tiket.Com - Hotel Santika Medan 11-12 Jun 2025 an Aulia Ayu Asyura</t>
  </si>
  <si>
    <t>Tiket.Com - Hotel Aston Tanjung Pinang 13-14 Jun 2025 an Agus Sugiarto</t>
  </si>
  <si>
    <t>Tiket.Com - Hotel Aston Tanjung Pinang 14-15 Jun 2025 an Hadi P Utama</t>
  </si>
  <si>
    <t>Tiket.Com - Hotel Aston Tanjung Pinang 14-15 Jun 2025 an Muh Saleh Usman</t>
  </si>
  <si>
    <t>Tiket.Com - Hotel Aston Tanjung Pinang 14-15 Jun 2025 an Nugroho Adi Wibowo</t>
  </si>
  <si>
    <t>Traveloka3Ds-1260254273 - inv 1260254273 tiket an. Maulydia</t>
  </si>
  <si>
    <t xml:space="preserve">Tiket.Com - Hotel Santika Medan 14-15 Jun 2025 an Wahyu Gunawan	</t>
  </si>
  <si>
    <t>Tiket.Com - Hotel Santika Medan 14-15 Jun 2025 an Maulydia Trivania</t>
  </si>
  <si>
    <t>Tiket.Com - Hotel Mercure Gatsu JKt 18-19 Jun 2025 an Fachrul Rizzal</t>
  </si>
  <si>
    <t>Tiket.Com - Deviasi an Fachrul Rizzal 19-20 jun 2025 ( Hotel Mercure Gatsu JKT)</t>
  </si>
  <si>
    <t>Tiket.Com - Hotel Mercure Gatsu JKT 22-25 Jun 2025 an Rizal Nur Andy &amp; Habyasa Perdana Putra</t>
  </si>
  <si>
    <t>Tiket.Com - Hotel D Prima Airport Terminal 1A Jakarta , 25 - 26 Jun 2025 an Mustakim Wahyudi</t>
  </si>
  <si>
    <t>Pelita Air-Ipg - inv 000223193 tiket an. Yuli</t>
  </si>
  <si>
    <t>Pelita Air-Ipg  - inv 000223377 tiket an. Mustakim</t>
  </si>
  <si>
    <t>Pelita Air-Ipg - Inv 000223276 tiket an. Mustakim</t>
  </si>
  <si>
    <t>Akbar</t>
  </si>
  <si>
    <t xml:space="preserve">Tiket.Com - Hotel Mercure Gatsu Jakarta an Akhdiat Suryana 17-18 Jul 2025	</t>
  </si>
  <si>
    <t>Tiket.Com - Invoice 1  Ade Firmansyah</t>
  </si>
  <si>
    <t>Tiket.Com - Inv 2 Andri Robiyana</t>
  </si>
  <si>
    <t>Traveloka3Ds-1272262882 - inv 1272262882 tiket an. Zulhelmi</t>
  </si>
  <si>
    <t>Telkomsel TLP 2025</t>
  </si>
  <si>
    <t>Traveloka3Ds-1272263570 - inv 1272263570 tiket an. Hollyanto</t>
  </si>
  <si>
    <t>Traveloka3Ds-1272270892 - inv 1272270892 tiket an. Anwirman</t>
  </si>
  <si>
    <t>Traveloka3Ds-1272271353 - inv 1272271353 tiket an. Mario</t>
  </si>
  <si>
    <t>Traveloka3Ds-1272271592 - inv 1272271592 tiket an. Jaya</t>
  </si>
  <si>
    <t>Traveloka3Ds-1272279809 - inv 1272279809 tiket an. Rylo</t>
  </si>
  <si>
    <t>Tiket.Com - Hotel The Premiere Pekanbaru 04-06 Aug 2025 an Mustakim Wahyudi type Executive Room</t>
  </si>
  <si>
    <t>Telkomsel Focus Action Paying User Sumatera Q3</t>
  </si>
  <si>
    <t>178/PCMI/AR/VIII/2025</t>
  </si>
  <si>
    <t>Telkomsel Pisah Sambut VP Sales A1</t>
  </si>
  <si>
    <t>Telkomsel Batam Redesign Network Review</t>
  </si>
  <si>
    <t>Telkomsel Int.Event Leaders Meeting Q3 2025 PKU</t>
  </si>
  <si>
    <t>Telkomsel Digital Placement Support Area Sumatera</t>
  </si>
  <si>
    <t>Telkomsel Collaboration Pacu Jalur dan HUT Nias 2025</t>
  </si>
  <si>
    <t>Telkomsel Consolidate Pekanbaru</t>
  </si>
  <si>
    <t>TSel PisahSambut  SPJ 3D+meals      YOGI PURWO WIDODO,</t>
  </si>
  <si>
    <t>TSel PisSamVPSalesSPJ 3D + Meals    M RIZKY AULIA,</t>
  </si>
  <si>
    <t xml:space="preserve">TSel Pisah Sambut 11Sep 267Paxs ADIMULIA GOLDEN LE  </t>
  </si>
  <si>
    <t xml:space="preserve">TSel Sales Academy LO 1D 18Sep+Meals RATNAMETTHA SUGAMA  </t>
  </si>
  <si>
    <t xml:space="preserve">TSel Sales Academy 21 Dinner 18Sep YOGI PURWO WIDODO  </t>
  </si>
  <si>
    <t xml:space="preserve">Tsel PisSamVPSales Event 10-Sep VALDI RUSLI  </t>
  </si>
  <si>
    <t xml:space="preserve">TSel Supp Renego 4Rms Gr Mercure YOGI PURWO WIDODO  </t>
  </si>
  <si>
    <t xml:space="preserve">TSel O&amp;M Consol T2 2Rm+BFast 1-3Oct DINAMIKA SENTOSA J  </t>
  </si>
  <si>
    <t xml:space="preserve">TSel FBP West Area Support  A1 Sep YOGI PURWO WIDODO  </t>
  </si>
  <si>
    <t xml:space="preserve">TSel SuppRenegoBP Villa Zimzala 8Pax YOGI PURWO WIDODO  </t>
  </si>
  <si>
    <t xml:space="preserve">TSel Supp RenegoBP 4Rms GoldenTulip PESONA ALAM LAMPUN  </t>
  </si>
  <si>
    <t xml:space="preserve">TSel Batam Redesign  05862  MCM InhouseTrf  KE PANTRAVEL </t>
  </si>
  <si>
    <t xml:space="preserve">TSel Focus Act Pay 05851  BNINIDJA/DELFIRA RAHMAN </t>
  </si>
  <si>
    <t xml:space="preserve">TSel Focus Act Pay S05815  BSMDIDJA/AULIA AYU ASYURA </t>
  </si>
  <si>
    <t xml:space="preserve">TSel Batam Redesign  05863  MCM InhouseTrf  KE PANTRAVEL </t>
  </si>
  <si>
    <t>TSel Pisah Sambut, M05938 BRINIDJA/NAJEB MUBARAK</t>
  </si>
  <si>
    <t xml:space="preserve">TSel Focus Act Pay S05852  BSMDIDJA/AULIA AYU ASYURA </t>
  </si>
  <si>
    <t xml:space="preserve">TSel Collab Pacu Jal 05849  MCM InhouseTrf  KE PANTRAVEL </t>
  </si>
  <si>
    <t xml:space="preserve">TSel Pisah Sambut, 0 05868 MCM InhouseTrf  KE PANTRAVEL </t>
  </si>
  <si>
    <t>TSel Focus Act Pay S 05854  MCM InhouseTrf  KE PANTRAVEL</t>
  </si>
  <si>
    <t>TSel Focus Act Pay S 05865 MCM InhouseTrf  KE PANTRAVEL</t>
  </si>
  <si>
    <t>TSel Int Event Leade 05971  BNINIDJA/DELFIRA RAHMAN</t>
  </si>
  <si>
    <t xml:space="preserve">TSel Foc Act Pay Use 05872  BSMDIDJA/AULIA AYU ASYURA </t>
  </si>
  <si>
    <t xml:space="preserve">TSel PisSam VPSales  05976 MCM InhouseTrf  KE PANTRAVEL </t>
  </si>
  <si>
    <t xml:space="preserve">TSEL TLP 2025, 01250 05954   MCM InhouseTrf  KE PANTRAVEL </t>
  </si>
  <si>
    <t>TSel Sales Academy,  06011-12  MCM InhouseTrf  KE PANTRAVEL</t>
  </si>
  <si>
    <t xml:space="preserve">TSel Focus Act Pay U 06008  MCM InhouseTrf  KE NIRWANA TURISINDO </t>
  </si>
  <si>
    <t>TSel Supp Renego Bac 06009 MCM InhouseTrf  KE PANTRAVEL Transfer Fee         0600999102</t>
  </si>
  <si>
    <t xml:space="preserve">TSel Pengawalan Even 06051 BNINIDJA/FERNANDO PASARIBU </t>
  </si>
  <si>
    <t xml:space="preserve">TSel  Visit Ringfenc 06037 BNINIDJA/SULIDAIYA </t>
  </si>
  <si>
    <t>Telkomsel HUT Tsel d 06018 BRINIDJA/NOVLI FELISIA SITUMO</t>
  </si>
  <si>
    <t xml:space="preserve">TSel Evaluasi GraPAR 06057 SSPIIDJA/ADE IRMA SARTIKA.T </t>
  </si>
  <si>
    <t>TSel Training TL Aca 06058 BNINIDJA/TARISYA FERINA FITRI</t>
  </si>
  <si>
    <t>TSel  O&amp;M Consolidat06365 BIFAST Out CS-GL  BRINIDJA/NOVLI FELISIA SITUMO</t>
  </si>
  <si>
    <t>TSel O&amp;M Consolidati06364 BIFAST Out CS-GL  BBIJIDJA/I PUTU EKA UDAYANA RUDITA,ST</t>
  </si>
  <si>
    <t>TSel WS Sales A1 Pla MCM InhouseTrf CS-CS  KE PANTRAVEL</t>
  </si>
  <si>
    <t xml:space="preserve">TSel WSSalesA1Play DP 52Rms+125Dnr  MULTI DAYA INVESTA </t>
  </si>
  <si>
    <t xml:space="preserve">TSEL WSSalesA1PHSH MotivatorJamesGwee  ACADEMIA CITRA ABA </t>
  </si>
  <si>
    <t xml:space="preserve">TSel WSSalesA1PHSH Catering Batam  MANVIA MEGA SOLUSI </t>
  </si>
  <si>
    <t xml:space="preserve">TSel WS Sales A1 Produksi All in  ZEHRA BALINA </t>
  </si>
  <si>
    <t>TSel Focus Act Pay U 06048  MCM InhouseTrf  KE PANTRAVEL</t>
  </si>
  <si>
    <t xml:space="preserve">TSel Sales Academy S 06044   MCM InhouseTrf  KE PANTRAVEL </t>
  </si>
  <si>
    <t xml:space="preserve">TSel HUT Tsel dan 5G 06040  MCM InhouseTrf  KE PANTRAVEL </t>
  </si>
  <si>
    <t>TSel Focus Act Pay U 06039 MCM InhouseTrf  KE PANTRAVEL</t>
  </si>
  <si>
    <t xml:space="preserve">TSel  WS Sales A1 Pl 06220 MCM InhouseTrf  KE RAHMAD RIVANDA DEWRO BANGUN </t>
  </si>
  <si>
    <t xml:space="preserve">TSel Supp Renego BP  06045 MCM InhouseTrf  KE PANTRAVEL </t>
  </si>
  <si>
    <t>TSel Pisah Sambut VP 06049 MCM InhouseTrf  KE PANTRAVEL</t>
  </si>
  <si>
    <t xml:space="preserve">TSel OM Consolidatio06176  BNINIDJA/KINARYA SELARAS PIRANTI </t>
  </si>
  <si>
    <t xml:space="preserve">TSel Focus Act Pay U06244  BSMDIDJA/AULIA AYU ASYURA </t>
  </si>
  <si>
    <t xml:space="preserve">TSel WS Sales A1 Pla06243  BNINIDJA/FERRY HERNAWAN </t>
  </si>
  <si>
    <t>TSel Sosialisasi Tra 06050  MCM InhouseTrf  KE PANTRAVEL</t>
  </si>
  <si>
    <t>TSel TLP 2025, Reimb06129  BNINIDJA/T SY AMANDA REFITA</t>
  </si>
  <si>
    <t>TSel Focus Act Pay U06128  BSMDIDJA/AULIA AYU ASYURA</t>
  </si>
  <si>
    <t xml:space="preserve">TSel Focus Act Pay U 06067 MCM InhouseTrf  KE PANTRAVEL </t>
  </si>
  <si>
    <t xml:space="preserve">TSel Support Outlet  06066-60  MCM InhouseTrf  KE PANTRAVEL </t>
  </si>
  <si>
    <t xml:space="preserve">TSel Supp Renego BPB 06059   MCM InhouseTrf  KE PANTRAVEL </t>
  </si>
  <si>
    <t xml:space="preserve">TSel O&amp;M Consolidati 06075  MCM InhouseTrf  KE PANTRAVEL </t>
  </si>
  <si>
    <t xml:space="preserve">TSel O&amp;M Consolidati 06136  MCM InhouseTrf  KE PANTRAVEL </t>
  </si>
  <si>
    <t>TSel WS Sales A1 Pla06304 SUNIIDJA/MATHIUS FELIX WATTIMENA</t>
  </si>
  <si>
    <t xml:space="preserve">TSel O&amp;M Consolidati 06247 MCM InhouseTrf  KE PANTRAVEL </t>
  </si>
  <si>
    <t>TSel WS Sales A1 Pla 06279  MCM InhouseTrf  KE PANTRAVEL</t>
  </si>
  <si>
    <t xml:space="preserve">TSel Focus Act Pay U 06138 MCM InhouseTrf  KE PANTRAVEL </t>
  </si>
  <si>
    <t>TSel FBP West Area,  06268 MCM InhouseTrf  KE PANTRAVEL</t>
  </si>
  <si>
    <t>TSel  WS Sales A1 SPJ 3D + Meals    MARIA PATRICIA SUG,</t>
  </si>
  <si>
    <t>TSel WSSalesA1PlaySPJ 5D +Meals     DEDI PURWANTO SE,</t>
  </si>
  <si>
    <t>TSelWSSalesA1Play SPJ 5D +Meals     YOGI PURWO WIDODO,</t>
  </si>
  <si>
    <t>083/PCMI/AR/X/2025</t>
  </si>
  <si>
    <t>199/PCMI/AR/IX/2025</t>
  </si>
  <si>
    <t>Himbara FGD Semarang</t>
  </si>
  <si>
    <t>Telkomsel Pengawalan Event Regional Sumbagut</t>
  </si>
  <si>
    <t>Telkomsel Support Outlet Visit &amp; Backcheck</t>
  </si>
  <si>
    <t>Telkomsel Sales Academy September 2025</t>
  </si>
  <si>
    <t>Telkomsel Support Renego Backpacker BKL - LPG Q4 2025</t>
  </si>
  <si>
    <t>Telkomsel Pengamanan Target Sem II Reg. Sumbagsel</t>
  </si>
  <si>
    <t>Telkomsel FBP West Area</t>
  </si>
  <si>
    <t>Telkomsel Sosialisasi &amp; Training Billco Sumbagsel</t>
  </si>
  <si>
    <t>Telkomsel Training TL Academy Session 2</t>
  </si>
  <si>
    <t>Telkomsel Support Evaluasi GraPARI Optimalisasi Area 1</t>
  </si>
  <si>
    <t>Telkomsel O&amp;M Consolidation Tahap 2</t>
  </si>
  <si>
    <t>Telkomsel Program Market Visit (SBU &amp; SBS)</t>
  </si>
  <si>
    <t>Telkomsel WS Sales A1 Play Hard Serve Harder</t>
  </si>
  <si>
    <t>Telkomsel Reach Beyond Area Sumatera 2025</t>
  </si>
  <si>
    <t>PLN IP Energy Business Forum 2025</t>
  </si>
  <si>
    <t>Telkomsel Event Market Recovery &amp; City Fokus Q3</t>
  </si>
  <si>
    <t>Telkomsel Alignment SIFA Mobile &amp; Fixed</t>
  </si>
  <si>
    <t>Intrareps</t>
  </si>
  <si>
    <t>TSel Supp Evaluasi G 06450,06444 06450,06444 MCM InhouseTrf CS-CS  KE PANTRAVEL</t>
  </si>
  <si>
    <t>TSel Reach Beyond Ar 06479 06479 MCM InhouseTrf CS-CS  KE PANTRAVEL</t>
  </si>
  <si>
    <t>TSel Reach Beyond Ar06483  BNINIDJA/SINAR LAUT LAMPUNG PERMAI</t>
  </si>
  <si>
    <t>TSel Reach Beyond Ar06476  BNINIDJA/SINAR LAUT LAMPUNG PERMAI</t>
  </si>
  <si>
    <t xml:space="preserve">TSel Focus Act Pay U06456 BSMDIDJA/AULIA AYU ASYURA </t>
  </si>
  <si>
    <t xml:space="preserve">TSel WS Sales A1 Pla 06411,349,324,315   MCM InhouseTrf  KE PANTRAVEL </t>
  </si>
  <si>
    <t xml:space="preserve">TSel Reach Beyond Ar 06432, 06421 MCM InhouseTrf  KE PANTRAVEL </t>
  </si>
  <si>
    <t xml:space="preserve">TSel ReachBeyondArea06448   BSMDIDJA/AULIA AYU ASYURA </t>
  </si>
  <si>
    <t xml:space="preserve">TSel Reach Beyond Ar 06538 MCM InhouseTrf  KE PANTRAVEL </t>
  </si>
  <si>
    <t>TSel Event Sec Targe06598 BNINIDJA/NABILA ASY SYIFA</t>
  </si>
  <si>
    <t>TSel Reach Beyond Ar06447  BSMDIDJA/AULIA AYU ASYURA</t>
  </si>
  <si>
    <t xml:space="preserve">TSel FBP West Area, 06539,24,07 MCM InhouseTrf  KE PANTRAVEL </t>
  </si>
  <si>
    <t xml:space="preserve">TSel Pengawalan Even06466  BNINIDJA/FERNANDO PASARIBU </t>
  </si>
  <si>
    <t xml:space="preserve">TSel FocusActPayUser06486  BNINIDJA/YESSI NOPRIANI </t>
  </si>
  <si>
    <t xml:space="preserve">Tsel ReachBeyondArea 06525,20,06  MCM InhouseTrf  KE PANTRAVEL </t>
  </si>
  <si>
    <t xml:space="preserve">TSel WSSalesA1P Kend Crew 13-17Okt  HARI SUSANTO </t>
  </si>
  <si>
    <t xml:space="preserve">TSel FocusActPay MtgSeniorLeaderJkt  ZULFAHMI </t>
  </si>
  <si>
    <t xml:space="preserve">Mandiri FGD Banten Courier 25Box 6Nop  ANALITA YULISTYA C </t>
  </si>
  <si>
    <t xml:space="preserve">Mandiri FGD Banten LO 2D JHLSolitaire  MOCH SUPRIYADI </t>
  </si>
  <si>
    <t xml:space="preserve">Mandiri FGD Banten PIC Produksi 2D  R DINAR KUSUMAYANT </t>
  </si>
  <si>
    <t xml:space="preserve">Mandiri FGD Banten +an 10Pcs Batik  ANALITA YULISTYA C </t>
  </si>
  <si>
    <t xml:space="preserve">TSel FBP West Area Reimb Div Fin  YOGI PURWO WIDODO </t>
  </si>
  <si>
    <t>TSel Focus Act PaySPJ 1D+Meal       YOGI PURWO WIDODO,</t>
  </si>
  <si>
    <t>239/2023</t>
  </si>
  <si>
    <t>158/2022</t>
  </si>
  <si>
    <t>Pembayaran Upgrade Room Kamar a/n Muh Saleh Usman</t>
  </si>
  <si>
    <t xml:space="preserve">Kap Risol </t>
  </si>
  <si>
    <t xml:space="preserve">Piring, Sendok, Garpu Plastik Dan Kertas Nasi </t>
  </si>
  <si>
    <t>Makan malam + minum (ableh &amp; odhey) - loading</t>
  </si>
  <si>
    <t>Tipping security loading in</t>
  </si>
  <si>
    <t>Taxi dari kantor TLT - kantor (pulang loading)</t>
  </si>
  <si>
    <t>Gocar Kosan - Kantor TLT (event)</t>
  </si>
  <si>
    <t>Taxi dari kantor TLT - kantor (pulang event)</t>
  </si>
  <si>
    <t>Tipping security loading out</t>
  </si>
  <si>
    <t>Biaya Reschedule Tiket Pelita Air an I Wayan PKU - CGK</t>
  </si>
  <si>
    <t>Shell MotoGp Sepang 2025</t>
  </si>
  <si>
    <t>BI-FAST CR TRANSFER DR ADE IRMA SARTIKA T, Retur Mandiri MP 30-Sep</t>
  </si>
  <si>
    <t>Mandiri FGD BantenSPJ 1D 7Nop       SUPRIYADI,Mandiri Plasa</t>
  </si>
  <si>
    <t>Mandiri FGD Banten</t>
  </si>
  <si>
    <t>BSI Kunker BAKN PP DP Produksi  AFANDI Mandiri Plasa</t>
  </si>
  <si>
    <t>BRI FGD SEM KomXI Biaya Ops  ROBERTUS BELLARMIN Mandiri Plasa</t>
  </si>
  <si>
    <t>Mandiri FGD Banten Doc PhotoVideo 1D  KATHERIN VICENTIA Mandiri Plasa</t>
  </si>
  <si>
    <t>Mandiri FGD Banten SD,MC&amp;Stage Crew  TEUKU DONNYA SYAHP Mandiri Plasa</t>
  </si>
  <si>
    <t>Mandiri FGD Banten 35 DelegateMic-JL  ADITYA CHANDRA KUS Mandiri Plasa</t>
  </si>
  <si>
    <t>Mandiri FGD Banten LiveCam JHL 7Nov  SUTRISNO Mandiri Plasa</t>
  </si>
  <si>
    <t>BTN FGDCirebon KXI DP Production  HARRY SUSANTO Mandiri Plasa</t>
  </si>
  <si>
    <t>TSel ReachBeyondSu LO Dinner SLM  RATNAMETTHA SUGAMA Mandiri Plasa</t>
  </si>
  <si>
    <t>TSel ReachBeyondSu Meals MtgSLM 19Nov  MARIA PATRICIA SUG Mandiri Plasa</t>
  </si>
  <si>
    <t>TSel FBP West Area Tunai Div Finance  YOGI PURWO WIDODO Mandiri Plasa</t>
  </si>
  <si>
    <t>BRI FGD Semarang Kom MCM InhouseTrf CS-CS  KE ROBERTUS BELLARMINO DHANY AS</t>
  </si>
  <si>
    <t xml:space="preserve">TSel Alignment Sales06628   BNINIDJA/RADIATUL ADAWIYAH </t>
  </si>
  <si>
    <t>TSel Alignment Sales06629  BNINIDJA/ULFA SARTIKA</t>
  </si>
  <si>
    <t>TSel Alignment Sales06631    BNINIDJA/RINO OKTABRILA</t>
  </si>
  <si>
    <t xml:space="preserve">TSel Alignment Sales06630  BNINIDJA/EKA PUTRIANA </t>
  </si>
  <si>
    <t xml:space="preserve">TSel Alignment Sales  BNINIDJA/DINA YULIANTARI </t>
  </si>
  <si>
    <t>Telkomsel Event Direksi Visit Medan &amp; OM Consolidation</t>
  </si>
  <si>
    <t>TSel Prog Mkt Visit  06077 MCM InhouseTrf  KE EMIL SATRIA PUTRA</t>
  </si>
  <si>
    <t xml:space="preserve">TSel Supp Outlet Vis06056 SSPIIDJA/ADE IRMA SARTIKA.T </t>
  </si>
  <si>
    <t xml:space="preserve">TSel Prog Mkt Visit 06078 BNINIDJA/ZENY THAHIRA KRISMA SARI </t>
  </si>
  <si>
    <t>Pelita Air-Ipg - inv 000250495 tiket an Hendri</t>
  </si>
  <si>
    <t>Traveloka3Ds*1276181885 - Hotel Kaliki Nias 15-18 Aug 2025 an Nurdianto</t>
  </si>
  <si>
    <t>Traveloka3Ds*1276237938 - Hotel Kaliki Nias 15-18 Aug 2025 an Ari Fariski</t>
  </si>
  <si>
    <t>Tiket.Com - Hotel Mercure Gatsu 14-15 Aug 2025 an Bambang Prayogi</t>
  </si>
  <si>
    <t>Tiket.Com - Hotel The Premiere Pekanbaru 20 -22 Aug (2 kamar) an Nugroho Adi Wibowo &amp; Muhammad Saleh Usman , periode 21 - 22 Aug 2025 (1 kamar) an Hendri Morelta Tarigan</t>
  </si>
  <si>
    <t>Tiket.Com - Hotel Kuretakeso Kemang Jakarta Ci 25-27 Aug 2025 an Saifuzzuhri &amp; Heru Mursalin</t>
  </si>
  <si>
    <t>Tiket.Com - Hotel Swissbell Lampung 27-29 AUg 2025 an Budi Kusuma</t>
  </si>
  <si>
    <t>Pelita Air-Ipg - inv 000258584 tiket an Mulya</t>
  </si>
  <si>
    <t>Tiket.Com - Hotel Azana Boutique Bandar Lampung 28-29 Aug 2025 an Fachrul Rizzal</t>
  </si>
  <si>
    <t>Tiket.Com - Hotel d'primahotel Airport Jakarta Terminal 1A 27 - 28 Aug 2025 an Fachrul Rizzal</t>
  </si>
  <si>
    <t>Tiket.Com - Hotel Mercure Gatsu Jakarta 03-04 Sept 2025 an Fachrul Rizzal</t>
  </si>
  <si>
    <t>Tiket.Com - Hotel Selecta Medan 10-12 Sept 2025 (2 malam) an Yogi &amp; Rizky Aulia</t>
  </si>
  <si>
    <t>Tokopedia - Pembelian LM Antam 10 Gr</t>
  </si>
  <si>
    <t>Gojek Recurring Non3Ds - Transport Yogi to Aiirport Soetta</t>
  </si>
  <si>
    <t xml:space="preserve">Tiket.Com - Hotel Selecta Medan 09-11 Sept 2025 an Yog &amp; Rizky (reschedule)	</t>
  </si>
  <si>
    <t>Tiket.Com - Hotel Aston Nagoya Batam (2 kamar) 10-12 Sept 2025 an Josia Prananta Tarigan &amp; Eko Widyatmoko</t>
  </si>
  <si>
    <t>Gojek Recurring Non3Ds - pembelian meals pagi untuk Crew Show management , runner, driver dan Band</t>
  </si>
  <si>
    <t>Gojek Recurring Non3Ds - pembelian meals siang untuk Crew Show management , runner, driver dan Band</t>
  </si>
  <si>
    <t>Gojek Recurring Non3Ds - Gocar Hotel Selecta Medan - Stasiun Kereta Medan tgl 11 Sept 2025</t>
  </si>
  <si>
    <t>Tiket.Com - Hotel Neo+ Airport Jakarta 14-15 Sept 2025 an I Putu Eka Udayana Rudita</t>
  </si>
  <si>
    <t>Tiket.Com - Hotel Mercure Gatsu Jakarta 15-16 Sept 2025 an Fachrul Rizzal</t>
  </si>
  <si>
    <t>Traveloka3Ds-1284709231 - inv 1284709231 tiket an Muzlin</t>
  </si>
  <si>
    <t>Traveloka3Ds-1285120806 - inv 1285120806 tiket an. I Putu</t>
  </si>
  <si>
    <t>Traveloka3Ds-1285120642 - inv 1285120642 tiket an. Nugroho dengan pinaltu atas pembatalan</t>
  </si>
  <si>
    <t>Tiket.Com - Tiket Air Asia TKG CGK 18 Sept an Nugroho Adi Wibowo</t>
  </si>
  <si>
    <t>Tiket.Com - Hotel Hermes Aceh 18 -19 Sept an Ahson Masud dan Franky Tumbelaka ( 2 kamar )</t>
  </si>
  <si>
    <t>Pelita Air-Ipg - inv 000266530 tiket an Franky</t>
  </si>
  <si>
    <t>Pelita Air-Ipg - inv 000266537 tiket an Ahson</t>
  </si>
  <si>
    <t>Traveloka3Ds-1285120642 retur tiket an. Nugroho dengan pinaltu atas pembatalan</t>
  </si>
  <si>
    <t>Tiket.Com - Invoice an Fredy Siburian</t>
  </si>
  <si>
    <t>Tiket.Com - Invoice an Franky</t>
  </si>
  <si>
    <t>Tiket.Com - Hotel Amaris Palembang 24-25 Sept 2025 (Total 4 kamar) , an Randy , Mita, Irfan, Syafriadi</t>
  </si>
  <si>
    <t>Tiket.Com - Hotel Amaris Palembang Deviasi / extend 25 -26 Sept 2025 an Randy , Mita, Irfan , Syafriadi total 4 kamar</t>
  </si>
  <si>
    <t>Pelita Air-Ipg - inv 000269549 tiket an Nurdianto</t>
  </si>
  <si>
    <t>Tiket.Com - Hotel Swissbell Cawan Jakarta 28- 29 Sept 2025 an I Putu Eka Udayana Rudita</t>
  </si>
  <si>
    <t>Pelita Air-Ipg - inv 000269844 tiket an. Fauzan</t>
  </si>
  <si>
    <t>Pelita Air-Ipg - inv 000269837 tiket an I wayan</t>
  </si>
  <si>
    <t>Tiket.Com - Hotel Mercure Gatsu Jakarta 28 - 29 Sept 2025 an Muhammad Ilham</t>
  </si>
  <si>
    <t>The Premiere Ho*000063625Pekanbaru Id - Room &amp; bfat 4 rooms (1exec+3Sup ) twn 04-08 Aug 2025 ( Nugroho Adi Wibowo, M Saleh Usman, Hendri M Tarigan , I Putu Eka Udayana )</t>
  </si>
  <si>
    <t xml:space="preserve">The Premiere Ho*000063631Pekanbaru Id - Hotel The Premiere Pekanbaru 04-05 Agustus 2025 an Yuli Haryadi	</t>
  </si>
  <si>
    <t>Adimulia Hotel - Ho Medan - Pelunasan halfday meeting 267 paxs 10 Sept 2025 dan 8 rooms 9-12 Sept 2025 Telkomsel Grp</t>
  </si>
  <si>
    <t>Adimulia Hotel - Ho Medan - Dinner day 2 - 10 Sept 2025 di Hotel Adimulia Medan</t>
  </si>
  <si>
    <t>Pilastro Signature -Ho Medan - Dinner Day 02 (10 Sept 25) @ Pilastro Signature</t>
  </si>
  <si>
    <t>Beli trashbag</t>
  </si>
  <si>
    <t>Gojek ke Rumah Komeng- TSO</t>
  </si>
  <si>
    <t>Gojek ke TSO - Rumah Komeng</t>
  </si>
  <si>
    <t>Meals komeng</t>
  </si>
  <si>
    <t>Gojek ke Rumah Komeng- Hotel Mercure</t>
  </si>
  <si>
    <t>Gojek ke Hotel Mercure - Rumah Komeng</t>
  </si>
  <si>
    <t>Meals Siang 2 Pax</t>
  </si>
  <si>
    <t>Print Table menu + Cutting Art Carton</t>
  </si>
  <si>
    <t xml:space="preserve">Gojek Table menu </t>
  </si>
  <si>
    <t>Bensin ambil baju adat</t>
  </si>
  <si>
    <t xml:space="preserve">Parkir  </t>
  </si>
  <si>
    <t>Beli roti kadet rolls 54 pcs</t>
  </si>
  <si>
    <t>Gosend umbul" booth</t>
  </si>
  <si>
    <t>Sewa kaleng kerupuk untuk dekorasi 2 pcs</t>
  </si>
  <si>
    <t>Meals malam - nasi padang 4 pax</t>
  </si>
  <si>
    <t>Gojek dodol</t>
  </si>
  <si>
    <t>Lakban Bening</t>
  </si>
  <si>
    <t>Kapur tulis</t>
  </si>
  <si>
    <t>Cetak sticker 300X60</t>
  </si>
  <si>
    <t>Sewa HT 1day (5 x @30.000)</t>
  </si>
  <si>
    <t>Gojek sticker</t>
  </si>
  <si>
    <t>Otak - Otak Vacum 200 pcs</t>
  </si>
  <si>
    <t>Ketam Is 350 gr (7 x 99.000)</t>
  </si>
  <si>
    <t>Biaya Pengiriman JNE Express otak-otak dan ketam</t>
  </si>
  <si>
    <t>Keripik Pisang Coklat</t>
  </si>
  <si>
    <t>Biaya Admin Linkaja</t>
  </si>
  <si>
    <t>Dodol (1200k), Kue dan kopi sisip (140k) + Pengiriman (110k)</t>
  </si>
  <si>
    <t>biaya transfer</t>
  </si>
  <si>
    <t>Cetak Bendera Satin 40cm x 3 m (BB) 2 pcs</t>
  </si>
  <si>
    <t xml:space="preserve">Stempel Mie Balap </t>
  </si>
  <si>
    <t>Kopi Tarik 200 cup + 2 crew</t>
  </si>
  <si>
    <t>Sate Padang Uda Kanduang 15 porsi req pak yuli GM</t>
  </si>
  <si>
    <t>Gosend Sate Padang Uda Kanduang</t>
  </si>
  <si>
    <t>Gosend Stampel Mie balap</t>
  </si>
  <si>
    <t xml:space="preserve">Standing Pouch Ziplock </t>
  </si>
  <si>
    <t>Kipas Pisang Super Jumbo 40 pcs</t>
  </si>
  <si>
    <t>Kripik sanjai, sala lauk, karakak, dakak</t>
  </si>
  <si>
    <t>Patin Fish Skin +Packing</t>
  </si>
  <si>
    <t>Uang Makan Event Cash @50.000 x 2 (Lunch n Dinner) Yogi, Odhey, Clara</t>
  </si>
  <si>
    <t>DP Pembayaran Cathering Event Indie Food Court</t>
  </si>
  <si>
    <t>Air Lemineral 330 ml (6 dus x Rp 38.000)</t>
  </si>
  <si>
    <t>Reimburse Pulsa telp callcenter TIKI untuk percepatan pengiriman Dodol</t>
  </si>
  <si>
    <t xml:space="preserve">cetakan mahkota die cut </t>
  </si>
  <si>
    <t>sewa topi dan selendang sumbat</t>
  </si>
  <si>
    <t xml:space="preserve">sewa kostum sepasang minangkabau </t>
  </si>
  <si>
    <t xml:space="preserve">Sewa Speaker </t>
  </si>
  <si>
    <t xml:space="preserve">Photographer dari client </t>
  </si>
  <si>
    <t xml:space="preserve">Gojek ke tempat sewa Topi dan selendang </t>
  </si>
  <si>
    <t>Bika Ambon , Bolu meranti dan selai</t>
  </si>
  <si>
    <t>biaya transfer  2x</t>
  </si>
  <si>
    <t>Bayar seragam event Townhall</t>
  </si>
  <si>
    <t xml:space="preserve">Makan Malam H-1 Wayang Café </t>
  </si>
  <si>
    <t xml:space="preserve">Makan Malam H-1 Shapire Lounge </t>
  </si>
  <si>
    <t>Transportasi Aulia Ayu to Bandara Soeta</t>
  </si>
  <si>
    <t>Beli ATK &amp; Lakban</t>
  </si>
  <si>
    <t>LINKAJA 9903883534 : Telkomsel Sales Academy September 2025 : Tiket Woosh Jakarta Bandung PP 20</t>
  </si>
  <si>
    <t>LINKAJA 08122020294 : Telkomsel WS Sales A1 Play Hard Serve Harder -Reimburse Meals dan pembelian spidol di Batam</t>
  </si>
  <si>
    <t>LINKAJA 08111991665 : Telkomsel Sales Academy September 2025 - tambahan Reimburse Tiket Woosh PP an Agra Andhyka Chandra</t>
  </si>
  <si>
    <t>Beringin Tanjung Api-Api</t>
  </si>
  <si>
    <t>Pempek Candy</t>
  </si>
  <si>
    <t>Lokok Café Bandung</t>
  </si>
  <si>
    <t>Kopi Anjis</t>
  </si>
  <si>
    <t>Nasi Bancakan</t>
  </si>
  <si>
    <t>Teh Aba</t>
  </si>
  <si>
    <t>Bika Ambon Zulaikha</t>
  </si>
  <si>
    <t>Bolu Meranti</t>
  </si>
  <si>
    <t>Warung Humairoh S.S.K (Sop, Soto, Kari)</t>
  </si>
  <si>
    <t>Nelayan Kafe</t>
  </si>
  <si>
    <t>Kok Tong Express Kualanamu Airport</t>
  </si>
  <si>
    <t>Ichiban Sushi</t>
  </si>
  <si>
    <t>Hotel Kuretakeso Kemang</t>
  </si>
  <si>
    <t>Ayam Penyet Ria PS</t>
  </si>
  <si>
    <t>Pepper Lunch</t>
  </si>
  <si>
    <t>Jawara Roti &amp; Kue</t>
  </si>
  <si>
    <t>Asli Soto Medan 1930</t>
  </si>
  <si>
    <t>Mie Sop AbuDin</t>
  </si>
  <si>
    <t>K Kupi</t>
  </si>
  <si>
    <t>RM Gumarang Jaya 2</t>
  </si>
  <si>
    <t>Pempek Nabti Resto</t>
  </si>
  <si>
    <t>Kok Tong</t>
  </si>
  <si>
    <t>Fore Coffee</t>
  </si>
  <si>
    <t>Soto Tom and Jerry</t>
  </si>
  <si>
    <t>Kopikuni</t>
  </si>
  <si>
    <t>Hai Sushi</t>
  </si>
  <si>
    <t>Coffee Box Wahid Hasyim</t>
  </si>
  <si>
    <t>Moscot</t>
  </si>
  <si>
    <t>Terang Bulan Martabak Bangka</t>
  </si>
  <si>
    <t xml:space="preserve">Dara Kupi Medan </t>
  </si>
  <si>
    <t>Misop Gurilla</t>
  </si>
  <si>
    <t>Soto Medan 1930</t>
  </si>
  <si>
    <t>Lalapan Pojok Raya Panjaitan</t>
  </si>
  <si>
    <t>Kak Yus</t>
  </si>
  <si>
    <t>Martabak Har</t>
  </si>
  <si>
    <t>Sadah Teduh</t>
  </si>
  <si>
    <t>Snack dan Lunch MC 2 orang</t>
  </si>
  <si>
    <t xml:space="preserve">Pembelian Souvenir </t>
  </si>
  <si>
    <t xml:space="preserve">Sewa Topi Tanjak, Keris dan Ulos </t>
  </si>
  <si>
    <t xml:space="preserve">Meals Telkomsel di Santika Dyandra </t>
  </si>
  <si>
    <t>Meals Driver Telkomsel ( ampolp Tunai ) 2 hari @Rp.150K</t>
  </si>
  <si>
    <t xml:space="preserve">Taxi Airport ke Rumah (Yogi) - Penutupan jalan / alt routse </t>
  </si>
  <si>
    <t xml:space="preserve">Reimburse Ayu Meals Pisah Sambut </t>
  </si>
  <si>
    <t>Isi Flazz Rizky (Toll Airport)</t>
  </si>
  <si>
    <t>Wraping Bandara</t>
  </si>
  <si>
    <t>Beli Air Mineral 5 Dos</t>
  </si>
  <si>
    <t>Beli kertas A4 &amp; Kertas Photo</t>
  </si>
  <si>
    <t>Beli Ballpoint Gel &amp; Amplop Batik untuk Penandatanganan</t>
  </si>
  <si>
    <t>Gosend Pengiriman Sewa Baju Adat Melayu untuk VIP</t>
  </si>
  <si>
    <t>Gosend Pengembalian Sewa Baju Adat Melayu untuk VIP</t>
  </si>
  <si>
    <t>Beli Kopi Team (Rizky, Yogi dan Team Show Management)</t>
  </si>
  <si>
    <t>Gosend Kopi</t>
  </si>
  <si>
    <t>Cetak Poster Albatros</t>
  </si>
  <si>
    <t>Gosend Cetakan Poster</t>
  </si>
  <si>
    <t>Tip Driver 2 Day (9 - 10 Sept 2025)</t>
  </si>
  <si>
    <t>Parkir Liar Mobil (Indomaret, Makan Malam at Wajir, Toko ATK, Beli Makan Siang Team, Makan Malam Peserta at Kopi Pilastro)</t>
  </si>
  <si>
    <t>Tip Bunquet &amp; Operator Sound System Hotel                                            (Payement via Kemal / Crew Loading)</t>
  </si>
  <si>
    <t>Parkir Inap Bandara Soeta</t>
  </si>
  <si>
    <t xml:space="preserve">Gocar Yogi to Airport </t>
  </si>
  <si>
    <t xml:space="preserve">Sewa Kursi Futura Tambahan 30 Pcs </t>
  </si>
  <si>
    <t xml:space="preserve">Seragam Uniqlo Bang Ari </t>
  </si>
  <si>
    <t xml:space="preserve">Monitor  MSI Pro Bang Naufal </t>
  </si>
  <si>
    <t xml:space="preserve">Morning Bakery Briefing Koordinasi Transportasi hari ke 2 </t>
  </si>
  <si>
    <t xml:space="preserve">Meeting Point Airport Kedatangan Peserta </t>
  </si>
  <si>
    <t xml:space="preserve">Jersey Bola </t>
  </si>
  <si>
    <t>Tiping Hiace 2 hari @Rp. 150.000 *8 unit Hiace</t>
  </si>
  <si>
    <t xml:space="preserve">Meals Driver Avanza  dan Cord Transport </t>
  </si>
  <si>
    <t xml:space="preserve">Meals Driver dan minum  13-15 Okt 2025 </t>
  </si>
  <si>
    <t xml:space="preserve">Tipping Avanza crew  5 hari </t>
  </si>
  <si>
    <t xml:space="preserve">Luti Gendang 1 Box tambahan oleh oleh </t>
  </si>
  <si>
    <t xml:space="preserve">Lapis no 1 Tambahan Oleh oleh </t>
  </si>
  <si>
    <t xml:space="preserve">Taxi Airport ke Rumah </t>
  </si>
  <si>
    <t>Inject Meals to 0811916244</t>
  </si>
  <si>
    <t>Inject Meals to 0811655566</t>
  </si>
  <si>
    <t>Inject Meals to 0811626234</t>
  </si>
  <si>
    <t>Inject Meals to 08116207457</t>
  </si>
  <si>
    <t>Inject Meals to 081190090119</t>
  </si>
  <si>
    <t>Inject Meals to 08127072006</t>
  </si>
  <si>
    <t>Inject Meals to 0811716663</t>
  </si>
  <si>
    <t>Inject Meals to 9903883534</t>
  </si>
  <si>
    <t xml:space="preserve">Pembelian Luti Gendang 15 Box dan Dus 5 buah </t>
  </si>
  <si>
    <t>Beli Luti Gendang Tsel - Yogi 7 Dus</t>
  </si>
  <si>
    <t>Beli Luti utk Herry Simbollon dan Saiful</t>
  </si>
  <si>
    <t xml:space="preserve">Bayar Makan Pak Saki dan Mba Ayu </t>
  </si>
  <si>
    <t xml:space="preserve">Tambahan Luti Gendang 2 Box </t>
  </si>
  <si>
    <t xml:space="preserve">Sewa Mixer </t>
  </si>
  <si>
    <t xml:space="preserve">Tiket Zulfahmi </t>
  </si>
  <si>
    <t>Beli Luti Gendang Tsel - Yogi</t>
  </si>
  <si>
    <t xml:space="preserve">Beli Air mineral </t>
  </si>
  <si>
    <t>Beli Luti sarapan GM Pak Saki</t>
  </si>
  <si>
    <t>Uang Makan Tunai utk James Gwee</t>
  </si>
  <si>
    <t>Tipping OB Tsel yg bersih2</t>
  </si>
  <si>
    <t xml:space="preserve">Beli Luti utk Mba Fai 2 box as per Yogi </t>
  </si>
  <si>
    <t>CA-047/24 Odhey</t>
  </si>
  <si>
    <t>Refund Ongkir Corp PT Panconvince SITI NURHAYATI : WA Yogi 30Nop Telkomsel Focus Paying Auction Sumatera pak</t>
  </si>
  <si>
    <t>BSI KukKer BAKN Pangkalpinang</t>
  </si>
  <si>
    <t>BRI FGD Semarang Komisi XI</t>
  </si>
  <si>
    <t>BTN FGD Cirebon Komisi XI</t>
  </si>
  <si>
    <t>Telkomsel Event securing Target Regional sumbagsel</t>
  </si>
  <si>
    <t>Telkomsel Alignment Sales Strategy All Branch Sumbagteng Q4 2025</t>
  </si>
  <si>
    <t>Biaya Ongkir Bajaj - Pengiriman 25 pcs Keranjang Anyaman dari Mayestik</t>
  </si>
  <si>
    <t>Pembelian Goody Bag</t>
  </si>
  <si>
    <t>Pembelian Nestle di TSO dan Biaya Manpower</t>
  </si>
  <si>
    <t>Amplop Coklat</t>
  </si>
  <si>
    <t>Biaya Bensin, Parkir dan makan Pak Ableh - Produksian</t>
  </si>
  <si>
    <t>Bensin mobil Alex, 5Nov 2025</t>
  </si>
  <si>
    <t>Parkir Inap Bandara CGK - Alex, 6-7Nov 2025</t>
  </si>
  <si>
    <t>240/2023</t>
  </si>
  <si>
    <t>278/PCMI/AR/XI/2025</t>
  </si>
  <si>
    <t>282/PCMI/AR/XI/2025</t>
  </si>
  <si>
    <t xml:space="preserve">TSel Reach Beyond Ar 06594  MCM InhouseTrf  KE PANTRAVEL </t>
  </si>
  <si>
    <t>TSel Reach Beyond Ar06449  BSMDIDJA/AULIA AYU ASYURA</t>
  </si>
  <si>
    <t xml:space="preserve">TSel Reach Beyond Ar 06623  MCM InhouseTrf  KE PANTRAVEL </t>
  </si>
  <si>
    <t xml:space="preserve">TSel Reach Beyond Ar06558  BSMDIDJA/AULIA AYU ASYURA </t>
  </si>
  <si>
    <t xml:space="preserve">TSel Reach Beyond Ar06601 BSMDIDJA/AULIA AYU ASYURA </t>
  </si>
  <si>
    <t xml:space="preserve">Mandiri FGD Banten Gardening JHL 7Nop  HARTONO </t>
  </si>
  <si>
    <t>237/2023</t>
  </si>
  <si>
    <t>217/2023</t>
  </si>
  <si>
    <t>MANDIRI MP</t>
  </si>
  <si>
    <t>penyewaan ruangan fullday meeting TLT Lt 7 tgl 29 April 2025 : Indofood Court</t>
  </si>
  <si>
    <t>212/PCMI/AR/X/2025</t>
  </si>
  <si>
    <t>269/PCMI/AR/XII/2025</t>
  </si>
  <si>
    <t>PPh-25</t>
  </si>
  <si>
    <t>PPh-23 Tahun 2025</t>
  </si>
  <si>
    <t>BNINIDJA010O0240350233 BNINIDJA/HADI PRASTYA UTAMA 227848114 : Retur Tsel Market Validation BKL-MRE (WA Yogi 29Nop)</t>
  </si>
  <si>
    <t>BSI Kunjungan Kerja BAKN Pangkal Pinang</t>
  </si>
  <si>
    <t>HIMBARA Kunjungan Kerja Batam BRI dan BTN</t>
  </si>
  <si>
    <t>BTN FGD CirebonKXISPJ 3D +Meals     MARIA PATRICIA SUG,</t>
  </si>
  <si>
    <t>BSI KunKer BAKN PPSPJ 3D + Meals    MARIA PATRICIA SUG,</t>
  </si>
  <si>
    <t>MANDIRI FGD BantenSPJ 2D + Meals    MARIA PATRICIA SUG,</t>
  </si>
  <si>
    <t>BRI FGD Smg Kom XISPJ 2D+Meals      M RIZKY AULIA,</t>
  </si>
  <si>
    <t>MANDIRI FGD BantenSPJ 2D+Meals      ALEXADRUS NULIADY,</t>
  </si>
  <si>
    <t>BRI FGD Smg KomXI SPJ 2D + Meals    ANALITA YULISTYA C,</t>
  </si>
  <si>
    <t>BSI KunKer BAKN PPSPJ 2D+Meals      ANALITA YULISTYA C,</t>
  </si>
  <si>
    <t>MANDIRI FGD BantenSPJ 2D + Meals    ANALITA YULISTYA C,</t>
  </si>
  <si>
    <t>MANDIRI FGD BantenSPJ 1D 6Nop       SUPRIYADI,</t>
  </si>
  <si>
    <t>TSel Reach Beyond Ar 06603   BSMDIDJA/AULIA AYU ASYURA</t>
  </si>
  <si>
    <t xml:space="preserve">TSel Reach Beyond Ar 06602  BSMDIDJA/AULIA AYU ASYURA </t>
  </si>
  <si>
    <t xml:space="preserve">TSel Ground Check Im 06690  MCM InhouseTrf  KE PANTRAVEL </t>
  </si>
  <si>
    <t>TSel Focus Act Pay U 06674  BSMDIDJA/AULIA AYU ASYURA</t>
  </si>
  <si>
    <t xml:space="preserve">TSel Reach Beyond Ar 06643 MCM InhouseTrf  KE PANTRAVEL </t>
  </si>
  <si>
    <t>TSel Sosialisasi Tra 06686 MCM InhouseTrf  KE FAUZAN ZAMZAMI</t>
  </si>
  <si>
    <t xml:space="preserve">TSel Reach Beyond Ar 06673  BSMDIDJA/AULIA AYU ASYURA </t>
  </si>
  <si>
    <t xml:space="preserve">TSel Ground Check Im 06645  MCM InhouseTrf  KE PANTRAVEL </t>
  </si>
  <si>
    <t>TSel Reach Beyond Ar 06692 MCM InhouseTrf  KE PANTRAVEL</t>
  </si>
  <si>
    <t xml:space="preserve">TSel Reach Beyond Ar 06662   MCM InhouseTrf  KE PANTRAVEL </t>
  </si>
  <si>
    <t xml:space="preserve">BSI KunKer BAKN Pang 06691   MCM InhouseTrf  KE PANTRAVEL </t>
  </si>
  <si>
    <t xml:space="preserve">TSel Reach Beyond Ar 06693   MCM InhouseTrf  KE PANTRAVEL </t>
  </si>
  <si>
    <t>BSI KunKer BAKN Pang 06647   MCM InhouseTrf  KE PANTRAVEL</t>
  </si>
  <si>
    <t>Telkomsel Ground Check Implementasi Program HH GTM</t>
  </si>
  <si>
    <t>TSel Singtel Forum-S06648  BNINIDJA/AZHIRA SALZABILLA MAHESWARI</t>
  </si>
  <si>
    <t xml:space="preserve">BTN FGD Cirebon Lunas EO BTNLuxton  HARRY SUSANTO </t>
  </si>
  <si>
    <t xml:space="preserve">BSI KunKer BAKN PP Lunas BSI Bangka  AFANDI </t>
  </si>
  <si>
    <t xml:space="preserve">BTN FGD Cirebon SD+Stage crew 2D  TEUKU DONNYA SYAHP </t>
  </si>
  <si>
    <t xml:space="preserve">BSI KunKer BAKN PP SD,Stage+MC Crew  TEUKU DONNYA SYAHP </t>
  </si>
  <si>
    <t xml:space="preserve">Mandiri FGD Banten LED dan Matador  WIDI SURYA BUDIANA </t>
  </si>
  <si>
    <t xml:space="preserve">BTN FGD CirebonKXI 35 MicDel 28Nop  ADITYA CHANDRA KUS </t>
  </si>
  <si>
    <t>BSIN Supplier Meeting</t>
  </si>
  <si>
    <t>Retur PV 06644 MARIA PATRICIA SUG : WA Pat 13-Dec BRI FGD Semarang Komisi XI</t>
  </si>
  <si>
    <t>Grand Indonesia</t>
  </si>
  <si>
    <t>Pelita Air-Ipg - FOFRCF tiket an. Wawan, Alya : WA FA 15-Dec-25 – PV 04543/ 13Mar 2025 – Telkomsel Safari Ramadhan BOD Aceh – Pekanbaru 2025</t>
  </si>
  <si>
    <t>Pembayaran Wakil Ketua (1 orang @Rp. 15.000.000)</t>
  </si>
  <si>
    <t>Pembayaran Anggota (17 orang @Rp. 10.000.000)</t>
  </si>
  <si>
    <t>Pembayaran Setkom Kasubag (1 orang @Rp. 5.000.000)</t>
  </si>
  <si>
    <t>Pembayarab Setkom Staff (4 orang @Rp. 2.000.000)</t>
  </si>
  <si>
    <t>Gallery Batik Organik</t>
  </si>
  <si>
    <t>Madu &amp; Emping</t>
  </si>
  <si>
    <t>Tipping &amp; Toll Gosend (Mas Yogi)</t>
  </si>
  <si>
    <t>Tambahan Bandeng</t>
  </si>
  <si>
    <t>Cetak Table name di Snapy</t>
  </si>
  <si>
    <t>Cetak Produksian &amp; Printingan</t>
  </si>
  <si>
    <t>Paper Bag Batik</t>
  </si>
  <si>
    <t>Gosend ambil Paper bag Batik (Isi Gopay + admin 1.300)</t>
  </si>
  <si>
    <t>Paper Bag Batik (Salah Ukuran)</t>
  </si>
  <si>
    <t>Tambahan sate Bandeng (10 pcs)</t>
  </si>
  <si>
    <t>Tambahan madu emping (10pcs)</t>
  </si>
  <si>
    <t>Tambahan Tas Anyam (10pcs)</t>
  </si>
  <si>
    <t>Bayar Tas Anyam (5pcs)</t>
  </si>
  <si>
    <t>Payment add cost Mandiri</t>
  </si>
  <si>
    <t>Bayar Meals Ibu Nina</t>
  </si>
  <si>
    <t xml:space="preserve">Pembelian Keranjang </t>
  </si>
  <si>
    <t xml:space="preserve">Pembelian ikan Bandeng req OJK </t>
  </si>
  <si>
    <t>Pembelian Emping &amp; Madu req OJK</t>
  </si>
  <si>
    <t>Req Pembayaran Transportasi di Labuan Bajo oleh Pak Arie</t>
  </si>
  <si>
    <t>Req pembayaran oleh Pak Arie</t>
  </si>
  <si>
    <t>Tipping Banquet JHL Hotel Serpong</t>
  </si>
  <si>
    <t>Req Cash Pak Arie</t>
  </si>
  <si>
    <t>Pembayaran Setkom, Kasubag (1 orang @Rp. 3.000.000)</t>
  </si>
  <si>
    <t>Pembayaran Setkom, Staff (4 orang @Rp. 2.000.000)</t>
  </si>
  <si>
    <t>Fee MC</t>
  </si>
  <si>
    <t>Tipping Hotel</t>
  </si>
  <si>
    <t>Pembayaran Pimpinan Rapat (1 orang @Rp. 20.000.000)</t>
  </si>
  <si>
    <t>Permintaan Ibu Helda</t>
  </si>
  <si>
    <t>Pembelian Oleh Oleh Cirebon</t>
  </si>
  <si>
    <t>Reimburs Biaya Bensin dan Tol Alex</t>
  </si>
  <si>
    <t>226/PCMI/AR/XII/2025</t>
  </si>
  <si>
    <t>268/PCMI/AR/XII/2025</t>
  </si>
  <si>
    <t>228/PCMI/AR/XII/2025</t>
  </si>
  <si>
    <t>Telkomsel MICE Piala byU Q2 2025</t>
  </si>
  <si>
    <t>253/PCMI/AR/XII/2025</t>
  </si>
  <si>
    <t>231/PCMI/AR/XI/2024 = 287/PCMI/AR/XI/2025</t>
  </si>
  <si>
    <t>141/PCMI/AR/IX/2024 = 290/PCMI/AR/XI/2025</t>
  </si>
  <si>
    <t>203/PCMI/AR/IX/2024 = 294/PCMI/AR/XI/2025</t>
  </si>
  <si>
    <t>238/PCMI/AR/XI/2024 = 295/PCMI/AR/XI/2025</t>
  </si>
  <si>
    <t>142/PCMI/AR/IX/2024 = 296/PCMI/AR/XI/2025</t>
  </si>
  <si>
    <t>143/PCMI/AR/IX/2024 = 297/PCMI/AR/XI/2025</t>
  </si>
  <si>
    <t>124/PCMI/AR/VI/2024 = 277/PCMI/AR/XI/2025</t>
  </si>
  <si>
    <t>286/PCMI/AR/XII/2024 : 292/PCMI/AR/XI/2-26</t>
  </si>
  <si>
    <t>288/PCMI/AR/XII/2024 = 293/PCMI/AR/XI/2-27</t>
  </si>
  <si>
    <t>BRI FGD Smg Kom XI,  06778 06778 MCM InhouseTrf CS-CS  KE ROBERTUS BELLARMINO DHANY AS</t>
  </si>
  <si>
    <t>Fee MC as per rqst Atuy BRI</t>
  </si>
  <si>
    <t>Paper bag batik</t>
  </si>
  <si>
    <t>Luti Gendang</t>
  </si>
  <si>
    <t>Oleh-oleh BTN (tambahan)</t>
  </si>
  <si>
    <t>Wrapping Bandara Soekarno Hatta</t>
  </si>
  <si>
    <t>Wrapping Bandara Hang Nadim, Batam</t>
  </si>
  <si>
    <t>Tipping Hotel Banquet</t>
  </si>
  <si>
    <t>Tipping Driver (4 hari)</t>
  </si>
  <si>
    <t>Req cash dari BTN (Mba Helda) utk PA Pak Hekal (Frank)</t>
  </si>
  <si>
    <t>Req cash dari BTN (Mba Helda) tanggal 15 Dec</t>
  </si>
  <si>
    <t>Pimpinan Rapat (3 orang) @15,000,000 x 2</t>
  </si>
  <si>
    <t>Anggota (17 orang) @10,000,000 x 2</t>
  </si>
  <si>
    <t>Setkom, Kabag (1 orang)</t>
  </si>
  <si>
    <t>Setkom, Staff (4 orang) @2,000,000</t>
  </si>
  <si>
    <t>Pembayaran utk stakeholder diberikan ke Pak Arie oleh Bu Frida</t>
  </si>
  <si>
    <t>Tipping Driver 2 hari</t>
  </si>
  <si>
    <t>Pelita Air-Ipg : Info Praja 18-Dec - Telkomsel Safari Ramadhan BOD Aceh - Pekanbaru  2025</t>
  </si>
  <si>
    <t>Pelita Air-Ipg : Info Praja 18-Dec - Telkomsel O&amp;M Consolidation Tahap 2</t>
  </si>
  <si>
    <t>Pelita Air-Ipg : Info Praja 18-Dec - Refund Telkomsel O&amp;M Consolidation Tahap 2</t>
  </si>
  <si>
    <t>229/PCMI/AR/XII/2025</t>
  </si>
  <si>
    <t>Mutasi 2025</t>
  </si>
  <si>
    <t xml:space="preserve">Refund Pantravel : Sesuai Rincian via WA Praja 22-Dec-25 </t>
  </si>
  <si>
    <t>BTN FGD CirebonKXISPJ 4D + Meals    ALEXADRUS NULIADY,</t>
  </si>
  <si>
    <t>MANDIRI FGD IKN   SPJ 2D + Meals    FRIDA ACHMADI,</t>
  </si>
  <si>
    <t>HimbaraKunKerBatamSPJ 4D+MMOps+MealsALEXADRUS NULIADY,</t>
  </si>
  <si>
    <t>HimbaraKunKerBatamSPJ 4D + Meals    ANALITA YULISTYA C,</t>
  </si>
  <si>
    <t>HimbaraKunKerBatamSPJ 4D + Meals    MARIA PATRICIA SUG,</t>
  </si>
  <si>
    <t>TSel Ground Check Im 06786  MCM InhouseTrf  KE TJAHAYA</t>
  </si>
  <si>
    <t xml:space="preserve">BRI FGD Smg Kom XI,  06736    MCM InhouseTrf  KE PANTRAVEL </t>
  </si>
  <si>
    <t xml:space="preserve">TSel Reach Beyond Ar06700  BSMDIDJA/AULIA AYU ASYURA </t>
  </si>
  <si>
    <t>TSel Reach Beyond Ar06804   BSMDIDJA/AULIA AYU ASYURA</t>
  </si>
  <si>
    <t xml:space="preserve">TSel FBP West Area,  06791  MCM InhouseTrf  KE PANTRAVEL </t>
  </si>
  <si>
    <t xml:space="preserve">Himbara KunKer Batam 06772   MCM InhouseTrf  KE PANTRAVEL </t>
  </si>
  <si>
    <t xml:space="preserve">TSel Ground Check Im 06789  MCM InhouseTrf  KE PANTRAVEL </t>
  </si>
  <si>
    <t xml:space="preserve">TSel Leaders Mtg Q4  MCM InhouseTrf  KE PANTRAVEL </t>
  </si>
  <si>
    <t xml:space="preserve">TSel Ground Check Im 06699  MCM InhouseTrf  KE PANTRAVEL </t>
  </si>
  <si>
    <t xml:space="preserve">BRI FGD Smg KomXI Stage+MC Crew AHMAD WIDYA NUGRAH  </t>
  </si>
  <si>
    <t xml:space="preserve">BSI KunKer BAKN PP Prod 25-27Nop AHMAD WIDYA NUGRAH  </t>
  </si>
  <si>
    <t xml:space="preserve">TSel LeadersMtg Q4 Santika Rm+BFast MULTI DAYA INVESTA  </t>
  </si>
  <si>
    <t xml:space="preserve">HimbaranKunKerBata Show Mgt+GR TEUKU DONNYA SYAHP  </t>
  </si>
  <si>
    <t xml:space="preserve">TSel LeadersMtgQ4 4Rms BatiqaLampung SURYA INTERNUSA HO  </t>
  </si>
  <si>
    <t xml:space="preserve">TSel  LeadersMtgQ4 AriFarizki+AyuAuli MULTI DAYA INVESTA  </t>
  </si>
  <si>
    <t xml:space="preserve">HimbaraKunKerBatam 35Mic11DecMarriott MARIA PATRICIA SUG  </t>
  </si>
  <si>
    <t xml:space="preserve">TSel LeadersMtg Q4 Devisiasi Kamar MULTI DAYA INVESTA  </t>
  </si>
  <si>
    <t xml:space="preserve">HimbaraKunKerBatam Produksi 11Dec ZEHRA BALINA  </t>
  </si>
  <si>
    <t xml:space="preserve">TSel LeadersMtg Q4 Deviasi kamar MULTI DAYA INVESTA  </t>
  </si>
  <si>
    <t>Telkomsel Leaders Meeting Q4 Area 1</t>
  </si>
  <si>
    <t xml:space="preserve">Restaurant Garuda Medan </t>
  </si>
  <si>
    <t xml:space="preserve">Toko Abadi ( Le minerale ) 3 dus </t>
  </si>
  <si>
    <t xml:space="preserve">Beli Nestle Pure Life 6 dus </t>
  </si>
  <si>
    <t xml:space="preserve">Tambahan Meals Rest Garuda Medan </t>
  </si>
  <si>
    <t xml:space="preserve">Gofood beli Kopi Titik Koma </t>
  </si>
  <si>
    <t xml:space="preserve">Gofood Risol dan lemper </t>
  </si>
  <si>
    <t>Gofood Fore Coffee</t>
  </si>
  <si>
    <t xml:space="preserve">Rumah Makan Padang Sidempuan </t>
  </si>
  <si>
    <t xml:space="preserve">Kopi Titik Temu Medan </t>
  </si>
  <si>
    <t xml:space="preserve">Biaya Transfer ke Client </t>
  </si>
  <si>
    <t>- Pimpinan Rapat (1 orang)</t>
  </si>
  <si>
    <t>- Anggota (5 orang)</t>
  </si>
  <si>
    <t>- Setkom</t>
  </si>
  <si>
    <t>Tipping Driver (2 Hari)</t>
  </si>
  <si>
    <t>Fee Qori</t>
  </si>
  <si>
    <t>Sewa Table Clothes</t>
  </si>
  <si>
    <t>Cetak  Table Name - art paper</t>
  </si>
  <si>
    <t>Reimburse BSI PGK as per rqst Ibu Andini</t>
  </si>
  <si>
    <t>Fee Qory baca Quran</t>
  </si>
  <si>
    <t xml:space="preserve">Bayar tambahan kopi dan minuman di Resto </t>
  </si>
  <si>
    <t>Request Cash dari Ibu Andini per tgl 17 Dec</t>
  </si>
  <si>
    <t>Mandiri FGD IKN</t>
  </si>
  <si>
    <t>Pemindahan Sementara Akhir Tahun</t>
  </si>
  <si>
    <t>Telkomsel Market Validationn Backpacker BKL - MRE Q2 - 2025</t>
  </si>
  <si>
    <t>Telkomsel Singtel Forum - Store in Grapari Singapura Nov 2025</t>
  </si>
  <si>
    <t>BRI Peringatan Puncak HUT ke-26 DWP dan Hari Ibu ke-97 DWP BKN</t>
  </si>
  <si>
    <t>Cetak Laporan Mandiri FGD Banten</t>
  </si>
  <si>
    <t>219/PCMI/AR/XII/2025</t>
  </si>
  <si>
    <t>254/PCMI/AR/XII/2025</t>
  </si>
  <si>
    <t xml:space="preserve">Retail IDN JAKARTA BARAT TIKET.COM </t>
  </si>
  <si>
    <t>SOLITAIRE HOTEL INDONE TANGERANG </t>
  </si>
  <si>
    <t>PELITA AIR-IPG JAKARTA ID -Pelita Air inv 000272338, 000272346, 000272361, 000272390, 000272447, 000272450, 000927249 tiket 7 pax</t>
  </si>
  <si>
    <t>PELITA AIR-IPG JAKARTA ID - Pelita Air inv 000272338, 000272346, 000272361, 000272390, 000272447, 000272450, 000927249 tiket 7 pax</t>
  </si>
  <si>
    <t>Retail IDN JAKARTA Traveloka3DS-1297609033 - Telkomsel Single Forum - Store in Gaprari Sinagpura Nov 2025"</t>
  </si>
  <si>
    <t>Retail IDN JAKARTA Traveloka3DS-1298036437 -  Telkomsel SIngtel Forum - Store in Grapari Singapura Nov 2025"</t>
  </si>
  <si>
    <t>Retail IDN JAKARTA Traveloka3DS-1298115094 - Telkomsel SIngtel Forum - Store in Grapari Singapura Nov 2025</t>
  </si>
  <si>
    <t>Retail IDN Tangerang (K PT INDONESIA AIR - Airasia 350919240607 - Telkomsel Reach Beyond Area Sumatera 2025</t>
  </si>
  <si>
    <t>Retail IDN Jakarta Tokopedia - Tokopedia - Pembelian Dodol Ny Lauw 75 Pcs</t>
  </si>
  <si>
    <t>Retail IDN Jakarta Tokopedia - Tokopedia - Pembelian tambahan 15 Pcs Dodol Ny Lauw</t>
  </si>
  <si>
    <t>Retail IDN Jakarta Tokopedia - Whoosh - inv GA29432490 tiket an. Vivi, Sri, Dedih</t>
  </si>
  <si>
    <t>Retail IDN JAKARTA SELAT GOJEK RECURRING - Gofood - Pembelian Kopi Fore 10 cup Late untuk tgl 11 Nov TLT lanrai 20</t>
  </si>
  <si>
    <t>Retail IDN JAKARTA HB MAMPANG II - Holland Bakery Mampang - Pengadaan Snack Box untuk di TLT lantai 20 tgl 11 Nov 2025 total 10 snackbox</t>
  </si>
  <si>
    <t>Retail IDN JAKARTA PELITA AIR-IPG - HOTEL DI MEGAMENDUNG - Pembayaran hotel utk team 16-17 Nov</t>
  </si>
  <si>
    <t>TIKET.COM Jakarta PusatID - Hotel Grand City Hall Medan 2 kamar tgl 08 -10 Okt 2025 an Mirza Fachlevy &amp; Desti Sadene</t>
  </si>
  <si>
    <t>TIKET.COM Jakarta PusatID - Hotel d'Primahotel Kualanamu Airport Medan 13-14 Okt 2025 an Fadlan Azmi</t>
  </si>
  <si>
    <t>TIKET.COM Jakarta PusatID - Favehotel Olo Padang 13-14 Okt 2025 an Muhammad Ridho Simatupang</t>
  </si>
  <si>
    <t>XDT*PALAM MANSION https://wwwxeID - Apartemen One Residence Batam 13-17 Okt 2025 an Wahyu Gunawan</t>
  </si>
  <si>
    <t>TIKET.COM Jakarta PusatID - Hotel Desatu Medan 19-20 Okt 2025 an Zulhelmi</t>
  </si>
  <si>
    <t>BATAMIA-HO BATAM ID - Pembelian Luti Gendang 3 Kotak isi 20 Pcs ( Tambahan Mbak Ayu )</t>
  </si>
  <si>
    <t>LAPIS MULIA GB BATAM KOT. ID - Pembelian LapisNo 1 Batam Bang Ican dan Pak Saki</t>
  </si>
  <si>
    <t>MORNING BAKERY GREENLAND Batam (Kota) ID - Pembelian Kopi Susu 50 cup untuk meeting lantai 3 breakout TSO Batam tgl 15 Okt 2025</t>
  </si>
  <si>
    <t>Traveloka3DS-1294318370 Jakarta ID - Tiket Citilink KNO CGK tgl 22 Oct an Henny Purweni &amp; Duma Sianipar</t>
  </si>
  <si>
    <t>HARRIS HOTEL BA*000044804BATAM ID - Harris Batam Centre Pembayaran 7 Kamar Tsel Grp 29 -31 Oct 2025</t>
  </si>
  <si>
    <t>HOTEL THE EXCEL*000049290PALEMBANG ID - Hotel Excelton Palembang Room and Bfast 2 kamar 2 malam 3-5Nov 2025 an Agra Andhyka &amp; Muhammad Ilham</t>
  </si>
  <si>
    <t>HOTEL THE EXCEL*000049299PALEMBANG ID - Deviasi kamar tgl 06-07 Nov 2025 an Agra Andhyka Chandra dan Josia</t>
  </si>
  <si>
    <t>TIKET.COM Jakarta PusatID - Hotel harper Palembang 06-07 Nov 2025 (2 kamar ) an Agra Andhyika Chandra &amp; Muhammad Ilham</t>
  </si>
  <si>
    <t>TIKET.COM Jakarta PusatID - Hotel Fave Medan 05-08 Nov 2025 an Rio Ramadhan</t>
  </si>
  <si>
    <t>TIKET.COM Jakarta PusatID - Hotel Mercure Gatsu Jakarta 09-11 Nov 2025 ( 2 kamar) an Ari Farizki &amp; Josia Prananta Tarigan</t>
  </si>
  <si>
    <t>TIKET.COM Jakarta PusatID - Hotel Mercure Gatsu 09-11 Nov 2025 an Jackson Sihombing</t>
  </si>
  <si>
    <t>MERCURE JAKARTA*000060296JAKARTA SLT ID - Hotel Mercure Gatot Subroto Jakarta Room and Bfast 17-19 Nov 2025 an Fachrul Rizzal</t>
  </si>
  <si>
    <t>SOLITAIRE HOTEL INDONE TANGERANG KAB - BBM B 2313 BRN, 29 Oct 2025</t>
  </si>
  <si>
    <t>ALFAMRT T893 MDRS MEND TANGERANG - Indomaret dan Alfamart - Pembelian permen Fisherman utk semua peserta FGD</t>
  </si>
  <si>
    <t>IDM T9W2-KEBAYORAN LAM TANGERANG - Indomaret dan Alfamart - Pembelian permen Fisherman utk semua peserta FGD</t>
  </si>
  <si>
    <t>INDOMARET TWKZ - MEDRI Tangerang (Ka - Indomaret dan Alfamart - Pembelian permen Fisherman utk semua peserta FGD</t>
  </si>
  <si>
    <t>PIGMA TANGERANG - Pembayaran print materi OJK</t>
  </si>
  <si>
    <t>RM PAYAKUMBUAH GADING TANGERANG KOT - Beli makan siang team PCMI dan PIC Mandiri</t>
  </si>
  <si>
    <t>PELITA AIR-IPG JAKARTA ID - inv 000269010, 000269006 tiket an Franky, Freddy</t>
  </si>
  <si>
    <t>Retail IDN JAKARTA UTARA MERCURE JAKARTA - Meeting Private Senior Leader PIK tgl 20 Oct 2025</t>
  </si>
  <si>
    <t>Retail IDN TANGERANG KOT ESPAY*CITILINK - Pembayaran block seat citilink an Ahson, franky</t>
  </si>
  <si>
    <t>HOTEL SANTIKA BATAM-HO BATAM - Pelunasan Hotel dan paket dinner</t>
  </si>
  <si>
    <t>WEY WEY PALACE BATAM - Pembayaran makan malam Telkomsel Region dan VIP</t>
  </si>
  <si>
    <t>HOODS COFFEE-HO BATAM - Bayar Makan Malam VIP dan Regional Tsel</t>
  </si>
  <si>
    <t>HOTEL SANTIKA BATAM-HO BATAM - Pembayaran 3 malam utk Extra bed dan 1 malam tambahan as per rqst TSEL</t>
  </si>
  <si>
    <t>HARRIS HOTEL BA*000031944BATAM ID - Room adn Bfast 3 Kamar Speaker James Gwee dan asistant tgl 13-15 Oct 2025</t>
  </si>
  <si>
    <t>HARRIS HOTEL BA*000045245BATAM ID - Telkomsel Dinner 29 Oct 2025 40 Paxs</t>
  </si>
  <si>
    <t>Traveloka*1308275473 Jakarta ID - inv 1308275473, 1308277910 tiket an frida</t>
  </si>
  <si>
    <t>Traveloka-1308277910 Jakarta ID - inv 1308275473, 1308277910 tiket an frida</t>
  </si>
  <si>
    <t>MERCURE JAKARTA*000061051JAKARTA SLT ID - Room and Bfast an Ari Fariski 18-20 nov 2025</t>
  </si>
  <si>
    <t>MERCURE JAKARTA*000061174JAKARTA SLT ID - Room and Bfast an Ari Fariski 18-20 nov 2025</t>
  </si>
  <si>
    <t>TIKET.COM Jakarta PusatID - Hotel Jayakarta Suites Bandung, 19-21 Nov 2025 an Josia Prananta Tarigan</t>
  </si>
  <si>
    <t>MERCURE JAKARTA*000061756JAKARTA SLT ID - deviasi Kamar ke 2 tgl 19-20 Nov 2025 an Ari Fariski</t>
  </si>
  <si>
    <t>TIKET.COM Jakarta PusatID - Hotel Best Western Senayan 23-25 Nov 2025 an Rizal Nur Andy</t>
  </si>
  <si>
    <t>TIKET.COM Jakarta PusatID - Hotel Amel Banda Aceh 26-28 Nov 2025 3 kamar an Avanty , Budi Kusuma , Eko Widyatmoko</t>
  </si>
  <si>
    <t>TIKET.COM Jakarta PusatID - Biaya reschedule Kamar an Rizal Nur Andy</t>
  </si>
  <si>
    <t>TIKET.COM Jakarta PusatID - Hotel Artotel Gelora Senayan, 24-25 Nov 2025 an Rizal Nur Andy</t>
  </si>
  <si>
    <t>Traveloka3DS-130362829 Jakarta ID - inv 1303628294, 1303696484 tiket KAI an Maria, Teuku, Aditya</t>
  </si>
  <si>
    <t>Traveloka-1303696484 Jakarta ID - inv 1303628294, 1303696484 tiket KAI an Maria, Teuku, Aditya</t>
  </si>
  <si>
    <t>TIKET.COM Jakarta PusatID - Hotel Artotel Gelora Senayan , 25-26 Nov 2025 an Rizal Nur Andy</t>
  </si>
  <si>
    <t>TIKET.COM Jakarta PusatID - Hotel Ibis Simpang lima semarang an Mas Rizky dan Analita ( 2 kamar ) 27 -28 Nov 2025</t>
  </si>
  <si>
    <t>IPAY88*ARYADUTA MEDAN MEDAN KOT. ID - Pembayaran Room and Bfast checkin 26- 28 Nov ( 2 kamar ) an Purnama Adiputra &amp; Budi Ramizon/Muzlin Manurung</t>
  </si>
  <si>
    <t>Traveloka3DS-130421694 Jakarta ID - inv 1304216940 tiket KAI an Teuku</t>
  </si>
  <si>
    <t>TIKET.COM Jakarta PusatID - Hotel Fave Gatsu Jakarta 30 Nov - 02 Dec 2025 an Trinanda Aditya Arya Wibisono</t>
  </si>
  <si>
    <t>TIKET.COM Jakarta PusatID - Hotel JS Luwansa 03-04 Dec 1 kamar Twn &amp; Hotel Studio One Thamrin 04-05 Dec db bed an Josia Prananta &amp; Trinanda</t>
  </si>
  <si>
    <t>JSLUWANSA.COM Jakarta SelatID - Hotel JS Luwansa 03-04 Dec 1 kamar Twn &amp; Hotel Studio One Thamrin 04-05 Dec db bed an Josia Prananta &amp; Trinanda</t>
  </si>
  <si>
    <t>RAILINK.CO.ID *H25120817JAKARTA PUSATID - inv 3468366792553, 1650333884427 tiket kereta an Fachrul</t>
  </si>
  <si>
    <t>RAILINK.CO.ID-IPG2 JAKARTA ID - inv 3468366792553, 1650333884427 tiket kereta an Fachrul</t>
  </si>
  <si>
    <t>BKG*HOTEL AT BOOKING.C (888)850-3958NL - Zest Hotel Batam Pembayaran kamar hotel untuk Team PCMI tanggal 9 - 12 Desember 2 rooms</t>
  </si>
  <si>
    <t>HARRIS HTL&amp;SUIT*000076342BATAM ID - Room &amp; Bfast 15 -17 Dec 2025 2 kamar an Riris &amp; Chicio // Eko Susanto &amp; Raihan Razafuad</t>
  </si>
  <si>
    <t>TIKET.COM Jakarta PusatID - Hotel Santika Batam type executive deluxe 09-10 Dec 2025 an Tohom Deddy Purba</t>
  </si>
  <si>
    <t>Traveloka3DS-130814912 Jakarta ID - inv 1308149128 tiket an chicio, riris</t>
  </si>
  <si>
    <t>HOTEL GRAND MER*000077011BATAM ID - inv 1308149128 tiket an chicio, riris</t>
  </si>
  <si>
    <t>HOTEL SANTIKA P*000077031PADANG ID - Room and Bfast Tsel Grp 17-20 Dec 2025 ( 6 kamar ) dan 18-20 Dec 2025 ( 6 Kamar )</t>
  </si>
  <si>
    <t>HOTEL SANTIKA P*000077037PADANG ID - Room and Bfast Tsel Grp 17-20 Dec 2025 ( 6 kamar ) dan 18-20 Dec 2025 ( 6 Kamar )</t>
  </si>
  <si>
    <t>HOTEL THE EXCEL*000077928PALEMBANG ID - Room and Bfast 11-12 Dec 2025 an Ivan Angga Utama</t>
  </si>
  <si>
    <t>TIKET.COM Jakarta PusatID - Hotel Grand Central Medan 30 Dec 2025 - 01 Jan 2026 an Ilham Jani Lubis</t>
  </si>
  <si>
    <t>TIKET.COM Jakarta PusatID - Hotel Amaris Lampung 30 Dec 2025 - 01 Jan 2026</t>
  </si>
  <si>
    <t>TIKET.COM Jakarta PusatID - Hotel Grand Zuri Pekanbaru 17 -19 Dec 2025 an Zulfahmi</t>
  </si>
  <si>
    <t>TIKET.COM Jakarta PusatID - Hotel KHAS Pekanbaru 30 Dec2025 - 01 Jan 2026 an Septryan Akbar Tenrisauk</t>
  </si>
  <si>
    <t>LION AIR-IPG KOTA JAKARTA ID - Pembelian ekstra bagasi 10 Kg an Saki KNOPDG</t>
  </si>
  <si>
    <t>TIKET.COM Jakarta PusatID - Hotel Ibis Padang 17-19 Dec 2025 an Wahyu Gunawan</t>
  </si>
  <si>
    <t>GODAI SEJIWA-HO BANGKA TENGAH ID - Pembayaran oleh2 BSI</t>
  </si>
  <si>
    <t xml:space="preserve">SWISS-BELHOTEL PANGKAL PGKL PINANG ID - Pembayaran paket meeting Halfday tanggal 27Nov	</t>
  </si>
  <si>
    <t>HOTEL TENTREM SEMARANG - Pembayaran Kamar atas Nama Adnan (User BRI)</t>
  </si>
  <si>
    <t>HOTEL TENTREM SEMARANG - Pembayaran Ballroom Hotel Tentrem Semarang dilakukan dalam 4 termin pembayaran agar tidak kena charge 2%</t>
  </si>
  <si>
    <t>GUMAYA TOWER HOTEL-HO SEMARANG - Pembayaran Kamar Hotel Gumaya atas Nama Bapak Harris Turino (DPR)</t>
  </si>
  <si>
    <t>MARRIOTT HOTEL BATAM-H BATAM - Pembayaran paket meeting dan kamar BRI dan BTN</t>
  </si>
  <si>
    <t>TOP 100 GRAND BATAM - Beli coklat oleh2 utk goodybag Peserta BRI dan BTN</t>
  </si>
  <si>
    <t>TOP 100 GRAND BATAM - Bayar oleh2 untuk kantor BRI sesuai request Adnan dan Atuy</t>
  </si>
  <si>
    <t>LUXTON HOTEL CIREBON CIREBON KOT. ID - Pembayaran paket meeting HD dan kamar Pak Hekal</t>
  </si>
  <si>
    <t>THE LUXTON CRB HOTEL MBL CIREBON ID - Pembayaran penambahan makanan dan kamar as per rqst Helda</t>
  </si>
  <si>
    <t>Refund Setyobudi/Agung Erwan Mr PDG-KNO</t>
  </si>
  <si>
    <t>Refund Nugroho Adi Wibowo KNO-BTH</t>
  </si>
  <si>
    <t>Refund Muh Saleh Usman KNO-BTH</t>
  </si>
  <si>
    <t>Refund Hendri M Tarigan KNO-BTH</t>
  </si>
  <si>
    <t>Refund I Putu Eka Udayana Rudita KNO-BTH</t>
  </si>
  <si>
    <t>Refund NOVLI FELISIA SITUMORANG ms BTH-KNO</t>
  </si>
  <si>
    <t>Refund Mustakim Wahyudi mr PKU-CGK</t>
  </si>
  <si>
    <t>Refund Mustakim Wahyudi PKU-CGK</t>
  </si>
  <si>
    <t>Refund Wibowo/Nugroho Adi Mr PKU-HLP</t>
  </si>
  <si>
    <t>Refund Budiman/Mulya Mr KNO-CGK</t>
  </si>
  <si>
    <t>Refund Budiman/Mulya Mr KNO-HLP</t>
  </si>
  <si>
    <t>Refund Budiman/Mulya Mr CGK-KNO</t>
  </si>
  <si>
    <t>Refund Muhammad Farhan PDG-KNO</t>
  </si>
  <si>
    <t>Refund Andre Firdaus Ginting Munthe PKU-KNO</t>
  </si>
  <si>
    <t>Refund Andri Sulaeman PKU-KNO</t>
  </si>
  <si>
    <t>Refund Alfon Oktrianda KNO-BTH</t>
  </si>
  <si>
    <t>Refund Hasanul Haq KNO-BTH-PKU</t>
  </si>
  <si>
    <t>Refund Alfon Oktrianda HLP-KNO</t>
  </si>
  <si>
    <t>Refund Hasanul Haq PKU-KNO</t>
  </si>
  <si>
    <t>Refund Mario Carolus Beato Gelu PKU-KNO</t>
  </si>
  <si>
    <t>Refund Citra dwisatyawan PLM-KNO</t>
  </si>
  <si>
    <t>Refund Budi febri ramizon PLM-KNO</t>
  </si>
  <si>
    <t>Refund Purnama Adhiputra KNO-CGK</t>
  </si>
  <si>
    <t>Refund Hollyanto PGK-CGK-KNO-CGK-PGK</t>
  </si>
  <si>
    <t>Refund Nopi Afandi KNO-CGK</t>
  </si>
  <si>
    <t>Refund Nopi Afandi CGK-KNO</t>
  </si>
  <si>
    <t>Refund Dheni Haryanto PLM-KNO-PLM</t>
  </si>
  <si>
    <t>Refund M. Rizky Aulia CGK-KNO-CGK</t>
  </si>
  <si>
    <t>Refund Yogi Purwo Widodo CGK-KNO-CGK</t>
  </si>
  <si>
    <t>Refund Mario Carolus Beato Gelu KNO-PKU</t>
  </si>
  <si>
    <t>Refund Purnama Adhiputra CGK-PLM</t>
  </si>
  <si>
    <t>Refund Agus Supranowo KNO-BTH</t>
  </si>
  <si>
    <t>Refund Nopi Afandi PLM-BTH</t>
  </si>
  <si>
    <t>Refund Muhammad ronni lubis CGK-BTH</t>
  </si>
  <si>
    <t>Refund Agung Erwan Setyobudi BTH-CGK</t>
  </si>
  <si>
    <t>Refund Ahson Mas'ud KNO-CGK</t>
  </si>
  <si>
    <t>Refund Freddy Siburian KNO-CGK</t>
  </si>
  <si>
    <t>Refund Azrin Ayub BTH-KNO</t>
  </si>
  <si>
    <t>Refund Darmawan Damanik BTH-KNO</t>
  </si>
  <si>
    <t>Refund Fadlan Azmi BTH-KNO</t>
  </si>
  <si>
    <t>Refund Randy Noary BTH-TKG</t>
  </si>
  <si>
    <t>Refund Nopi Afandi BTH-PLM</t>
  </si>
  <si>
    <t>Refund Muhammad Naufal Rizaldy BTH-CGK</t>
  </si>
  <si>
    <t>Refund Riki Agus Setiawan BTH-KNO</t>
  </si>
  <si>
    <t>Refund Henni Purweni CGK-KNO</t>
  </si>
  <si>
    <t>Refund Duma Sianipar CGK-KNO</t>
  </si>
  <si>
    <t>Refund CAMELIA RIZKIKA BTH-KNO</t>
  </si>
  <si>
    <t>Refund Muhammad Ilham KNO-CGK</t>
  </si>
  <si>
    <t>Refund EKO SUSANTO BTH-KNO </t>
  </si>
  <si>
    <t>Refund Dian Abdillah BTJ-KNO</t>
  </si>
  <si>
    <t>Refund Budi Kusuma BTJ-KNO</t>
  </si>
  <si>
    <t>Refund Trinanda Aditya Arya Wibisono BTJ-KNO</t>
  </si>
  <si>
    <t>Refund Avanty Fariska Hafdar BTJ-KNO</t>
  </si>
  <si>
    <t>Refund Rina Agustina Anggraeni BTJ-KNO</t>
  </si>
  <si>
    <t>Refund Fachrul Rizzal KNO-PKU</t>
  </si>
  <si>
    <t>Refund ASYURA AULIA AYU MS TKG-CGK</t>
  </si>
  <si>
    <t>Refund ASYURA/AULIAAYUMS KNO-BTH</t>
  </si>
  <si>
    <t>Refund FARIZKI/ARIMR KNO-BTH</t>
  </si>
  <si>
    <t>Refund MS AULIA AYU ASYURA       CGK-KNO</t>
  </si>
  <si>
    <t>Refund MS AULIA AYU ASYURA KNO-CGK-TKG</t>
  </si>
  <si>
    <t>Refund BRAMONO SAKI HAMSAT MR PKU-CGK</t>
  </si>
  <si>
    <t>Refund TAMBUNAN/RIRISYULIANAMRS BTH-KNO</t>
  </si>
  <si>
    <t>Refund SEMBIRING/CHICIOZEVENIAMRS       BTH-KNO</t>
  </si>
  <si>
    <t>Refund RAZAFUAD/RAIHANMR       BTH-KNO</t>
  </si>
  <si>
    <t>Refund TARIGAN/HENDRIMORELTA MR CGK-PKU</t>
  </si>
  <si>
    <t>Refund Ivan Angga Utama PKU-CGK</t>
  </si>
  <si>
    <t>Refund Ivan Angga Utama CGK-TKG</t>
  </si>
  <si>
    <t>Refund Ivan Angga Utama TKG-CGK</t>
  </si>
  <si>
    <t>Refund Fachrul Rizzal PKU-CGK</t>
  </si>
  <si>
    <t>Refund Fachrul Rizzal CGK-TKG</t>
  </si>
  <si>
    <t>Refund Fachrul Rizzal TKG-CGK</t>
  </si>
  <si>
    <t>Refund Wawan kuswandono CGK-KNO : WA Yogi 9-Jan-25 = Telkomsel Pisah Sambut VP Sales A1</t>
  </si>
  <si>
    <t>Refund SUGIARTO/AGUS MR BTH-CGK : WA Praja 9-Jan-26 - kata Yogi untuk Telkomsel O&amp;M Consolidation Tahap 2</t>
  </si>
  <si>
    <t>Mutasi 2026</t>
  </si>
  <si>
    <t>File via WA dari AH dan Praja 8-Jan-2026 : REFUND PCMI recons 2025</t>
  </si>
  <si>
    <t>0207511866 CENAIDJA/TATYANA MANVIASARI : WA FA 11-Jan-26 - tyt komisi Catering event Tsel Batam nya yg Yogi</t>
  </si>
  <si>
    <t>PELITA AIR-IPG JAKARTA ID : WA Praja Tgl 11-Jan-26 - Untuk refund pelita Telkomsel O&amp;M Consolidation tahap 2 Pak</t>
  </si>
  <si>
    <t>L48Sxq PD 539695104 DARI SINAR DIGITAL TERDEP (Biaya Transaksi Penjual PADi ) : Rp. 30.336.244</t>
  </si>
  <si>
    <t>261/PCMI/AR/XII/2025</t>
  </si>
  <si>
    <t>Telkomsel Pengadaan untuk visit Cluster Area Sumatera Q3</t>
  </si>
  <si>
    <t>Padi Telkom</t>
  </si>
  <si>
    <t>235/PCMI/AR/XII/2025</t>
  </si>
  <si>
    <t>PPn Masukan 2025 dilaporkan 2026</t>
  </si>
  <si>
    <t>AP PPN Non WAPU</t>
  </si>
  <si>
    <t>217/PCMI/AR/XII/2025</t>
  </si>
  <si>
    <t>FIF NMC ACT Handling</t>
  </si>
  <si>
    <t>Retail IDN Gianyar (Kab BALI SUPERHOST B : Pembayaran 1 unit Villa Arroyo Ubud (10-12 Januari 2026)</t>
  </si>
  <si>
    <t>Shell Bali Private Trip 2026</t>
  </si>
  <si>
    <t>Retail IDN Gianyar (Kab BALI SUPERHOST B : Balinese Spa 90mnt (11-Jan) dan Breakfast (12-Jan)</t>
  </si>
  <si>
    <t>Type</t>
  </si>
  <si>
    <t>Vendor</t>
  </si>
  <si>
    <t>DESCRIPTION</t>
  </si>
  <si>
    <t>OUTSTANDING 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</si>
</sst>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5" formatCode="_(* #,##0.00_);_(* \(#,##0.00\);_(* &quot;-&quot;_);_(@_)"/>
    <numFmt numFmtId="167" formatCode="_-* #,##0.00_-;\-* #,##0.00_-;_-* &quot;-&quot;??_-;_-@_-"/>
    <numFmt numFmtId="168" formatCode="_(* #,##0_);_(* \(#,##0\);_(* &quot;-&quot;??_);_(@_)"/>
    <numFmt numFmtId="169" formatCode="_-* #,##0_-;\-* #,##0_-;_-* &quot;-&quot;_-;_-@_-"/>
    <numFmt numFmtId="170" formatCode="_(* #,##0.0_);_(* \(#,##0.0\);_(* &quot;-&quot;_);_(@_)"/>
  </numFmts>
  <fonts count="26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rgb="FFFF0000"/>
      <name val="TimesNewRomanPSMT"/>
      <family val="2"/>
    </font>
    <font>
      <sz val="12"/>
      <color theme="1"/>
      <name val="TimesNewRomanPSMT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NewRomanPSMT"/>
      <family val="2"/>
    </font>
    <font>
      <sz val="10"/>
      <name val="Times New Roman"/>
      <family val="1"/>
    </font>
    <font>
      <sz val="10"/>
      <name val="Arial"/>
      <family val="2"/>
    </font>
    <font>
      <sz val="10"/>
      <name val="Comic Sans MS"/>
      <family val="4"/>
    </font>
    <font>
      <b/>
      <sz val="12"/>
      <name val="TimesNewRomanPSMT"/>
      <family val="2"/>
    </font>
    <font>
      <sz val="10"/>
      <color rgb="FFFF0000"/>
      <name val="Comic Sans MS"/>
      <family val="4"/>
    </font>
    <font>
      <sz val="10"/>
      <color rgb="FFFF0000"/>
      <name val="Times New Roman"/>
      <family val="1"/>
    </font>
    <font>
      <sz val="12"/>
      <color rgb="FF0070C0"/>
      <name val="TimesNewRomanPSMT"/>
      <family val="2"/>
    </font>
    <font>
      <b/>
      <sz val="10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41" fontId="1" fillId="0" borderId="0" applyFont="0" applyFill="0" applyBorder="0" applyAlignment="0" applyProtection="0"/>
    <xf numFmtId="0" fontId="7" fillId="0" borderId="0"/>
    <xf numFmtId="0" fontId="8" fillId="0" borderId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1" fontId="7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14" fillId="0" borderId="0"/>
    <xf numFmtId="41" fontId="7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" fillId="0" borderId="0"/>
    <xf numFmtId="0" fontId="1" fillId="0" borderId="0"/>
  </cellStyleXfs>
  <cellXfs count="91">
    <xf numFmtId="0" fontId="0" fillId="0" borderId="0" xfId="0"/>
    <xf numFmtId="165" fontId="0" fillId="0" borderId="0" xfId="1" applyNumberFormat="1" applyFont="1"/>
    <xf numFmtId="0" fontId="0" fillId="0" borderId="0" xfId="0" quotePrefix="1"/>
    <xf numFmtId="0" fontId="3" fillId="0" borderId="0" xfId="0" applyFont="1"/>
    <xf numFmtId="0" fontId="8" fillId="0" borderId="0" xfId="3"/>
    <xf numFmtId="0" fontId="10" fillId="0" borderId="0" xfId="3" applyFont="1" applyAlignment="1">
      <alignment horizontal="center"/>
    </xf>
    <xf numFmtId="165" fontId="8" fillId="0" borderId="0" xfId="4" applyNumberFormat="1" applyFont="1" applyFill="1" applyAlignment="1">
      <alignment horizontal="center"/>
    </xf>
    <xf numFmtId="0" fontId="8" fillId="0" borderId="0" xfId="3" applyAlignment="1">
      <alignment horizontal="center"/>
    </xf>
    <xf numFmtId="0" fontId="8" fillId="0" borderId="0" xfId="3" applyAlignment="1">
      <alignment horizontal="left"/>
    </xf>
    <xf numFmtId="165" fontId="4" fillId="0" borderId="0" xfId="1" applyNumberFormat="1" applyFont="1" applyFill="1"/>
    <xf numFmtId="0" fontId="4" fillId="0" borderId="0" xfId="0" applyFont="1"/>
    <xf numFmtId="165" fontId="4" fillId="0" borderId="0" xfId="1" applyNumberFormat="1" applyFont="1"/>
    <xf numFmtId="0" fontId="12" fillId="0" borderId="0" xfId="3" applyFont="1"/>
    <xf numFmtId="0" fontId="8" fillId="0" borderId="0" xfId="0" applyFont="1"/>
    <xf numFmtId="165" fontId="4" fillId="0" borderId="0" xfId="0" applyNumberFormat="1" applyFont="1"/>
    <xf numFmtId="165" fontId="0" fillId="0" borderId="0" xfId="4" applyNumberFormat="1" applyFont="1"/>
    <xf numFmtId="43" fontId="8" fillId="0" borderId="0" xfId="3" applyNumberFormat="1"/>
    <xf numFmtId="41" fontId="0" fillId="0" borderId="0" xfId="4" applyFont="1" applyAlignment="1">
      <alignment horizontal="center"/>
    </xf>
    <xf numFmtId="0" fontId="10" fillId="0" borderId="0" xfId="3" applyFont="1"/>
    <xf numFmtId="0" fontId="2" fillId="0" borderId="0" xfId="0" applyFont="1"/>
    <xf numFmtId="0" fontId="8" fillId="0" borderId="0" xfId="0" applyFont="1" applyAlignment="1">
      <alignment horizontal="left"/>
    </xf>
    <xf numFmtId="165" fontId="6" fillId="0" borderId="0" xfId="1" applyNumberFormat="1" applyFont="1"/>
    <xf numFmtId="41" fontId="8" fillId="0" borderId="0" xfId="1" applyFont="1" applyBorder="1" applyAlignment="1">
      <alignment horizontal="center"/>
    </xf>
    <xf numFmtId="165" fontId="8" fillId="0" borderId="0" xfId="1" applyNumberFormat="1" applyFont="1"/>
    <xf numFmtId="41" fontId="8" fillId="0" borderId="0" xfId="1" applyFont="1" applyBorder="1"/>
    <xf numFmtId="168" fontId="0" fillId="0" borderId="0" xfId="6" applyNumberFormat="1" applyFont="1" applyBorder="1"/>
    <xf numFmtId="0" fontId="9" fillId="0" borderId="0" xfId="3" applyFont="1"/>
    <xf numFmtId="165" fontId="0" fillId="0" borderId="0" xfId="4" applyNumberFormat="1" applyFont="1" applyBorder="1"/>
    <xf numFmtId="0" fontId="17" fillId="0" borderId="0" xfId="3" applyFont="1"/>
    <xf numFmtId="0" fontId="18" fillId="0" borderId="0" xfId="3" applyFont="1"/>
    <xf numFmtId="2" fontId="10" fillId="0" borderId="0" xfId="3" applyNumberFormat="1" applyFont="1" applyAlignment="1">
      <alignment horizontal="center"/>
    </xf>
    <xf numFmtId="0" fontId="19" fillId="0" borderId="0" xfId="3" applyFont="1" applyAlignment="1">
      <alignment horizontal="center"/>
    </xf>
    <xf numFmtId="165" fontId="0" fillId="0" borderId="0" xfId="4" applyNumberFormat="1" applyFont="1" applyFill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2" fontId="8" fillId="0" borderId="0" xfId="3" applyNumberFormat="1" applyAlignment="1">
      <alignment horizontal="center"/>
    </xf>
    <xf numFmtId="165" fontId="4" fillId="0" borderId="0" xfId="4" applyNumberFormat="1" applyFont="1" applyFill="1" applyBorder="1"/>
    <xf numFmtId="165" fontId="4" fillId="0" borderId="0" xfId="1" applyNumberFormat="1" applyFont="1" applyFill="1" applyBorder="1"/>
    <xf numFmtId="165" fontId="8" fillId="0" borderId="0" xfId="3" applyNumberFormat="1"/>
    <xf numFmtId="165" fontId="4" fillId="0" borderId="0" xfId="4" applyNumberFormat="1" applyFont="1" applyFill="1" applyAlignment="1">
      <alignment horizontal="center"/>
    </xf>
    <xf numFmtId="165" fontId="4" fillId="0" borderId="0" xfId="4" applyNumberFormat="1" applyFont="1" applyFill="1" applyBorder="1" applyAlignment="1">
      <alignment horizontal="center"/>
    </xf>
    <xf numFmtId="41" fontId="8" fillId="0" borderId="0" xfId="1" applyFont="1" applyFill="1" applyAlignment="1">
      <alignment horizontal="center"/>
    </xf>
    <xf numFmtId="0" fontId="1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0" xfId="0" applyFont="1"/>
    <xf numFmtId="165" fontId="8" fillId="0" borderId="0" xfId="4" applyNumberFormat="1" applyFont="1" applyAlignment="1">
      <alignment horizontal="center"/>
    </xf>
    <xf numFmtId="165" fontId="4" fillId="0" borderId="0" xfId="4" applyNumberFormat="1" applyFont="1" applyAlignment="1">
      <alignment horizontal="center"/>
    </xf>
    <xf numFmtId="41" fontId="8" fillId="0" borderId="0" xfId="1" applyFont="1" applyAlignment="1">
      <alignment horizontal="center"/>
    </xf>
    <xf numFmtId="165" fontId="0" fillId="0" borderId="0" xfId="4" applyNumberFormat="1" applyFont="1" applyAlignment="1">
      <alignment horizontal="center"/>
    </xf>
    <xf numFmtId="41" fontId="8" fillId="0" borderId="0" xfId="0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168" fontId="0" fillId="0" borderId="0" xfId="6" applyNumberFormat="1" applyFont="1"/>
    <xf numFmtId="165" fontId="16" fillId="0" borderId="0" xfId="4" applyNumberFormat="1" applyFont="1" applyAlignment="1">
      <alignment horizontal="center"/>
    </xf>
    <xf numFmtId="165" fontId="16" fillId="0" borderId="0" xfId="1" applyNumberFormat="1" applyFont="1" applyAlignment="1">
      <alignment horizontal="center"/>
    </xf>
    <xf numFmtId="165" fontId="20" fillId="0" borderId="0" xfId="4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41" fontId="0" fillId="0" borderId="0" xfId="1" applyFont="1" applyAlignment="1">
      <alignment horizontal="center"/>
    </xf>
    <xf numFmtId="0" fontId="19" fillId="2" borderId="0" xfId="3" applyFont="1" applyFill="1" applyAlignment="1">
      <alignment horizontal="center"/>
    </xf>
    <xf numFmtId="0" fontId="8" fillId="2" borderId="0" xfId="3" applyFill="1" applyAlignment="1">
      <alignment horizontal="center"/>
    </xf>
    <xf numFmtId="0" fontId="8" fillId="2" borderId="0" xfId="3" applyFill="1"/>
    <xf numFmtId="165" fontId="0" fillId="2" borderId="0" xfId="4" applyNumberFormat="1" applyFont="1" applyFill="1" applyAlignment="1">
      <alignment horizontal="center"/>
    </xf>
    <xf numFmtId="2" fontId="8" fillId="2" borderId="0" xfId="3" applyNumberFormat="1" applyFill="1" applyAlignment="1">
      <alignment horizontal="center"/>
    </xf>
    <xf numFmtId="165" fontId="8" fillId="2" borderId="0" xfId="1" applyNumberFormat="1" applyFont="1" applyFill="1" applyAlignment="1">
      <alignment horizontal="center"/>
    </xf>
    <xf numFmtId="168" fontId="0" fillId="2" borderId="0" xfId="6" applyNumberFormat="1" applyFont="1" applyFill="1"/>
    <xf numFmtId="0" fontId="17" fillId="2" borderId="0" xfId="3" applyFont="1" applyFill="1"/>
    <xf numFmtId="0" fontId="18" fillId="2" borderId="0" xfId="3" applyFont="1" applyFill="1"/>
    <xf numFmtId="0" fontId="21" fillId="0" borderId="0" xfId="3" applyFont="1" applyAlignment="1">
      <alignment horizontal="center"/>
    </xf>
    <xf numFmtId="2" fontId="12" fillId="0" borderId="0" xfId="3" applyNumberFormat="1" applyFont="1" applyAlignment="1">
      <alignment horizontal="center"/>
    </xf>
    <xf numFmtId="0" fontId="22" fillId="0" borderId="0" xfId="3" applyFont="1"/>
    <xf numFmtId="0" fontId="13" fillId="0" borderId="0" xfId="0" applyFont="1"/>
    <xf numFmtId="0" fontId="12" fillId="0" borderId="0" xfId="3" applyFont="1" applyAlignment="1">
      <alignment horizontal="center"/>
    </xf>
    <xf numFmtId="165" fontId="5" fillId="0" borderId="0" xfId="4" applyNumberFormat="1" applyFont="1" applyAlignment="1">
      <alignment horizontal="center"/>
    </xf>
    <xf numFmtId="41" fontId="12" fillId="0" borderId="0" xfId="1" applyFont="1" applyAlignment="1">
      <alignment horizontal="center"/>
    </xf>
    <xf numFmtId="165" fontId="12" fillId="0" borderId="0" xfId="1" applyNumberFormat="1" applyFont="1" applyAlignment="1">
      <alignment horizontal="center"/>
    </xf>
    <xf numFmtId="165" fontId="5" fillId="0" borderId="0" xfId="4" applyNumberFormat="1" applyFont="1"/>
    <xf numFmtId="165" fontId="8" fillId="0" borderId="0" xfId="0" applyNumberFormat="1" applyFont="1" applyAlignment="1">
      <alignment horizontal="center"/>
    </xf>
    <xf numFmtId="0" fontId="8" fillId="0" borderId="0" xfId="8" applyFont="1" applyAlignment="1">
      <alignment horizontal="left"/>
    </xf>
    <xf numFmtId="165" fontId="23" fillId="0" borderId="0" xfId="4" applyNumberFormat="1" applyFont="1" applyAlignment="1">
      <alignment horizontal="center"/>
    </xf>
    <xf numFmtId="165" fontId="23" fillId="0" borderId="0" xfId="1" applyNumberFormat="1" applyFont="1" applyAlignment="1">
      <alignment horizontal="center"/>
    </xf>
    <xf numFmtId="165" fontId="11" fillId="0" borderId="0" xfId="3" applyNumberFormat="1" applyFont="1"/>
    <xf numFmtId="165" fontId="12" fillId="0" borderId="0" xfId="3" applyNumberFormat="1" applyFont="1"/>
    <xf numFmtId="165" fontId="10" fillId="0" borderId="0" xfId="4" applyNumberFormat="1" applyFont="1" applyBorder="1" applyAlignment="1">
      <alignment horizontal="center"/>
    </xf>
    <xf numFmtId="0" fontId="10" fillId="0" borderId="0" xfId="3" applyFont="1" applyAlignment="1">
      <alignment horizontal="center"/>
    </xf>
    <xf numFmtId="165" fontId="10" fillId="0" borderId="0" xfId="3" applyNumberFormat="1" applyFont="1" applyAlignment="1">
      <alignment horizontal="center"/>
    </xf>
    <xf numFmtId="0" fontId="10" fillId="0" borderId="0" xfId="3" applyFont="1" applyAlignment="1">
      <alignment horizontal="center" vertical="center"/>
    </xf>
    <xf numFmtId="165" fontId="10" fillId="0" borderId="0" xfId="4" applyNumberFormat="1" applyFont="1" applyBorder="1" applyAlignment="1">
      <alignment horizontal="center" vertical="center"/>
    </xf>
    <xf numFmtId="170" fontId="10" fillId="0" borderId="0" xfId="4" applyNumberFormat="1" applyFont="1" applyBorder="1" applyAlignment="1">
      <alignment horizontal="center" vertical="center"/>
    </xf>
    <xf numFmtId="2" fontId="10" fillId="0" borderId="0" xfId="3" applyNumberFormat="1" applyFont="1" applyAlignment="1">
      <alignment horizontal="center" vertical="center"/>
    </xf>
    <xf numFmtId="165" fontId="10" fillId="0" borderId="0" xfId="4" applyNumberFormat="1" applyFont="1" applyFill="1" applyAlignment="1">
      <alignment horizontal="center" vertical="center"/>
    </xf>
    <xf numFmtId="165" fontId="10" fillId="0" borderId="0" xfId="1" applyNumberFormat="1" applyFont="1" applyFill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</cellXfs>
  <cellStyles count="20">
    <cellStyle name="Comma [0]" xfId="1" builtinId="6"/>
    <cellStyle name="Comma [0] 2" xfId="4" xr:uid="{E206625D-CE92-B946-878E-6AA0829E898C}"/>
    <cellStyle name="Comma [0] 2 2" xfId="12" xr:uid="{2A804006-5001-5049-84D3-FB258FE2E1AB}"/>
    <cellStyle name="Comma [0] 2 3" xfId="5" xr:uid="{20A799B3-BE5A-964F-BE1E-1391E29E7052}"/>
    <cellStyle name="Comma [0] 2 3 2" xfId="10" xr:uid="{6B5DF09C-6668-004E-832C-859692394773}"/>
    <cellStyle name="Comma [0] 2 3 2 2" xfId="17" xr:uid="{2EC272E1-F154-DE4D-8FFC-1738E0F2B485}"/>
    <cellStyle name="Comma [0] 3" xfId="9" xr:uid="{DCC47050-EC02-4040-8ED8-306B64C985B1}"/>
    <cellStyle name="Comma [0] 4" xfId="16" xr:uid="{5B145FB2-4D0A-B249-B369-54ABF0C38C9B}"/>
    <cellStyle name="Comma 2" xfId="6" xr:uid="{EAAE8118-4A1E-3049-ADC2-FB2BB5557A52}"/>
    <cellStyle name="Comma 2 2" xfId="7" xr:uid="{B0896BE0-35A1-2F49-8BC0-6D90093B48F4}"/>
    <cellStyle name="Comma 3" xfId="13" xr:uid="{D01750FA-08E4-0C47-9357-0F62E9D605A3}"/>
    <cellStyle name="Comma 4" xfId="15" xr:uid="{A2EC2101-5781-AC44-BED5-F1BDBB670F1A}"/>
    <cellStyle name="Normal" xfId="0" builtinId="0"/>
    <cellStyle name="Normal 2" xfId="2" xr:uid="{3B5401B9-DE75-EB48-9DE0-B2B7DAD183EC}"/>
    <cellStyle name="Normal 2 2" xfId="8" xr:uid="{54DAEB53-87F6-084C-A87B-7176E7EB83C2}"/>
    <cellStyle name="Normal 2 3" xfId="19" xr:uid="{FA86753D-0FFC-1948-8EF3-B2B2A5BEC3D7}"/>
    <cellStyle name="Normal 3" xfId="14" xr:uid="{8B874317-EAD8-D042-9017-3A3DD28E4B28}"/>
    <cellStyle name="Normal 3 4 2" xfId="11" xr:uid="{B424239B-ED7C-D142-AC4A-5D267E1997FC}"/>
    <cellStyle name="Normal 3 6" xfId="3" xr:uid="{0DE30895-D5B6-4F42-8773-FC3E05E857CB}"/>
    <cellStyle name="Normal 3 6 2" xfId="18" xr:uid="{8ECA74BB-2D76-474D-9277-CB573693B1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9165-FE15-B343-A0A8-73CE663634F1}">
  <sheetPr>
    <pageSetUpPr fitToPage="1"/>
  </sheetPr>
  <dimension ref="A1:Y2302"/>
  <sheetViews>
    <sheetView tabSelected="1" zoomScaleNormal="100" zoomScaleSheetLayoutView="100" workbookViewId="0">
      <selection activeCell="D15" sqref="D15"/>
    </sheetView>
  </sheetViews>
  <sheetFormatPr defaultColWidth="9.1875" defaultRowHeight="15.9"/>
  <cols>
    <col min="1" max="1" width="6" style="31" customWidth="1"/>
    <col min="2" max="2" width="22" style="7" customWidth="1"/>
    <col min="3" max="3" width="13.3125" style="7" customWidth="1"/>
    <col min="4" max="4" width="53.5" style="4" customWidth="1"/>
    <col min="5" max="5" width="70.8125" style="7" customWidth="1"/>
    <col min="6" max="6" width="22.5" style="47" customWidth="1"/>
    <col min="7" max="7" width="13.6875" style="47" customWidth="1"/>
    <col min="8" max="8" width="18.1875" style="34" customWidth="1"/>
    <col min="9" max="9" width="17.6875" style="34" customWidth="1"/>
    <col min="10" max="10" width="20.6875" style="34" customWidth="1"/>
    <col min="11" max="11" width="20.6875" style="49" customWidth="1"/>
    <col min="12" max="12" width="19.6875" style="4" customWidth="1"/>
    <col min="13" max="13" width="20.1875" style="4" customWidth="1"/>
    <col min="14" max="14" width="15.6875" style="50" customWidth="1"/>
    <col min="15" max="15" width="21" style="4" customWidth="1"/>
    <col min="16" max="16" width="20.3125" style="4" customWidth="1"/>
    <col min="17" max="17" width="2.1875" style="4" customWidth="1"/>
    <col min="18" max="18" width="19.8125" style="4" customWidth="1"/>
    <col min="19" max="23" width="9.1875" style="4"/>
    <col min="24" max="25" width="9.1875" style="28"/>
    <col min="26" max="16384" width="9.1875" style="29"/>
  </cols>
  <sheetData>
    <row r="1" spans="1:25" s="26" customFormat="1" ht="15.45">
      <c r="A1" s="4" t="s">
        <v>18</v>
      </c>
      <c r="B1" s="4"/>
      <c r="C1" s="4"/>
      <c r="D1" s="4"/>
      <c r="E1" s="4"/>
      <c r="F1" s="15"/>
      <c r="G1" s="15" t="s">
        <v>4</v>
      </c>
      <c r="H1" s="22" t="s">
        <v>4</v>
      </c>
      <c r="I1" s="22" t="s">
        <v>4</v>
      </c>
      <c r="J1" s="16" t="s">
        <v>4</v>
      </c>
      <c r="K1" s="23" t="s">
        <v>4</v>
      </c>
      <c r="L1" s="24" t="s">
        <v>4</v>
      </c>
      <c r="M1" s="16" t="s">
        <v>4</v>
      </c>
      <c r="N1" s="25" t="s">
        <v>4</v>
      </c>
      <c r="O1" s="16" t="s">
        <v>4</v>
      </c>
      <c r="P1" s="4"/>
      <c r="Q1" s="4"/>
      <c r="R1" s="16" t="s">
        <v>4</v>
      </c>
      <c r="S1" s="4"/>
      <c r="T1" s="4"/>
      <c r="U1" s="4"/>
      <c r="V1" s="4"/>
      <c r="W1" s="4"/>
      <c r="X1" s="4"/>
      <c r="Y1" s="4"/>
    </row>
    <row r="2" spans="1:25" ht="15.45">
      <c r="A2" s="4"/>
      <c r="B2" s="4"/>
      <c r="C2" s="4"/>
      <c r="E2" s="4" t="s">
        <v>4</v>
      </c>
      <c r="F2" s="27"/>
      <c r="G2" s="27"/>
      <c r="H2" s="4"/>
      <c r="I2" s="4"/>
      <c r="J2" s="4"/>
      <c r="K2" s="23"/>
      <c r="N2" s="25"/>
    </row>
    <row r="3" spans="1:25" ht="15.45">
      <c r="A3" s="4"/>
      <c r="B3" s="4"/>
      <c r="C3" s="4"/>
      <c r="D3" s="4" t="s">
        <v>4</v>
      </c>
      <c r="E3" s="5"/>
      <c r="F3" s="80"/>
      <c r="G3" s="80"/>
      <c r="H3" s="30"/>
      <c r="I3" s="30"/>
      <c r="J3" s="81"/>
      <c r="K3" s="82"/>
      <c r="L3" s="81"/>
      <c r="M3" s="81"/>
      <c r="N3" s="81"/>
      <c r="O3" s="81"/>
      <c r="P3" s="81"/>
      <c r="R3" s="5"/>
    </row>
    <row r="4" spans="1:25" s="90" customFormat="1" ht="15">
      <c r="A4" s="83"/>
      <c r="B4" s="83" t="s">
        <v>1093</v>
      </c>
      <c r="C4" s="83" t="s">
        <v>17</v>
      </c>
      <c r="D4" s="83" t="s">
        <v>1094</v>
      </c>
      <c r="E4" s="83" t="s">
        <v>1095</v>
      </c>
      <c r="F4" s="84" t="s">
        <v>5</v>
      </c>
      <c r="G4" s="84" t="s">
        <v>6</v>
      </c>
      <c r="H4" s="85">
        <v>14500</v>
      </c>
      <c r="I4" s="86"/>
      <c r="J4" s="87" t="s">
        <v>60</v>
      </c>
      <c r="K4" s="88" t="s">
        <v>59</v>
      </c>
      <c r="L4" s="87" t="s">
        <v>745</v>
      </c>
      <c r="M4" s="87" t="s">
        <v>170</v>
      </c>
      <c r="N4" s="87" t="s">
        <v>7</v>
      </c>
      <c r="O4" s="87" t="s">
        <v>8</v>
      </c>
      <c r="P4" s="87" t="s">
        <v>1087</v>
      </c>
      <c r="Q4" s="83"/>
      <c r="R4" s="83" t="s">
        <v>1096</v>
      </c>
      <c r="S4" s="83"/>
      <c r="T4" s="83"/>
      <c r="U4" s="83"/>
      <c r="V4" s="83"/>
      <c r="W4" s="83"/>
      <c r="X4" s="89"/>
      <c r="Y4" s="89"/>
    </row>
    <row r="5" spans="1:25" s="4" customFormat="1">
      <c r="A5" s="31"/>
      <c r="B5" s="8" t="s">
        <v>0</v>
      </c>
      <c r="C5" s="7" t="s">
        <v>4</v>
      </c>
      <c r="D5" s="4" t="s">
        <v>10</v>
      </c>
      <c r="E5" s="8" t="s">
        <v>4</v>
      </c>
      <c r="F5" s="38">
        <v>0</v>
      </c>
      <c r="G5" s="38">
        <v>0</v>
      </c>
      <c r="H5" s="33">
        <f t="shared" ref="H5:H68" si="0">G5*$H$4/$E$999</f>
        <v>0</v>
      </c>
      <c r="I5" s="34"/>
      <c r="J5" s="35">
        <v>0</v>
      </c>
      <c r="K5" s="36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R5" s="37">
        <f t="shared" ref="R5:R929" si="1">F5-J5-K5-L5-M5-N5-O5</f>
        <v>0</v>
      </c>
      <c r="X5" s="28"/>
      <c r="Y5" s="28"/>
    </row>
    <row r="6" spans="1:25" s="4" customFormat="1">
      <c r="A6" s="31"/>
      <c r="B6" s="8" t="s">
        <v>0</v>
      </c>
      <c r="C6" s="7" t="s">
        <v>4</v>
      </c>
      <c r="D6" s="4" t="s">
        <v>11</v>
      </c>
      <c r="E6" s="8" t="s">
        <v>4</v>
      </c>
      <c r="F6" s="32">
        <v>0</v>
      </c>
      <c r="G6" s="32">
        <v>0</v>
      </c>
      <c r="H6" s="33">
        <f t="shared" si="0"/>
        <v>0</v>
      </c>
      <c r="I6" s="34"/>
      <c r="J6" s="35">
        <v>0</v>
      </c>
      <c r="K6" s="36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R6" s="37">
        <f t="shared" si="1"/>
        <v>0</v>
      </c>
      <c r="X6" s="28"/>
      <c r="Y6" s="28"/>
    </row>
    <row r="7" spans="1:25" s="4" customFormat="1">
      <c r="A7" s="31"/>
      <c r="B7" s="8" t="s">
        <v>0</v>
      </c>
      <c r="C7" s="7" t="s">
        <v>4</v>
      </c>
      <c r="D7" s="4" t="s">
        <v>9</v>
      </c>
      <c r="E7" s="8" t="s">
        <v>4</v>
      </c>
      <c r="F7" s="38">
        <v>0</v>
      </c>
      <c r="G7" s="38">
        <v>0</v>
      </c>
      <c r="H7" s="33">
        <f t="shared" si="0"/>
        <v>0</v>
      </c>
      <c r="I7" s="34"/>
      <c r="J7" s="35">
        <v>0</v>
      </c>
      <c r="K7" s="36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R7" s="37">
        <f t="shared" si="1"/>
        <v>0</v>
      </c>
      <c r="X7" s="28"/>
      <c r="Y7" s="28"/>
    </row>
    <row r="8" spans="1:25" s="4" customFormat="1">
      <c r="A8" s="31"/>
      <c r="B8" s="8" t="s">
        <v>0</v>
      </c>
      <c r="C8" s="7" t="s">
        <v>4</v>
      </c>
      <c r="D8" s="4" t="s">
        <v>3</v>
      </c>
      <c r="E8" s="8" t="s">
        <v>4</v>
      </c>
      <c r="F8" s="38">
        <v>0</v>
      </c>
      <c r="G8" s="38">
        <v>0</v>
      </c>
      <c r="H8" s="33">
        <f t="shared" si="0"/>
        <v>0</v>
      </c>
      <c r="I8" s="34"/>
      <c r="J8" s="35">
        <v>0</v>
      </c>
      <c r="K8" s="36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R8" s="37">
        <f t="shared" si="1"/>
        <v>0</v>
      </c>
      <c r="X8" s="28"/>
      <c r="Y8" s="28"/>
    </row>
    <row r="9" spans="1:25" s="4" customFormat="1">
      <c r="A9" s="31"/>
      <c r="B9" s="8" t="s">
        <v>0</v>
      </c>
      <c r="C9" s="7" t="s">
        <v>4</v>
      </c>
      <c r="D9" s="4" t="s">
        <v>12</v>
      </c>
      <c r="E9" s="8" t="s">
        <v>4</v>
      </c>
      <c r="F9" s="32">
        <v>0</v>
      </c>
      <c r="G9" s="32">
        <v>0</v>
      </c>
      <c r="H9" s="33">
        <f t="shared" si="0"/>
        <v>0</v>
      </c>
      <c r="I9" s="34"/>
      <c r="J9" s="35">
        <v>0</v>
      </c>
      <c r="K9" s="36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R9" s="37">
        <f t="shared" si="1"/>
        <v>0</v>
      </c>
      <c r="X9" s="28"/>
      <c r="Y9" s="28"/>
    </row>
    <row r="10" spans="1:25" s="4" customFormat="1">
      <c r="A10" s="31"/>
      <c r="B10" s="8" t="s">
        <v>0</v>
      </c>
      <c r="C10" s="7" t="s">
        <v>4</v>
      </c>
      <c r="D10" s="4" t="s">
        <v>1</v>
      </c>
      <c r="E10" s="8" t="s">
        <v>4</v>
      </c>
      <c r="F10" s="32">
        <v>5000000</v>
      </c>
      <c r="G10" s="32">
        <v>0</v>
      </c>
      <c r="H10" s="33">
        <f t="shared" si="0"/>
        <v>0</v>
      </c>
      <c r="I10" s="34"/>
      <c r="J10" s="35">
        <v>0</v>
      </c>
      <c r="K10" s="36">
        <v>-18096000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R10" s="37">
        <f t="shared" si="1"/>
        <v>23096000</v>
      </c>
      <c r="X10" s="28"/>
      <c r="Y10" s="28"/>
    </row>
    <row r="11" spans="1:25" s="4" customFormat="1">
      <c r="A11" s="31"/>
      <c r="B11" s="8" t="s">
        <v>0</v>
      </c>
      <c r="C11" s="7" t="s">
        <v>4</v>
      </c>
      <c r="D11" s="4" t="s">
        <v>51</v>
      </c>
      <c r="E11" s="8" t="s">
        <v>4</v>
      </c>
      <c r="F11" s="32">
        <v>0</v>
      </c>
      <c r="G11" s="32">
        <v>0</v>
      </c>
      <c r="H11" s="33">
        <f t="shared" si="0"/>
        <v>0</v>
      </c>
      <c r="I11" s="34"/>
      <c r="J11" s="35">
        <v>0</v>
      </c>
      <c r="K11" s="36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R11" s="37">
        <f t="shared" si="1"/>
        <v>0</v>
      </c>
      <c r="X11" s="28"/>
      <c r="Y11" s="28"/>
    </row>
    <row r="12" spans="1:25" s="4" customFormat="1">
      <c r="A12" s="31"/>
      <c r="B12" s="8" t="s">
        <v>0</v>
      </c>
      <c r="C12" s="7" t="s">
        <v>4</v>
      </c>
      <c r="D12" s="4" t="s">
        <v>27</v>
      </c>
      <c r="E12" s="8" t="s">
        <v>4</v>
      </c>
      <c r="F12" s="32">
        <v>0</v>
      </c>
      <c r="G12" s="32">
        <v>0</v>
      </c>
      <c r="H12" s="33">
        <f t="shared" si="0"/>
        <v>0</v>
      </c>
      <c r="I12" s="34"/>
      <c r="J12" s="35">
        <v>0</v>
      </c>
      <c r="K12" s="36">
        <v>-5000000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R12" s="37">
        <f t="shared" si="1"/>
        <v>5000000</v>
      </c>
      <c r="X12" s="28"/>
      <c r="Y12" s="28"/>
    </row>
    <row r="13" spans="1:25" s="4" customFormat="1">
      <c r="A13" s="31"/>
      <c r="B13" s="8" t="s">
        <v>0</v>
      </c>
      <c r="C13" s="7" t="s">
        <v>4</v>
      </c>
      <c r="D13" s="4" t="s">
        <v>22</v>
      </c>
      <c r="E13" s="8" t="s">
        <v>4</v>
      </c>
      <c r="F13" s="32">
        <v>0</v>
      </c>
      <c r="G13" s="32">
        <v>0</v>
      </c>
      <c r="H13" s="33">
        <f t="shared" si="0"/>
        <v>0</v>
      </c>
      <c r="I13" s="34"/>
      <c r="J13" s="35">
        <v>0</v>
      </c>
      <c r="K13" s="36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R13" s="37">
        <f t="shared" si="1"/>
        <v>0</v>
      </c>
      <c r="X13" s="28"/>
      <c r="Y13" s="28"/>
    </row>
    <row r="14" spans="1:25" s="4" customFormat="1">
      <c r="A14" s="31"/>
      <c r="B14" s="8" t="s">
        <v>0</v>
      </c>
      <c r="C14" s="7" t="s">
        <v>4</v>
      </c>
      <c r="D14" s="4" t="s">
        <v>14</v>
      </c>
      <c r="E14" s="8" t="s">
        <v>4</v>
      </c>
      <c r="F14" s="32">
        <v>0</v>
      </c>
      <c r="G14" s="32">
        <v>0</v>
      </c>
      <c r="H14" s="33">
        <f t="shared" si="0"/>
        <v>0</v>
      </c>
      <c r="I14" s="34"/>
      <c r="J14" s="35">
        <v>0</v>
      </c>
      <c r="K14" s="36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R14" s="37">
        <f t="shared" si="1"/>
        <v>0</v>
      </c>
      <c r="X14" s="28"/>
      <c r="Y14" s="28"/>
    </row>
    <row r="15" spans="1:25" s="4" customFormat="1">
      <c r="A15" s="31"/>
      <c r="B15" s="8" t="s">
        <v>0</v>
      </c>
      <c r="C15" s="7" t="s">
        <v>4</v>
      </c>
      <c r="D15" s="4" t="s">
        <v>15</v>
      </c>
      <c r="E15" s="8" t="s">
        <v>4</v>
      </c>
      <c r="F15" s="38">
        <v>0</v>
      </c>
      <c r="G15" s="38">
        <v>0</v>
      </c>
      <c r="H15" s="33">
        <f t="shared" si="0"/>
        <v>0</v>
      </c>
      <c r="I15" s="34"/>
      <c r="J15" s="35">
        <v>0</v>
      </c>
      <c r="K15" s="36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R15" s="37">
        <f t="shared" si="1"/>
        <v>0</v>
      </c>
      <c r="X15" s="28"/>
      <c r="Y15" s="28"/>
    </row>
    <row r="16" spans="1:25" s="4" customFormat="1">
      <c r="A16" s="31"/>
      <c r="B16" s="8" t="s">
        <v>52</v>
      </c>
      <c r="C16" s="7">
        <v>2023</v>
      </c>
      <c r="D16" s="3" t="s">
        <v>171</v>
      </c>
      <c r="E16" s="3" t="s">
        <v>172</v>
      </c>
      <c r="F16" s="21">
        <v>7500000</v>
      </c>
      <c r="G16" s="32">
        <v>0</v>
      </c>
      <c r="H16" s="33">
        <f t="shared" si="0"/>
        <v>0</v>
      </c>
      <c r="I16" s="34"/>
      <c r="J16" s="35">
        <v>0</v>
      </c>
      <c r="K16" s="36">
        <v>0</v>
      </c>
      <c r="L16" s="35">
        <v>0</v>
      </c>
      <c r="M16" s="35">
        <v>0</v>
      </c>
      <c r="N16" s="35">
        <v>0</v>
      </c>
      <c r="O16" s="35">
        <v>7500000</v>
      </c>
      <c r="P16" s="35">
        <v>0</v>
      </c>
      <c r="R16" s="37">
        <f t="shared" si="1"/>
        <v>0</v>
      </c>
      <c r="X16" s="28"/>
      <c r="Y16" s="28"/>
    </row>
    <row r="17" spans="1:25" s="4" customFormat="1">
      <c r="A17" s="31"/>
      <c r="B17" s="8" t="s">
        <v>52</v>
      </c>
      <c r="C17" s="7">
        <v>2023</v>
      </c>
      <c r="D17" s="3" t="s">
        <v>171</v>
      </c>
      <c r="E17" s="3" t="s">
        <v>173</v>
      </c>
      <c r="F17" s="21">
        <v>7500000</v>
      </c>
      <c r="G17" s="32">
        <v>0</v>
      </c>
      <c r="H17" s="33">
        <f t="shared" si="0"/>
        <v>0</v>
      </c>
      <c r="I17" s="34"/>
      <c r="J17" s="35">
        <v>0</v>
      </c>
      <c r="K17" s="36">
        <v>0</v>
      </c>
      <c r="L17" s="35">
        <v>0</v>
      </c>
      <c r="M17" s="35">
        <v>0</v>
      </c>
      <c r="N17" s="35">
        <v>0</v>
      </c>
      <c r="O17" s="35">
        <v>7500000</v>
      </c>
      <c r="P17" s="35">
        <v>0</v>
      </c>
      <c r="R17" s="37">
        <f t="shared" si="1"/>
        <v>0</v>
      </c>
      <c r="X17" s="28"/>
      <c r="Y17" s="28"/>
    </row>
    <row r="18" spans="1:25" s="4" customFormat="1">
      <c r="A18" s="31"/>
      <c r="B18" s="8" t="s">
        <v>52</v>
      </c>
      <c r="C18" s="7">
        <v>2023</v>
      </c>
      <c r="D18" s="3" t="s">
        <v>171</v>
      </c>
      <c r="E18" s="3" t="s">
        <v>174</v>
      </c>
      <c r="F18" s="21">
        <v>500000</v>
      </c>
      <c r="G18" s="32">
        <v>0</v>
      </c>
      <c r="H18" s="33">
        <f t="shared" si="0"/>
        <v>0</v>
      </c>
      <c r="I18" s="34"/>
      <c r="J18" s="35">
        <v>0</v>
      </c>
      <c r="K18" s="36">
        <v>0</v>
      </c>
      <c r="L18" s="35">
        <v>0</v>
      </c>
      <c r="M18" s="35">
        <v>0</v>
      </c>
      <c r="N18" s="35">
        <v>0</v>
      </c>
      <c r="O18" s="35">
        <v>500000</v>
      </c>
      <c r="P18" s="35">
        <v>0</v>
      </c>
      <c r="R18" s="37">
        <f t="shared" si="1"/>
        <v>0</v>
      </c>
      <c r="X18" s="28"/>
      <c r="Y18" s="28"/>
    </row>
    <row r="19" spans="1:25" s="4" customFormat="1">
      <c r="A19" s="31"/>
      <c r="B19" s="8" t="s">
        <v>52</v>
      </c>
      <c r="C19" s="7">
        <v>2023</v>
      </c>
      <c r="D19" s="3" t="s">
        <v>171</v>
      </c>
      <c r="E19" s="3" t="s">
        <v>175</v>
      </c>
      <c r="F19" s="21">
        <v>400000</v>
      </c>
      <c r="G19" s="32">
        <v>0</v>
      </c>
      <c r="H19" s="33">
        <f t="shared" si="0"/>
        <v>0</v>
      </c>
      <c r="I19" s="34"/>
      <c r="J19" s="35">
        <v>0</v>
      </c>
      <c r="K19" s="36">
        <v>0</v>
      </c>
      <c r="L19" s="35">
        <v>0</v>
      </c>
      <c r="M19" s="35">
        <v>0</v>
      </c>
      <c r="N19" s="35">
        <v>0</v>
      </c>
      <c r="O19" s="35">
        <v>400000</v>
      </c>
      <c r="P19" s="35">
        <v>0</v>
      </c>
      <c r="R19" s="37">
        <f t="shared" si="1"/>
        <v>0</v>
      </c>
      <c r="X19" s="28"/>
      <c r="Y19" s="28"/>
    </row>
    <row r="20" spans="1:25" s="4" customFormat="1">
      <c r="A20" s="31"/>
      <c r="B20" s="8" t="s">
        <v>52</v>
      </c>
      <c r="C20" s="7">
        <v>2023</v>
      </c>
      <c r="D20" s="3" t="s">
        <v>171</v>
      </c>
      <c r="E20" s="3" t="s">
        <v>176</v>
      </c>
      <c r="F20" s="21">
        <v>6600000</v>
      </c>
      <c r="G20" s="32">
        <v>0</v>
      </c>
      <c r="H20" s="33">
        <f t="shared" si="0"/>
        <v>0</v>
      </c>
      <c r="I20" s="34"/>
      <c r="J20" s="35">
        <v>0</v>
      </c>
      <c r="K20" s="36">
        <v>0</v>
      </c>
      <c r="L20" s="35">
        <v>0</v>
      </c>
      <c r="M20" s="35">
        <v>0</v>
      </c>
      <c r="N20" s="35">
        <v>0</v>
      </c>
      <c r="O20" s="35">
        <v>6600000</v>
      </c>
      <c r="P20" s="35">
        <v>0</v>
      </c>
      <c r="R20" s="37">
        <f t="shared" si="1"/>
        <v>0</v>
      </c>
      <c r="X20" s="28"/>
      <c r="Y20" s="28"/>
    </row>
    <row r="21" spans="1:25" s="4" customFormat="1">
      <c r="A21" s="31"/>
      <c r="B21" s="8" t="s">
        <v>52</v>
      </c>
      <c r="C21" s="7">
        <v>2023</v>
      </c>
      <c r="D21" s="3" t="s">
        <v>171</v>
      </c>
      <c r="E21" s="3" t="s">
        <v>177</v>
      </c>
      <c r="F21" s="21">
        <v>92215</v>
      </c>
      <c r="G21" s="32">
        <v>0</v>
      </c>
      <c r="H21" s="33">
        <f t="shared" si="0"/>
        <v>0</v>
      </c>
      <c r="I21" s="34"/>
      <c r="J21" s="35">
        <v>0</v>
      </c>
      <c r="K21" s="36">
        <v>0</v>
      </c>
      <c r="L21" s="35">
        <v>0</v>
      </c>
      <c r="M21" s="35">
        <v>0</v>
      </c>
      <c r="N21" s="35">
        <v>0</v>
      </c>
      <c r="O21" s="35">
        <v>92215</v>
      </c>
      <c r="P21" s="35">
        <v>0</v>
      </c>
      <c r="R21" s="37">
        <f t="shared" si="1"/>
        <v>0</v>
      </c>
      <c r="X21" s="28"/>
      <c r="Y21" s="28"/>
    </row>
    <row r="22" spans="1:25" s="4" customFormat="1">
      <c r="A22" s="31"/>
      <c r="B22" s="8" t="s">
        <v>52</v>
      </c>
      <c r="C22" s="7">
        <v>2023</v>
      </c>
      <c r="D22" s="3" t="s">
        <v>171</v>
      </c>
      <c r="E22" s="3" t="s">
        <v>178</v>
      </c>
      <c r="F22" s="21">
        <v>192815</v>
      </c>
      <c r="G22" s="32">
        <v>0</v>
      </c>
      <c r="H22" s="33">
        <f t="shared" si="0"/>
        <v>0</v>
      </c>
      <c r="I22" s="34"/>
      <c r="J22" s="35">
        <v>0</v>
      </c>
      <c r="K22" s="36">
        <v>0</v>
      </c>
      <c r="L22" s="35">
        <v>0</v>
      </c>
      <c r="M22" s="35">
        <v>0</v>
      </c>
      <c r="N22" s="35">
        <v>0</v>
      </c>
      <c r="O22" s="35">
        <v>192815</v>
      </c>
      <c r="P22" s="35">
        <v>0</v>
      </c>
      <c r="R22" s="37">
        <f t="shared" si="1"/>
        <v>0</v>
      </c>
      <c r="X22" s="28"/>
      <c r="Y22" s="28"/>
    </row>
    <row r="23" spans="1:25" s="4" customFormat="1">
      <c r="A23" s="31"/>
      <c r="B23" s="8" t="s">
        <v>52</v>
      </c>
      <c r="C23" s="7">
        <v>2023</v>
      </c>
      <c r="D23" s="3" t="s">
        <v>171</v>
      </c>
      <c r="E23" s="3" t="s">
        <v>179</v>
      </c>
      <c r="F23" s="21">
        <v>83515</v>
      </c>
      <c r="G23" s="32">
        <v>0</v>
      </c>
      <c r="H23" s="33">
        <f t="shared" si="0"/>
        <v>0</v>
      </c>
      <c r="I23" s="34"/>
      <c r="J23" s="35">
        <v>0</v>
      </c>
      <c r="K23" s="36">
        <v>0</v>
      </c>
      <c r="L23" s="35">
        <v>0</v>
      </c>
      <c r="M23" s="35">
        <v>0</v>
      </c>
      <c r="N23" s="35">
        <v>0</v>
      </c>
      <c r="O23" s="35">
        <v>83515</v>
      </c>
      <c r="P23" s="35">
        <v>0</v>
      </c>
      <c r="R23" s="37">
        <f t="shared" si="1"/>
        <v>0</v>
      </c>
      <c r="X23" s="28"/>
      <c r="Y23" s="28"/>
    </row>
    <row r="24" spans="1:25" s="4" customFormat="1">
      <c r="A24" s="31"/>
      <c r="B24" s="8" t="s">
        <v>52</v>
      </c>
      <c r="C24" s="7">
        <v>2024</v>
      </c>
      <c r="D24" s="10" t="s">
        <v>180</v>
      </c>
      <c r="E24" s="3" t="s">
        <v>181</v>
      </c>
      <c r="F24" s="1">
        <v>100000000</v>
      </c>
      <c r="G24" s="32">
        <v>0</v>
      </c>
      <c r="H24" s="33">
        <f t="shared" si="0"/>
        <v>0</v>
      </c>
      <c r="I24" s="34"/>
      <c r="J24" s="35">
        <v>0</v>
      </c>
      <c r="K24" s="36">
        <v>0</v>
      </c>
      <c r="L24" s="35">
        <v>0</v>
      </c>
      <c r="M24" s="35">
        <v>0</v>
      </c>
      <c r="N24" s="35">
        <v>0</v>
      </c>
      <c r="O24" s="35">
        <v>100000000</v>
      </c>
      <c r="P24" s="35">
        <v>0</v>
      </c>
      <c r="R24" s="37">
        <f t="shared" si="1"/>
        <v>0</v>
      </c>
      <c r="X24" s="28"/>
      <c r="Y24" s="28"/>
    </row>
    <row r="25" spans="1:25" s="4" customFormat="1">
      <c r="A25" s="31"/>
      <c r="B25" s="8" t="s">
        <v>52</v>
      </c>
      <c r="C25" s="7">
        <v>2024</v>
      </c>
      <c r="D25" s="10" t="s">
        <v>180</v>
      </c>
      <c r="E25" t="s">
        <v>182</v>
      </c>
      <c r="F25" s="1">
        <v>33225000</v>
      </c>
      <c r="G25" s="32">
        <v>0</v>
      </c>
      <c r="H25" s="33">
        <f t="shared" si="0"/>
        <v>0</v>
      </c>
      <c r="I25" s="34"/>
      <c r="J25" s="35">
        <v>0</v>
      </c>
      <c r="K25" s="36">
        <v>0</v>
      </c>
      <c r="L25" s="35">
        <v>0</v>
      </c>
      <c r="M25" s="35">
        <v>0</v>
      </c>
      <c r="N25" s="35">
        <v>0</v>
      </c>
      <c r="O25" s="35">
        <v>33225000</v>
      </c>
      <c r="P25" s="35">
        <v>0</v>
      </c>
      <c r="R25" s="37">
        <f t="shared" si="1"/>
        <v>0</v>
      </c>
      <c r="X25" s="28"/>
      <c r="Y25" s="28"/>
    </row>
    <row r="26" spans="1:25" s="4" customFormat="1">
      <c r="A26" s="31"/>
      <c r="B26" s="8" t="s">
        <v>52</v>
      </c>
      <c r="C26" s="7">
        <v>2024</v>
      </c>
      <c r="D26" t="s">
        <v>82</v>
      </c>
      <c r="E26" s="3" t="s">
        <v>183</v>
      </c>
      <c r="F26" s="1">
        <v>150000</v>
      </c>
      <c r="G26" s="32">
        <v>0</v>
      </c>
      <c r="H26" s="33">
        <f t="shared" si="0"/>
        <v>0</v>
      </c>
      <c r="I26" s="34"/>
      <c r="J26" s="35">
        <v>0</v>
      </c>
      <c r="K26" s="36">
        <v>0</v>
      </c>
      <c r="L26" s="35">
        <v>0</v>
      </c>
      <c r="M26" s="35">
        <v>0</v>
      </c>
      <c r="N26" s="35">
        <v>0</v>
      </c>
      <c r="O26" s="35">
        <v>150000</v>
      </c>
      <c r="P26" s="35">
        <v>0</v>
      </c>
      <c r="R26" s="37">
        <f t="shared" si="1"/>
        <v>0</v>
      </c>
      <c r="X26" s="28"/>
      <c r="Y26" s="28"/>
    </row>
    <row r="27" spans="1:25" s="4" customFormat="1">
      <c r="A27" s="31"/>
      <c r="B27" s="8" t="s">
        <v>52</v>
      </c>
      <c r="C27" s="7">
        <v>2025</v>
      </c>
      <c r="D27" t="s">
        <v>203</v>
      </c>
      <c r="E27" s="3" t="s">
        <v>76</v>
      </c>
      <c r="F27" s="1">
        <v>0</v>
      </c>
      <c r="G27" s="32">
        <v>0</v>
      </c>
      <c r="H27" s="33">
        <f t="shared" si="0"/>
        <v>0</v>
      </c>
      <c r="I27" s="34"/>
      <c r="J27" s="35">
        <v>-400000</v>
      </c>
      <c r="K27" s="36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R27" s="37">
        <f t="shared" ref="R27" si="2">F27-J27-K27-L27-M27-N27-O27</f>
        <v>400000</v>
      </c>
      <c r="X27" s="28"/>
      <c r="Y27" s="28"/>
    </row>
    <row r="28" spans="1:25" s="4" customFormat="1">
      <c r="A28" s="31"/>
      <c r="B28" s="8" t="s">
        <v>52</v>
      </c>
      <c r="C28" s="7">
        <v>2025</v>
      </c>
      <c r="D28" t="s">
        <v>203</v>
      </c>
      <c r="E28" s="3" t="s">
        <v>113</v>
      </c>
      <c r="F28" s="1">
        <v>0</v>
      </c>
      <c r="G28" s="32">
        <v>0</v>
      </c>
      <c r="H28" s="33">
        <f t="shared" si="0"/>
        <v>0</v>
      </c>
      <c r="I28" s="34"/>
      <c r="J28" s="35">
        <v>-800000</v>
      </c>
      <c r="K28" s="36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R28" s="37">
        <f t="shared" ref="R28:R29" si="3">F28-J28-K28-L28-M28-N28-O28</f>
        <v>800000</v>
      </c>
      <c r="X28" s="28"/>
      <c r="Y28" s="28"/>
    </row>
    <row r="29" spans="1:25" s="4" customFormat="1">
      <c r="A29" s="31"/>
      <c r="B29" s="8" t="s">
        <v>52</v>
      </c>
      <c r="C29" s="7">
        <v>2025</v>
      </c>
      <c r="D29" t="s">
        <v>203</v>
      </c>
      <c r="E29" s="3" t="s">
        <v>114</v>
      </c>
      <c r="F29" s="1">
        <v>0</v>
      </c>
      <c r="G29" s="32">
        <v>0</v>
      </c>
      <c r="H29" s="33">
        <f t="shared" si="0"/>
        <v>0</v>
      </c>
      <c r="I29" s="34"/>
      <c r="J29" s="35">
        <v>-800000</v>
      </c>
      <c r="K29" s="36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R29" s="37">
        <f t="shared" si="3"/>
        <v>800000</v>
      </c>
      <c r="X29" s="28"/>
      <c r="Y29" s="28"/>
    </row>
    <row r="30" spans="1:25" s="4" customFormat="1">
      <c r="A30" s="31"/>
      <c r="B30" s="8" t="s">
        <v>52</v>
      </c>
      <c r="C30" s="7">
        <v>2025</v>
      </c>
      <c r="D30" t="s">
        <v>85</v>
      </c>
      <c r="E30" s="3" t="s">
        <v>115</v>
      </c>
      <c r="F30" s="1">
        <v>0</v>
      </c>
      <c r="G30" s="32">
        <v>0</v>
      </c>
      <c r="H30" s="33">
        <f t="shared" si="0"/>
        <v>0</v>
      </c>
      <c r="I30" s="34"/>
      <c r="J30" s="35">
        <v>-400000</v>
      </c>
      <c r="K30" s="36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R30" s="37">
        <f t="shared" ref="R30" si="4">F30-J30-K30-L30-M30-N30-O30</f>
        <v>400000</v>
      </c>
      <c r="X30" s="28"/>
      <c r="Y30" s="28"/>
    </row>
    <row r="31" spans="1:25" s="4" customFormat="1">
      <c r="A31" s="31"/>
      <c r="B31" s="8" t="s">
        <v>52</v>
      </c>
      <c r="C31" s="7">
        <v>2025</v>
      </c>
      <c r="D31" t="s">
        <v>203</v>
      </c>
      <c r="E31" s="2" t="s">
        <v>116</v>
      </c>
      <c r="F31" s="1">
        <v>0</v>
      </c>
      <c r="G31" s="32">
        <v>0</v>
      </c>
      <c r="H31" s="33">
        <f t="shared" si="0"/>
        <v>0</v>
      </c>
      <c r="I31" s="34"/>
      <c r="J31" s="35">
        <v>-300000</v>
      </c>
      <c r="K31" s="36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R31" s="37">
        <f t="shared" ref="R31" si="5">F31-J31-K31-L31-M31-N31-O31</f>
        <v>300000</v>
      </c>
      <c r="X31" s="28"/>
      <c r="Y31" s="28"/>
    </row>
    <row r="32" spans="1:25" s="4" customFormat="1">
      <c r="A32" s="31"/>
      <c r="B32" s="8" t="s">
        <v>52</v>
      </c>
      <c r="C32" s="7">
        <v>2025</v>
      </c>
      <c r="D32" t="s">
        <v>203</v>
      </c>
      <c r="E32" s="2" t="s">
        <v>117</v>
      </c>
      <c r="F32" s="1">
        <v>0</v>
      </c>
      <c r="G32" s="32">
        <v>0</v>
      </c>
      <c r="H32" s="33">
        <f t="shared" si="0"/>
        <v>0</v>
      </c>
      <c r="I32" s="34"/>
      <c r="J32" s="35">
        <v>-800000</v>
      </c>
      <c r="K32" s="36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R32" s="37">
        <f t="shared" ref="R32" si="6">F32-J32-K32-L32-M32-N32-O32</f>
        <v>800000</v>
      </c>
      <c r="X32" s="28"/>
      <c r="Y32" s="28"/>
    </row>
    <row r="33" spans="1:25" s="4" customFormat="1">
      <c r="A33" s="31"/>
      <c r="B33" s="8" t="s">
        <v>52</v>
      </c>
      <c r="C33" s="7">
        <v>2025</v>
      </c>
      <c r="D33" t="s">
        <v>375</v>
      </c>
      <c r="E33" s="3" t="s">
        <v>381</v>
      </c>
      <c r="F33" s="1">
        <v>0</v>
      </c>
      <c r="G33" s="32">
        <v>0</v>
      </c>
      <c r="H33" s="33">
        <f t="shared" si="0"/>
        <v>0</v>
      </c>
      <c r="I33" s="34"/>
      <c r="J33" s="35">
        <v>-1500000</v>
      </c>
      <c r="K33" s="36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R33" s="37">
        <f t="shared" ref="R33:R36" si="7">F33-J33-K33-L33-M33-N33-O33</f>
        <v>1500000</v>
      </c>
      <c r="X33" s="28"/>
      <c r="Y33" s="28"/>
    </row>
    <row r="34" spans="1:25" s="4" customFormat="1">
      <c r="A34" s="31"/>
      <c r="B34" s="8" t="s">
        <v>52</v>
      </c>
      <c r="C34" s="7">
        <v>2025</v>
      </c>
      <c r="D34" t="s">
        <v>375</v>
      </c>
      <c r="E34" s="3" t="s">
        <v>382</v>
      </c>
      <c r="F34" s="1">
        <v>0</v>
      </c>
      <c r="G34" s="32">
        <v>0</v>
      </c>
      <c r="H34" s="33">
        <f t="shared" si="0"/>
        <v>0</v>
      </c>
      <c r="I34" s="34"/>
      <c r="J34" s="35">
        <v>-1500000</v>
      </c>
      <c r="K34" s="36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R34" s="37">
        <f t="shared" si="7"/>
        <v>1500000</v>
      </c>
      <c r="X34" s="28"/>
      <c r="Y34" s="28"/>
    </row>
    <row r="35" spans="1:25" s="4" customFormat="1">
      <c r="A35" s="31"/>
      <c r="B35" s="8" t="s">
        <v>52</v>
      </c>
      <c r="C35" s="7">
        <v>2025</v>
      </c>
      <c r="D35" t="s">
        <v>458</v>
      </c>
      <c r="E35" s="3" t="s">
        <v>503</v>
      </c>
      <c r="F35" s="1">
        <v>0</v>
      </c>
      <c r="G35" s="32">
        <v>0</v>
      </c>
      <c r="H35" s="33">
        <f t="shared" si="0"/>
        <v>0</v>
      </c>
      <c r="I35" s="34"/>
      <c r="J35" s="35">
        <v>37500000</v>
      </c>
      <c r="K35" s="36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R35" s="37">
        <f t="shared" ref="R35" si="8">F35-J35-K35-L35-M35-N35-O35</f>
        <v>-37500000</v>
      </c>
      <c r="X35" s="28"/>
      <c r="Y35" s="28"/>
    </row>
    <row r="36" spans="1:25" s="4" customFormat="1">
      <c r="A36" s="31"/>
      <c r="B36" s="8" t="s">
        <v>52</v>
      </c>
      <c r="C36" s="7">
        <v>2025</v>
      </c>
      <c r="D36" t="s">
        <v>461</v>
      </c>
      <c r="E36" s="3" t="s">
        <v>444</v>
      </c>
      <c r="F36" s="1">
        <v>0</v>
      </c>
      <c r="G36" s="32">
        <v>0</v>
      </c>
      <c r="H36" s="33">
        <f t="shared" si="0"/>
        <v>0</v>
      </c>
      <c r="I36" s="34"/>
      <c r="J36" s="35">
        <v>-2050000</v>
      </c>
      <c r="K36" s="36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R36" s="37">
        <f t="shared" si="7"/>
        <v>2050000</v>
      </c>
      <c r="X36" s="28"/>
      <c r="Y36" s="28"/>
    </row>
    <row r="37" spans="1:25" s="4" customFormat="1">
      <c r="A37" s="41"/>
      <c r="B37" s="20" t="s">
        <v>52</v>
      </c>
      <c r="C37" s="42">
        <v>2025</v>
      </c>
      <c r="D37" s="19" t="s">
        <v>461</v>
      </c>
      <c r="E37" s="3" t="s">
        <v>445</v>
      </c>
      <c r="F37" s="1">
        <v>0</v>
      </c>
      <c r="G37" s="32">
        <v>0</v>
      </c>
      <c r="H37" s="33">
        <f t="shared" si="0"/>
        <v>0</v>
      </c>
      <c r="I37" s="34"/>
      <c r="J37" s="35">
        <v>-2050000</v>
      </c>
      <c r="K37" s="36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R37" s="37">
        <f t="shared" ref="R37:R76" si="9">F37-J37-K37-L37-M37-N37-O37</f>
        <v>2050000</v>
      </c>
      <c r="X37" s="28"/>
      <c r="Y37" s="28"/>
    </row>
    <row r="38" spans="1:25" s="4" customFormat="1">
      <c r="A38" s="41"/>
      <c r="B38" s="20" t="s">
        <v>52</v>
      </c>
      <c r="C38" s="42">
        <v>2025</v>
      </c>
      <c r="D38" s="19" t="s">
        <v>461</v>
      </c>
      <c r="E38" s="3" t="s">
        <v>446</v>
      </c>
      <c r="F38" s="1">
        <v>0</v>
      </c>
      <c r="G38" s="32">
        <v>0</v>
      </c>
      <c r="H38" s="33">
        <f t="shared" si="0"/>
        <v>0</v>
      </c>
      <c r="I38" s="34"/>
      <c r="J38" s="35">
        <v>-2050000</v>
      </c>
      <c r="K38" s="36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R38" s="37">
        <f t="shared" si="9"/>
        <v>2050000</v>
      </c>
      <c r="X38" s="28"/>
      <c r="Y38" s="28"/>
    </row>
    <row r="39" spans="1:25" s="4" customFormat="1">
      <c r="A39" s="41"/>
      <c r="B39" s="20" t="s">
        <v>52</v>
      </c>
      <c r="C39" s="42">
        <v>2025</v>
      </c>
      <c r="D39" s="19" t="s">
        <v>373</v>
      </c>
      <c r="E39" s="3" t="s">
        <v>489</v>
      </c>
      <c r="F39" s="1">
        <v>0</v>
      </c>
      <c r="G39" s="32">
        <v>0</v>
      </c>
      <c r="H39" s="33">
        <f t="shared" si="0"/>
        <v>0</v>
      </c>
      <c r="I39" s="34"/>
      <c r="J39" s="35">
        <v>-450000</v>
      </c>
      <c r="K39" s="36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R39" s="37">
        <f t="shared" si="9"/>
        <v>450000</v>
      </c>
      <c r="X39" s="28"/>
      <c r="Y39" s="28"/>
    </row>
    <row r="40" spans="1:25" s="4" customFormat="1">
      <c r="A40" s="41"/>
      <c r="B40" s="20" t="s">
        <v>52</v>
      </c>
      <c r="C40" s="42">
        <v>2025</v>
      </c>
      <c r="D40" s="19" t="s">
        <v>505</v>
      </c>
      <c r="E40" s="3" t="s">
        <v>504</v>
      </c>
      <c r="F40" s="1">
        <v>0</v>
      </c>
      <c r="G40" s="32">
        <v>0</v>
      </c>
      <c r="H40" s="33">
        <f t="shared" si="0"/>
        <v>0</v>
      </c>
      <c r="I40" s="34"/>
      <c r="J40" s="35">
        <v>-150000</v>
      </c>
      <c r="K40" s="36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R40" s="37">
        <f t="shared" ref="R40" si="10">F40-J40-K40-L40-M40-N40-O40</f>
        <v>150000</v>
      </c>
      <c r="X40" s="28"/>
      <c r="Y40" s="28"/>
    </row>
    <row r="41" spans="1:25" s="4" customFormat="1">
      <c r="A41" s="41"/>
      <c r="B41" s="20" t="s">
        <v>52</v>
      </c>
      <c r="C41" s="42">
        <v>2025</v>
      </c>
      <c r="D41" s="19" t="s">
        <v>724</v>
      </c>
      <c r="E41" s="3" t="s">
        <v>754</v>
      </c>
      <c r="F41" s="1">
        <v>0</v>
      </c>
      <c r="G41" s="32">
        <v>0</v>
      </c>
      <c r="H41" s="33">
        <f t="shared" si="0"/>
        <v>0</v>
      </c>
      <c r="I41" s="34"/>
      <c r="J41" s="35">
        <v>-1400000</v>
      </c>
      <c r="K41" s="36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R41" s="37">
        <f t="shared" ref="R41:R50" si="11">F41-J41-K41-L41-M41-N41-O41</f>
        <v>1400000</v>
      </c>
      <c r="X41" s="28"/>
      <c r="Y41" s="28"/>
    </row>
    <row r="42" spans="1:25" s="4" customFormat="1">
      <c r="A42" s="41"/>
      <c r="B42" s="20" t="s">
        <v>52</v>
      </c>
      <c r="C42" s="42">
        <v>2025</v>
      </c>
      <c r="D42" s="19" t="s">
        <v>752</v>
      </c>
      <c r="E42" s="3" t="s">
        <v>755</v>
      </c>
      <c r="F42" s="1">
        <v>0</v>
      </c>
      <c r="G42" s="32">
        <v>0</v>
      </c>
      <c r="H42" s="33">
        <f t="shared" si="0"/>
        <v>0</v>
      </c>
      <c r="I42" s="34"/>
      <c r="J42" s="35">
        <v>-1450000</v>
      </c>
      <c r="K42" s="36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R42" s="37">
        <f t="shared" si="11"/>
        <v>1450000</v>
      </c>
      <c r="X42" s="28"/>
      <c r="Y42" s="28"/>
    </row>
    <row r="43" spans="1:25" s="4" customFormat="1">
      <c r="A43" s="41"/>
      <c r="B43" s="20" t="s">
        <v>52</v>
      </c>
      <c r="C43" s="42">
        <v>2025</v>
      </c>
      <c r="D43" s="19" t="s">
        <v>505</v>
      </c>
      <c r="E43" s="3" t="s">
        <v>756</v>
      </c>
      <c r="F43" s="1">
        <v>0</v>
      </c>
      <c r="G43" s="32">
        <v>0</v>
      </c>
      <c r="H43" s="33">
        <f t="shared" si="0"/>
        <v>0</v>
      </c>
      <c r="I43" s="34"/>
      <c r="J43" s="35">
        <v>-950000</v>
      </c>
      <c r="K43" s="36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R43" s="37">
        <f t="shared" si="11"/>
        <v>950000</v>
      </c>
      <c r="X43" s="28"/>
      <c r="Y43" s="28"/>
    </row>
    <row r="44" spans="1:25" s="4" customFormat="1">
      <c r="A44" s="41"/>
      <c r="B44" s="20" t="s">
        <v>52</v>
      </c>
      <c r="C44" s="42">
        <v>2025</v>
      </c>
      <c r="D44" s="19" t="s">
        <v>723</v>
      </c>
      <c r="E44" s="3" t="s">
        <v>757</v>
      </c>
      <c r="F44" s="1">
        <v>0</v>
      </c>
      <c r="G44" s="32">
        <v>0</v>
      </c>
      <c r="H44" s="33">
        <f t="shared" si="0"/>
        <v>0</v>
      </c>
      <c r="I44" s="34"/>
      <c r="J44" s="35">
        <v>-950000</v>
      </c>
      <c r="K44" s="36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R44" s="37">
        <f t="shared" si="11"/>
        <v>950000</v>
      </c>
      <c r="X44" s="28"/>
      <c r="Y44" s="28"/>
    </row>
    <row r="45" spans="1:25" s="4" customFormat="1">
      <c r="A45" s="41"/>
      <c r="B45" s="20" t="s">
        <v>52</v>
      </c>
      <c r="C45" s="42">
        <v>2025</v>
      </c>
      <c r="D45" s="19" t="s">
        <v>505</v>
      </c>
      <c r="E45" s="3" t="s">
        <v>758</v>
      </c>
      <c r="F45" s="1">
        <v>0</v>
      </c>
      <c r="G45" s="32">
        <v>0</v>
      </c>
      <c r="H45" s="33">
        <f t="shared" si="0"/>
        <v>0</v>
      </c>
      <c r="I45" s="34"/>
      <c r="J45" s="35">
        <v>-1350000</v>
      </c>
      <c r="K45" s="36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R45" s="37">
        <f t="shared" si="11"/>
        <v>1350000</v>
      </c>
      <c r="X45" s="28"/>
      <c r="Y45" s="28"/>
    </row>
    <row r="46" spans="1:25" s="4" customFormat="1">
      <c r="A46" s="41"/>
      <c r="B46" s="20" t="s">
        <v>52</v>
      </c>
      <c r="C46" s="42">
        <v>2025</v>
      </c>
      <c r="D46" s="19" t="s">
        <v>723</v>
      </c>
      <c r="E46" s="3" t="s">
        <v>759</v>
      </c>
      <c r="F46" s="1">
        <v>0</v>
      </c>
      <c r="G46" s="32">
        <v>0</v>
      </c>
      <c r="H46" s="33">
        <f t="shared" si="0"/>
        <v>0</v>
      </c>
      <c r="I46" s="34"/>
      <c r="J46" s="35">
        <v>-950000</v>
      </c>
      <c r="K46" s="36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R46" s="37">
        <f t="shared" si="11"/>
        <v>950000</v>
      </c>
      <c r="X46" s="28"/>
      <c r="Y46" s="28"/>
    </row>
    <row r="47" spans="1:25" s="4" customFormat="1">
      <c r="A47" s="41"/>
      <c r="B47" s="20" t="s">
        <v>52</v>
      </c>
      <c r="C47" s="42">
        <v>2025</v>
      </c>
      <c r="D47" s="19" t="s">
        <v>752</v>
      </c>
      <c r="E47" s="3" t="s">
        <v>760</v>
      </c>
      <c r="F47" s="1">
        <v>0</v>
      </c>
      <c r="G47" s="32">
        <v>0</v>
      </c>
      <c r="H47" s="33">
        <f t="shared" si="0"/>
        <v>0</v>
      </c>
      <c r="I47" s="34"/>
      <c r="J47" s="35">
        <v>-900000</v>
      </c>
      <c r="K47" s="36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R47" s="37">
        <f t="shared" si="11"/>
        <v>900000</v>
      </c>
      <c r="X47" s="28"/>
      <c r="Y47" s="28"/>
    </row>
    <row r="48" spans="1:25" s="4" customFormat="1">
      <c r="A48" s="41"/>
      <c r="B48" s="20" t="s">
        <v>52</v>
      </c>
      <c r="C48" s="42">
        <v>2025</v>
      </c>
      <c r="D48" s="19" t="s">
        <v>505</v>
      </c>
      <c r="E48" s="3" t="s">
        <v>761</v>
      </c>
      <c r="F48" s="1">
        <v>0</v>
      </c>
      <c r="G48" s="32">
        <v>0</v>
      </c>
      <c r="H48" s="33">
        <f t="shared" si="0"/>
        <v>0</v>
      </c>
      <c r="I48" s="34"/>
      <c r="J48" s="35">
        <v>-900000</v>
      </c>
      <c r="K48" s="36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R48" s="37">
        <f t="shared" si="11"/>
        <v>900000</v>
      </c>
      <c r="X48" s="28"/>
      <c r="Y48" s="28"/>
    </row>
    <row r="49" spans="1:25" s="4" customFormat="1">
      <c r="A49" s="41"/>
      <c r="B49" s="20" t="s">
        <v>52</v>
      </c>
      <c r="C49" s="42">
        <v>2025</v>
      </c>
      <c r="D49" s="19" t="s">
        <v>505</v>
      </c>
      <c r="E49" s="3" t="s">
        <v>762</v>
      </c>
      <c r="F49" s="1">
        <v>0</v>
      </c>
      <c r="G49" s="32">
        <v>0</v>
      </c>
      <c r="H49" s="33">
        <f t="shared" si="0"/>
        <v>0</v>
      </c>
      <c r="I49" s="34"/>
      <c r="J49" s="35">
        <v>-150000</v>
      </c>
      <c r="K49" s="36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R49" s="37">
        <f t="shared" si="11"/>
        <v>150000</v>
      </c>
      <c r="X49" s="28"/>
      <c r="Y49" s="28"/>
    </row>
    <row r="50" spans="1:25" s="4" customFormat="1">
      <c r="A50" s="41"/>
      <c r="B50" s="20" t="s">
        <v>52</v>
      </c>
      <c r="C50" s="42">
        <v>2025</v>
      </c>
      <c r="D50" s="19" t="s">
        <v>724</v>
      </c>
      <c r="E50" s="3" t="s">
        <v>859</v>
      </c>
      <c r="F50" s="1">
        <v>0</v>
      </c>
      <c r="G50" s="32">
        <v>0</v>
      </c>
      <c r="H50" s="33">
        <f t="shared" si="0"/>
        <v>0</v>
      </c>
      <c r="I50" s="34"/>
      <c r="J50" s="35">
        <v>-2100000</v>
      </c>
      <c r="K50" s="36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R50" s="37">
        <f t="shared" si="11"/>
        <v>2100000</v>
      </c>
      <c r="X50" s="28"/>
      <c r="Y50" s="28"/>
    </row>
    <row r="51" spans="1:25" s="4" customFormat="1">
      <c r="A51" s="41"/>
      <c r="B51" s="20" t="s">
        <v>52</v>
      </c>
      <c r="C51" s="42">
        <v>2025</v>
      </c>
      <c r="D51" s="19" t="s">
        <v>905</v>
      </c>
      <c r="E51" s="3" t="s">
        <v>860</v>
      </c>
      <c r="F51" s="1">
        <v>0</v>
      </c>
      <c r="G51" s="32">
        <v>0</v>
      </c>
      <c r="H51" s="33">
        <f t="shared" si="0"/>
        <v>0</v>
      </c>
      <c r="I51" s="34"/>
      <c r="J51" s="35">
        <v>-1250000</v>
      </c>
      <c r="K51" s="36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R51" s="37">
        <f t="shared" ref="R51" si="12">F51-J51-K51-L51-M51-N51-O51</f>
        <v>1250000</v>
      </c>
      <c r="X51" s="28"/>
      <c r="Y51" s="28"/>
    </row>
    <row r="52" spans="1:25" s="4" customFormat="1">
      <c r="A52" s="41"/>
      <c r="B52" s="20" t="s">
        <v>52</v>
      </c>
      <c r="C52" s="42">
        <v>2025</v>
      </c>
      <c r="D52" s="19" t="s">
        <v>753</v>
      </c>
      <c r="E52" s="3" t="s">
        <v>861</v>
      </c>
      <c r="F52" s="1">
        <v>0</v>
      </c>
      <c r="G52" s="32">
        <v>0</v>
      </c>
      <c r="H52" s="33">
        <f t="shared" si="0"/>
        <v>0</v>
      </c>
      <c r="I52" s="34"/>
      <c r="J52" s="35">
        <v>-2000000</v>
      </c>
      <c r="K52" s="36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R52" s="37">
        <f t="shared" ref="R52" si="13">F52-J52-K52-L52-M52-N52-O52</f>
        <v>2000000</v>
      </c>
      <c r="X52" s="28"/>
      <c r="Y52" s="28"/>
    </row>
    <row r="53" spans="1:25" s="4" customFormat="1">
      <c r="A53" s="41"/>
      <c r="B53" s="20" t="s">
        <v>52</v>
      </c>
      <c r="C53" s="42">
        <v>2025</v>
      </c>
      <c r="D53" s="19" t="s">
        <v>753</v>
      </c>
      <c r="E53" s="3" t="s">
        <v>862</v>
      </c>
      <c r="F53" s="1">
        <v>0</v>
      </c>
      <c r="G53" s="32">
        <v>0</v>
      </c>
      <c r="H53" s="33">
        <f t="shared" si="0"/>
        <v>0</v>
      </c>
      <c r="I53" s="34"/>
      <c r="J53" s="35">
        <v>-1450000</v>
      </c>
      <c r="K53" s="36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R53" s="37">
        <f t="shared" ref="R53:R54" si="14">F53-J53-K53-L53-M53-N53-O53</f>
        <v>1450000</v>
      </c>
      <c r="X53" s="28"/>
      <c r="Y53" s="28"/>
    </row>
    <row r="54" spans="1:25" s="4" customFormat="1">
      <c r="A54" s="41"/>
      <c r="B54" s="20" t="s">
        <v>52</v>
      </c>
      <c r="C54" s="42">
        <v>2025</v>
      </c>
      <c r="D54" s="19" t="s">
        <v>753</v>
      </c>
      <c r="E54" s="3" t="s">
        <v>863</v>
      </c>
      <c r="F54" s="1">
        <v>0</v>
      </c>
      <c r="G54" s="32">
        <v>0</v>
      </c>
      <c r="H54" s="33">
        <f t="shared" si="0"/>
        <v>0</v>
      </c>
      <c r="I54" s="34"/>
      <c r="J54" s="35">
        <v>-1450000</v>
      </c>
      <c r="K54" s="36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R54" s="37">
        <f t="shared" si="14"/>
        <v>1450000</v>
      </c>
      <c r="X54" s="28"/>
      <c r="Y54" s="28"/>
    </row>
    <row r="55" spans="1:25" s="4" customFormat="1">
      <c r="A55" s="41"/>
      <c r="B55" s="20" t="s">
        <v>52</v>
      </c>
      <c r="C55" s="42">
        <v>2025</v>
      </c>
      <c r="D55" s="19" t="s">
        <v>90</v>
      </c>
      <c r="E55" s="3" t="s">
        <v>65</v>
      </c>
      <c r="F55" s="1">
        <v>0</v>
      </c>
      <c r="G55" s="32">
        <v>0</v>
      </c>
      <c r="H55" s="33">
        <f t="shared" si="0"/>
        <v>0</v>
      </c>
      <c r="I55" s="34"/>
      <c r="J55" s="35">
        <v>0</v>
      </c>
      <c r="K55" s="36">
        <v>-4080000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R55" s="37">
        <f t="shared" ref="R55" si="15">F55-J55-K55-L55-M55-N55-O55</f>
        <v>4080000</v>
      </c>
      <c r="X55" s="28"/>
      <c r="Y55" s="28"/>
    </row>
    <row r="56" spans="1:25" s="4" customFormat="1">
      <c r="A56" s="41"/>
      <c r="B56" s="20" t="s">
        <v>52</v>
      </c>
      <c r="C56" s="42">
        <v>2025</v>
      </c>
      <c r="D56" s="19" t="s">
        <v>94</v>
      </c>
      <c r="E56" s="3" t="s">
        <v>77</v>
      </c>
      <c r="F56" s="1">
        <v>0</v>
      </c>
      <c r="G56" s="32">
        <v>0</v>
      </c>
      <c r="H56" s="33">
        <f t="shared" si="0"/>
        <v>0</v>
      </c>
      <c r="I56" s="34"/>
      <c r="J56" s="35">
        <v>0</v>
      </c>
      <c r="K56" s="36">
        <v>-3640000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R56" s="37">
        <f t="shared" ref="R56:R57" si="16">F56-J56-K56-L56-M56-N56-O56</f>
        <v>3640000</v>
      </c>
      <c r="X56" s="28"/>
      <c r="Y56" s="28"/>
    </row>
    <row r="57" spans="1:25" s="4" customFormat="1">
      <c r="A57" s="41"/>
      <c r="B57" s="20" t="s">
        <v>52</v>
      </c>
      <c r="C57" s="42">
        <v>2025</v>
      </c>
      <c r="D57" s="19" t="s">
        <v>94</v>
      </c>
      <c r="E57" s="3" t="s">
        <v>78</v>
      </c>
      <c r="F57" s="1">
        <v>0</v>
      </c>
      <c r="G57" s="32">
        <v>0</v>
      </c>
      <c r="H57" s="33">
        <f t="shared" si="0"/>
        <v>0</v>
      </c>
      <c r="I57" s="34"/>
      <c r="J57" s="35">
        <v>0</v>
      </c>
      <c r="K57" s="36">
        <v>-1432760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R57" s="37">
        <f t="shared" si="16"/>
        <v>1432760</v>
      </c>
      <c r="X57" s="28"/>
      <c r="Y57" s="28"/>
    </row>
    <row r="58" spans="1:25" s="4" customFormat="1">
      <c r="A58" s="41"/>
      <c r="B58" s="20" t="s">
        <v>52</v>
      </c>
      <c r="C58" s="42">
        <v>2025</v>
      </c>
      <c r="D58" s="19" t="s">
        <v>85</v>
      </c>
      <c r="E58" s="3" t="s">
        <v>79</v>
      </c>
      <c r="F58" s="1">
        <v>0</v>
      </c>
      <c r="G58" s="32">
        <v>0</v>
      </c>
      <c r="H58" s="33">
        <f t="shared" si="0"/>
        <v>0</v>
      </c>
      <c r="I58" s="34"/>
      <c r="J58" s="35">
        <v>0</v>
      </c>
      <c r="K58" s="35">
        <v>-16380000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R58" s="37">
        <f t="shared" si="9"/>
        <v>16380000</v>
      </c>
      <c r="X58" s="28"/>
      <c r="Y58" s="28"/>
    </row>
    <row r="59" spans="1:25" s="4" customFormat="1">
      <c r="A59" s="41"/>
      <c r="B59" s="20" t="s">
        <v>52</v>
      </c>
      <c r="C59" s="42">
        <v>2025</v>
      </c>
      <c r="D59" s="19" t="s">
        <v>203</v>
      </c>
      <c r="E59" s="3" t="s">
        <v>118</v>
      </c>
      <c r="F59" s="1">
        <v>0</v>
      </c>
      <c r="G59" s="32">
        <v>0</v>
      </c>
      <c r="H59" s="33">
        <f t="shared" si="0"/>
        <v>0</v>
      </c>
      <c r="I59" s="34"/>
      <c r="J59" s="35">
        <v>0</v>
      </c>
      <c r="K59" s="35">
        <v>-1500000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R59" s="37">
        <f t="shared" ref="R59" si="17">F59-J59-K59-L59-M59-N59-O59</f>
        <v>1500000</v>
      </c>
      <c r="X59" s="28"/>
      <c r="Y59" s="28"/>
    </row>
    <row r="60" spans="1:25" s="4" customFormat="1">
      <c r="A60" s="41"/>
      <c r="B60" s="20" t="s">
        <v>52</v>
      </c>
      <c r="C60" s="42">
        <v>2025</v>
      </c>
      <c r="D60" s="19" t="s">
        <v>203</v>
      </c>
      <c r="E60" s="3" t="s">
        <v>119</v>
      </c>
      <c r="F60" s="1">
        <v>0</v>
      </c>
      <c r="G60" s="32">
        <v>0</v>
      </c>
      <c r="H60" s="33">
        <f t="shared" si="0"/>
        <v>0</v>
      </c>
      <c r="I60" s="34"/>
      <c r="J60" s="35">
        <v>0</v>
      </c>
      <c r="K60" s="35">
        <v>-1000000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R60" s="37">
        <f t="shared" ref="R60:R64" si="18">F60-J60-K60-L60-M60-N60-O60</f>
        <v>1000000</v>
      </c>
      <c r="X60" s="28"/>
      <c r="Y60" s="28"/>
    </row>
    <row r="61" spans="1:25" s="4" customFormat="1">
      <c r="A61" s="41"/>
      <c r="B61" s="20" t="s">
        <v>52</v>
      </c>
      <c r="C61" s="42">
        <v>2025</v>
      </c>
      <c r="D61" s="19" t="s">
        <v>203</v>
      </c>
      <c r="E61" s="3" t="s">
        <v>120</v>
      </c>
      <c r="F61" s="1">
        <v>0</v>
      </c>
      <c r="G61" s="32">
        <v>0</v>
      </c>
      <c r="H61" s="33">
        <f t="shared" si="0"/>
        <v>0</v>
      </c>
      <c r="I61" s="34"/>
      <c r="J61" s="35">
        <v>0</v>
      </c>
      <c r="K61" s="35">
        <v>-1000000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R61" s="37">
        <f t="shared" si="18"/>
        <v>1000000</v>
      </c>
      <c r="X61" s="28"/>
      <c r="Y61" s="28"/>
    </row>
    <row r="62" spans="1:25" s="4" customFormat="1">
      <c r="A62" s="41"/>
      <c r="B62" s="20" t="s">
        <v>52</v>
      </c>
      <c r="C62" s="42">
        <v>2025</v>
      </c>
      <c r="D62" s="19" t="s">
        <v>203</v>
      </c>
      <c r="E62" s="3" t="s">
        <v>121</v>
      </c>
      <c r="F62" s="1">
        <v>0</v>
      </c>
      <c r="G62" s="32">
        <v>0</v>
      </c>
      <c r="H62" s="33">
        <f t="shared" si="0"/>
        <v>0</v>
      </c>
      <c r="I62" s="34"/>
      <c r="J62" s="35">
        <v>0</v>
      </c>
      <c r="K62" s="35">
        <v>-2000000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R62" s="37">
        <f t="shared" si="18"/>
        <v>2000000</v>
      </c>
      <c r="X62" s="28"/>
      <c r="Y62" s="28"/>
    </row>
    <row r="63" spans="1:25" s="4" customFormat="1">
      <c r="A63" s="41"/>
      <c r="B63" s="20" t="s">
        <v>52</v>
      </c>
      <c r="C63" s="42">
        <v>2025</v>
      </c>
      <c r="D63" s="19" t="s">
        <v>203</v>
      </c>
      <c r="E63" s="3" t="s">
        <v>122</v>
      </c>
      <c r="F63" s="1">
        <v>0</v>
      </c>
      <c r="G63" s="32">
        <v>0</v>
      </c>
      <c r="H63" s="33">
        <f t="shared" si="0"/>
        <v>0</v>
      </c>
      <c r="I63" s="34"/>
      <c r="J63" s="35">
        <v>0</v>
      </c>
      <c r="K63" s="35">
        <v>-12800000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R63" s="37">
        <f t="shared" si="18"/>
        <v>12800000</v>
      </c>
      <c r="X63" s="28"/>
      <c r="Y63" s="28"/>
    </row>
    <row r="64" spans="1:25" s="4" customFormat="1">
      <c r="A64" s="41"/>
      <c r="B64" s="20" t="s">
        <v>52</v>
      </c>
      <c r="C64" s="42">
        <v>2025</v>
      </c>
      <c r="D64" s="19" t="s">
        <v>203</v>
      </c>
      <c r="E64" s="3" t="s">
        <v>123</v>
      </c>
      <c r="F64" s="1">
        <v>0</v>
      </c>
      <c r="G64" s="32">
        <v>0</v>
      </c>
      <c r="H64" s="33">
        <f t="shared" si="0"/>
        <v>0</v>
      </c>
      <c r="I64" s="34"/>
      <c r="J64" s="35">
        <v>0</v>
      </c>
      <c r="K64" s="35">
        <v>-560000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R64" s="37">
        <f t="shared" si="18"/>
        <v>560000</v>
      </c>
      <c r="X64" s="28"/>
      <c r="Y64" s="28"/>
    </row>
    <row r="65" spans="1:25" s="4" customFormat="1">
      <c r="A65" s="41"/>
      <c r="B65" s="20" t="s">
        <v>52</v>
      </c>
      <c r="C65" s="42">
        <v>2025</v>
      </c>
      <c r="D65" s="19" t="s">
        <v>85</v>
      </c>
      <c r="E65" s="3" t="s">
        <v>124</v>
      </c>
      <c r="F65" s="1">
        <v>0</v>
      </c>
      <c r="G65" s="32">
        <v>0</v>
      </c>
      <c r="H65" s="33">
        <f t="shared" si="0"/>
        <v>0</v>
      </c>
      <c r="I65" s="34"/>
      <c r="J65" s="35">
        <v>0</v>
      </c>
      <c r="K65" s="35">
        <v>780000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R65" s="37">
        <f t="shared" si="9"/>
        <v>-780000</v>
      </c>
      <c r="X65" s="28"/>
      <c r="Y65" s="28"/>
    </row>
    <row r="66" spans="1:25" s="4" customFormat="1">
      <c r="A66" s="41"/>
      <c r="B66" s="20" t="s">
        <v>52</v>
      </c>
      <c r="C66" s="42">
        <v>2025</v>
      </c>
      <c r="D66" s="19" t="s">
        <v>373</v>
      </c>
      <c r="E66" s="3" t="s">
        <v>721</v>
      </c>
      <c r="F66" s="1">
        <v>0</v>
      </c>
      <c r="G66" s="32">
        <v>0</v>
      </c>
      <c r="H66" s="33">
        <f t="shared" si="0"/>
        <v>0</v>
      </c>
      <c r="I66" s="34"/>
      <c r="J66" s="35">
        <v>0</v>
      </c>
      <c r="K66" s="35">
        <v>80000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R66" s="37">
        <f t="shared" si="9"/>
        <v>-80000</v>
      </c>
      <c r="X66" s="28"/>
      <c r="Y66" s="28"/>
    </row>
    <row r="67" spans="1:25" s="4" customFormat="1">
      <c r="A67" s="41"/>
      <c r="B67" s="20" t="s">
        <v>52</v>
      </c>
      <c r="C67" s="42">
        <v>2025</v>
      </c>
      <c r="D67" s="19" t="s">
        <v>375</v>
      </c>
      <c r="E67" s="3" t="s">
        <v>383</v>
      </c>
      <c r="F67" s="1">
        <v>0</v>
      </c>
      <c r="G67" s="32">
        <v>0</v>
      </c>
      <c r="H67" s="33">
        <f t="shared" si="0"/>
        <v>0</v>
      </c>
      <c r="I67" s="34"/>
      <c r="J67" s="35">
        <v>0</v>
      </c>
      <c r="K67" s="35">
        <v>-50050000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R67" s="37">
        <f t="shared" si="9"/>
        <v>50050000</v>
      </c>
      <c r="X67" s="28"/>
      <c r="Y67" s="28"/>
    </row>
    <row r="68" spans="1:25" s="4" customFormat="1">
      <c r="A68" s="41"/>
      <c r="B68" s="20" t="s">
        <v>52</v>
      </c>
      <c r="C68" s="42">
        <v>2025</v>
      </c>
      <c r="D68" s="19" t="s">
        <v>452</v>
      </c>
      <c r="E68" s="3" t="s">
        <v>624</v>
      </c>
      <c r="F68" s="1">
        <v>0</v>
      </c>
      <c r="G68" s="32">
        <v>0</v>
      </c>
      <c r="H68" s="33">
        <f t="shared" si="0"/>
        <v>0</v>
      </c>
      <c r="I68" s="34"/>
      <c r="J68" s="35">
        <v>0</v>
      </c>
      <c r="K68" s="35">
        <v>-14021500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R68" s="37">
        <f t="shared" si="9"/>
        <v>14021500</v>
      </c>
      <c r="X68" s="28"/>
      <c r="Y68" s="28"/>
    </row>
    <row r="69" spans="1:25" s="4" customFormat="1">
      <c r="A69" s="41"/>
      <c r="B69" s="20" t="s">
        <v>52</v>
      </c>
      <c r="C69" s="42">
        <v>2025</v>
      </c>
      <c r="D69" s="19" t="s">
        <v>452</v>
      </c>
      <c r="E69" s="3" t="s">
        <v>384</v>
      </c>
      <c r="F69" s="1">
        <v>0</v>
      </c>
      <c r="G69" s="32">
        <v>0</v>
      </c>
      <c r="H69" s="33">
        <f t="shared" ref="H69:H132" si="19">G69*$H$4/$E$999</f>
        <v>0</v>
      </c>
      <c r="I69" s="34"/>
      <c r="J69" s="35">
        <v>0</v>
      </c>
      <c r="K69" s="35">
        <v>-550000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R69" s="37">
        <f t="shared" si="9"/>
        <v>550000</v>
      </c>
      <c r="X69" s="28"/>
      <c r="Y69" s="28"/>
    </row>
    <row r="70" spans="1:25" s="4" customFormat="1">
      <c r="A70" s="41"/>
      <c r="B70" s="20" t="s">
        <v>52</v>
      </c>
      <c r="C70" s="42">
        <v>2025</v>
      </c>
      <c r="D70" s="19" t="s">
        <v>452</v>
      </c>
      <c r="E70" s="3" t="s">
        <v>385</v>
      </c>
      <c r="F70" s="1">
        <v>0</v>
      </c>
      <c r="G70" s="32">
        <v>0</v>
      </c>
      <c r="H70" s="33">
        <f t="shared" si="19"/>
        <v>0</v>
      </c>
      <c r="I70" s="34"/>
      <c r="J70" s="35">
        <v>0</v>
      </c>
      <c r="K70" s="35">
        <v>-4182300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R70" s="37">
        <f t="shared" si="9"/>
        <v>4182300</v>
      </c>
      <c r="X70" s="28"/>
      <c r="Y70" s="28"/>
    </row>
    <row r="71" spans="1:25" s="4" customFormat="1">
      <c r="A71" s="41"/>
      <c r="B71" s="20" t="s">
        <v>52</v>
      </c>
      <c r="C71" s="42">
        <v>2025</v>
      </c>
      <c r="D71" s="19" t="s">
        <v>375</v>
      </c>
      <c r="E71" s="3" t="s">
        <v>386</v>
      </c>
      <c r="F71" s="1">
        <v>0</v>
      </c>
      <c r="G71" s="32">
        <v>0</v>
      </c>
      <c r="H71" s="33">
        <f t="shared" si="19"/>
        <v>0</v>
      </c>
      <c r="I71" s="34"/>
      <c r="J71" s="35">
        <v>0</v>
      </c>
      <c r="K71" s="35">
        <v>-23512500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R71" s="37">
        <f t="shared" si="9"/>
        <v>23512500</v>
      </c>
      <c r="X71" s="28"/>
      <c r="Y71" s="28"/>
    </row>
    <row r="72" spans="1:25" s="4" customFormat="1">
      <c r="A72" s="41"/>
      <c r="B72" s="20" t="s">
        <v>52</v>
      </c>
      <c r="C72" s="42">
        <v>2025</v>
      </c>
      <c r="D72" s="19" t="s">
        <v>453</v>
      </c>
      <c r="E72" s="3" t="s">
        <v>387</v>
      </c>
      <c r="F72" s="1">
        <v>0</v>
      </c>
      <c r="G72" s="32">
        <v>0</v>
      </c>
      <c r="H72" s="33">
        <f t="shared" si="19"/>
        <v>0</v>
      </c>
      <c r="I72" s="34"/>
      <c r="J72" s="35">
        <v>0</v>
      </c>
      <c r="K72" s="35">
        <v>-3240000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R72" s="37">
        <f t="shared" ref="R72" si="20">F72-J72-K72-L72-M72-N72-O72</f>
        <v>3240000</v>
      </c>
      <c r="X72" s="28"/>
      <c r="Y72" s="28"/>
    </row>
    <row r="73" spans="1:25" s="4" customFormat="1">
      <c r="A73" s="41"/>
      <c r="B73" s="20" t="s">
        <v>52</v>
      </c>
      <c r="C73" s="42">
        <v>2025</v>
      </c>
      <c r="D73" s="19" t="s">
        <v>459</v>
      </c>
      <c r="E73" s="3" t="s">
        <v>388</v>
      </c>
      <c r="F73" s="1">
        <v>0</v>
      </c>
      <c r="G73" s="32">
        <v>0</v>
      </c>
      <c r="H73" s="33">
        <f t="shared" si="19"/>
        <v>0</v>
      </c>
      <c r="I73" s="34"/>
      <c r="J73" s="35">
        <v>0</v>
      </c>
      <c r="K73" s="35">
        <v>-2400000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R73" s="37">
        <f t="shared" si="9"/>
        <v>2400000</v>
      </c>
      <c r="X73" s="28"/>
      <c r="Y73" s="28"/>
    </row>
    <row r="74" spans="1:25" s="4" customFormat="1">
      <c r="A74" s="41"/>
      <c r="B74" s="20" t="s">
        <v>52</v>
      </c>
      <c r="C74" s="42">
        <v>2025</v>
      </c>
      <c r="D74" s="19" t="s">
        <v>455</v>
      </c>
      <c r="E74" s="3" t="s">
        <v>389</v>
      </c>
      <c r="F74" s="1">
        <v>0</v>
      </c>
      <c r="G74" s="32">
        <v>0</v>
      </c>
      <c r="H74" s="33">
        <f t="shared" si="19"/>
        <v>0</v>
      </c>
      <c r="I74" s="34"/>
      <c r="J74" s="35">
        <v>0</v>
      </c>
      <c r="K74" s="35">
        <v>-23101903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R74" s="37">
        <f t="shared" ref="R74" si="21">F74-J74-K74-L74-M74-N74-O74</f>
        <v>23101903</v>
      </c>
      <c r="X74" s="28"/>
      <c r="Y74" s="28"/>
    </row>
    <row r="75" spans="1:25" s="4" customFormat="1">
      <c r="A75" s="41"/>
      <c r="B75" s="20" t="s">
        <v>52</v>
      </c>
      <c r="C75" s="42">
        <v>2025</v>
      </c>
      <c r="D75" s="19" t="s">
        <v>453</v>
      </c>
      <c r="E75" s="3" t="s">
        <v>390</v>
      </c>
      <c r="F75" s="1">
        <v>0</v>
      </c>
      <c r="G75" s="32">
        <v>0</v>
      </c>
      <c r="H75" s="33">
        <f t="shared" si="19"/>
        <v>0</v>
      </c>
      <c r="I75" s="34"/>
      <c r="J75" s="35">
        <v>0</v>
      </c>
      <c r="K75" s="35">
        <v>-3202500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R75" s="37">
        <f t="shared" ref="R75" si="22">F75-J75-K75-L75-M75-N75-O75</f>
        <v>3202500</v>
      </c>
      <c r="X75" s="28"/>
      <c r="Y75" s="28"/>
    </row>
    <row r="76" spans="1:25" s="4" customFormat="1">
      <c r="A76" s="41"/>
      <c r="B76" s="20" t="s">
        <v>52</v>
      </c>
      <c r="C76" s="42">
        <v>2025</v>
      </c>
      <c r="D76" s="19" t="s">
        <v>452</v>
      </c>
      <c r="E76" s="3" t="s">
        <v>626</v>
      </c>
      <c r="F76" s="1">
        <v>0</v>
      </c>
      <c r="G76" s="32">
        <v>0</v>
      </c>
      <c r="H76" s="33">
        <f t="shared" si="19"/>
        <v>0</v>
      </c>
      <c r="I76" s="34"/>
      <c r="J76" s="35">
        <v>0</v>
      </c>
      <c r="K76" s="35">
        <v>-701000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R76" s="37">
        <f t="shared" si="9"/>
        <v>701000</v>
      </c>
      <c r="X76" s="28"/>
      <c r="Y76" s="28"/>
    </row>
    <row r="77" spans="1:25" s="4" customFormat="1">
      <c r="A77" s="41"/>
      <c r="B77" s="20" t="s">
        <v>52</v>
      </c>
      <c r="C77" s="42">
        <v>2025</v>
      </c>
      <c r="D77" s="19" t="s">
        <v>453</v>
      </c>
      <c r="E77" s="3" t="s">
        <v>391</v>
      </c>
      <c r="F77" s="1">
        <v>0</v>
      </c>
      <c r="G77" s="32">
        <v>0</v>
      </c>
      <c r="H77" s="33">
        <f t="shared" si="19"/>
        <v>0</v>
      </c>
      <c r="I77" s="34"/>
      <c r="J77" s="35">
        <v>0</v>
      </c>
      <c r="K77" s="35">
        <v>-2800000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R77" s="37">
        <f t="shared" ref="R77" si="23">F77-J77-K77-L77-M77-N77-O77</f>
        <v>2800000</v>
      </c>
      <c r="X77" s="28"/>
      <c r="Y77" s="28"/>
    </row>
    <row r="78" spans="1:25" s="4" customFormat="1">
      <c r="A78" s="41"/>
      <c r="B78" s="20" t="s">
        <v>52</v>
      </c>
      <c r="C78" s="42">
        <v>2025</v>
      </c>
      <c r="D78" s="19" t="s">
        <v>786</v>
      </c>
      <c r="E78" s="3" t="s">
        <v>274</v>
      </c>
      <c r="F78" s="1">
        <v>0</v>
      </c>
      <c r="G78" s="32">
        <v>0</v>
      </c>
      <c r="H78" s="33">
        <f t="shared" si="19"/>
        <v>0</v>
      </c>
      <c r="I78" s="34"/>
      <c r="J78" s="35">
        <v>0</v>
      </c>
      <c r="K78" s="35">
        <f>-1500000</f>
        <v>-1500000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R78" s="37">
        <f>F78-J78-K78-L78-M78-N78-O78</f>
        <v>1500000</v>
      </c>
      <c r="X78" s="28"/>
      <c r="Y78" s="28"/>
    </row>
    <row r="79" spans="1:25" s="4" customFormat="1">
      <c r="A79" s="41"/>
      <c r="B79" s="20" t="s">
        <v>52</v>
      </c>
      <c r="C79" s="42">
        <v>2025</v>
      </c>
      <c r="D79" s="19" t="s">
        <v>461</v>
      </c>
      <c r="E79" s="3" t="s">
        <v>417</v>
      </c>
      <c r="F79" s="1">
        <v>0</v>
      </c>
      <c r="G79" s="32">
        <v>0</v>
      </c>
      <c r="H79" s="33">
        <f t="shared" si="19"/>
        <v>0</v>
      </c>
      <c r="I79" s="34"/>
      <c r="J79" s="35">
        <v>0</v>
      </c>
      <c r="K79" s="35">
        <v>-66790000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R79" s="37">
        <f t="shared" ref="R79:R99" si="24">F79-J79-K79-L79-M79-N79-O79</f>
        <v>66790000</v>
      </c>
      <c r="X79" s="28"/>
      <c r="Y79" s="28"/>
    </row>
    <row r="80" spans="1:25" s="4" customFormat="1">
      <c r="A80" s="41"/>
      <c r="B80" s="20" t="s">
        <v>52</v>
      </c>
      <c r="C80" s="42">
        <v>2025</v>
      </c>
      <c r="D80" s="19" t="s">
        <v>461</v>
      </c>
      <c r="E80" s="3" t="s">
        <v>418</v>
      </c>
      <c r="F80" s="1">
        <v>0</v>
      </c>
      <c r="G80" s="32">
        <v>0</v>
      </c>
      <c r="H80" s="33">
        <f t="shared" si="19"/>
        <v>0</v>
      </c>
      <c r="I80" s="34"/>
      <c r="J80" s="35">
        <v>0</v>
      </c>
      <c r="K80" s="35">
        <v>-68500000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R80" s="37">
        <f t="shared" si="24"/>
        <v>68500000</v>
      </c>
      <c r="X80" s="28"/>
      <c r="Y80" s="28"/>
    </row>
    <row r="81" spans="1:25" s="4" customFormat="1">
      <c r="A81" s="41"/>
      <c r="B81" s="20" t="s">
        <v>52</v>
      </c>
      <c r="C81" s="42">
        <v>2025</v>
      </c>
      <c r="D81" s="19" t="s">
        <v>461</v>
      </c>
      <c r="E81" s="3" t="s">
        <v>419</v>
      </c>
      <c r="F81" s="1">
        <v>0</v>
      </c>
      <c r="G81" s="32">
        <v>0</v>
      </c>
      <c r="H81" s="33">
        <f t="shared" si="19"/>
        <v>0</v>
      </c>
      <c r="I81" s="34"/>
      <c r="J81" s="35">
        <v>0</v>
      </c>
      <c r="K81" s="35">
        <v>-84375000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R81" s="37">
        <f t="shared" si="24"/>
        <v>84375000</v>
      </c>
      <c r="X81" s="28"/>
      <c r="Y81" s="28"/>
    </row>
    <row r="82" spans="1:25" s="4" customFormat="1">
      <c r="A82" s="41"/>
      <c r="B82" s="20" t="s">
        <v>52</v>
      </c>
      <c r="C82" s="42">
        <v>2025</v>
      </c>
      <c r="D82" s="19" t="s">
        <v>461</v>
      </c>
      <c r="E82" s="3" t="s">
        <v>420</v>
      </c>
      <c r="F82" s="1">
        <v>0</v>
      </c>
      <c r="G82" s="32">
        <v>0</v>
      </c>
      <c r="H82" s="33">
        <f t="shared" si="19"/>
        <v>0</v>
      </c>
      <c r="I82" s="34"/>
      <c r="J82" s="35">
        <v>0</v>
      </c>
      <c r="K82" s="35">
        <v>-65562000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R82" s="37">
        <f t="shared" si="24"/>
        <v>65562000</v>
      </c>
      <c r="X82" s="28"/>
      <c r="Y82" s="28"/>
    </row>
    <row r="83" spans="1:25" s="4" customFormat="1">
      <c r="A83" s="41"/>
      <c r="B83" s="20" t="s">
        <v>52</v>
      </c>
      <c r="C83" s="42">
        <v>2025</v>
      </c>
      <c r="D83" s="19" t="s">
        <v>461</v>
      </c>
      <c r="E83" s="3" t="s">
        <v>482</v>
      </c>
      <c r="F83" s="1">
        <v>0</v>
      </c>
      <c r="G83" s="32">
        <v>0</v>
      </c>
      <c r="H83" s="33">
        <f t="shared" si="19"/>
        <v>0</v>
      </c>
      <c r="I83" s="34"/>
      <c r="J83" s="35">
        <v>0</v>
      </c>
      <c r="K83" s="35">
        <v>-28750000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R83" s="37">
        <f t="shared" si="24"/>
        <v>28750000</v>
      </c>
      <c r="X83" s="28"/>
      <c r="Y83" s="28"/>
    </row>
    <row r="84" spans="1:25" s="4" customFormat="1">
      <c r="A84" s="41"/>
      <c r="B84" s="20" t="s">
        <v>52</v>
      </c>
      <c r="C84" s="42">
        <v>2025</v>
      </c>
      <c r="D84" s="19" t="s">
        <v>373</v>
      </c>
      <c r="E84" s="3" t="s">
        <v>483</v>
      </c>
      <c r="F84" s="1">
        <v>0</v>
      </c>
      <c r="G84" s="32">
        <v>0</v>
      </c>
      <c r="H84" s="33">
        <f t="shared" si="19"/>
        <v>0</v>
      </c>
      <c r="I84" s="34"/>
      <c r="J84" s="35">
        <v>0</v>
      </c>
      <c r="K84" s="35">
        <v>-1626910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R84" s="37">
        <f t="shared" si="24"/>
        <v>1626910</v>
      </c>
      <c r="X84" s="28"/>
      <c r="Y84" s="28"/>
    </row>
    <row r="85" spans="1:25" s="4" customFormat="1">
      <c r="A85" s="41"/>
      <c r="B85" s="20" t="s">
        <v>52</v>
      </c>
      <c r="C85" s="42">
        <v>2025</v>
      </c>
      <c r="D85" s="19" t="s">
        <v>505</v>
      </c>
      <c r="E85" s="3" t="s">
        <v>484</v>
      </c>
      <c r="F85" s="1">
        <v>0</v>
      </c>
      <c r="G85" s="32">
        <v>0</v>
      </c>
      <c r="H85" s="33">
        <f t="shared" si="19"/>
        <v>0</v>
      </c>
      <c r="I85" s="34"/>
      <c r="J85" s="35">
        <v>0</v>
      </c>
      <c r="K85" s="35">
        <v>-577000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R85" s="37">
        <f t="shared" ref="R85" si="25">F85-J85-K85-L85-M85-N85-O85</f>
        <v>577000</v>
      </c>
      <c r="X85" s="28"/>
      <c r="Y85" s="28"/>
    </row>
    <row r="86" spans="1:25" s="4" customFormat="1">
      <c r="A86" s="41"/>
      <c r="B86" s="20" t="s">
        <v>52</v>
      </c>
      <c r="C86" s="42">
        <v>2025</v>
      </c>
      <c r="D86" s="19" t="s">
        <v>505</v>
      </c>
      <c r="E86" s="3" t="s">
        <v>485</v>
      </c>
      <c r="F86" s="1">
        <v>0</v>
      </c>
      <c r="G86" s="32">
        <v>0</v>
      </c>
      <c r="H86" s="33">
        <f t="shared" si="19"/>
        <v>0</v>
      </c>
      <c r="I86" s="34"/>
      <c r="J86" s="35">
        <v>0</v>
      </c>
      <c r="K86" s="35">
        <v>-1000000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R86" s="37">
        <f t="shared" ref="R86:R88" si="26">F86-J86-K86-L86-M86-N86-O86</f>
        <v>1000000</v>
      </c>
      <c r="X86" s="28"/>
      <c r="Y86" s="28"/>
    </row>
    <row r="87" spans="1:25" s="4" customFormat="1">
      <c r="A87" s="41"/>
      <c r="B87" s="20" t="s">
        <v>52</v>
      </c>
      <c r="C87" s="42">
        <v>2025</v>
      </c>
      <c r="D87" s="19" t="s">
        <v>505</v>
      </c>
      <c r="E87" s="3" t="s">
        <v>486</v>
      </c>
      <c r="F87" s="1">
        <v>0</v>
      </c>
      <c r="G87" s="32">
        <v>0</v>
      </c>
      <c r="H87" s="33">
        <f t="shared" si="19"/>
        <v>0</v>
      </c>
      <c r="I87" s="34"/>
      <c r="J87" s="35">
        <v>0</v>
      </c>
      <c r="K87" s="35">
        <v>-1500000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R87" s="37">
        <f t="shared" si="26"/>
        <v>1500000</v>
      </c>
      <c r="X87" s="28"/>
      <c r="Y87" s="28"/>
    </row>
    <row r="88" spans="1:25" s="4" customFormat="1">
      <c r="A88" s="41"/>
      <c r="B88" s="20" t="s">
        <v>52</v>
      </c>
      <c r="C88" s="42">
        <v>2025</v>
      </c>
      <c r="D88" s="19" t="s">
        <v>505</v>
      </c>
      <c r="E88" s="3" t="s">
        <v>487</v>
      </c>
      <c r="F88" s="1">
        <v>0</v>
      </c>
      <c r="G88" s="32">
        <v>0</v>
      </c>
      <c r="H88" s="33">
        <f t="shared" si="19"/>
        <v>0</v>
      </c>
      <c r="I88" s="34"/>
      <c r="J88" s="35">
        <v>0</v>
      </c>
      <c r="K88" s="35">
        <v>-1718500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R88" s="37">
        <f t="shared" si="26"/>
        <v>1718500</v>
      </c>
      <c r="X88" s="28"/>
      <c r="Y88" s="28"/>
    </row>
    <row r="89" spans="1:25" s="4" customFormat="1">
      <c r="A89" s="41"/>
      <c r="B89" s="20" t="s">
        <v>52</v>
      </c>
      <c r="C89" s="42">
        <v>2025</v>
      </c>
      <c r="D89" s="19" t="s">
        <v>455</v>
      </c>
      <c r="E89" s="3" t="s">
        <v>488</v>
      </c>
      <c r="F89" s="1">
        <v>0</v>
      </c>
      <c r="G89" s="32">
        <v>0</v>
      </c>
      <c r="H89" s="33">
        <f t="shared" si="19"/>
        <v>0</v>
      </c>
      <c r="I89" s="34"/>
      <c r="J89" s="35">
        <v>0</v>
      </c>
      <c r="K89" s="35">
        <v>-11848120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R89" s="37">
        <f t="shared" ref="R89" si="27">F89-J89-K89-L89-M89-N89-O89</f>
        <v>11848120</v>
      </c>
      <c r="X89" s="28"/>
      <c r="Y89" s="28"/>
    </row>
    <row r="90" spans="1:25" s="4" customFormat="1">
      <c r="A90" s="41"/>
      <c r="B90" s="20" t="s">
        <v>52</v>
      </c>
      <c r="C90" s="42">
        <v>2025</v>
      </c>
      <c r="D90" s="19" t="s">
        <v>461</v>
      </c>
      <c r="E90" s="3" t="s">
        <v>625</v>
      </c>
      <c r="F90" s="1">
        <v>0</v>
      </c>
      <c r="G90" s="32">
        <v>0</v>
      </c>
      <c r="H90" s="33">
        <f t="shared" si="19"/>
        <v>0</v>
      </c>
      <c r="I90" s="34"/>
      <c r="J90" s="35">
        <v>0</v>
      </c>
      <c r="K90" s="35">
        <v>-717501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R90" s="37">
        <f t="shared" si="24"/>
        <v>717501</v>
      </c>
      <c r="X90" s="28"/>
      <c r="Y90" s="28"/>
    </row>
    <row r="91" spans="1:25" s="4" customFormat="1">
      <c r="A91" s="41"/>
      <c r="B91" s="20" t="s">
        <v>52</v>
      </c>
      <c r="C91" s="42">
        <v>2025</v>
      </c>
      <c r="D91" s="19" t="s">
        <v>722</v>
      </c>
      <c r="E91" s="3" t="s">
        <v>506</v>
      </c>
      <c r="F91" s="1">
        <v>0</v>
      </c>
      <c r="G91" s="32">
        <v>0</v>
      </c>
      <c r="H91" s="33">
        <f t="shared" si="19"/>
        <v>0</v>
      </c>
      <c r="I91" s="34"/>
      <c r="J91" s="35">
        <v>0</v>
      </c>
      <c r="K91" s="35">
        <v>-17500000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R91" s="37">
        <f t="shared" ref="R91" si="28">F91-J91-K91-L91-M91-N91-O91</f>
        <v>17500000</v>
      </c>
      <c r="X91" s="28"/>
      <c r="Y91" s="28"/>
    </row>
    <row r="92" spans="1:25" s="4" customFormat="1">
      <c r="A92" s="41"/>
      <c r="B92" s="20" t="s">
        <v>52</v>
      </c>
      <c r="C92" s="42">
        <v>2025</v>
      </c>
      <c r="D92" s="19" t="s">
        <v>723</v>
      </c>
      <c r="E92" s="3" t="s">
        <v>507</v>
      </c>
      <c r="F92" s="1">
        <v>0</v>
      </c>
      <c r="G92" s="32">
        <v>0</v>
      </c>
      <c r="H92" s="33">
        <f t="shared" si="19"/>
        <v>0</v>
      </c>
      <c r="I92" s="34"/>
      <c r="J92" s="35">
        <v>0</v>
      </c>
      <c r="K92" s="35">
        <v>-200000000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R92" s="37">
        <f t="shared" ref="R92:R97" si="29">F92-J92-K92-L92-M92-N92-O92</f>
        <v>200000000</v>
      </c>
      <c r="X92" s="28"/>
      <c r="Y92" s="28"/>
    </row>
    <row r="93" spans="1:25" s="4" customFormat="1">
      <c r="A93" s="41"/>
      <c r="B93" s="20" t="s">
        <v>52</v>
      </c>
      <c r="C93" s="42">
        <v>2025</v>
      </c>
      <c r="D93" s="19" t="s">
        <v>505</v>
      </c>
      <c r="E93" s="3" t="s">
        <v>508</v>
      </c>
      <c r="F93" s="1">
        <v>0</v>
      </c>
      <c r="G93" s="32">
        <v>0</v>
      </c>
      <c r="H93" s="33">
        <f t="shared" si="19"/>
        <v>0</v>
      </c>
      <c r="I93" s="34"/>
      <c r="J93" s="35">
        <v>0</v>
      </c>
      <c r="K93" s="35">
        <v>-7000000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R93" s="37">
        <f t="shared" si="29"/>
        <v>7000000</v>
      </c>
      <c r="X93" s="28"/>
      <c r="Y93" s="28"/>
    </row>
    <row r="94" spans="1:25" s="4" customFormat="1">
      <c r="A94" s="41"/>
      <c r="B94" s="20" t="s">
        <v>52</v>
      </c>
      <c r="C94" s="42">
        <v>2025</v>
      </c>
      <c r="D94" s="19" t="s">
        <v>505</v>
      </c>
      <c r="E94" s="3" t="s">
        <v>509</v>
      </c>
      <c r="F94" s="1">
        <v>0</v>
      </c>
      <c r="G94" s="32">
        <v>0</v>
      </c>
      <c r="H94" s="33">
        <f t="shared" si="19"/>
        <v>0</v>
      </c>
      <c r="I94" s="34"/>
      <c r="J94" s="35">
        <v>0</v>
      </c>
      <c r="K94" s="35">
        <v>-7000000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R94" s="37">
        <f t="shared" si="29"/>
        <v>7000000</v>
      </c>
      <c r="X94" s="28"/>
      <c r="Y94" s="28"/>
    </row>
    <row r="95" spans="1:25" s="4" customFormat="1">
      <c r="A95" s="41"/>
      <c r="B95" s="20" t="s">
        <v>52</v>
      </c>
      <c r="C95" s="42">
        <v>2025</v>
      </c>
      <c r="D95" s="19" t="s">
        <v>505</v>
      </c>
      <c r="E95" s="3" t="s">
        <v>510</v>
      </c>
      <c r="F95" s="1">
        <v>0</v>
      </c>
      <c r="G95" s="32">
        <v>0</v>
      </c>
      <c r="H95" s="33">
        <f t="shared" si="19"/>
        <v>0</v>
      </c>
      <c r="I95" s="34"/>
      <c r="J95" s="35">
        <v>0</v>
      </c>
      <c r="K95" s="35">
        <v>-6125000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R95" s="37">
        <f t="shared" si="29"/>
        <v>6125000</v>
      </c>
      <c r="X95" s="28"/>
      <c r="Y95" s="28"/>
    </row>
    <row r="96" spans="1:25" s="4" customFormat="1">
      <c r="A96" s="41"/>
      <c r="B96" s="20" t="s">
        <v>52</v>
      </c>
      <c r="C96" s="42">
        <v>2025</v>
      </c>
      <c r="D96" s="19" t="s">
        <v>505</v>
      </c>
      <c r="E96" s="3" t="s">
        <v>511</v>
      </c>
      <c r="F96" s="1">
        <v>0</v>
      </c>
      <c r="G96" s="32">
        <v>0</v>
      </c>
      <c r="H96" s="33">
        <f t="shared" si="19"/>
        <v>0</v>
      </c>
      <c r="I96" s="34"/>
      <c r="J96" s="35">
        <v>0</v>
      </c>
      <c r="K96" s="35">
        <v>-5400000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R96" s="37">
        <f t="shared" si="29"/>
        <v>5400000</v>
      </c>
      <c r="X96" s="28"/>
      <c r="Y96" s="28"/>
    </row>
    <row r="97" spans="1:25" s="4" customFormat="1">
      <c r="A97" s="41"/>
      <c r="B97" s="20" t="s">
        <v>52</v>
      </c>
      <c r="C97" s="42">
        <v>2025</v>
      </c>
      <c r="D97" s="19" t="s">
        <v>724</v>
      </c>
      <c r="E97" s="3" t="s">
        <v>512</v>
      </c>
      <c r="F97" s="1">
        <v>0</v>
      </c>
      <c r="G97" s="32">
        <v>0</v>
      </c>
      <c r="H97" s="33">
        <f t="shared" si="19"/>
        <v>0</v>
      </c>
      <c r="I97" s="34"/>
      <c r="J97" s="35">
        <v>0</v>
      </c>
      <c r="K97" s="35">
        <v>-18639000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R97" s="37">
        <f t="shared" si="29"/>
        <v>18639000</v>
      </c>
      <c r="X97" s="28"/>
      <c r="Y97" s="28"/>
    </row>
    <row r="98" spans="1:25" s="4" customFormat="1">
      <c r="A98" s="41"/>
      <c r="B98" s="20" t="s">
        <v>52</v>
      </c>
      <c r="C98" s="42">
        <v>2025</v>
      </c>
      <c r="D98" s="19" t="s">
        <v>462</v>
      </c>
      <c r="E98" s="3" t="s">
        <v>513</v>
      </c>
      <c r="F98" s="1">
        <v>0</v>
      </c>
      <c r="G98" s="32">
        <v>0</v>
      </c>
      <c r="H98" s="33">
        <f t="shared" si="19"/>
        <v>0</v>
      </c>
      <c r="I98" s="34"/>
      <c r="J98" s="35">
        <v>0</v>
      </c>
      <c r="K98" s="35">
        <v>-550000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R98" s="37">
        <f t="shared" si="24"/>
        <v>550000</v>
      </c>
      <c r="X98" s="28"/>
      <c r="Y98" s="28"/>
    </row>
    <row r="99" spans="1:25" s="4" customFormat="1">
      <c r="A99" s="41"/>
      <c r="B99" s="20" t="s">
        <v>52</v>
      </c>
      <c r="C99" s="42">
        <v>2025</v>
      </c>
      <c r="D99" s="19" t="s">
        <v>462</v>
      </c>
      <c r="E99" s="3" t="s">
        <v>514</v>
      </c>
      <c r="F99" s="1">
        <v>0</v>
      </c>
      <c r="G99" s="32">
        <v>0</v>
      </c>
      <c r="H99" s="33">
        <f t="shared" si="19"/>
        <v>0</v>
      </c>
      <c r="I99" s="34"/>
      <c r="J99" s="35">
        <v>0</v>
      </c>
      <c r="K99" s="35">
        <v>-1985445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R99" s="37">
        <f t="shared" si="24"/>
        <v>1985445</v>
      </c>
      <c r="X99" s="28"/>
      <c r="Y99" s="28"/>
    </row>
    <row r="100" spans="1:25" s="4" customFormat="1">
      <c r="A100" s="41"/>
      <c r="B100" s="20" t="s">
        <v>52</v>
      </c>
      <c r="C100" s="42">
        <v>2025</v>
      </c>
      <c r="D100" s="19" t="s">
        <v>455</v>
      </c>
      <c r="E100" s="3" t="s">
        <v>515</v>
      </c>
      <c r="F100" s="1">
        <v>0</v>
      </c>
      <c r="G100" s="32">
        <v>0</v>
      </c>
      <c r="H100" s="33">
        <f t="shared" si="19"/>
        <v>0</v>
      </c>
      <c r="I100" s="34"/>
      <c r="J100" s="35">
        <v>0</v>
      </c>
      <c r="K100" s="35">
        <v>-17479820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R100" s="37">
        <f t="shared" ref="R100" si="30">F100-J100-K100-L100-M100-N100-O100</f>
        <v>17479820</v>
      </c>
      <c r="X100" s="28"/>
      <c r="Y100" s="28"/>
    </row>
    <row r="101" spans="1:25" s="4" customFormat="1">
      <c r="A101" s="41"/>
      <c r="B101" s="20" t="s">
        <v>52</v>
      </c>
      <c r="C101" s="42">
        <v>2025</v>
      </c>
      <c r="D101" s="19" t="s">
        <v>505</v>
      </c>
      <c r="E101" s="3" t="s">
        <v>742</v>
      </c>
      <c r="F101" s="1">
        <v>0</v>
      </c>
      <c r="G101" s="32">
        <v>0</v>
      </c>
      <c r="H101" s="33">
        <f t="shared" si="19"/>
        <v>0</v>
      </c>
      <c r="I101" s="34"/>
      <c r="J101" s="35">
        <v>0</v>
      </c>
      <c r="K101" s="35">
        <v>-10625000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R101" s="37">
        <f t="shared" ref="R101" si="31">F101-J101-K101-L101-M101-N101-O101</f>
        <v>10625000</v>
      </c>
      <c r="X101" s="28"/>
      <c r="Y101" s="28"/>
    </row>
    <row r="102" spans="1:25" s="4" customFormat="1">
      <c r="A102" s="41"/>
      <c r="B102" s="20" t="s">
        <v>52</v>
      </c>
      <c r="C102" s="42">
        <v>2025</v>
      </c>
      <c r="D102" s="19" t="s">
        <v>723</v>
      </c>
      <c r="E102" s="3" t="s">
        <v>785</v>
      </c>
      <c r="F102" s="1">
        <v>0</v>
      </c>
      <c r="G102" s="32">
        <v>0</v>
      </c>
      <c r="H102" s="33">
        <f t="shared" si="19"/>
        <v>0</v>
      </c>
      <c r="I102" s="34"/>
      <c r="J102" s="35">
        <v>0</v>
      </c>
      <c r="K102" s="35">
        <v>67948000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R102" s="37">
        <f t="shared" ref="R102:R103" si="32">F102-J102-K102-L102-M102-N102-O102</f>
        <v>-67948000</v>
      </c>
      <c r="X102" s="28"/>
      <c r="Y102" s="28"/>
    </row>
    <row r="103" spans="1:25" s="4" customFormat="1">
      <c r="A103" s="41"/>
      <c r="B103" s="20" t="s">
        <v>52</v>
      </c>
      <c r="C103" s="42">
        <v>2025</v>
      </c>
      <c r="D103" s="19" t="s">
        <v>724</v>
      </c>
      <c r="E103" s="3" t="s">
        <v>778</v>
      </c>
      <c r="F103" s="1">
        <v>0</v>
      </c>
      <c r="G103" s="32">
        <v>0</v>
      </c>
      <c r="H103" s="33">
        <f t="shared" si="19"/>
        <v>0</v>
      </c>
      <c r="I103" s="34"/>
      <c r="J103" s="35">
        <v>0</v>
      </c>
      <c r="K103" s="35">
        <v>-21819000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R103" s="37">
        <f t="shared" si="32"/>
        <v>21819000</v>
      </c>
      <c r="X103" s="28"/>
      <c r="Y103" s="28"/>
    </row>
    <row r="104" spans="1:25" s="4" customFormat="1">
      <c r="A104" s="41"/>
      <c r="B104" s="20" t="s">
        <v>52</v>
      </c>
      <c r="C104" s="42">
        <v>2025</v>
      </c>
      <c r="D104" s="19" t="s">
        <v>722</v>
      </c>
      <c r="E104" s="3" t="s">
        <v>779</v>
      </c>
      <c r="F104" s="1">
        <v>0</v>
      </c>
      <c r="G104" s="32">
        <v>0</v>
      </c>
      <c r="H104" s="33">
        <f t="shared" si="19"/>
        <v>0</v>
      </c>
      <c r="I104" s="34"/>
      <c r="J104" s="35">
        <v>0</v>
      </c>
      <c r="K104" s="35">
        <v>-31137000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R104" s="37">
        <f t="shared" ref="R104:R109" si="33">F104-J104-K104-L104-M104-N104-O104</f>
        <v>31137000</v>
      </c>
      <c r="X104" s="28"/>
      <c r="Y104" s="28"/>
    </row>
    <row r="105" spans="1:25" s="4" customFormat="1">
      <c r="A105" s="41"/>
      <c r="B105" s="20" t="s">
        <v>52</v>
      </c>
      <c r="C105" s="42">
        <v>2025</v>
      </c>
      <c r="D105" s="19" t="s">
        <v>724</v>
      </c>
      <c r="E105" s="3" t="s">
        <v>780</v>
      </c>
      <c r="F105" s="1">
        <v>0</v>
      </c>
      <c r="G105" s="32">
        <v>0</v>
      </c>
      <c r="H105" s="33">
        <f t="shared" si="19"/>
        <v>0</v>
      </c>
      <c r="I105" s="34"/>
      <c r="J105" s="35">
        <v>0</v>
      </c>
      <c r="K105" s="35">
        <v>-6000000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R105" s="37">
        <f t="shared" si="33"/>
        <v>6000000</v>
      </c>
      <c r="X105" s="28"/>
      <c r="Y105" s="28"/>
    </row>
    <row r="106" spans="1:25" s="4" customFormat="1">
      <c r="A106" s="41"/>
      <c r="B106" s="20" t="s">
        <v>52</v>
      </c>
      <c r="C106" s="42">
        <v>2025</v>
      </c>
      <c r="D106" s="19" t="s">
        <v>722</v>
      </c>
      <c r="E106" s="3" t="s">
        <v>781</v>
      </c>
      <c r="F106" s="1">
        <v>0</v>
      </c>
      <c r="G106" s="32">
        <v>0</v>
      </c>
      <c r="H106" s="33">
        <f t="shared" si="19"/>
        <v>0</v>
      </c>
      <c r="I106" s="34"/>
      <c r="J106" s="35">
        <v>0</v>
      </c>
      <c r="K106" s="35">
        <v>-6000000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R106" s="37">
        <f t="shared" si="33"/>
        <v>6000000</v>
      </c>
      <c r="X106" s="28"/>
      <c r="Y106" s="28"/>
    </row>
    <row r="107" spans="1:25" s="4" customFormat="1">
      <c r="A107" s="41"/>
      <c r="B107" s="20" t="s">
        <v>52</v>
      </c>
      <c r="C107" s="42">
        <v>2025</v>
      </c>
      <c r="D107" s="19" t="s">
        <v>505</v>
      </c>
      <c r="E107" s="3" t="s">
        <v>782</v>
      </c>
      <c r="F107" s="1">
        <v>0</v>
      </c>
      <c r="G107" s="32">
        <v>0</v>
      </c>
      <c r="H107" s="33">
        <f t="shared" si="19"/>
        <v>0</v>
      </c>
      <c r="I107" s="34"/>
      <c r="J107" s="35">
        <v>0</v>
      </c>
      <c r="K107" s="35">
        <v>-14700000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R107" s="37">
        <f t="shared" si="33"/>
        <v>14700000</v>
      </c>
      <c r="X107" s="28"/>
      <c r="Y107" s="28"/>
    </row>
    <row r="108" spans="1:25" s="4" customFormat="1">
      <c r="A108" s="41"/>
      <c r="B108" s="20" t="s">
        <v>52</v>
      </c>
      <c r="C108" s="42">
        <v>2025</v>
      </c>
      <c r="D108" s="19" t="s">
        <v>724</v>
      </c>
      <c r="E108" s="3" t="s">
        <v>783</v>
      </c>
      <c r="F108" s="1">
        <v>0</v>
      </c>
      <c r="G108" s="32">
        <v>0</v>
      </c>
      <c r="H108" s="33">
        <f t="shared" si="19"/>
        <v>0</v>
      </c>
      <c r="I108" s="34"/>
      <c r="J108" s="35">
        <v>0</v>
      </c>
      <c r="K108" s="35">
        <v>-6125000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R108" s="37">
        <f t="shared" si="33"/>
        <v>6125000</v>
      </c>
      <c r="X108" s="28"/>
      <c r="Y108" s="28"/>
    </row>
    <row r="109" spans="1:25" s="4" customFormat="1">
      <c r="A109" s="41"/>
      <c r="B109" s="20" t="s">
        <v>52</v>
      </c>
      <c r="C109" s="42">
        <v>2025</v>
      </c>
      <c r="D109" s="19" t="s">
        <v>723</v>
      </c>
      <c r="E109" s="3" t="s">
        <v>873</v>
      </c>
      <c r="F109" s="1">
        <v>0</v>
      </c>
      <c r="G109" s="32">
        <v>0</v>
      </c>
      <c r="H109" s="33">
        <f t="shared" si="19"/>
        <v>0</v>
      </c>
      <c r="I109" s="34"/>
      <c r="J109" s="35">
        <v>0</v>
      </c>
      <c r="K109" s="35">
        <v>-1000000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R109" s="37">
        <f t="shared" si="33"/>
        <v>1000000</v>
      </c>
      <c r="X109" s="28"/>
      <c r="Y109" s="28"/>
    </row>
    <row r="110" spans="1:25" s="4" customFormat="1">
      <c r="A110" s="41"/>
      <c r="B110" s="20" t="s">
        <v>52</v>
      </c>
      <c r="C110" s="42">
        <v>2025</v>
      </c>
      <c r="D110" s="19" t="s">
        <v>722</v>
      </c>
      <c r="E110" s="3" t="s">
        <v>874</v>
      </c>
      <c r="F110" s="1">
        <v>0</v>
      </c>
      <c r="G110" s="32">
        <v>0</v>
      </c>
      <c r="H110" s="33">
        <f t="shared" si="19"/>
        <v>0</v>
      </c>
      <c r="I110" s="34"/>
      <c r="J110" s="35">
        <v>0</v>
      </c>
      <c r="K110" s="35">
        <v>-2250000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R110" s="37">
        <f t="shared" ref="R110" si="34">F110-J110-K110-L110-M110-N110-O110</f>
        <v>2250000</v>
      </c>
      <c r="X110" s="28"/>
      <c r="Y110" s="28"/>
    </row>
    <row r="111" spans="1:25" s="4" customFormat="1">
      <c r="A111" s="41"/>
      <c r="B111" s="20" t="s">
        <v>52</v>
      </c>
      <c r="C111" s="42">
        <v>2025</v>
      </c>
      <c r="D111" s="19" t="s">
        <v>883</v>
      </c>
      <c r="E111" s="3" t="s">
        <v>875</v>
      </c>
      <c r="F111" s="1">
        <v>0</v>
      </c>
      <c r="G111" s="32">
        <v>0</v>
      </c>
      <c r="H111" s="33">
        <f t="shared" si="19"/>
        <v>0</v>
      </c>
      <c r="I111" s="34"/>
      <c r="J111" s="35">
        <v>0</v>
      </c>
      <c r="K111" s="35">
        <v>-4100000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R111" s="37">
        <f t="shared" ref="R111" si="35">F111-J111-K111-L111-M111-N111-O111</f>
        <v>4100000</v>
      </c>
      <c r="X111" s="28"/>
      <c r="Y111" s="28"/>
    </row>
    <row r="112" spans="1:25" s="4" customFormat="1">
      <c r="A112" s="41"/>
      <c r="B112" s="20" t="s">
        <v>52</v>
      </c>
      <c r="C112" s="42">
        <v>2025</v>
      </c>
      <c r="D112" s="19" t="s">
        <v>753</v>
      </c>
      <c r="E112" s="3" t="s">
        <v>876</v>
      </c>
      <c r="F112" s="1">
        <v>0</v>
      </c>
      <c r="G112" s="32">
        <v>0</v>
      </c>
      <c r="H112" s="33">
        <f t="shared" si="19"/>
        <v>0</v>
      </c>
      <c r="I112" s="34"/>
      <c r="J112" s="35">
        <v>0</v>
      </c>
      <c r="K112" s="35">
        <v>-7500000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R112" s="37">
        <f t="shared" ref="R112:R118" si="36">F112-J112-K112-L112-M112-N112-O112</f>
        <v>7500000</v>
      </c>
      <c r="X112" s="28"/>
      <c r="Y112" s="28"/>
    </row>
    <row r="113" spans="1:25" s="4" customFormat="1">
      <c r="A113" s="41"/>
      <c r="B113" s="20" t="s">
        <v>52</v>
      </c>
      <c r="C113" s="42">
        <v>2025</v>
      </c>
      <c r="D113" s="19" t="s">
        <v>883</v>
      </c>
      <c r="E113" s="3" t="s">
        <v>877</v>
      </c>
      <c r="F113" s="1">
        <v>0</v>
      </c>
      <c r="G113" s="32">
        <v>0</v>
      </c>
      <c r="H113" s="33">
        <f t="shared" si="19"/>
        <v>0</v>
      </c>
      <c r="I113" s="34"/>
      <c r="J113" s="35">
        <v>0</v>
      </c>
      <c r="K113" s="35">
        <v>-4480000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R113" s="37">
        <f t="shared" si="36"/>
        <v>4480000</v>
      </c>
      <c r="X113" s="28"/>
      <c r="Y113" s="28"/>
    </row>
    <row r="114" spans="1:25" s="4" customFormat="1">
      <c r="A114" s="41"/>
      <c r="B114" s="20" t="s">
        <v>52</v>
      </c>
      <c r="C114" s="42">
        <v>2025</v>
      </c>
      <c r="D114" s="19" t="s">
        <v>883</v>
      </c>
      <c r="E114" s="3" t="s">
        <v>878</v>
      </c>
      <c r="F114" s="1">
        <v>0</v>
      </c>
      <c r="G114" s="32">
        <v>0</v>
      </c>
      <c r="H114" s="33">
        <f t="shared" si="19"/>
        <v>0</v>
      </c>
      <c r="I114" s="34"/>
      <c r="J114" s="35">
        <v>0</v>
      </c>
      <c r="K114" s="35">
        <v>-1600000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R114" s="37">
        <f t="shared" si="36"/>
        <v>1600000</v>
      </c>
      <c r="X114" s="28"/>
      <c r="Y114" s="28"/>
    </row>
    <row r="115" spans="1:25" s="4" customFormat="1">
      <c r="A115" s="41"/>
      <c r="B115" s="20" t="s">
        <v>52</v>
      </c>
      <c r="C115" s="42">
        <v>2025</v>
      </c>
      <c r="D115" s="19" t="s">
        <v>753</v>
      </c>
      <c r="E115" s="3" t="s">
        <v>879</v>
      </c>
      <c r="F115" s="1">
        <v>0</v>
      </c>
      <c r="G115" s="32">
        <v>0</v>
      </c>
      <c r="H115" s="33">
        <f t="shared" si="19"/>
        <v>0</v>
      </c>
      <c r="I115" s="34"/>
      <c r="J115" s="35">
        <v>0</v>
      </c>
      <c r="K115" s="35">
        <v>-12250000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R115" s="37">
        <f t="shared" si="36"/>
        <v>12250000</v>
      </c>
      <c r="X115" s="28"/>
      <c r="Y115" s="28"/>
    </row>
    <row r="116" spans="1:25" s="4" customFormat="1">
      <c r="A116" s="41"/>
      <c r="B116" s="20" t="s">
        <v>52</v>
      </c>
      <c r="C116" s="42">
        <v>2025</v>
      </c>
      <c r="D116" s="19" t="s">
        <v>883</v>
      </c>
      <c r="E116" s="3" t="s">
        <v>880</v>
      </c>
      <c r="F116" s="1">
        <v>0</v>
      </c>
      <c r="G116" s="32">
        <v>0</v>
      </c>
      <c r="H116" s="33">
        <f t="shared" si="19"/>
        <v>0</v>
      </c>
      <c r="I116" s="34"/>
      <c r="J116" s="35">
        <v>0</v>
      </c>
      <c r="K116" s="35">
        <v>-700000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R116" s="37">
        <f t="shared" si="36"/>
        <v>700000</v>
      </c>
      <c r="X116" s="28"/>
      <c r="Y116" s="28"/>
    </row>
    <row r="117" spans="1:25" s="4" customFormat="1">
      <c r="A117" s="41"/>
      <c r="B117" s="20" t="s">
        <v>52</v>
      </c>
      <c r="C117" s="42">
        <v>2025</v>
      </c>
      <c r="D117" s="19" t="s">
        <v>753</v>
      </c>
      <c r="E117" s="3" t="s">
        <v>881</v>
      </c>
      <c r="F117" s="1">
        <v>0</v>
      </c>
      <c r="G117" s="32">
        <v>0</v>
      </c>
      <c r="H117" s="33">
        <f t="shared" si="19"/>
        <v>0</v>
      </c>
      <c r="I117" s="34"/>
      <c r="J117" s="35">
        <v>0</v>
      </c>
      <c r="K117" s="35">
        <v>-104954400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R117" s="37">
        <f t="shared" si="36"/>
        <v>104954400</v>
      </c>
      <c r="X117" s="28"/>
      <c r="Y117" s="28"/>
    </row>
    <row r="118" spans="1:25" s="4" customFormat="1">
      <c r="A118" s="41"/>
      <c r="B118" s="20" t="s">
        <v>52</v>
      </c>
      <c r="C118" s="42">
        <v>2025</v>
      </c>
      <c r="D118" s="19" t="s">
        <v>883</v>
      </c>
      <c r="E118" s="3" t="s">
        <v>882</v>
      </c>
      <c r="F118" s="1">
        <v>0</v>
      </c>
      <c r="G118" s="32">
        <v>0</v>
      </c>
      <c r="H118" s="33">
        <f t="shared" si="19"/>
        <v>0</v>
      </c>
      <c r="I118" s="34"/>
      <c r="J118" s="35">
        <v>0</v>
      </c>
      <c r="K118" s="35">
        <v>-1000000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R118" s="37">
        <f t="shared" si="36"/>
        <v>1000000</v>
      </c>
      <c r="X118" s="28"/>
      <c r="Y118" s="28"/>
    </row>
    <row r="119" spans="1:25" s="4" customFormat="1">
      <c r="A119" s="41"/>
      <c r="B119" s="20" t="s">
        <v>52</v>
      </c>
      <c r="C119" s="42">
        <v>2025</v>
      </c>
      <c r="D119" s="19" t="s">
        <v>90</v>
      </c>
      <c r="E119" s="3" t="s">
        <v>66</v>
      </c>
      <c r="F119" s="1">
        <v>0</v>
      </c>
      <c r="G119" s="32">
        <v>0</v>
      </c>
      <c r="H119" s="33">
        <f t="shared" si="19"/>
        <v>0</v>
      </c>
      <c r="I119" s="34"/>
      <c r="J119" s="35">
        <v>0</v>
      </c>
      <c r="K119" s="35">
        <v>0</v>
      </c>
      <c r="L119" s="35">
        <v>-7067269</v>
      </c>
      <c r="M119" s="35">
        <v>0</v>
      </c>
      <c r="N119" s="35">
        <v>0</v>
      </c>
      <c r="O119" s="35">
        <v>0</v>
      </c>
      <c r="P119" s="35">
        <v>0</v>
      </c>
      <c r="R119" s="37">
        <f t="shared" ref="R119" si="37">F119-J119-K119-L119-M119-N119-O119</f>
        <v>7067269</v>
      </c>
      <c r="X119" s="28"/>
      <c r="Y119" s="28"/>
    </row>
    <row r="120" spans="1:25" s="4" customFormat="1">
      <c r="A120" s="41"/>
      <c r="B120" s="20" t="s">
        <v>52</v>
      </c>
      <c r="C120" s="42">
        <v>2025</v>
      </c>
      <c r="D120" s="19" t="s">
        <v>90</v>
      </c>
      <c r="E120" s="3" t="s">
        <v>67</v>
      </c>
      <c r="F120" s="1">
        <v>0</v>
      </c>
      <c r="G120" s="32">
        <v>0</v>
      </c>
      <c r="H120" s="33">
        <f t="shared" si="19"/>
        <v>0</v>
      </c>
      <c r="I120" s="34"/>
      <c r="J120" s="35">
        <v>0</v>
      </c>
      <c r="K120" s="35">
        <v>0</v>
      </c>
      <c r="L120" s="35">
        <v>-907855</v>
      </c>
      <c r="M120" s="35">
        <v>0</v>
      </c>
      <c r="N120" s="35">
        <v>0</v>
      </c>
      <c r="O120" s="35">
        <v>0</v>
      </c>
      <c r="P120" s="35">
        <v>0</v>
      </c>
      <c r="R120" s="37">
        <f t="shared" ref="R120:R132" si="38">F120-J120-K120-L120-M120-N120-O120</f>
        <v>907855</v>
      </c>
      <c r="X120" s="28"/>
      <c r="Y120" s="28"/>
    </row>
    <row r="121" spans="1:25" s="4" customFormat="1">
      <c r="A121" s="41"/>
      <c r="B121" s="20" t="s">
        <v>52</v>
      </c>
      <c r="C121" s="42">
        <v>2025</v>
      </c>
      <c r="D121" s="19" t="s">
        <v>90</v>
      </c>
      <c r="E121" s="3" t="s">
        <v>68</v>
      </c>
      <c r="F121" s="1">
        <v>0</v>
      </c>
      <c r="G121" s="32">
        <v>0</v>
      </c>
      <c r="H121" s="33">
        <f t="shared" si="19"/>
        <v>0</v>
      </c>
      <c r="I121" s="34"/>
      <c r="J121" s="35">
        <v>0</v>
      </c>
      <c r="K121" s="35">
        <v>0</v>
      </c>
      <c r="L121" s="35">
        <v>-4945404</v>
      </c>
      <c r="M121" s="35">
        <v>0</v>
      </c>
      <c r="N121" s="35">
        <v>0</v>
      </c>
      <c r="O121" s="35">
        <v>0</v>
      </c>
      <c r="P121" s="35">
        <v>0</v>
      </c>
      <c r="R121" s="37">
        <f t="shared" si="38"/>
        <v>4945404</v>
      </c>
      <c r="X121" s="28"/>
      <c r="Y121" s="28"/>
    </row>
    <row r="122" spans="1:25" s="4" customFormat="1">
      <c r="A122" s="41"/>
      <c r="B122" s="20" t="s">
        <v>52</v>
      </c>
      <c r="C122" s="42">
        <v>2025</v>
      </c>
      <c r="D122" s="19" t="s">
        <v>90</v>
      </c>
      <c r="E122" s="3" t="s">
        <v>69</v>
      </c>
      <c r="F122" s="1">
        <v>0</v>
      </c>
      <c r="G122" s="32">
        <v>0</v>
      </c>
      <c r="H122" s="33">
        <f t="shared" si="19"/>
        <v>0</v>
      </c>
      <c r="I122" s="34"/>
      <c r="J122" s="35">
        <v>0</v>
      </c>
      <c r="K122" s="35">
        <v>0</v>
      </c>
      <c r="L122" s="35">
        <v>-10086420</v>
      </c>
      <c r="M122" s="35">
        <v>0</v>
      </c>
      <c r="N122" s="35">
        <v>0</v>
      </c>
      <c r="O122" s="35">
        <v>0</v>
      </c>
      <c r="P122" s="35">
        <v>0</v>
      </c>
      <c r="R122" s="37">
        <f t="shared" si="38"/>
        <v>10086420</v>
      </c>
      <c r="X122" s="28"/>
      <c r="Y122" s="28"/>
    </row>
    <row r="123" spans="1:25" s="4" customFormat="1">
      <c r="A123" s="41"/>
      <c r="B123" s="20" t="s">
        <v>52</v>
      </c>
      <c r="C123" s="42">
        <v>2025</v>
      </c>
      <c r="D123" s="19" t="s">
        <v>92</v>
      </c>
      <c r="E123" s="3" t="s">
        <v>70</v>
      </c>
      <c r="F123" s="1">
        <v>0</v>
      </c>
      <c r="G123" s="32">
        <v>0</v>
      </c>
      <c r="H123" s="33">
        <f t="shared" si="19"/>
        <v>0</v>
      </c>
      <c r="I123" s="34"/>
      <c r="J123" s="35">
        <v>0</v>
      </c>
      <c r="K123" s="35">
        <v>0</v>
      </c>
      <c r="L123" s="35">
        <v>-3518140</v>
      </c>
      <c r="M123" s="35">
        <v>0</v>
      </c>
      <c r="N123" s="35">
        <v>0</v>
      </c>
      <c r="O123" s="35">
        <v>0</v>
      </c>
      <c r="P123" s="35">
        <v>0</v>
      </c>
      <c r="R123" s="37">
        <f t="shared" si="38"/>
        <v>3518140</v>
      </c>
      <c r="X123" s="28"/>
      <c r="Y123" s="28"/>
    </row>
    <row r="124" spans="1:25" s="4" customFormat="1">
      <c r="A124" s="41"/>
      <c r="B124" s="20" t="s">
        <v>52</v>
      </c>
      <c r="C124" s="42">
        <v>2025</v>
      </c>
      <c r="D124" s="19" t="s">
        <v>92</v>
      </c>
      <c r="E124" s="3" t="s">
        <v>71</v>
      </c>
      <c r="F124" s="1">
        <v>0</v>
      </c>
      <c r="G124" s="32">
        <v>0</v>
      </c>
      <c r="H124" s="33">
        <f t="shared" si="19"/>
        <v>0</v>
      </c>
      <c r="I124" s="34"/>
      <c r="J124" s="35">
        <v>0</v>
      </c>
      <c r="K124" s="35">
        <v>0</v>
      </c>
      <c r="L124" s="35">
        <v>-2383958</v>
      </c>
      <c r="M124" s="35">
        <v>0</v>
      </c>
      <c r="N124" s="35">
        <v>0</v>
      </c>
      <c r="O124" s="35">
        <v>0</v>
      </c>
      <c r="P124" s="35">
        <v>0</v>
      </c>
      <c r="R124" s="37">
        <f t="shared" si="38"/>
        <v>2383958</v>
      </c>
      <c r="X124" s="28"/>
      <c r="Y124" s="28"/>
    </row>
    <row r="125" spans="1:25" s="4" customFormat="1">
      <c r="A125" s="41"/>
      <c r="B125" s="20" t="s">
        <v>52</v>
      </c>
      <c r="C125" s="42">
        <v>2025</v>
      </c>
      <c r="D125" s="19" t="s">
        <v>92</v>
      </c>
      <c r="E125" s="3" t="s">
        <v>72</v>
      </c>
      <c r="F125" s="1">
        <v>0</v>
      </c>
      <c r="G125" s="32">
        <v>0</v>
      </c>
      <c r="H125" s="33">
        <f t="shared" si="19"/>
        <v>0</v>
      </c>
      <c r="I125" s="34"/>
      <c r="J125" s="35">
        <v>0</v>
      </c>
      <c r="K125" s="35">
        <v>0</v>
      </c>
      <c r="L125" s="35">
        <v>-3037655</v>
      </c>
      <c r="M125" s="35">
        <v>0</v>
      </c>
      <c r="N125" s="35">
        <v>0</v>
      </c>
      <c r="O125" s="35">
        <v>0</v>
      </c>
      <c r="P125" s="35">
        <v>0</v>
      </c>
      <c r="R125" s="37">
        <f t="shared" si="38"/>
        <v>3037655</v>
      </c>
      <c r="X125" s="28"/>
      <c r="Y125" s="28"/>
    </row>
    <row r="126" spans="1:25" s="4" customFormat="1">
      <c r="A126" s="41"/>
      <c r="B126" s="20" t="s">
        <v>52</v>
      </c>
      <c r="C126" s="42">
        <v>2025</v>
      </c>
      <c r="D126" s="19" t="s">
        <v>92</v>
      </c>
      <c r="E126" s="3" t="s">
        <v>73</v>
      </c>
      <c r="F126" s="1">
        <v>0</v>
      </c>
      <c r="G126" s="32">
        <v>0</v>
      </c>
      <c r="H126" s="33">
        <f t="shared" si="19"/>
        <v>0</v>
      </c>
      <c r="I126" s="34"/>
      <c r="J126" s="35">
        <v>0</v>
      </c>
      <c r="K126" s="35">
        <v>0</v>
      </c>
      <c r="L126" s="35">
        <v>-2123130</v>
      </c>
      <c r="M126" s="35">
        <v>0</v>
      </c>
      <c r="N126" s="35">
        <v>0</v>
      </c>
      <c r="O126" s="35">
        <v>0</v>
      </c>
      <c r="P126" s="35">
        <v>0</v>
      </c>
      <c r="R126" s="37">
        <f t="shared" si="38"/>
        <v>2123130</v>
      </c>
      <c r="X126" s="28"/>
      <c r="Y126" s="28"/>
    </row>
    <row r="127" spans="1:25" s="4" customFormat="1">
      <c r="A127" s="41"/>
      <c r="B127" s="20" t="s">
        <v>52</v>
      </c>
      <c r="C127" s="42">
        <v>2025</v>
      </c>
      <c r="D127" s="19" t="s">
        <v>94</v>
      </c>
      <c r="E127" s="3" t="s">
        <v>74</v>
      </c>
      <c r="F127" s="1">
        <v>0</v>
      </c>
      <c r="G127" s="32">
        <v>0</v>
      </c>
      <c r="H127" s="33">
        <f t="shared" si="19"/>
        <v>0</v>
      </c>
      <c r="I127" s="34"/>
      <c r="J127" s="35">
        <v>0</v>
      </c>
      <c r="K127" s="35">
        <v>0</v>
      </c>
      <c r="L127" s="35">
        <v>-10000000</v>
      </c>
      <c r="M127" s="35">
        <v>0</v>
      </c>
      <c r="N127" s="35">
        <v>0</v>
      </c>
      <c r="O127" s="35">
        <v>0</v>
      </c>
      <c r="P127" s="35">
        <v>0</v>
      </c>
      <c r="R127" s="37">
        <f t="shared" si="38"/>
        <v>10000000</v>
      </c>
      <c r="X127" s="28"/>
      <c r="Y127" s="28"/>
    </row>
    <row r="128" spans="1:25" s="4" customFormat="1">
      <c r="A128" s="41"/>
      <c r="B128" s="20" t="s">
        <v>52</v>
      </c>
      <c r="C128" s="42">
        <v>2025</v>
      </c>
      <c r="D128" s="19" t="s">
        <v>94</v>
      </c>
      <c r="E128" s="3" t="s">
        <v>75</v>
      </c>
      <c r="F128" s="1">
        <v>0</v>
      </c>
      <c r="G128" s="32">
        <v>0</v>
      </c>
      <c r="H128" s="33">
        <f t="shared" si="19"/>
        <v>0</v>
      </c>
      <c r="I128" s="34"/>
      <c r="J128" s="35">
        <v>0</v>
      </c>
      <c r="K128" s="35">
        <v>0</v>
      </c>
      <c r="L128" s="35">
        <v>-1000000</v>
      </c>
      <c r="M128" s="35">
        <v>0</v>
      </c>
      <c r="N128" s="35">
        <v>0</v>
      </c>
      <c r="O128" s="35">
        <v>0</v>
      </c>
      <c r="P128" s="35">
        <v>0</v>
      </c>
      <c r="R128" s="37">
        <f t="shared" si="38"/>
        <v>1000000</v>
      </c>
      <c r="X128" s="28"/>
      <c r="Y128" s="28"/>
    </row>
    <row r="129" spans="1:25" s="4" customFormat="1">
      <c r="A129" s="41"/>
      <c r="B129" s="20" t="s">
        <v>52</v>
      </c>
      <c r="C129" s="42">
        <v>2025</v>
      </c>
      <c r="D129" s="19" t="s">
        <v>90</v>
      </c>
      <c r="E129" s="3" t="s">
        <v>125</v>
      </c>
      <c r="F129" s="1">
        <v>0</v>
      </c>
      <c r="G129" s="32">
        <v>0</v>
      </c>
      <c r="H129" s="33">
        <f t="shared" si="19"/>
        <v>0</v>
      </c>
      <c r="I129" s="34"/>
      <c r="J129" s="35">
        <v>0</v>
      </c>
      <c r="K129" s="35">
        <v>0</v>
      </c>
      <c r="L129" s="35">
        <v>-3972608</v>
      </c>
      <c r="M129" s="35">
        <v>0</v>
      </c>
      <c r="N129" s="35">
        <v>0</v>
      </c>
      <c r="O129" s="35">
        <v>0</v>
      </c>
      <c r="P129" s="35">
        <v>0</v>
      </c>
      <c r="R129" s="37">
        <f t="shared" si="38"/>
        <v>3972608</v>
      </c>
      <c r="X129" s="28"/>
      <c r="Y129" s="28"/>
    </row>
    <row r="130" spans="1:25" s="4" customFormat="1">
      <c r="A130" s="41"/>
      <c r="B130" s="20" t="s">
        <v>52</v>
      </c>
      <c r="C130" s="42">
        <v>2025</v>
      </c>
      <c r="D130" s="19" t="s">
        <v>94</v>
      </c>
      <c r="E130" s="3" t="s">
        <v>126</v>
      </c>
      <c r="F130" s="1">
        <v>0</v>
      </c>
      <c r="G130" s="32">
        <v>0</v>
      </c>
      <c r="H130" s="33">
        <f t="shared" si="19"/>
        <v>0</v>
      </c>
      <c r="I130" s="34"/>
      <c r="J130" s="35">
        <v>0</v>
      </c>
      <c r="K130" s="35">
        <v>0</v>
      </c>
      <c r="L130" s="35">
        <v>-1000000</v>
      </c>
      <c r="M130" s="35">
        <v>0</v>
      </c>
      <c r="N130" s="35">
        <v>0</v>
      </c>
      <c r="O130" s="35">
        <v>0</v>
      </c>
      <c r="P130" s="35">
        <v>0</v>
      </c>
      <c r="R130" s="37">
        <f t="shared" si="38"/>
        <v>1000000</v>
      </c>
      <c r="X130" s="28"/>
      <c r="Y130" s="28"/>
    </row>
    <row r="131" spans="1:25" s="4" customFormat="1">
      <c r="A131" s="41"/>
      <c r="B131" s="20" t="s">
        <v>52</v>
      </c>
      <c r="C131" s="42">
        <v>2025</v>
      </c>
      <c r="D131" s="19" t="s">
        <v>92</v>
      </c>
      <c r="E131" s="3" t="s">
        <v>127</v>
      </c>
      <c r="F131" s="1">
        <v>0</v>
      </c>
      <c r="G131" s="32">
        <v>0</v>
      </c>
      <c r="H131" s="33">
        <f t="shared" si="19"/>
        <v>0</v>
      </c>
      <c r="I131" s="34"/>
      <c r="J131" s="35">
        <v>0</v>
      </c>
      <c r="K131" s="35">
        <v>0</v>
      </c>
      <c r="L131" s="35">
        <v>-11904958</v>
      </c>
      <c r="M131" s="35">
        <v>0</v>
      </c>
      <c r="N131" s="35">
        <v>0</v>
      </c>
      <c r="O131" s="35">
        <v>0</v>
      </c>
      <c r="P131" s="35">
        <v>0</v>
      </c>
      <c r="R131" s="37">
        <f t="shared" si="38"/>
        <v>11904958</v>
      </c>
      <c r="X131" s="28"/>
      <c r="Y131" s="28"/>
    </row>
    <row r="132" spans="1:25" s="4" customFormat="1">
      <c r="A132" s="41"/>
      <c r="B132" s="20" t="s">
        <v>52</v>
      </c>
      <c r="C132" s="42">
        <v>2025</v>
      </c>
      <c r="D132" s="19" t="s">
        <v>94</v>
      </c>
      <c r="E132" s="3" t="s">
        <v>128</v>
      </c>
      <c r="F132" s="1">
        <v>0</v>
      </c>
      <c r="G132" s="32">
        <v>0</v>
      </c>
      <c r="H132" s="33">
        <f t="shared" si="19"/>
        <v>0</v>
      </c>
      <c r="I132" s="34"/>
      <c r="J132" s="35">
        <v>0</v>
      </c>
      <c r="K132" s="35">
        <v>0</v>
      </c>
      <c r="L132" s="35">
        <v>-600000</v>
      </c>
      <c r="M132" s="35">
        <v>0</v>
      </c>
      <c r="N132" s="35">
        <v>0</v>
      </c>
      <c r="O132" s="35">
        <v>0</v>
      </c>
      <c r="P132" s="35">
        <v>0</v>
      </c>
      <c r="R132" s="37">
        <f t="shared" si="38"/>
        <v>600000</v>
      </c>
      <c r="X132" s="28"/>
      <c r="Y132" s="28"/>
    </row>
    <row r="133" spans="1:25" s="4" customFormat="1">
      <c r="A133" s="41"/>
      <c r="B133" s="20" t="s">
        <v>52</v>
      </c>
      <c r="C133" s="42">
        <v>2025</v>
      </c>
      <c r="D133" s="19" t="s">
        <v>93</v>
      </c>
      <c r="E133" s="3" t="s">
        <v>129</v>
      </c>
      <c r="F133" s="1">
        <v>0</v>
      </c>
      <c r="G133" s="32">
        <v>0</v>
      </c>
      <c r="H133" s="33">
        <f t="shared" ref="H133:H196" si="39">G133*$H$4/$E$999</f>
        <v>0</v>
      </c>
      <c r="I133" s="34"/>
      <c r="J133" s="35">
        <v>0</v>
      </c>
      <c r="K133" s="36">
        <v>0</v>
      </c>
      <c r="L133" s="35">
        <v>-6178610</v>
      </c>
      <c r="M133" s="35">
        <v>0</v>
      </c>
      <c r="N133" s="35">
        <v>0</v>
      </c>
      <c r="O133" s="35">
        <v>0</v>
      </c>
      <c r="P133" s="35">
        <v>0</v>
      </c>
      <c r="R133" s="37">
        <f t="shared" ref="R133:R159" si="40">F133-J133-K133-L133-M133-N133-O133</f>
        <v>6178610</v>
      </c>
      <c r="X133" s="28"/>
      <c r="Y133" s="28"/>
    </row>
    <row r="134" spans="1:25" s="4" customFormat="1">
      <c r="A134" s="41"/>
      <c r="B134" s="20" t="s">
        <v>52</v>
      </c>
      <c r="C134" s="42">
        <v>2025</v>
      </c>
      <c r="D134" s="19" t="s">
        <v>94</v>
      </c>
      <c r="E134" s="3" t="s">
        <v>130</v>
      </c>
      <c r="F134" s="1">
        <v>0</v>
      </c>
      <c r="G134" s="32">
        <v>0</v>
      </c>
      <c r="H134" s="33">
        <f t="shared" si="39"/>
        <v>0</v>
      </c>
      <c r="I134" s="34"/>
      <c r="J134" s="35">
        <v>0</v>
      </c>
      <c r="K134" s="36">
        <v>0</v>
      </c>
      <c r="L134" s="35">
        <v>-5000000</v>
      </c>
      <c r="M134" s="35">
        <v>0</v>
      </c>
      <c r="N134" s="35">
        <v>0</v>
      </c>
      <c r="O134" s="35">
        <v>0</v>
      </c>
      <c r="P134" s="35">
        <v>0</v>
      </c>
      <c r="R134" s="37">
        <f t="shared" ref="R134:R135" si="41">F134-J134-K134-L134-M134-N134-O134</f>
        <v>5000000</v>
      </c>
      <c r="X134" s="28"/>
      <c r="Y134" s="28"/>
    </row>
    <row r="135" spans="1:25" s="4" customFormat="1">
      <c r="A135" s="41"/>
      <c r="B135" s="20" t="s">
        <v>52</v>
      </c>
      <c r="C135" s="42">
        <v>2025</v>
      </c>
      <c r="D135" s="19" t="s">
        <v>94</v>
      </c>
      <c r="E135" s="3" t="s">
        <v>131</v>
      </c>
      <c r="F135" s="1">
        <v>0</v>
      </c>
      <c r="G135" s="32">
        <v>0</v>
      </c>
      <c r="H135" s="33">
        <f t="shared" si="39"/>
        <v>0</v>
      </c>
      <c r="I135" s="34"/>
      <c r="J135" s="35">
        <v>0</v>
      </c>
      <c r="K135" s="36">
        <v>0</v>
      </c>
      <c r="L135" s="35">
        <v>-5000000</v>
      </c>
      <c r="M135" s="35">
        <v>0</v>
      </c>
      <c r="N135" s="35">
        <v>0</v>
      </c>
      <c r="O135" s="35">
        <v>0</v>
      </c>
      <c r="P135" s="35">
        <v>0</v>
      </c>
      <c r="R135" s="37">
        <f t="shared" si="41"/>
        <v>5000000</v>
      </c>
      <c r="X135" s="28"/>
      <c r="Y135" s="28"/>
    </row>
    <row r="136" spans="1:25" s="4" customFormat="1">
      <c r="A136" s="41"/>
      <c r="B136" s="20" t="s">
        <v>52</v>
      </c>
      <c r="C136" s="42">
        <v>2025</v>
      </c>
      <c r="D136" s="19" t="s">
        <v>907</v>
      </c>
      <c r="E136" s="3" t="s">
        <v>132</v>
      </c>
      <c r="F136" s="1">
        <v>0</v>
      </c>
      <c r="G136" s="32">
        <v>0</v>
      </c>
      <c r="H136" s="33">
        <f t="shared" si="39"/>
        <v>0</v>
      </c>
      <c r="I136" s="34"/>
      <c r="J136" s="35">
        <v>0</v>
      </c>
      <c r="K136" s="36">
        <v>0</v>
      </c>
      <c r="L136" s="35">
        <v>-5080000</v>
      </c>
      <c r="M136" s="35">
        <v>0</v>
      </c>
      <c r="N136" s="35">
        <v>0</v>
      </c>
      <c r="O136" s="35">
        <v>0</v>
      </c>
      <c r="P136" s="35">
        <v>0</v>
      </c>
      <c r="R136" s="37">
        <f t="shared" si="40"/>
        <v>5080000</v>
      </c>
      <c r="X136" s="28"/>
      <c r="Y136" s="28"/>
    </row>
    <row r="137" spans="1:25" s="4" customFormat="1">
      <c r="A137" s="41"/>
      <c r="B137" s="20" t="s">
        <v>52</v>
      </c>
      <c r="C137" s="42">
        <v>2025</v>
      </c>
      <c r="D137" s="19" t="s">
        <v>93</v>
      </c>
      <c r="E137" s="3" t="s">
        <v>133</v>
      </c>
      <c r="F137" s="1">
        <v>0</v>
      </c>
      <c r="G137" s="32">
        <v>0</v>
      </c>
      <c r="H137" s="33">
        <f t="shared" si="39"/>
        <v>0</v>
      </c>
      <c r="I137" s="34"/>
      <c r="J137" s="35">
        <v>0</v>
      </c>
      <c r="K137" s="36">
        <v>0</v>
      </c>
      <c r="L137" s="35">
        <v>-5200826</v>
      </c>
      <c r="M137" s="35">
        <v>0</v>
      </c>
      <c r="N137" s="35">
        <v>0</v>
      </c>
      <c r="O137" s="35">
        <v>0</v>
      </c>
      <c r="P137" s="35">
        <v>0</v>
      </c>
      <c r="R137" s="37">
        <f t="shared" si="40"/>
        <v>5200826</v>
      </c>
      <c r="X137" s="28"/>
      <c r="Y137" s="28"/>
    </row>
    <row r="138" spans="1:25" s="4" customFormat="1">
      <c r="A138" s="41"/>
      <c r="B138" s="20" t="s">
        <v>52</v>
      </c>
      <c r="C138" s="42">
        <v>2025</v>
      </c>
      <c r="D138" s="19" t="s">
        <v>203</v>
      </c>
      <c r="E138" s="3" t="s">
        <v>134</v>
      </c>
      <c r="F138" s="1">
        <v>0</v>
      </c>
      <c r="G138" s="32">
        <v>0</v>
      </c>
      <c r="H138" s="33">
        <f t="shared" si="39"/>
        <v>0</v>
      </c>
      <c r="I138" s="34"/>
      <c r="J138" s="35">
        <v>0</v>
      </c>
      <c r="K138" s="36">
        <v>0</v>
      </c>
      <c r="L138" s="35">
        <v>-5200000</v>
      </c>
      <c r="M138" s="35">
        <v>0</v>
      </c>
      <c r="N138" s="35">
        <v>0</v>
      </c>
      <c r="O138" s="35">
        <v>0</v>
      </c>
      <c r="P138" s="35">
        <v>0</v>
      </c>
      <c r="R138" s="37">
        <f t="shared" ref="R138" si="42">F138-J138-K138-L138-M138-N138-O138</f>
        <v>5200000</v>
      </c>
      <c r="X138" s="28"/>
      <c r="Y138" s="28"/>
    </row>
    <row r="139" spans="1:25" s="4" customFormat="1">
      <c r="A139" s="41"/>
      <c r="B139" s="20" t="s">
        <v>52</v>
      </c>
      <c r="C139" s="42">
        <v>2025</v>
      </c>
      <c r="D139" s="19" t="s">
        <v>85</v>
      </c>
      <c r="E139" s="3" t="s">
        <v>135</v>
      </c>
      <c r="F139" s="1">
        <v>0</v>
      </c>
      <c r="G139" s="32">
        <v>0</v>
      </c>
      <c r="H139" s="33">
        <f t="shared" si="39"/>
        <v>0</v>
      </c>
      <c r="I139" s="34"/>
      <c r="J139" s="35">
        <v>0</v>
      </c>
      <c r="K139" s="36">
        <v>0</v>
      </c>
      <c r="L139" s="35">
        <v>-4237005</v>
      </c>
      <c r="M139" s="35">
        <v>0</v>
      </c>
      <c r="N139" s="35">
        <v>0</v>
      </c>
      <c r="O139" s="35">
        <v>0</v>
      </c>
      <c r="P139" s="35">
        <v>0</v>
      </c>
      <c r="R139" s="37">
        <f t="shared" si="40"/>
        <v>4237005</v>
      </c>
      <c r="X139" s="28"/>
      <c r="Y139" s="28"/>
    </row>
    <row r="140" spans="1:25" s="4" customFormat="1">
      <c r="A140" s="41"/>
      <c r="B140" s="20" t="s">
        <v>52</v>
      </c>
      <c r="C140" s="42">
        <v>2025</v>
      </c>
      <c r="D140" s="19" t="s">
        <v>92</v>
      </c>
      <c r="E140" s="3" t="s">
        <v>136</v>
      </c>
      <c r="F140" s="1">
        <v>0</v>
      </c>
      <c r="G140" s="32">
        <v>0</v>
      </c>
      <c r="H140" s="33">
        <f t="shared" si="39"/>
        <v>0</v>
      </c>
      <c r="I140" s="34"/>
      <c r="J140" s="35">
        <v>0</v>
      </c>
      <c r="K140" s="36">
        <v>0</v>
      </c>
      <c r="L140" s="35">
        <v>-1535095</v>
      </c>
      <c r="M140" s="35">
        <v>0</v>
      </c>
      <c r="N140" s="35">
        <v>0</v>
      </c>
      <c r="O140" s="35">
        <v>0</v>
      </c>
      <c r="P140" s="35">
        <v>0</v>
      </c>
      <c r="R140" s="37">
        <f t="shared" ref="R140" si="43">F140-J140-K140-L140-M140-N140-O140</f>
        <v>1535095</v>
      </c>
      <c r="X140" s="28"/>
      <c r="Y140" s="28"/>
    </row>
    <row r="141" spans="1:25" s="4" customFormat="1">
      <c r="A141" s="41"/>
      <c r="B141" s="20" t="s">
        <v>52</v>
      </c>
      <c r="C141" s="42">
        <v>2025</v>
      </c>
      <c r="D141" s="19" t="s">
        <v>85</v>
      </c>
      <c r="E141" s="3" t="s">
        <v>137</v>
      </c>
      <c r="F141" s="1">
        <v>0</v>
      </c>
      <c r="G141" s="32">
        <v>0</v>
      </c>
      <c r="H141" s="33">
        <f t="shared" si="39"/>
        <v>0</v>
      </c>
      <c r="I141" s="34"/>
      <c r="J141" s="35">
        <v>0</v>
      </c>
      <c r="K141" s="36">
        <v>0</v>
      </c>
      <c r="L141" s="35">
        <v>-2387900</v>
      </c>
      <c r="M141" s="35">
        <v>0</v>
      </c>
      <c r="N141" s="35">
        <v>0</v>
      </c>
      <c r="O141" s="35">
        <v>0</v>
      </c>
      <c r="P141" s="35">
        <v>0</v>
      </c>
      <c r="R141" s="37">
        <f t="shared" si="40"/>
        <v>2387900</v>
      </c>
      <c r="X141" s="28"/>
      <c r="Y141" s="28"/>
    </row>
    <row r="142" spans="1:25" s="4" customFormat="1">
      <c r="A142" s="41"/>
      <c r="B142" s="20" t="s">
        <v>52</v>
      </c>
      <c r="C142" s="42">
        <v>2025</v>
      </c>
      <c r="D142" s="19" t="s">
        <v>907</v>
      </c>
      <c r="E142" s="3" t="s">
        <v>138</v>
      </c>
      <c r="F142" s="1">
        <v>0</v>
      </c>
      <c r="G142" s="32">
        <v>0</v>
      </c>
      <c r="H142" s="33">
        <f t="shared" si="39"/>
        <v>0</v>
      </c>
      <c r="I142" s="34"/>
      <c r="J142" s="35">
        <v>0</v>
      </c>
      <c r="K142" s="36">
        <v>0</v>
      </c>
      <c r="L142" s="35">
        <v>-12726060</v>
      </c>
      <c r="M142" s="35">
        <v>0</v>
      </c>
      <c r="N142" s="35">
        <v>0</v>
      </c>
      <c r="O142" s="35">
        <v>0</v>
      </c>
      <c r="P142" s="35">
        <v>0</v>
      </c>
      <c r="R142" s="37">
        <f t="shared" si="40"/>
        <v>12726060</v>
      </c>
      <c r="X142" s="28"/>
      <c r="Y142" s="28"/>
    </row>
    <row r="143" spans="1:25" s="4" customFormat="1">
      <c r="A143" s="41"/>
      <c r="B143" s="20" t="s">
        <v>52</v>
      </c>
      <c r="C143" s="42">
        <v>2025</v>
      </c>
      <c r="D143" s="19" t="s">
        <v>907</v>
      </c>
      <c r="E143" s="3" t="s">
        <v>139</v>
      </c>
      <c r="F143" s="1">
        <v>0</v>
      </c>
      <c r="G143" s="32">
        <v>0</v>
      </c>
      <c r="H143" s="33">
        <f t="shared" si="39"/>
        <v>0</v>
      </c>
      <c r="I143" s="34"/>
      <c r="J143" s="35">
        <v>0</v>
      </c>
      <c r="K143" s="36">
        <v>0</v>
      </c>
      <c r="L143" s="35">
        <v>-861770</v>
      </c>
      <c r="M143" s="35">
        <v>0</v>
      </c>
      <c r="N143" s="35">
        <v>0</v>
      </c>
      <c r="O143" s="35">
        <v>0</v>
      </c>
      <c r="P143" s="35">
        <v>0</v>
      </c>
      <c r="R143" s="37">
        <f t="shared" si="40"/>
        <v>861770</v>
      </c>
      <c r="X143" s="28"/>
      <c r="Y143" s="28"/>
    </row>
    <row r="144" spans="1:25" s="4" customFormat="1">
      <c r="A144" s="41"/>
      <c r="B144" s="20" t="s">
        <v>52</v>
      </c>
      <c r="C144" s="42">
        <v>2025</v>
      </c>
      <c r="D144" s="19" t="s">
        <v>94</v>
      </c>
      <c r="E144" s="3" t="s">
        <v>140</v>
      </c>
      <c r="F144" s="1">
        <v>0</v>
      </c>
      <c r="G144" s="32">
        <v>0</v>
      </c>
      <c r="H144" s="33">
        <f t="shared" si="39"/>
        <v>0</v>
      </c>
      <c r="I144" s="34"/>
      <c r="J144" s="35">
        <v>0</v>
      </c>
      <c r="K144" s="36">
        <v>0</v>
      </c>
      <c r="L144" s="35">
        <v>-600000</v>
      </c>
      <c r="M144" s="35">
        <v>0</v>
      </c>
      <c r="N144" s="35">
        <v>0</v>
      </c>
      <c r="O144" s="35">
        <v>0</v>
      </c>
      <c r="P144" s="35">
        <v>0</v>
      </c>
      <c r="R144" s="37">
        <f t="shared" ref="R144" si="44">F144-J144-K144-L144-M144-N144-O144</f>
        <v>600000</v>
      </c>
      <c r="X144" s="28"/>
      <c r="Y144" s="28"/>
    </row>
    <row r="145" spans="1:25" s="4" customFormat="1">
      <c r="A145" s="41"/>
      <c r="B145" s="20" t="s">
        <v>52</v>
      </c>
      <c r="C145" s="42">
        <v>2025</v>
      </c>
      <c r="D145" s="19" t="s">
        <v>907</v>
      </c>
      <c r="E145" s="3" t="s">
        <v>141</v>
      </c>
      <c r="F145" s="1">
        <v>0</v>
      </c>
      <c r="G145" s="32">
        <v>0</v>
      </c>
      <c r="H145" s="33">
        <f t="shared" si="39"/>
        <v>0</v>
      </c>
      <c r="I145" s="34"/>
      <c r="J145" s="35">
        <v>0</v>
      </c>
      <c r="K145" s="36">
        <v>0</v>
      </c>
      <c r="L145" s="35">
        <v>-1447970</v>
      </c>
      <c r="M145" s="35">
        <v>0</v>
      </c>
      <c r="N145" s="35">
        <v>0</v>
      </c>
      <c r="O145" s="35">
        <v>0</v>
      </c>
      <c r="P145" s="35">
        <v>0</v>
      </c>
      <c r="R145" s="37">
        <f t="shared" si="40"/>
        <v>1447970</v>
      </c>
      <c r="X145" s="28"/>
      <c r="Y145" s="28"/>
    </row>
    <row r="146" spans="1:25" s="4" customFormat="1">
      <c r="A146" s="41"/>
      <c r="B146" s="20" t="s">
        <v>52</v>
      </c>
      <c r="C146" s="42">
        <v>2025</v>
      </c>
      <c r="D146" s="19" t="s">
        <v>94</v>
      </c>
      <c r="E146" s="3" t="s">
        <v>142</v>
      </c>
      <c r="F146" s="1">
        <v>0</v>
      </c>
      <c r="G146" s="32">
        <v>0</v>
      </c>
      <c r="H146" s="33">
        <f t="shared" si="39"/>
        <v>0</v>
      </c>
      <c r="I146" s="34"/>
      <c r="J146" s="35">
        <v>0</v>
      </c>
      <c r="K146" s="36">
        <v>0</v>
      </c>
      <c r="L146" s="35">
        <v>-1770000</v>
      </c>
      <c r="M146" s="35">
        <v>0</v>
      </c>
      <c r="N146" s="35">
        <v>0</v>
      </c>
      <c r="O146" s="35">
        <v>0</v>
      </c>
      <c r="P146" s="35">
        <v>0</v>
      </c>
      <c r="R146" s="37">
        <f t="shared" ref="R146" si="45">F146-J146-K146-L146-M146-N146-O146</f>
        <v>1770000</v>
      </c>
      <c r="X146" s="28"/>
      <c r="Y146" s="28"/>
    </row>
    <row r="147" spans="1:25" s="4" customFormat="1">
      <c r="A147" s="41"/>
      <c r="B147" s="20" t="s">
        <v>52</v>
      </c>
      <c r="C147" s="42">
        <v>2025</v>
      </c>
      <c r="D147" s="19" t="s">
        <v>907</v>
      </c>
      <c r="E147" s="3" t="s">
        <v>143</v>
      </c>
      <c r="F147" s="1">
        <v>0</v>
      </c>
      <c r="G147" s="32">
        <v>0</v>
      </c>
      <c r="H147" s="33">
        <f t="shared" si="39"/>
        <v>0</v>
      </c>
      <c r="I147" s="34"/>
      <c r="J147" s="35">
        <v>0</v>
      </c>
      <c r="K147" s="36">
        <v>0</v>
      </c>
      <c r="L147" s="35">
        <v>-1038970</v>
      </c>
      <c r="M147" s="35">
        <v>0</v>
      </c>
      <c r="N147" s="35">
        <v>0</v>
      </c>
      <c r="O147" s="35">
        <v>0</v>
      </c>
      <c r="P147" s="35">
        <v>0</v>
      </c>
      <c r="R147" s="37">
        <f t="shared" si="40"/>
        <v>1038970</v>
      </c>
      <c r="X147" s="28"/>
      <c r="Y147" s="28"/>
    </row>
    <row r="148" spans="1:25" s="4" customFormat="1">
      <c r="A148" s="41"/>
      <c r="B148" s="20" t="s">
        <v>52</v>
      </c>
      <c r="C148" s="42">
        <v>2025</v>
      </c>
      <c r="D148" s="19" t="s">
        <v>85</v>
      </c>
      <c r="E148" s="3" t="s">
        <v>144</v>
      </c>
      <c r="F148" s="1">
        <v>0</v>
      </c>
      <c r="G148" s="32">
        <v>0</v>
      </c>
      <c r="H148" s="33">
        <f t="shared" si="39"/>
        <v>0</v>
      </c>
      <c r="I148" s="34"/>
      <c r="J148" s="35">
        <v>0</v>
      </c>
      <c r="K148" s="36">
        <v>0</v>
      </c>
      <c r="L148" s="35">
        <v>-3766800</v>
      </c>
      <c r="M148" s="35">
        <v>0</v>
      </c>
      <c r="N148" s="35">
        <v>0</v>
      </c>
      <c r="O148" s="35">
        <v>0</v>
      </c>
      <c r="P148" s="35">
        <v>0</v>
      </c>
      <c r="R148" s="37">
        <f t="shared" si="40"/>
        <v>3766800</v>
      </c>
      <c r="X148" s="28"/>
      <c r="Y148" s="28"/>
    </row>
    <row r="149" spans="1:25" s="4" customFormat="1">
      <c r="A149" s="41"/>
      <c r="B149" s="20" t="s">
        <v>52</v>
      </c>
      <c r="C149" s="42">
        <v>2025</v>
      </c>
      <c r="D149" s="19" t="s">
        <v>85</v>
      </c>
      <c r="E149" s="3" t="s">
        <v>145</v>
      </c>
      <c r="F149" s="1">
        <v>0</v>
      </c>
      <c r="G149" s="32">
        <v>0</v>
      </c>
      <c r="H149" s="33">
        <f t="shared" si="39"/>
        <v>0</v>
      </c>
      <c r="I149" s="34"/>
      <c r="J149" s="35">
        <v>0</v>
      </c>
      <c r="K149" s="36">
        <v>0</v>
      </c>
      <c r="L149" s="35">
        <v>-5702500</v>
      </c>
      <c r="M149" s="35">
        <v>0</v>
      </c>
      <c r="N149" s="35">
        <v>0</v>
      </c>
      <c r="O149" s="35">
        <v>0</v>
      </c>
      <c r="P149" s="35">
        <v>0</v>
      </c>
      <c r="R149" s="37">
        <f t="shared" si="40"/>
        <v>5702500</v>
      </c>
      <c r="X149" s="28"/>
      <c r="Y149" s="28"/>
    </row>
    <row r="150" spans="1:25" s="4" customFormat="1">
      <c r="A150" s="41"/>
      <c r="B150" s="20" t="s">
        <v>52</v>
      </c>
      <c r="C150" s="42">
        <v>2025</v>
      </c>
      <c r="D150" s="19" t="s">
        <v>203</v>
      </c>
      <c r="E150" s="3" t="s">
        <v>146</v>
      </c>
      <c r="F150" s="1">
        <v>0</v>
      </c>
      <c r="G150" s="32">
        <v>0</v>
      </c>
      <c r="H150" s="33">
        <f t="shared" si="39"/>
        <v>0</v>
      </c>
      <c r="I150" s="34"/>
      <c r="J150" s="35">
        <v>0</v>
      </c>
      <c r="K150" s="36">
        <v>0</v>
      </c>
      <c r="L150" s="35">
        <v>-246080</v>
      </c>
      <c r="M150" s="35">
        <v>0</v>
      </c>
      <c r="N150" s="35">
        <v>0</v>
      </c>
      <c r="O150" s="35">
        <v>0</v>
      </c>
      <c r="P150" s="35">
        <v>0</v>
      </c>
      <c r="R150" s="37">
        <f t="shared" ref="R150" si="46">F150-J150-K150-L150-M150-N150-O150</f>
        <v>246080</v>
      </c>
      <c r="X150" s="28"/>
      <c r="Y150" s="28"/>
    </row>
    <row r="151" spans="1:25" s="4" customFormat="1">
      <c r="A151" s="41"/>
      <c r="B151" s="20" t="s">
        <v>52</v>
      </c>
      <c r="C151" s="42">
        <v>2025</v>
      </c>
      <c r="D151" s="19" t="s">
        <v>204</v>
      </c>
      <c r="E151" s="3" t="s">
        <v>147</v>
      </c>
      <c r="F151" s="1">
        <v>0</v>
      </c>
      <c r="G151" s="32">
        <v>0</v>
      </c>
      <c r="H151" s="33">
        <f t="shared" si="39"/>
        <v>0</v>
      </c>
      <c r="I151" s="34"/>
      <c r="J151" s="35">
        <v>0</v>
      </c>
      <c r="K151" s="36">
        <v>0</v>
      </c>
      <c r="L151" s="35">
        <v>-1795335</v>
      </c>
      <c r="M151" s="35">
        <v>0</v>
      </c>
      <c r="N151" s="35">
        <v>0</v>
      </c>
      <c r="O151" s="35">
        <v>0</v>
      </c>
      <c r="P151" s="35">
        <v>0</v>
      </c>
      <c r="R151" s="37">
        <f t="shared" ref="R151:R152" si="47">F151-J151-K151-L151-M151-N151-O151</f>
        <v>1795335</v>
      </c>
      <c r="X151" s="28"/>
      <c r="Y151" s="28"/>
    </row>
    <row r="152" spans="1:25" s="4" customFormat="1">
      <c r="A152" s="41"/>
      <c r="B152" s="20" t="s">
        <v>52</v>
      </c>
      <c r="C152" s="42">
        <v>2025</v>
      </c>
      <c r="D152" s="19" t="s">
        <v>203</v>
      </c>
      <c r="E152" s="3" t="s">
        <v>148</v>
      </c>
      <c r="F152" s="1">
        <v>0</v>
      </c>
      <c r="G152" s="32">
        <v>0</v>
      </c>
      <c r="H152" s="33">
        <f t="shared" si="39"/>
        <v>0</v>
      </c>
      <c r="I152" s="34"/>
      <c r="J152" s="35">
        <v>0</v>
      </c>
      <c r="K152" s="36">
        <v>0</v>
      </c>
      <c r="L152" s="35">
        <v>-13590245</v>
      </c>
      <c r="M152" s="35">
        <v>0</v>
      </c>
      <c r="N152" s="35">
        <v>0</v>
      </c>
      <c r="O152" s="35">
        <v>0</v>
      </c>
      <c r="P152" s="35">
        <v>0</v>
      </c>
      <c r="R152" s="37">
        <f t="shared" si="47"/>
        <v>13590245</v>
      </c>
      <c r="X152" s="28"/>
      <c r="Y152" s="28"/>
    </row>
    <row r="153" spans="1:25" s="4" customFormat="1">
      <c r="A153" s="41"/>
      <c r="B153" s="20" t="s">
        <v>52</v>
      </c>
      <c r="C153" s="42">
        <v>2025</v>
      </c>
      <c r="D153" s="19" t="s">
        <v>85</v>
      </c>
      <c r="E153" s="3" t="s">
        <v>149</v>
      </c>
      <c r="F153" s="1">
        <v>0</v>
      </c>
      <c r="G153" s="32">
        <v>0</v>
      </c>
      <c r="H153" s="33">
        <f t="shared" si="39"/>
        <v>0</v>
      </c>
      <c r="I153" s="34"/>
      <c r="J153" s="35">
        <v>0</v>
      </c>
      <c r="K153" s="36">
        <v>0</v>
      </c>
      <c r="L153" s="35">
        <v>-2839232</v>
      </c>
      <c r="M153" s="35">
        <v>0</v>
      </c>
      <c r="N153" s="35">
        <v>0</v>
      </c>
      <c r="O153" s="35">
        <v>0</v>
      </c>
      <c r="P153" s="35">
        <v>0</v>
      </c>
      <c r="R153" s="37">
        <f t="shared" si="40"/>
        <v>2839232</v>
      </c>
      <c r="X153" s="28"/>
      <c r="Y153" s="28"/>
    </row>
    <row r="154" spans="1:25" s="4" customFormat="1">
      <c r="A154" s="41"/>
      <c r="B154" s="20" t="s">
        <v>52</v>
      </c>
      <c r="C154" s="42">
        <v>2025</v>
      </c>
      <c r="D154" s="19" t="s">
        <v>204</v>
      </c>
      <c r="E154" s="3" t="s">
        <v>150</v>
      </c>
      <c r="F154" s="1">
        <v>0</v>
      </c>
      <c r="G154" s="32">
        <v>0</v>
      </c>
      <c r="H154" s="33">
        <f t="shared" si="39"/>
        <v>0</v>
      </c>
      <c r="I154" s="34"/>
      <c r="J154" s="35">
        <v>0</v>
      </c>
      <c r="K154" s="36">
        <v>0</v>
      </c>
      <c r="L154" s="35">
        <v>-6095260</v>
      </c>
      <c r="M154" s="35">
        <v>0</v>
      </c>
      <c r="N154" s="35">
        <v>0</v>
      </c>
      <c r="O154" s="35">
        <v>0</v>
      </c>
      <c r="P154" s="35">
        <v>0</v>
      </c>
      <c r="R154" s="37">
        <f t="shared" ref="R154" si="48">F154-J154-K154-L154-M154-N154-O154</f>
        <v>6095260</v>
      </c>
      <c r="X154" s="28"/>
      <c r="Y154" s="28"/>
    </row>
    <row r="155" spans="1:25" s="4" customFormat="1">
      <c r="A155" s="41"/>
      <c r="B155" s="20" t="s">
        <v>52</v>
      </c>
      <c r="C155" s="42">
        <v>2025</v>
      </c>
      <c r="D155" s="19" t="s">
        <v>85</v>
      </c>
      <c r="E155" s="3" t="s">
        <v>151</v>
      </c>
      <c r="F155" s="1">
        <v>0</v>
      </c>
      <c r="G155" s="32">
        <v>0</v>
      </c>
      <c r="H155" s="33">
        <f t="shared" si="39"/>
        <v>0</v>
      </c>
      <c r="I155" s="34"/>
      <c r="J155" s="35">
        <v>0</v>
      </c>
      <c r="K155" s="36">
        <v>0</v>
      </c>
      <c r="L155" s="35">
        <v>-1760770</v>
      </c>
      <c r="M155" s="35">
        <v>0</v>
      </c>
      <c r="N155" s="35">
        <v>0</v>
      </c>
      <c r="O155" s="35">
        <v>0</v>
      </c>
      <c r="P155" s="35">
        <v>0</v>
      </c>
      <c r="R155" s="37">
        <f t="shared" si="40"/>
        <v>1760770</v>
      </c>
      <c r="X155" s="28"/>
      <c r="Y155" s="28"/>
    </row>
    <row r="156" spans="1:25" s="4" customFormat="1">
      <c r="A156" s="41"/>
      <c r="B156" s="20" t="s">
        <v>52</v>
      </c>
      <c r="C156" s="42">
        <v>2025</v>
      </c>
      <c r="D156" s="19" t="s">
        <v>203</v>
      </c>
      <c r="E156" s="3" t="s">
        <v>152</v>
      </c>
      <c r="F156" s="1">
        <v>0</v>
      </c>
      <c r="G156" s="32">
        <v>0</v>
      </c>
      <c r="H156" s="33">
        <f t="shared" si="39"/>
        <v>0</v>
      </c>
      <c r="I156" s="34"/>
      <c r="J156" s="35">
        <v>0</v>
      </c>
      <c r="K156" s="36">
        <v>0</v>
      </c>
      <c r="L156" s="35">
        <v>-8321360</v>
      </c>
      <c r="M156" s="35">
        <v>0</v>
      </c>
      <c r="N156" s="35">
        <v>0</v>
      </c>
      <c r="O156" s="35">
        <v>0</v>
      </c>
      <c r="P156" s="35">
        <v>0</v>
      </c>
      <c r="R156" s="37">
        <f t="shared" ref="R156" si="49">F156-J156-K156-L156-M156-N156-O156</f>
        <v>8321360</v>
      </c>
      <c r="X156" s="28"/>
      <c r="Y156" s="28"/>
    </row>
    <row r="157" spans="1:25" s="4" customFormat="1">
      <c r="A157" s="41"/>
      <c r="B157" s="20" t="s">
        <v>52</v>
      </c>
      <c r="C157" s="42">
        <v>2025</v>
      </c>
      <c r="D157" s="19" t="s">
        <v>85</v>
      </c>
      <c r="E157" s="3" t="s">
        <v>153</v>
      </c>
      <c r="F157" s="1">
        <v>0</v>
      </c>
      <c r="G157" s="32">
        <v>0</v>
      </c>
      <c r="H157" s="33">
        <f t="shared" si="39"/>
        <v>0</v>
      </c>
      <c r="I157" s="34"/>
      <c r="J157" s="35">
        <v>0</v>
      </c>
      <c r="K157" s="36">
        <v>0</v>
      </c>
      <c r="L157" s="35">
        <v>-2289780</v>
      </c>
      <c r="M157" s="35">
        <v>0</v>
      </c>
      <c r="N157" s="35">
        <v>0</v>
      </c>
      <c r="O157" s="35">
        <v>0</v>
      </c>
      <c r="P157" s="35">
        <v>0</v>
      </c>
      <c r="R157" s="37">
        <f t="shared" si="40"/>
        <v>2289780</v>
      </c>
      <c r="X157" s="28"/>
      <c r="Y157" s="28"/>
    </row>
    <row r="158" spans="1:25" s="4" customFormat="1">
      <c r="A158" s="41"/>
      <c r="B158" s="20" t="s">
        <v>52</v>
      </c>
      <c r="C158" s="42">
        <v>2025</v>
      </c>
      <c r="D158" s="19" t="s">
        <v>203</v>
      </c>
      <c r="E158" s="3" t="s">
        <v>154</v>
      </c>
      <c r="F158" s="1">
        <v>0</v>
      </c>
      <c r="G158" s="32">
        <v>0</v>
      </c>
      <c r="H158" s="33">
        <f t="shared" si="39"/>
        <v>0</v>
      </c>
      <c r="I158" s="34"/>
      <c r="J158" s="35">
        <v>0</v>
      </c>
      <c r="K158" s="36">
        <v>0</v>
      </c>
      <c r="L158" s="35">
        <v>-2900350</v>
      </c>
      <c r="M158" s="35">
        <v>0</v>
      </c>
      <c r="N158" s="35">
        <v>0</v>
      </c>
      <c r="O158" s="35">
        <v>0</v>
      </c>
      <c r="P158" s="35">
        <v>0</v>
      </c>
      <c r="R158" s="37">
        <f t="shared" ref="R158" si="50">F158-J158-K158-L158-M158-N158-O158</f>
        <v>2900350</v>
      </c>
      <c r="X158" s="28"/>
      <c r="Y158" s="28"/>
    </row>
    <row r="159" spans="1:25" s="4" customFormat="1">
      <c r="A159" s="41"/>
      <c r="B159" s="20" t="s">
        <v>52</v>
      </c>
      <c r="C159" s="42">
        <v>2025</v>
      </c>
      <c r="D159" s="19" t="s">
        <v>202</v>
      </c>
      <c r="E159" s="3" t="s">
        <v>155</v>
      </c>
      <c r="F159" s="1">
        <v>0</v>
      </c>
      <c r="G159" s="32">
        <v>0</v>
      </c>
      <c r="H159" s="33">
        <f t="shared" si="39"/>
        <v>0</v>
      </c>
      <c r="I159" s="34"/>
      <c r="J159" s="35">
        <v>0</v>
      </c>
      <c r="K159" s="36">
        <v>0</v>
      </c>
      <c r="L159" s="35">
        <v>-8800000</v>
      </c>
      <c r="M159" s="35">
        <v>0</v>
      </c>
      <c r="N159" s="35">
        <v>0</v>
      </c>
      <c r="O159" s="35">
        <v>0</v>
      </c>
      <c r="P159" s="35">
        <v>0</v>
      </c>
      <c r="R159" s="37">
        <f t="shared" si="40"/>
        <v>8800000</v>
      </c>
      <c r="X159" s="28"/>
      <c r="Y159" s="28"/>
    </row>
    <row r="160" spans="1:25" s="4" customFormat="1">
      <c r="A160" s="41"/>
      <c r="B160" s="20" t="s">
        <v>52</v>
      </c>
      <c r="C160" s="42">
        <v>2025</v>
      </c>
      <c r="D160" s="19" t="s">
        <v>202</v>
      </c>
      <c r="E160" s="3" t="s">
        <v>156</v>
      </c>
      <c r="F160" s="1">
        <v>0</v>
      </c>
      <c r="G160" s="32">
        <v>0</v>
      </c>
      <c r="H160" s="33">
        <f t="shared" si="39"/>
        <v>0</v>
      </c>
      <c r="I160" s="34"/>
      <c r="J160" s="35">
        <v>0</v>
      </c>
      <c r="K160" s="36">
        <v>0</v>
      </c>
      <c r="L160" s="35">
        <v>-44176926</v>
      </c>
      <c r="M160" s="35">
        <v>0</v>
      </c>
      <c r="N160" s="35">
        <v>0</v>
      </c>
      <c r="O160" s="35">
        <v>0</v>
      </c>
      <c r="P160" s="35">
        <v>0</v>
      </c>
      <c r="R160" s="37">
        <f t="shared" ref="R160:R244" si="51">F160-J160-K160-L160-M160-N160-O160</f>
        <v>44176926</v>
      </c>
      <c r="X160" s="28"/>
      <c r="Y160" s="28"/>
    </row>
    <row r="161" spans="1:25" s="4" customFormat="1">
      <c r="A161" s="41"/>
      <c r="B161" s="20" t="s">
        <v>52</v>
      </c>
      <c r="C161" s="42">
        <v>2025</v>
      </c>
      <c r="D161" s="19" t="s">
        <v>85</v>
      </c>
      <c r="E161" s="3" t="s">
        <v>157</v>
      </c>
      <c r="F161" s="1">
        <v>0</v>
      </c>
      <c r="G161" s="32">
        <v>0</v>
      </c>
      <c r="H161" s="33">
        <f t="shared" si="39"/>
        <v>0</v>
      </c>
      <c r="I161" s="34"/>
      <c r="J161" s="35">
        <v>0</v>
      </c>
      <c r="K161" s="36">
        <v>0</v>
      </c>
      <c r="L161" s="35">
        <v>-18023037</v>
      </c>
      <c r="M161" s="35">
        <v>0</v>
      </c>
      <c r="N161" s="35">
        <v>0</v>
      </c>
      <c r="O161" s="35">
        <v>0</v>
      </c>
      <c r="P161" s="35">
        <v>0</v>
      </c>
      <c r="R161" s="37">
        <f t="shared" si="51"/>
        <v>18023037</v>
      </c>
      <c r="X161" s="28"/>
      <c r="Y161" s="28"/>
    </row>
    <row r="162" spans="1:25" s="4" customFormat="1">
      <c r="A162" s="41"/>
      <c r="B162" s="20" t="s">
        <v>52</v>
      </c>
      <c r="C162" s="42">
        <v>2025</v>
      </c>
      <c r="D162" s="19" t="s">
        <v>204</v>
      </c>
      <c r="E162" s="3" t="s">
        <v>158</v>
      </c>
      <c r="F162" s="1">
        <v>0</v>
      </c>
      <c r="G162" s="32">
        <v>0</v>
      </c>
      <c r="H162" s="33">
        <f t="shared" si="39"/>
        <v>0</v>
      </c>
      <c r="I162" s="34"/>
      <c r="J162" s="35">
        <v>0</v>
      </c>
      <c r="K162" s="36">
        <v>0</v>
      </c>
      <c r="L162" s="35">
        <v>-1875125</v>
      </c>
      <c r="M162" s="35">
        <v>0</v>
      </c>
      <c r="N162" s="35">
        <v>0</v>
      </c>
      <c r="O162" s="35">
        <v>0</v>
      </c>
      <c r="P162" s="35">
        <v>0</v>
      </c>
      <c r="R162" s="37">
        <f t="shared" ref="R162" si="52">F162-J162-K162-L162-M162-N162-O162</f>
        <v>1875125</v>
      </c>
      <c r="X162" s="28"/>
      <c r="Y162" s="28"/>
    </row>
    <row r="163" spans="1:25" s="4" customFormat="1">
      <c r="A163" s="41"/>
      <c r="B163" s="20" t="s">
        <v>52</v>
      </c>
      <c r="C163" s="42">
        <v>2025</v>
      </c>
      <c r="D163" s="19" t="s">
        <v>204</v>
      </c>
      <c r="E163" s="3" t="s">
        <v>159</v>
      </c>
      <c r="F163" s="1">
        <v>0</v>
      </c>
      <c r="G163" s="32">
        <v>0</v>
      </c>
      <c r="H163" s="33">
        <f t="shared" si="39"/>
        <v>0</v>
      </c>
      <c r="I163" s="34"/>
      <c r="J163" s="35">
        <v>0</v>
      </c>
      <c r="K163" s="36">
        <v>0</v>
      </c>
      <c r="L163" s="35">
        <v>-1131200</v>
      </c>
      <c r="M163" s="35">
        <v>0</v>
      </c>
      <c r="N163" s="35">
        <v>0</v>
      </c>
      <c r="O163" s="35">
        <v>0</v>
      </c>
      <c r="P163" s="35">
        <v>0</v>
      </c>
      <c r="R163" s="37">
        <f t="shared" ref="R163:R164" si="53">F163-J163-K163-L163-M163-N163-O163</f>
        <v>1131200</v>
      </c>
      <c r="X163" s="28"/>
      <c r="Y163" s="28"/>
    </row>
    <row r="164" spans="1:25" s="4" customFormat="1">
      <c r="A164" s="41"/>
      <c r="B164" s="20" t="s">
        <v>52</v>
      </c>
      <c r="C164" s="42">
        <v>2025</v>
      </c>
      <c r="D164" s="19" t="s">
        <v>203</v>
      </c>
      <c r="E164" s="3" t="s">
        <v>160</v>
      </c>
      <c r="F164" s="1">
        <v>0</v>
      </c>
      <c r="G164" s="32">
        <v>0</v>
      </c>
      <c r="H164" s="33">
        <f t="shared" si="39"/>
        <v>0</v>
      </c>
      <c r="I164" s="34"/>
      <c r="J164" s="35">
        <v>0</v>
      </c>
      <c r="K164" s="36">
        <v>0</v>
      </c>
      <c r="L164" s="35">
        <v>-4500000</v>
      </c>
      <c r="M164" s="35">
        <v>0</v>
      </c>
      <c r="N164" s="35">
        <v>0</v>
      </c>
      <c r="O164" s="35">
        <v>0</v>
      </c>
      <c r="P164" s="35">
        <v>0</v>
      </c>
      <c r="R164" s="37">
        <f t="shared" si="53"/>
        <v>4500000</v>
      </c>
      <c r="X164" s="28"/>
      <c r="Y164" s="28"/>
    </row>
    <row r="165" spans="1:25" s="4" customFormat="1">
      <c r="A165" s="41"/>
      <c r="B165" s="20" t="s">
        <v>52</v>
      </c>
      <c r="C165" s="42">
        <v>2025</v>
      </c>
      <c r="D165" s="19" t="s">
        <v>85</v>
      </c>
      <c r="E165" s="3" t="s">
        <v>161</v>
      </c>
      <c r="F165" s="1">
        <v>0</v>
      </c>
      <c r="G165" s="32">
        <v>0</v>
      </c>
      <c r="H165" s="33">
        <f t="shared" si="39"/>
        <v>0</v>
      </c>
      <c r="I165" s="34"/>
      <c r="J165" s="35">
        <v>0</v>
      </c>
      <c r="K165" s="36">
        <v>0</v>
      </c>
      <c r="L165" s="35">
        <v>-900500</v>
      </c>
      <c r="M165" s="35">
        <v>0</v>
      </c>
      <c r="N165" s="35">
        <v>0</v>
      </c>
      <c r="O165" s="35">
        <v>0</v>
      </c>
      <c r="P165" s="35">
        <v>0</v>
      </c>
      <c r="R165" s="37">
        <f t="shared" si="51"/>
        <v>900500</v>
      </c>
      <c r="X165" s="28"/>
      <c r="Y165" s="28"/>
    </row>
    <row r="166" spans="1:25" s="4" customFormat="1">
      <c r="A166" s="41"/>
      <c r="B166" s="20" t="s">
        <v>52</v>
      </c>
      <c r="C166" s="42">
        <v>2025</v>
      </c>
      <c r="D166" s="19" t="s">
        <v>85</v>
      </c>
      <c r="E166" s="3" t="s">
        <v>162</v>
      </c>
      <c r="F166" s="1">
        <v>0</v>
      </c>
      <c r="G166" s="32">
        <v>0</v>
      </c>
      <c r="H166" s="33">
        <f t="shared" si="39"/>
        <v>0</v>
      </c>
      <c r="I166" s="34"/>
      <c r="J166" s="35">
        <v>0</v>
      </c>
      <c r="K166" s="36">
        <v>0</v>
      </c>
      <c r="L166" s="35">
        <v>-2911700</v>
      </c>
      <c r="M166" s="35">
        <v>0</v>
      </c>
      <c r="N166" s="35">
        <v>0</v>
      </c>
      <c r="O166" s="35">
        <v>0</v>
      </c>
      <c r="P166" s="35">
        <v>0</v>
      </c>
      <c r="R166" s="37">
        <f t="shared" si="51"/>
        <v>2911700</v>
      </c>
      <c r="X166" s="28"/>
      <c r="Y166" s="28"/>
    </row>
    <row r="167" spans="1:25" s="4" customFormat="1">
      <c r="A167" s="41"/>
      <c r="B167" s="20" t="s">
        <v>52</v>
      </c>
      <c r="C167" s="42">
        <v>2025</v>
      </c>
      <c r="D167" s="19" t="s">
        <v>202</v>
      </c>
      <c r="E167" s="3" t="s">
        <v>163</v>
      </c>
      <c r="F167" s="1">
        <v>0</v>
      </c>
      <c r="G167" s="32">
        <v>0</v>
      </c>
      <c r="H167" s="33">
        <f t="shared" si="39"/>
        <v>0</v>
      </c>
      <c r="I167" s="34"/>
      <c r="J167" s="35">
        <v>0</v>
      </c>
      <c r="K167" s="36">
        <v>0</v>
      </c>
      <c r="L167" s="35">
        <v>-5070200</v>
      </c>
      <c r="M167" s="35">
        <v>0</v>
      </c>
      <c r="N167" s="35">
        <v>0</v>
      </c>
      <c r="O167" s="35">
        <v>0</v>
      </c>
      <c r="P167" s="35">
        <v>0</v>
      </c>
      <c r="R167" s="37">
        <f t="shared" si="51"/>
        <v>5070200</v>
      </c>
      <c r="X167" s="28"/>
      <c r="Y167" s="28"/>
    </row>
    <row r="168" spans="1:25" s="4" customFormat="1">
      <c r="A168" s="41"/>
      <c r="B168" s="20" t="s">
        <v>52</v>
      </c>
      <c r="C168" s="42">
        <v>2025</v>
      </c>
      <c r="D168" s="19" t="s">
        <v>907</v>
      </c>
      <c r="E168" s="3" t="s">
        <v>266</v>
      </c>
      <c r="F168" s="1">
        <v>0</v>
      </c>
      <c r="G168" s="32">
        <v>0</v>
      </c>
      <c r="H168" s="33">
        <f t="shared" si="39"/>
        <v>0</v>
      </c>
      <c r="I168" s="34"/>
      <c r="J168" s="35">
        <v>0</v>
      </c>
      <c r="K168" s="36">
        <v>0</v>
      </c>
      <c r="L168" s="35">
        <v>-8903470</v>
      </c>
      <c r="M168" s="35">
        <v>0</v>
      </c>
      <c r="N168" s="35">
        <v>0</v>
      </c>
      <c r="O168" s="35">
        <v>0</v>
      </c>
      <c r="P168" s="35">
        <v>0</v>
      </c>
      <c r="R168" s="37">
        <f t="shared" si="51"/>
        <v>8903470</v>
      </c>
      <c r="X168" s="28"/>
      <c r="Y168" s="28"/>
    </row>
    <row r="169" spans="1:25" s="4" customFormat="1">
      <c r="A169" s="41"/>
      <c r="B169" s="20" t="s">
        <v>52</v>
      </c>
      <c r="C169" s="42">
        <v>2025</v>
      </c>
      <c r="D169" s="19" t="s">
        <v>85</v>
      </c>
      <c r="E169" s="3" t="s">
        <v>267</v>
      </c>
      <c r="F169" s="1">
        <v>0</v>
      </c>
      <c r="G169" s="32">
        <v>0</v>
      </c>
      <c r="H169" s="33">
        <f t="shared" si="39"/>
        <v>0</v>
      </c>
      <c r="I169" s="34"/>
      <c r="J169" s="35">
        <v>0</v>
      </c>
      <c r="K169" s="36">
        <v>0</v>
      </c>
      <c r="L169" s="35">
        <v>-8381286</v>
      </c>
      <c r="M169" s="35">
        <v>0</v>
      </c>
      <c r="N169" s="35">
        <v>0</v>
      </c>
      <c r="O169" s="35">
        <v>0</v>
      </c>
      <c r="P169" s="35">
        <v>0</v>
      </c>
      <c r="R169" s="37">
        <f t="shared" si="51"/>
        <v>8381286</v>
      </c>
      <c r="X169" s="28"/>
      <c r="Y169" s="28"/>
    </row>
    <row r="170" spans="1:25" s="4" customFormat="1">
      <c r="A170" s="41"/>
      <c r="B170" s="20" t="s">
        <v>52</v>
      </c>
      <c r="C170" s="42">
        <v>2025</v>
      </c>
      <c r="D170" s="19" t="s">
        <v>202</v>
      </c>
      <c r="E170" s="3" t="s">
        <v>268</v>
      </c>
      <c r="F170" s="1">
        <v>0</v>
      </c>
      <c r="G170" s="32">
        <v>0</v>
      </c>
      <c r="H170" s="33">
        <f t="shared" si="39"/>
        <v>0</v>
      </c>
      <c r="I170" s="34"/>
      <c r="J170" s="35">
        <v>0</v>
      </c>
      <c r="K170" s="36">
        <v>0</v>
      </c>
      <c r="L170" s="35">
        <v>-1087180</v>
      </c>
      <c r="M170" s="35">
        <v>0</v>
      </c>
      <c r="N170" s="35">
        <v>0</v>
      </c>
      <c r="O170" s="35">
        <v>0</v>
      </c>
      <c r="P170" s="35">
        <v>0</v>
      </c>
      <c r="R170" s="37">
        <f t="shared" si="51"/>
        <v>1087180</v>
      </c>
      <c r="X170" s="28"/>
      <c r="Y170" s="28"/>
    </row>
    <row r="171" spans="1:25" s="4" customFormat="1">
      <c r="A171" s="41"/>
      <c r="B171" s="20" t="s">
        <v>52</v>
      </c>
      <c r="C171" s="42">
        <v>2025</v>
      </c>
      <c r="D171" s="19" t="s">
        <v>204</v>
      </c>
      <c r="E171" s="3" t="s">
        <v>269</v>
      </c>
      <c r="F171" s="1">
        <v>0</v>
      </c>
      <c r="G171" s="32">
        <v>0</v>
      </c>
      <c r="H171" s="33">
        <f t="shared" si="39"/>
        <v>0</v>
      </c>
      <c r="I171" s="34"/>
      <c r="J171" s="35">
        <v>0</v>
      </c>
      <c r="K171" s="36">
        <v>0</v>
      </c>
      <c r="L171" s="35">
        <v>-1875125</v>
      </c>
      <c r="M171" s="35">
        <v>0</v>
      </c>
      <c r="N171" s="35">
        <v>0</v>
      </c>
      <c r="O171" s="35">
        <v>0</v>
      </c>
      <c r="P171" s="35">
        <v>0</v>
      </c>
      <c r="R171" s="37">
        <f t="shared" ref="R171" si="54">F171-J171-K171-L171-M171-N171-O171</f>
        <v>1875125</v>
      </c>
      <c r="X171" s="28"/>
      <c r="Y171" s="28"/>
    </row>
    <row r="172" spans="1:25" s="4" customFormat="1">
      <c r="A172" s="41"/>
      <c r="B172" s="20" t="s">
        <v>52</v>
      </c>
      <c r="C172" s="42">
        <v>2025</v>
      </c>
      <c r="D172" s="19" t="s">
        <v>85</v>
      </c>
      <c r="E172" s="3" t="s">
        <v>270</v>
      </c>
      <c r="F172" s="1">
        <v>0</v>
      </c>
      <c r="G172" s="32">
        <v>0</v>
      </c>
      <c r="H172" s="33">
        <f t="shared" si="39"/>
        <v>0</v>
      </c>
      <c r="I172" s="34"/>
      <c r="J172" s="35">
        <v>0</v>
      </c>
      <c r="K172" s="36">
        <v>0</v>
      </c>
      <c r="L172" s="35">
        <v>-4952188</v>
      </c>
      <c r="M172" s="35">
        <v>0</v>
      </c>
      <c r="N172" s="35">
        <v>0</v>
      </c>
      <c r="O172" s="35">
        <v>0</v>
      </c>
      <c r="P172" s="35">
        <v>0</v>
      </c>
      <c r="R172" s="37">
        <f t="shared" si="51"/>
        <v>4952188</v>
      </c>
      <c r="X172" s="28"/>
      <c r="Y172" s="28"/>
    </row>
    <row r="173" spans="1:25" s="4" customFormat="1">
      <c r="A173" s="41"/>
      <c r="B173" s="20" t="s">
        <v>52</v>
      </c>
      <c r="C173" s="42">
        <v>2025</v>
      </c>
      <c r="D173" s="10" t="s">
        <v>907</v>
      </c>
      <c r="E173" s="3" t="s">
        <v>751</v>
      </c>
      <c r="F173" s="11">
        <v>0</v>
      </c>
      <c r="G173" s="38">
        <v>0</v>
      </c>
      <c r="H173" s="39">
        <f t="shared" si="39"/>
        <v>0</v>
      </c>
      <c r="I173" s="34"/>
      <c r="J173" s="35">
        <v>0</v>
      </c>
      <c r="K173" s="36">
        <v>0</v>
      </c>
      <c r="L173" s="35">
        <v>582470</v>
      </c>
      <c r="M173" s="35">
        <v>0</v>
      </c>
      <c r="N173" s="35">
        <v>0</v>
      </c>
      <c r="O173" s="35">
        <v>0</v>
      </c>
      <c r="P173" s="35">
        <v>0</v>
      </c>
      <c r="R173" s="37">
        <f t="shared" si="51"/>
        <v>-582470</v>
      </c>
      <c r="X173" s="28"/>
      <c r="Y173" s="28"/>
    </row>
    <row r="174" spans="1:25" s="4" customFormat="1">
      <c r="A174" s="41"/>
      <c r="B174" s="20" t="s">
        <v>52</v>
      </c>
      <c r="C174" s="42">
        <v>2025</v>
      </c>
      <c r="D174" s="19" t="s">
        <v>202</v>
      </c>
      <c r="E174" s="3" t="s">
        <v>271</v>
      </c>
      <c r="F174" s="1">
        <v>0</v>
      </c>
      <c r="G174" s="32">
        <v>0</v>
      </c>
      <c r="H174" s="33">
        <f t="shared" si="39"/>
        <v>0</v>
      </c>
      <c r="I174" s="34"/>
      <c r="J174" s="35">
        <v>0</v>
      </c>
      <c r="K174" s="36">
        <v>0</v>
      </c>
      <c r="L174" s="35">
        <v>-7600000</v>
      </c>
      <c r="M174" s="35">
        <v>0</v>
      </c>
      <c r="N174" s="35">
        <v>0</v>
      </c>
      <c r="O174" s="35">
        <v>0</v>
      </c>
      <c r="P174" s="35">
        <v>0</v>
      </c>
      <c r="R174" s="37">
        <f t="shared" si="51"/>
        <v>7600000</v>
      </c>
      <c r="X174" s="28"/>
      <c r="Y174" s="28"/>
    </row>
    <row r="175" spans="1:25" s="4" customFormat="1">
      <c r="A175" s="41"/>
      <c r="B175" s="20" t="s">
        <v>52</v>
      </c>
      <c r="C175" s="42">
        <v>2025</v>
      </c>
      <c r="D175" s="19" t="s">
        <v>85</v>
      </c>
      <c r="E175" s="3" t="s">
        <v>272</v>
      </c>
      <c r="F175" s="1">
        <v>0</v>
      </c>
      <c r="G175" s="32">
        <v>0</v>
      </c>
      <c r="H175" s="33">
        <f t="shared" si="39"/>
        <v>0</v>
      </c>
      <c r="I175" s="34"/>
      <c r="J175" s="35">
        <v>0</v>
      </c>
      <c r="K175" s="36">
        <v>0</v>
      </c>
      <c r="L175" s="35">
        <v>-7308700</v>
      </c>
      <c r="M175" s="35">
        <v>0</v>
      </c>
      <c r="N175" s="35">
        <v>0</v>
      </c>
      <c r="O175" s="35">
        <v>0</v>
      </c>
      <c r="P175" s="35">
        <v>0</v>
      </c>
      <c r="R175" s="37">
        <f t="shared" si="51"/>
        <v>7308700</v>
      </c>
      <c r="X175" s="28"/>
      <c r="Y175" s="28"/>
    </row>
    <row r="176" spans="1:25" s="4" customFormat="1">
      <c r="A176" s="41"/>
      <c r="B176" s="20" t="s">
        <v>52</v>
      </c>
      <c r="C176" s="42">
        <v>2025</v>
      </c>
      <c r="D176" s="19" t="s">
        <v>85</v>
      </c>
      <c r="E176" s="3" t="s">
        <v>273</v>
      </c>
      <c r="F176" s="1">
        <v>0</v>
      </c>
      <c r="G176" s="32">
        <v>0</v>
      </c>
      <c r="H176" s="33">
        <f t="shared" si="39"/>
        <v>0</v>
      </c>
      <c r="I176" s="34"/>
      <c r="J176" s="35">
        <v>0</v>
      </c>
      <c r="K176" s="36">
        <v>0</v>
      </c>
      <c r="L176" s="35">
        <v>-364000</v>
      </c>
      <c r="M176" s="35">
        <v>0</v>
      </c>
      <c r="N176" s="35">
        <v>0</v>
      </c>
      <c r="O176" s="35">
        <v>0</v>
      </c>
      <c r="P176" s="35">
        <v>0</v>
      </c>
      <c r="R176" s="37">
        <f t="shared" si="51"/>
        <v>364000</v>
      </c>
      <c r="X176" s="28"/>
      <c r="Y176" s="28"/>
    </row>
    <row r="177" spans="1:25" s="4" customFormat="1">
      <c r="A177" s="41"/>
      <c r="B177" s="20" t="s">
        <v>52</v>
      </c>
      <c r="C177" s="42">
        <v>2025</v>
      </c>
      <c r="D177" s="19" t="s">
        <v>200</v>
      </c>
      <c r="E177" s="3" t="s">
        <v>275</v>
      </c>
      <c r="F177" s="1">
        <v>0</v>
      </c>
      <c r="G177" s="32">
        <v>0</v>
      </c>
      <c r="H177" s="33">
        <f t="shared" si="39"/>
        <v>0</v>
      </c>
      <c r="I177" s="34"/>
      <c r="J177" s="35">
        <v>0</v>
      </c>
      <c r="K177" s="36">
        <v>0</v>
      </c>
      <c r="L177" s="35">
        <v>-170811</v>
      </c>
      <c r="M177" s="35">
        <v>0</v>
      </c>
      <c r="N177" s="35">
        <v>0</v>
      </c>
      <c r="O177" s="35">
        <v>0</v>
      </c>
      <c r="P177" s="35">
        <v>0</v>
      </c>
      <c r="R177" s="37">
        <f t="shared" ref="R177" si="55">F177-J177-K177-L177-M177-N177-O177</f>
        <v>170811</v>
      </c>
      <c r="X177" s="28"/>
      <c r="Y177" s="28"/>
    </row>
    <row r="178" spans="1:25" s="4" customFormat="1">
      <c r="A178" s="41"/>
      <c r="B178" s="20" t="s">
        <v>52</v>
      </c>
      <c r="C178" s="42">
        <v>2025</v>
      </c>
      <c r="D178" s="19" t="s">
        <v>380</v>
      </c>
      <c r="E178" s="19" t="s">
        <v>276</v>
      </c>
      <c r="F178" s="1">
        <v>0</v>
      </c>
      <c r="G178" s="32">
        <v>0</v>
      </c>
      <c r="H178" s="33">
        <f t="shared" si="39"/>
        <v>0</v>
      </c>
      <c r="I178" s="34"/>
      <c r="J178" s="35">
        <v>0</v>
      </c>
      <c r="K178" s="36">
        <v>0</v>
      </c>
      <c r="L178" s="35">
        <v>-7631766</v>
      </c>
      <c r="M178" s="35">
        <v>0</v>
      </c>
      <c r="N178" s="35">
        <v>0</v>
      </c>
      <c r="O178" s="35">
        <v>0</v>
      </c>
      <c r="P178" s="35">
        <v>0</v>
      </c>
      <c r="R178" s="37">
        <f t="shared" ref="R178" si="56">F178-J178-K178-L178-M178-N178-O178</f>
        <v>7631766</v>
      </c>
      <c r="X178" s="28"/>
      <c r="Y178" s="28"/>
    </row>
    <row r="179" spans="1:25" s="4" customFormat="1">
      <c r="A179" s="41"/>
      <c r="B179" s="20" t="s">
        <v>52</v>
      </c>
      <c r="C179" s="42">
        <v>2025</v>
      </c>
      <c r="D179" s="19" t="s">
        <v>373</v>
      </c>
      <c r="E179" s="3" t="s">
        <v>277</v>
      </c>
      <c r="F179" s="1">
        <v>0</v>
      </c>
      <c r="G179" s="32">
        <v>0</v>
      </c>
      <c r="H179" s="33">
        <f t="shared" si="39"/>
        <v>0</v>
      </c>
      <c r="I179" s="34"/>
      <c r="J179" s="35">
        <v>0</v>
      </c>
      <c r="K179" s="36">
        <v>0</v>
      </c>
      <c r="L179" s="35">
        <v>-1452000</v>
      </c>
      <c r="M179" s="35">
        <v>0</v>
      </c>
      <c r="N179" s="35">
        <v>0</v>
      </c>
      <c r="O179" s="35">
        <v>0</v>
      </c>
      <c r="P179" s="35">
        <v>0</v>
      </c>
      <c r="R179" s="37">
        <f t="shared" si="51"/>
        <v>1452000</v>
      </c>
      <c r="X179" s="28"/>
      <c r="Y179" s="28"/>
    </row>
    <row r="180" spans="1:25" s="4" customFormat="1">
      <c r="A180" s="41"/>
      <c r="B180" s="20" t="s">
        <v>52</v>
      </c>
      <c r="C180" s="42">
        <v>2025</v>
      </c>
      <c r="D180" s="19" t="s">
        <v>373</v>
      </c>
      <c r="E180" s="3" t="s">
        <v>278</v>
      </c>
      <c r="F180" s="1">
        <v>0</v>
      </c>
      <c r="G180" s="32">
        <v>0</v>
      </c>
      <c r="H180" s="33">
        <f t="shared" si="39"/>
        <v>0</v>
      </c>
      <c r="I180" s="34"/>
      <c r="J180" s="35">
        <v>0</v>
      </c>
      <c r="K180" s="36">
        <v>0</v>
      </c>
      <c r="L180" s="35">
        <v>-11700000</v>
      </c>
      <c r="M180" s="35">
        <v>0</v>
      </c>
      <c r="N180" s="35">
        <v>0</v>
      </c>
      <c r="O180" s="35">
        <v>0</v>
      </c>
      <c r="P180" s="35">
        <v>0</v>
      </c>
      <c r="R180" s="37">
        <f t="shared" si="51"/>
        <v>11700000</v>
      </c>
      <c r="X180" s="28"/>
      <c r="Y180" s="28"/>
    </row>
    <row r="181" spans="1:25" s="4" customFormat="1">
      <c r="A181" s="41"/>
      <c r="B181" s="20" t="s">
        <v>52</v>
      </c>
      <c r="C181" s="42">
        <v>2025</v>
      </c>
      <c r="D181" s="19" t="s">
        <v>379</v>
      </c>
      <c r="E181" s="3" t="s">
        <v>279</v>
      </c>
      <c r="F181" s="1">
        <v>0</v>
      </c>
      <c r="G181" s="32">
        <v>0</v>
      </c>
      <c r="H181" s="33">
        <f t="shared" si="39"/>
        <v>0</v>
      </c>
      <c r="I181" s="34"/>
      <c r="J181" s="35">
        <v>0</v>
      </c>
      <c r="K181" s="36">
        <v>0</v>
      </c>
      <c r="L181" s="35">
        <v>-2904000</v>
      </c>
      <c r="M181" s="35">
        <v>0</v>
      </c>
      <c r="N181" s="35">
        <v>0</v>
      </c>
      <c r="O181" s="35">
        <v>0</v>
      </c>
      <c r="P181" s="35">
        <v>0</v>
      </c>
      <c r="R181" s="37">
        <f t="shared" si="51"/>
        <v>2904000</v>
      </c>
      <c r="X181" s="28"/>
      <c r="Y181" s="28"/>
    </row>
    <row r="182" spans="1:25" s="4" customFormat="1">
      <c r="A182" s="41"/>
      <c r="B182" s="20" t="s">
        <v>52</v>
      </c>
      <c r="C182" s="42">
        <v>2025</v>
      </c>
      <c r="D182" s="19" t="s">
        <v>373</v>
      </c>
      <c r="E182" s="3" t="s">
        <v>280</v>
      </c>
      <c r="F182" s="1">
        <v>0</v>
      </c>
      <c r="G182" s="32">
        <v>0</v>
      </c>
      <c r="H182" s="33">
        <f t="shared" si="39"/>
        <v>0</v>
      </c>
      <c r="I182" s="34"/>
      <c r="J182" s="35">
        <v>0</v>
      </c>
      <c r="K182" s="36">
        <v>0</v>
      </c>
      <c r="L182" s="35">
        <v>-5157771</v>
      </c>
      <c r="M182" s="35">
        <v>0</v>
      </c>
      <c r="N182" s="35">
        <v>0</v>
      </c>
      <c r="O182" s="35">
        <v>0</v>
      </c>
      <c r="P182" s="35">
        <v>0</v>
      </c>
      <c r="R182" s="37">
        <f t="shared" si="51"/>
        <v>5157771</v>
      </c>
      <c r="X182" s="28"/>
      <c r="Y182" s="28"/>
    </row>
    <row r="183" spans="1:25" s="4" customFormat="1">
      <c r="A183" s="41"/>
      <c r="B183" s="20" t="s">
        <v>52</v>
      </c>
      <c r="C183" s="42">
        <v>2025</v>
      </c>
      <c r="D183" s="19" t="s">
        <v>378</v>
      </c>
      <c r="E183" s="3" t="s">
        <v>281</v>
      </c>
      <c r="F183" s="1">
        <v>0</v>
      </c>
      <c r="G183" s="32">
        <v>0</v>
      </c>
      <c r="H183" s="33">
        <f t="shared" si="39"/>
        <v>0</v>
      </c>
      <c r="I183" s="34"/>
      <c r="J183" s="35">
        <v>0</v>
      </c>
      <c r="K183" s="36">
        <v>0</v>
      </c>
      <c r="L183" s="35">
        <v>-3884850</v>
      </c>
      <c r="M183" s="35">
        <v>0</v>
      </c>
      <c r="N183" s="35">
        <v>0</v>
      </c>
      <c r="O183" s="35">
        <v>0</v>
      </c>
      <c r="P183" s="35">
        <v>0</v>
      </c>
      <c r="R183" s="37">
        <f t="shared" ref="R183" si="57">F183-J183-K183-L183-M183-N183-O183</f>
        <v>3884850</v>
      </c>
      <c r="X183" s="28"/>
      <c r="Y183" s="28"/>
    </row>
    <row r="184" spans="1:25" s="4" customFormat="1">
      <c r="A184" s="41"/>
      <c r="B184" s="20" t="s">
        <v>52</v>
      </c>
      <c r="C184" s="42">
        <v>2025</v>
      </c>
      <c r="D184" s="19" t="s">
        <v>373</v>
      </c>
      <c r="E184" s="3" t="s">
        <v>282</v>
      </c>
      <c r="F184" s="1">
        <v>0</v>
      </c>
      <c r="G184" s="32">
        <v>0</v>
      </c>
      <c r="H184" s="33">
        <f t="shared" si="39"/>
        <v>0</v>
      </c>
      <c r="I184" s="34"/>
      <c r="J184" s="35">
        <v>0</v>
      </c>
      <c r="K184" s="36">
        <v>0</v>
      </c>
      <c r="L184" s="35">
        <v>-8498830</v>
      </c>
      <c r="M184" s="35">
        <v>0</v>
      </c>
      <c r="N184" s="35">
        <v>0</v>
      </c>
      <c r="O184" s="35">
        <v>0</v>
      </c>
      <c r="P184" s="35">
        <v>0</v>
      </c>
      <c r="R184" s="37">
        <f t="shared" si="51"/>
        <v>8498830</v>
      </c>
      <c r="X184" s="28"/>
      <c r="Y184" s="28"/>
    </row>
    <row r="185" spans="1:25" s="4" customFormat="1">
      <c r="A185" s="41"/>
      <c r="B185" s="20" t="s">
        <v>52</v>
      </c>
      <c r="C185" s="42">
        <v>2025</v>
      </c>
      <c r="D185" s="19" t="s">
        <v>85</v>
      </c>
      <c r="E185" s="3" t="s">
        <v>283</v>
      </c>
      <c r="F185" s="1">
        <v>0</v>
      </c>
      <c r="G185" s="32">
        <v>0</v>
      </c>
      <c r="H185" s="33">
        <f t="shared" si="39"/>
        <v>0</v>
      </c>
      <c r="I185" s="34"/>
      <c r="J185" s="35">
        <v>0</v>
      </c>
      <c r="K185" s="36">
        <v>0</v>
      </c>
      <c r="L185" s="35">
        <v>-1900500</v>
      </c>
      <c r="M185" s="35">
        <v>0</v>
      </c>
      <c r="N185" s="35">
        <v>0</v>
      </c>
      <c r="O185" s="35">
        <v>0</v>
      </c>
      <c r="P185" s="35">
        <v>0</v>
      </c>
      <c r="R185" s="37">
        <f t="shared" si="51"/>
        <v>1900500</v>
      </c>
      <c r="X185" s="28"/>
      <c r="Y185" s="28"/>
    </row>
    <row r="186" spans="1:25" s="4" customFormat="1">
      <c r="A186" s="41"/>
      <c r="B186" s="20" t="s">
        <v>52</v>
      </c>
      <c r="C186" s="42">
        <v>2025</v>
      </c>
      <c r="D186" s="19" t="s">
        <v>373</v>
      </c>
      <c r="E186" s="3" t="s">
        <v>284</v>
      </c>
      <c r="F186" s="1">
        <v>0</v>
      </c>
      <c r="G186" s="32">
        <v>0</v>
      </c>
      <c r="H186" s="33">
        <f t="shared" si="39"/>
        <v>0</v>
      </c>
      <c r="I186" s="34"/>
      <c r="J186" s="35">
        <v>0</v>
      </c>
      <c r="K186" s="36">
        <v>0</v>
      </c>
      <c r="L186" s="35">
        <v>-8016000</v>
      </c>
      <c r="M186" s="35">
        <v>0</v>
      </c>
      <c r="N186" s="35">
        <v>0</v>
      </c>
      <c r="O186" s="35">
        <v>0</v>
      </c>
      <c r="P186" s="35">
        <v>0</v>
      </c>
      <c r="R186" s="37">
        <f t="shared" si="51"/>
        <v>8016000</v>
      </c>
      <c r="X186" s="28"/>
      <c r="Y186" s="28"/>
    </row>
    <row r="187" spans="1:25" s="4" customFormat="1">
      <c r="A187" s="41"/>
      <c r="B187" s="20" t="s">
        <v>52</v>
      </c>
      <c r="C187" s="42">
        <v>2025</v>
      </c>
      <c r="D187" s="19" t="s">
        <v>366</v>
      </c>
      <c r="E187" s="3" t="s">
        <v>285</v>
      </c>
      <c r="F187" s="1">
        <v>0</v>
      </c>
      <c r="G187" s="32">
        <v>0</v>
      </c>
      <c r="H187" s="33">
        <f t="shared" si="39"/>
        <v>0</v>
      </c>
      <c r="I187" s="34"/>
      <c r="J187" s="35">
        <v>0</v>
      </c>
      <c r="K187" s="36">
        <v>0</v>
      </c>
      <c r="L187" s="35">
        <v>-16802989</v>
      </c>
      <c r="M187" s="35">
        <v>0</v>
      </c>
      <c r="N187" s="35">
        <v>0</v>
      </c>
      <c r="O187" s="35">
        <v>0</v>
      </c>
      <c r="P187" s="35">
        <v>0</v>
      </c>
      <c r="R187" s="37">
        <f t="shared" si="51"/>
        <v>16802989</v>
      </c>
      <c r="X187" s="28"/>
      <c r="Y187" s="28"/>
    </row>
    <row r="188" spans="1:25" s="4" customFormat="1">
      <c r="A188" s="41"/>
      <c r="B188" s="20" t="s">
        <v>52</v>
      </c>
      <c r="C188" s="42">
        <v>2025</v>
      </c>
      <c r="D188" s="19" t="s">
        <v>366</v>
      </c>
      <c r="E188" s="3" t="s">
        <v>286</v>
      </c>
      <c r="F188" s="1">
        <v>0</v>
      </c>
      <c r="G188" s="32">
        <v>0</v>
      </c>
      <c r="H188" s="33">
        <f t="shared" si="39"/>
        <v>0</v>
      </c>
      <c r="I188" s="34"/>
      <c r="J188" s="35">
        <v>0</v>
      </c>
      <c r="K188" s="36">
        <v>0</v>
      </c>
      <c r="L188" s="35">
        <v>-22851673</v>
      </c>
      <c r="M188" s="35">
        <v>0</v>
      </c>
      <c r="N188" s="35">
        <v>0</v>
      </c>
      <c r="O188" s="35">
        <v>0</v>
      </c>
      <c r="P188" s="35">
        <v>0</v>
      </c>
      <c r="R188" s="37">
        <f t="shared" si="51"/>
        <v>22851673</v>
      </c>
      <c r="X188" s="28"/>
      <c r="Y188" s="28"/>
    </row>
    <row r="189" spans="1:25" s="4" customFormat="1">
      <c r="A189" s="41"/>
      <c r="B189" s="20" t="s">
        <v>52</v>
      </c>
      <c r="C189" s="42">
        <v>2025</v>
      </c>
      <c r="D189" s="19" t="s">
        <v>379</v>
      </c>
      <c r="E189" s="3" t="s">
        <v>287</v>
      </c>
      <c r="F189" s="1">
        <v>0</v>
      </c>
      <c r="G189" s="32">
        <v>0</v>
      </c>
      <c r="H189" s="33">
        <f t="shared" si="39"/>
        <v>0</v>
      </c>
      <c r="I189" s="34"/>
      <c r="J189" s="35">
        <v>0</v>
      </c>
      <c r="K189" s="36">
        <v>0</v>
      </c>
      <c r="L189" s="35">
        <v>-3199550</v>
      </c>
      <c r="M189" s="35">
        <v>0</v>
      </c>
      <c r="N189" s="35">
        <v>0</v>
      </c>
      <c r="O189" s="35">
        <v>0</v>
      </c>
      <c r="P189" s="35">
        <v>0</v>
      </c>
      <c r="R189" s="37">
        <f t="shared" si="51"/>
        <v>3199550</v>
      </c>
      <c r="X189" s="28"/>
      <c r="Y189" s="28"/>
    </row>
    <row r="190" spans="1:25" s="4" customFormat="1">
      <c r="A190" s="41"/>
      <c r="B190" s="20" t="s">
        <v>52</v>
      </c>
      <c r="C190" s="42">
        <v>2025</v>
      </c>
      <c r="D190" s="19" t="s">
        <v>373</v>
      </c>
      <c r="E190" s="3" t="s">
        <v>288</v>
      </c>
      <c r="F190" s="1">
        <v>0</v>
      </c>
      <c r="G190" s="32">
        <v>0</v>
      </c>
      <c r="H190" s="33">
        <f t="shared" si="39"/>
        <v>0</v>
      </c>
      <c r="I190" s="34"/>
      <c r="J190" s="35">
        <v>0</v>
      </c>
      <c r="K190" s="36">
        <v>0</v>
      </c>
      <c r="L190" s="35">
        <v>-7519700</v>
      </c>
      <c r="M190" s="35">
        <v>0</v>
      </c>
      <c r="N190" s="35">
        <v>0</v>
      </c>
      <c r="O190" s="35">
        <v>0</v>
      </c>
      <c r="P190" s="35">
        <v>0</v>
      </c>
      <c r="R190" s="37">
        <f t="shared" si="51"/>
        <v>7519700</v>
      </c>
      <c r="X190" s="28"/>
      <c r="Y190" s="28"/>
    </row>
    <row r="191" spans="1:25" s="4" customFormat="1">
      <c r="A191" s="41"/>
      <c r="B191" s="20" t="s">
        <v>52</v>
      </c>
      <c r="C191" s="42">
        <v>2025</v>
      </c>
      <c r="D191" s="19" t="s">
        <v>378</v>
      </c>
      <c r="E191" s="3" t="s">
        <v>289</v>
      </c>
      <c r="F191" s="1">
        <v>0</v>
      </c>
      <c r="G191" s="32">
        <v>0</v>
      </c>
      <c r="H191" s="33">
        <f t="shared" si="39"/>
        <v>0</v>
      </c>
      <c r="I191" s="34"/>
      <c r="J191" s="35">
        <v>0</v>
      </c>
      <c r="K191" s="36">
        <v>0</v>
      </c>
      <c r="L191" s="35">
        <v>-510000</v>
      </c>
      <c r="M191" s="35">
        <v>0</v>
      </c>
      <c r="N191" s="35">
        <v>0</v>
      </c>
      <c r="O191" s="35">
        <v>0</v>
      </c>
      <c r="P191" s="35">
        <v>0</v>
      </c>
      <c r="R191" s="37">
        <f t="shared" ref="R191" si="58">F191-J191-K191-L191-M191-N191-O191</f>
        <v>510000</v>
      </c>
      <c r="X191" s="28"/>
      <c r="Y191" s="28"/>
    </row>
    <row r="192" spans="1:25" s="4" customFormat="1">
      <c r="A192" s="41"/>
      <c r="B192" s="20" t="s">
        <v>52</v>
      </c>
      <c r="C192" s="42">
        <v>2025</v>
      </c>
      <c r="D192" s="19" t="s">
        <v>379</v>
      </c>
      <c r="E192" s="3" t="s">
        <v>290</v>
      </c>
      <c r="F192" s="1">
        <v>0</v>
      </c>
      <c r="G192" s="32">
        <v>0</v>
      </c>
      <c r="H192" s="33">
        <f t="shared" si="39"/>
        <v>0</v>
      </c>
      <c r="I192" s="34"/>
      <c r="J192" s="35">
        <v>0</v>
      </c>
      <c r="K192" s="36">
        <v>0</v>
      </c>
      <c r="L192" s="35">
        <v>-3198350</v>
      </c>
      <c r="M192" s="35">
        <v>0</v>
      </c>
      <c r="N192" s="35">
        <v>0</v>
      </c>
      <c r="O192" s="35">
        <v>0</v>
      </c>
      <c r="P192" s="35">
        <v>0</v>
      </c>
      <c r="R192" s="37">
        <f t="shared" si="51"/>
        <v>3198350</v>
      </c>
      <c r="X192" s="28"/>
      <c r="Y192" s="28"/>
    </row>
    <row r="193" spans="1:25" s="4" customFormat="1">
      <c r="A193" s="41"/>
      <c r="B193" s="20" t="s">
        <v>52</v>
      </c>
      <c r="C193" s="42">
        <v>2025</v>
      </c>
      <c r="D193" s="19" t="s">
        <v>380</v>
      </c>
      <c r="E193" t="s">
        <v>291</v>
      </c>
      <c r="F193" s="1">
        <v>0</v>
      </c>
      <c r="G193" s="32">
        <v>0</v>
      </c>
      <c r="H193" s="33">
        <f t="shared" si="39"/>
        <v>0</v>
      </c>
      <c r="I193" s="34"/>
      <c r="J193" s="35">
        <v>0</v>
      </c>
      <c r="K193" s="36">
        <v>0</v>
      </c>
      <c r="L193" s="35">
        <v>-4838322</v>
      </c>
      <c r="M193" s="35">
        <v>0</v>
      </c>
      <c r="N193" s="35">
        <v>0</v>
      </c>
      <c r="O193" s="35">
        <v>0</v>
      </c>
      <c r="P193" s="35">
        <v>0</v>
      </c>
      <c r="R193" s="37">
        <f t="shared" ref="R193" si="59">F193-J193-K193-L193-M193-N193-O193</f>
        <v>4838322</v>
      </c>
      <c r="X193" s="28"/>
      <c r="Y193" s="28"/>
    </row>
    <row r="194" spans="1:25" s="4" customFormat="1">
      <c r="A194" s="41"/>
      <c r="B194" s="20" t="s">
        <v>52</v>
      </c>
      <c r="C194" s="42">
        <v>2025</v>
      </c>
      <c r="D194" s="19" t="s">
        <v>376</v>
      </c>
      <c r="E194" t="s">
        <v>292</v>
      </c>
      <c r="F194" s="1">
        <v>0</v>
      </c>
      <c r="G194" s="32">
        <v>0</v>
      </c>
      <c r="H194" s="33">
        <f t="shared" si="39"/>
        <v>0</v>
      </c>
      <c r="I194" s="34"/>
      <c r="J194" s="35">
        <v>0</v>
      </c>
      <c r="K194" s="36">
        <v>0</v>
      </c>
      <c r="L194" s="35">
        <v>-3600000</v>
      </c>
      <c r="M194" s="35">
        <v>0</v>
      </c>
      <c r="N194" s="35">
        <v>0</v>
      </c>
      <c r="O194" s="35">
        <v>0</v>
      </c>
      <c r="P194" s="35">
        <v>0</v>
      </c>
      <c r="R194" s="37">
        <f t="shared" ref="R194" si="60">F194-J194-K194-L194-M194-N194-O194</f>
        <v>3600000</v>
      </c>
      <c r="X194" s="28"/>
      <c r="Y194" s="28"/>
    </row>
    <row r="195" spans="1:25" s="4" customFormat="1">
      <c r="A195" s="41"/>
      <c r="B195" s="20" t="s">
        <v>52</v>
      </c>
      <c r="C195" s="42">
        <v>2025</v>
      </c>
      <c r="D195" s="19" t="s">
        <v>373</v>
      </c>
      <c r="E195" s="3" t="s">
        <v>293</v>
      </c>
      <c r="F195" s="1">
        <v>0</v>
      </c>
      <c r="G195" s="32">
        <v>0</v>
      </c>
      <c r="H195" s="33">
        <f t="shared" si="39"/>
        <v>0</v>
      </c>
      <c r="I195" s="34"/>
      <c r="J195" s="35">
        <v>0</v>
      </c>
      <c r="K195" s="36">
        <v>0</v>
      </c>
      <c r="L195" s="35">
        <v>-1708600</v>
      </c>
      <c r="M195" s="35">
        <v>0</v>
      </c>
      <c r="N195" s="35">
        <v>0</v>
      </c>
      <c r="O195" s="35">
        <v>0</v>
      </c>
      <c r="P195" s="35">
        <v>0</v>
      </c>
      <c r="R195" s="37">
        <f t="shared" si="51"/>
        <v>1708600</v>
      </c>
      <c r="X195" s="28"/>
      <c r="Y195" s="28"/>
    </row>
    <row r="196" spans="1:25" s="4" customFormat="1">
      <c r="A196" s="41"/>
      <c r="B196" s="20" t="s">
        <v>52</v>
      </c>
      <c r="C196" s="42">
        <v>2025</v>
      </c>
      <c r="D196" s="19" t="s">
        <v>200</v>
      </c>
      <c r="E196" s="3" t="s">
        <v>294</v>
      </c>
      <c r="F196" s="1">
        <v>0</v>
      </c>
      <c r="G196" s="32">
        <v>0</v>
      </c>
      <c r="H196" s="33">
        <f t="shared" si="39"/>
        <v>0</v>
      </c>
      <c r="I196" s="34"/>
      <c r="J196" s="35">
        <v>0</v>
      </c>
      <c r="K196" s="36">
        <v>0</v>
      </c>
      <c r="L196" s="35">
        <v>-3705170</v>
      </c>
      <c r="M196" s="35">
        <v>0</v>
      </c>
      <c r="N196" s="35">
        <v>0</v>
      </c>
      <c r="O196" s="35">
        <v>0</v>
      </c>
      <c r="P196" s="35">
        <v>0</v>
      </c>
      <c r="R196" s="37">
        <f t="shared" ref="R196" si="61">F196-J196-K196-L196-M196-N196-O196</f>
        <v>3705170</v>
      </c>
      <c r="X196" s="28"/>
      <c r="Y196" s="28"/>
    </row>
    <row r="197" spans="1:25" s="4" customFormat="1">
      <c r="A197" s="41"/>
      <c r="B197" s="20" t="s">
        <v>52</v>
      </c>
      <c r="C197" s="42">
        <v>2025</v>
      </c>
      <c r="D197" s="19" t="s">
        <v>379</v>
      </c>
      <c r="E197" s="3" t="s">
        <v>295</v>
      </c>
      <c r="F197" s="1">
        <v>0</v>
      </c>
      <c r="G197" s="32">
        <v>0</v>
      </c>
      <c r="H197" s="33">
        <f t="shared" ref="H197:H260" si="62">G197*$H$4/$E$999</f>
        <v>0</v>
      </c>
      <c r="I197" s="34"/>
      <c r="J197" s="35">
        <v>0</v>
      </c>
      <c r="K197" s="36">
        <v>0</v>
      </c>
      <c r="L197" s="35">
        <v>-5916650</v>
      </c>
      <c r="M197" s="35">
        <v>0</v>
      </c>
      <c r="N197" s="35">
        <v>0</v>
      </c>
      <c r="O197" s="35">
        <v>0</v>
      </c>
      <c r="P197" s="35">
        <v>0</v>
      </c>
      <c r="R197" s="37">
        <f t="shared" si="51"/>
        <v>5916650</v>
      </c>
      <c r="X197" s="28"/>
      <c r="Y197" s="28"/>
    </row>
    <row r="198" spans="1:25" s="4" customFormat="1">
      <c r="A198" s="41"/>
      <c r="B198" s="20" t="s">
        <v>52</v>
      </c>
      <c r="C198" s="42">
        <v>2025</v>
      </c>
      <c r="D198" s="19" t="s">
        <v>379</v>
      </c>
      <c r="E198" s="3" t="s">
        <v>296</v>
      </c>
      <c r="F198" s="1">
        <v>0</v>
      </c>
      <c r="G198" s="32">
        <v>0</v>
      </c>
      <c r="H198" s="33">
        <f t="shared" si="62"/>
        <v>0</v>
      </c>
      <c r="I198" s="34"/>
      <c r="J198" s="35">
        <v>0</v>
      </c>
      <c r="K198" s="36">
        <v>0</v>
      </c>
      <c r="L198" s="35">
        <v>-3168270</v>
      </c>
      <c r="M198" s="35">
        <v>0</v>
      </c>
      <c r="N198" s="35">
        <v>0</v>
      </c>
      <c r="O198" s="35">
        <v>0</v>
      </c>
      <c r="P198" s="35">
        <v>0</v>
      </c>
      <c r="R198" s="37">
        <f t="shared" si="51"/>
        <v>3168270</v>
      </c>
      <c r="X198" s="28"/>
      <c r="Y198" s="28"/>
    </row>
    <row r="199" spans="1:25" s="4" customFormat="1">
      <c r="A199" s="41"/>
      <c r="B199" s="20" t="s">
        <v>52</v>
      </c>
      <c r="C199" s="42">
        <v>2025</v>
      </c>
      <c r="D199" s="19" t="s">
        <v>376</v>
      </c>
      <c r="E199" s="3" t="s">
        <v>392</v>
      </c>
      <c r="F199" s="1">
        <v>0</v>
      </c>
      <c r="G199" s="32">
        <v>0</v>
      </c>
      <c r="H199" s="33">
        <f t="shared" si="62"/>
        <v>0</v>
      </c>
      <c r="I199" s="34"/>
      <c r="J199" s="35">
        <v>0</v>
      </c>
      <c r="K199" s="36">
        <v>0</v>
      </c>
      <c r="L199" s="35">
        <v>-9002474</v>
      </c>
      <c r="M199" s="35">
        <v>0</v>
      </c>
      <c r="N199" s="35">
        <v>0</v>
      </c>
      <c r="O199" s="35">
        <v>0</v>
      </c>
      <c r="P199" s="35">
        <v>0</v>
      </c>
      <c r="R199" s="37">
        <f t="shared" ref="R199" si="63">F199-J199-K199-L199-M199-N199-O199</f>
        <v>9002474</v>
      </c>
      <c r="X199" s="28"/>
      <c r="Y199" s="28"/>
    </row>
    <row r="200" spans="1:25" s="4" customFormat="1">
      <c r="A200" s="41"/>
      <c r="B200" s="20" t="s">
        <v>52</v>
      </c>
      <c r="C200" s="42">
        <v>2025</v>
      </c>
      <c r="D200" s="19" t="s">
        <v>373</v>
      </c>
      <c r="E200" s="3" t="s">
        <v>393</v>
      </c>
      <c r="F200" s="1">
        <v>0</v>
      </c>
      <c r="G200" s="32">
        <v>0</v>
      </c>
      <c r="H200" s="33">
        <f t="shared" si="62"/>
        <v>0</v>
      </c>
      <c r="I200" s="34"/>
      <c r="J200" s="35">
        <v>0</v>
      </c>
      <c r="K200" s="36">
        <v>0</v>
      </c>
      <c r="L200" s="35">
        <v>-3522000</v>
      </c>
      <c r="M200" s="35">
        <v>0</v>
      </c>
      <c r="N200" s="35">
        <v>0</v>
      </c>
      <c r="O200" s="35">
        <v>0</v>
      </c>
      <c r="P200" s="35">
        <v>0</v>
      </c>
      <c r="R200" s="37">
        <f t="shared" si="51"/>
        <v>3522000</v>
      </c>
      <c r="X200" s="28"/>
      <c r="Y200" s="28"/>
    </row>
    <row r="201" spans="1:25" s="4" customFormat="1">
      <c r="A201" s="41"/>
      <c r="B201" s="20" t="s">
        <v>52</v>
      </c>
      <c r="C201" s="42">
        <v>2025</v>
      </c>
      <c r="D201" s="19" t="s">
        <v>373</v>
      </c>
      <c r="E201" s="3" t="s">
        <v>394</v>
      </c>
      <c r="F201" s="1">
        <v>0</v>
      </c>
      <c r="G201" s="32">
        <v>0</v>
      </c>
      <c r="H201" s="33">
        <f t="shared" si="62"/>
        <v>0</v>
      </c>
      <c r="I201" s="34"/>
      <c r="J201" s="35">
        <v>0</v>
      </c>
      <c r="K201" s="36">
        <v>0</v>
      </c>
      <c r="L201" s="35">
        <v>-2867945</v>
      </c>
      <c r="M201" s="35">
        <v>0</v>
      </c>
      <c r="N201" s="35">
        <v>0</v>
      </c>
      <c r="O201" s="35">
        <v>0</v>
      </c>
      <c r="P201" s="35">
        <v>0</v>
      </c>
      <c r="R201" s="37">
        <f t="shared" si="51"/>
        <v>2867945</v>
      </c>
      <c r="X201" s="28"/>
      <c r="Y201" s="28"/>
    </row>
    <row r="202" spans="1:25" s="4" customFormat="1">
      <c r="A202" s="41"/>
      <c r="B202" s="20" t="s">
        <v>52</v>
      </c>
      <c r="C202" s="42">
        <v>2025</v>
      </c>
      <c r="D202" s="19" t="s">
        <v>376</v>
      </c>
      <c r="E202" s="3" t="s">
        <v>395</v>
      </c>
      <c r="F202" s="1">
        <v>0</v>
      </c>
      <c r="G202" s="32">
        <v>0</v>
      </c>
      <c r="H202" s="33">
        <f t="shared" si="62"/>
        <v>0</v>
      </c>
      <c r="I202" s="34"/>
      <c r="J202" s="35">
        <v>0</v>
      </c>
      <c r="K202" s="36">
        <v>0</v>
      </c>
      <c r="L202" s="35">
        <v>-3560294</v>
      </c>
      <c r="M202" s="35">
        <v>0</v>
      </c>
      <c r="N202" s="35">
        <v>0</v>
      </c>
      <c r="O202" s="35">
        <v>0</v>
      </c>
      <c r="P202" s="35">
        <v>0</v>
      </c>
      <c r="R202" s="37">
        <f t="shared" ref="R202" si="64">F202-J202-K202-L202-M202-N202-O202</f>
        <v>3560294</v>
      </c>
      <c r="X202" s="28"/>
      <c r="Y202" s="28"/>
    </row>
    <row r="203" spans="1:25" s="4" customFormat="1">
      <c r="A203" s="41"/>
      <c r="B203" s="20" t="s">
        <v>52</v>
      </c>
      <c r="C203" s="42">
        <v>2025</v>
      </c>
      <c r="D203" s="19" t="s">
        <v>375</v>
      </c>
      <c r="E203" s="3" t="s">
        <v>396</v>
      </c>
      <c r="F203" s="1">
        <v>0</v>
      </c>
      <c r="G203" s="32">
        <v>0</v>
      </c>
      <c r="H203" s="33">
        <f t="shared" si="62"/>
        <v>0</v>
      </c>
      <c r="I203" s="34"/>
      <c r="J203" s="35">
        <v>0</v>
      </c>
      <c r="K203" s="36">
        <v>0</v>
      </c>
      <c r="L203" s="35">
        <v>-6500000</v>
      </c>
      <c r="M203" s="35">
        <v>0</v>
      </c>
      <c r="N203" s="35">
        <v>0</v>
      </c>
      <c r="O203" s="35">
        <v>0</v>
      </c>
      <c r="P203" s="35">
        <v>0</v>
      </c>
      <c r="R203" s="37">
        <f t="shared" si="51"/>
        <v>6500000</v>
      </c>
      <c r="X203" s="28"/>
      <c r="Y203" s="28"/>
    </row>
    <row r="204" spans="1:25" s="4" customFormat="1">
      <c r="A204" s="41"/>
      <c r="B204" s="20" t="s">
        <v>52</v>
      </c>
      <c r="C204" s="42">
        <v>2025</v>
      </c>
      <c r="D204" s="19" t="s">
        <v>373</v>
      </c>
      <c r="E204" s="3" t="s">
        <v>397</v>
      </c>
      <c r="F204" s="1">
        <v>0</v>
      </c>
      <c r="G204" s="32">
        <v>0</v>
      </c>
      <c r="H204" s="33">
        <f t="shared" si="62"/>
        <v>0</v>
      </c>
      <c r="I204" s="34"/>
      <c r="J204" s="35">
        <v>0</v>
      </c>
      <c r="K204" s="36">
        <v>0</v>
      </c>
      <c r="L204" s="35">
        <v>-6002690</v>
      </c>
      <c r="M204" s="35">
        <v>0</v>
      </c>
      <c r="N204" s="35">
        <v>0</v>
      </c>
      <c r="O204" s="35">
        <v>0</v>
      </c>
      <c r="P204" s="35">
        <v>0</v>
      </c>
      <c r="R204" s="37">
        <f t="shared" si="51"/>
        <v>6002690</v>
      </c>
      <c r="X204" s="28"/>
      <c r="Y204" s="28"/>
    </row>
    <row r="205" spans="1:25" s="4" customFormat="1">
      <c r="A205" s="41"/>
      <c r="B205" s="20" t="s">
        <v>52</v>
      </c>
      <c r="C205" s="42">
        <v>2025</v>
      </c>
      <c r="D205" s="19" t="s">
        <v>379</v>
      </c>
      <c r="E205" s="3" t="s">
        <v>398</v>
      </c>
      <c r="F205" s="1">
        <v>0</v>
      </c>
      <c r="G205" s="32">
        <v>0</v>
      </c>
      <c r="H205" s="33">
        <f t="shared" si="62"/>
        <v>0</v>
      </c>
      <c r="I205" s="34"/>
      <c r="J205" s="35">
        <v>0</v>
      </c>
      <c r="K205" s="36">
        <v>0</v>
      </c>
      <c r="L205" s="35">
        <v>-3980157</v>
      </c>
      <c r="M205" s="35">
        <v>0</v>
      </c>
      <c r="N205" s="35">
        <v>0</v>
      </c>
      <c r="O205" s="35">
        <v>0</v>
      </c>
      <c r="P205" s="35">
        <v>0</v>
      </c>
      <c r="R205" s="37">
        <f t="shared" si="51"/>
        <v>3980157</v>
      </c>
      <c r="X205" s="28"/>
      <c r="Y205" s="28"/>
    </row>
    <row r="206" spans="1:25" s="4" customFormat="1">
      <c r="A206" s="41"/>
      <c r="B206" s="20" t="s">
        <v>52</v>
      </c>
      <c r="C206" s="42">
        <v>2025</v>
      </c>
      <c r="D206" s="19" t="s">
        <v>375</v>
      </c>
      <c r="E206" s="3" t="s">
        <v>399</v>
      </c>
      <c r="F206" s="1">
        <v>0</v>
      </c>
      <c r="G206" s="32">
        <v>0</v>
      </c>
      <c r="H206" s="33">
        <f t="shared" si="62"/>
        <v>0</v>
      </c>
      <c r="I206" s="34"/>
      <c r="J206" s="35">
        <v>0</v>
      </c>
      <c r="K206" s="36">
        <v>0</v>
      </c>
      <c r="L206" s="35">
        <v>-6997284</v>
      </c>
      <c r="M206" s="35">
        <v>0</v>
      </c>
      <c r="N206" s="35">
        <v>0</v>
      </c>
      <c r="O206" s="35">
        <v>0</v>
      </c>
      <c r="P206" s="35">
        <v>0</v>
      </c>
      <c r="R206" s="37">
        <f t="shared" si="51"/>
        <v>6997284</v>
      </c>
      <c r="X206" s="28"/>
      <c r="Y206" s="28"/>
    </row>
    <row r="207" spans="1:25" s="4" customFormat="1">
      <c r="A207" s="41"/>
      <c r="B207" s="20" t="s">
        <v>52</v>
      </c>
      <c r="C207" s="42">
        <v>2025</v>
      </c>
      <c r="D207" s="19" t="s">
        <v>373</v>
      </c>
      <c r="E207" s="3" t="s">
        <v>400</v>
      </c>
      <c r="F207" s="1">
        <v>0</v>
      </c>
      <c r="G207" s="32">
        <v>0</v>
      </c>
      <c r="H207" s="33">
        <f t="shared" si="62"/>
        <v>0</v>
      </c>
      <c r="I207" s="34"/>
      <c r="J207" s="35">
        <v>0</v>
      </c>
      <c r="K207" s="36">
        <v>0</v>
      </c>
      <c r="L207" s="35">
        <v>-12938555</v>
      </c>
      <c r="M207" s="35">
        <v>0</v>
      </c>
      <c r="N207" s="35">
        <v>0</v>
      </c>
      <c r="O207" s="35">
        <v>0</v>
      </c>
      <c r="P207" s="35">
        <v>0</v>
      </c>
      <c r="R207" s="37">
        <f t="shared" si="51"/>
        <v>12938555</v>
      </c>
      <c r="X207" s="28"/>
      <c r="Y207" s="28"/>
    </row>
    <row r="208" spans="1:25" s="4" customFormat="1">
      <c r="A208" s="41"/>
      <c r="B208" s="20" t="s">
        <v>52</v>
      </c>
      <c r="C208" s="42">
        <v>2025</v>
      </c>
      <c r="D208" s="19" t="s">
        <v>373</v>
      </c>
      <c r="E208" s="3" t="s">
        <v>401</v>
      </c>
      <c r="F208" s="1">
        <v>0</v>
      </c>
      <c r="G208" s="32">
        <v>0</v>
      </c>
      <c r="H208" s="33">
        <f t="shared" si="62"/>
        <v>0</v>
      </c>
      <c r="I208" s="34"/>
      <c r="J208" s="35">
        <v>0</v>
      </c>
      <c r="K208" s="36">
        <v>0</v>
      </c>
      <c r="L208" s="35">
        <v>-2219105</v>
      </c>
      <c r="M208" s="35">
        <v>0</v>
      </c>
      <c r="N208" s="35">
        <v>0</v>
      </c>
      <c r="O208" s="35">
        <v>0</v>
      </c>
      <c r="P208" s="35">
        <v>0</v>
      </c>
      <c r="R208" s="37">
        <f t="shared" si="51"/>
        <v>2219105</v>
      </c>
      <c r="X208" s="28"/>
      <c r="Y208" s="28"/>
    </row>
    <row r="209" spans="1:25" s="4" customFormat="1">
      <c r="A209" s="41"/>
      <c r="B209" s="20" t="s">
        <v>52</v>
      </c>
      <c r="C209" s="42">
        <v>2025</v>
      </c>
      <c r="D209" s="19" t="s">
        <v>377</v>
      </c>
      <c r="E209" s="3" t="s">
        <v>402</v>
      </c>
      <c r="F209" s="1">
        <v>0</v>
      </c>
      <c r="G209" s="32">
        <v>0</v>
      </c>
      <c r="H209" s="33">
        <f t="shared" si="62"/>
        <v>0</v>
      </c>
      <c r="I209" s="34"/>
      <c r="J209" s="35">
        <v>0</v>
      </c>
      <c r="K209" s="36">
        <v>0</v>
      </c>
      <c r="L209" s="35">
        <v>-31956085</v>
      </c>
      <c r="M209" s="35">
        <v>0</v>
      </c>
      <c r="N209" s="35">
        <v>0</v>
      </c>
      <c r="O209" s="35">
        <v>0</v>
      </c>
      <c r="P209" s="35">
        <v>0</v>
      </c>
      <c r="R209" s="37">
        <f t="shared" si="51"/>
        <v>31956085</v>
      </c>
      <c r="X209" s="28"/>
      <c r="Y209" s="28"/>
    </row>
    <row r="210" spans="1:25" s="4" customFormat="1">
      <c r="A210" s="41"/>
      <c r="B210" s="20" t="s">
        <v>52</v>
      </c>
      <c r="C210" s="42">
        <v>2025</v>
      </c>
      <c r="D210" s="19" t="s">
        <v>373</v>
      </c>
      <c r="E210" s="3" t="s">
        <v>403</v>
      </c>
      <c r="F210" s="1">
        <v>0</v>
      </c>
      <c r="G210" s="32">
        <v>0</v>
      </c>
      <c r="H210" s="33">
        <f t="shared" si="62"/>
        <v>0</v>
      </c>
      <c r="I210" s="34"/>
      <c r="J210" s="35">
        <v>0</v>
      </c>
      <c r="K210" s="36">
        <v>0</v>
      </c>
      <c r="L210" s="35">
        <v>-7599633</v>
      </c>
      <c r="M210" s="35">
        <v>0</v>
      </c>
      <c r="N210" s="35">
        <v>0</v>
      </c>
      <c r="O210" s="35">
        <v>0</v>
      </c>
      <c r="P210" s="35">
        <v>0</v>
      </c>
      <c r="R210" s="37">
        <f t="shared" si="51"/>
        <v>7599633</v>
      </c>
      <c r="X210" s="28"/>
      <c r="Y210" s="28"/>
    </row>
    <row r="211" spans="1:25" s="4" customFormat="1">
      <c r="A211" s="41"/>
      <c r="B211" s="20" t="s">
        <v>52</v>
      </c>
      <c r="C211" s="42">
        <v>2025</v>
      </c>
      <c r="D211" s="19" t="s">
        <v>375</v>
      </c>
      <c r="E211" s="3" t="s">
        <v>404</v>
      </c>
      <c r="F211" s="1">
        <v>0</v>
      </c>
      <c r="G211" s="32">
        <v>0</v>
      </c>
      <c r="H211" s="33">
        <f t="shared" si="62"/>
        <v>0</v>
      </c>
      <c r="I211" s="34"/>
      <c r="J211" s="35">
        <v>0</v>
      </c>
      <c r="K211" s="36">
        <v>0</v>
      </c>
      <c r="L211" s="35">
        <v>-98919120</v>
      </c>
      <c r="M211" s="35">
        <v>0</v>
      </c>
      <c r="N211" s="35">
        <v>0</v>
      </c>
      <c r="O211" s="35">
        <v>0</v>
      </c>
      <c r="P211" s="35">
        <v>0</v>
      </c>
      <c r="R211" s="37">
        <f t="shared" si="51"/>
        <v>98919120</v>
      </c>
      <c r="X211" s="28"/>
      <c r="Y211" s="28"/>
    </row>
    <row r="212" spans="1:25" s="4" customFormat="1">
      <c r="A212" s="41"/>
      <c r="B212" s="20" t="s">
        <v>52</v>
      </c>
      <c r="C212" s="42">
        <v>2025</v>
      </c>
      <c r="D212" s="19" t="s">
        <v>366</v>
      </c>
      <c r="E212" s="3" t="s">
        <v>405</v>
      </c>
      <c r="F212" s="1">
        <v>0</v>
      </c>
      <c r="G212" s="32">
        <v>0</v>
      </c>
      <c r="H212" s="33">
        <f t="shared" si="62"/>
        <v>0</v>
      </c>
      <c r="I212" s="34"/>
      <c r="J212" s="35">
        <v>0</v>
      </c>
      <c r="K212" s="36">
        <v>0</v>
      </c>
      <c r="L212" s="35">
        <v>-3888028</v>
      </c>
      <c r="M212" s="35">
        <v>0</v>
      </c>
      <c r="N212" s="35">
        <v>0</v>
      </c>
      <c r="O212" s="35">
        <v>0</v>
      </c>
      <c r="P212" s="35">
        <v>0</v>
      </c>
      <c r="R212" s="37">
        <f t="shared" si="51"/>
        <v>3888028</v>
      </c>
      <c r="X212" s="28"/>
      <c r="Y212" s="28"/>
    </row>
    <row r="213" spans="1:25" s="4" customFormat="1">
      <c r="A213" s="41"/>
      <c r="B213" s="20" t="s">
        <v>52</v>
      </c>
      <c r="C213" s="42">
        <v>2025</v>
      </c>
      <c r="D213" s="19" t="s">
        <v>452</v>
      </c>
      <c r="E213" s="3" t="s">
        <v>406</v>
      </c>
      <c r="F213" s="1">
        <v>0</v>
      </c>
      <c r="G213" s="32">
        <v>0</v>
      </c>
      <c r="H213" s="33">
        <f t="shared" si="62"/>
        <v>0</v>
      </c>
      <c r="I213" s="34"/>
      <c r="J213" s="35">
        <v>0</v>
      </c>
      <c r="K213" s="36">
        <v>0</v>
      </c>
      <c r="L213" s="35">
        <v>-36299860</v>
      </c>
      <c r="M213" s="35">
        <v>0</v>
      </c>
      <c r="N213" s="35">
        <v>0</v>
      </c>
      <c r="O213" s="35">
        <v>0</v>
      </c>
      <c r="P213" s="35">
        <v>0</v>
      </c>
      <c r="R213" s="37">
        <f t="shared" si="51"/>
        <v>36299860</v>
      </c>
      <c r="X213" s="28"/>
      <c r="Y213" s="28"/>
    </row>
    <row r="214" spans="1:25" s="4" customFormat="1">
      <c r="A214" s="41"/>
      <c r="B214" s="20" t="s">
        <v>52</v>
      </c>
      <c r="C214" s="42">
        <v>2025</v>
      </c>
      <c r="D214" s="19" t="s">
        <v>373</v>
      </c>
      <c r="E214" s="3" t="s">
        <v>407</v>
      </c>
      <c r="F214" s="1">
        <v>0</v>
      </c>
      <c r="G214" s="32">
        <v>0</v>
      </c>
      <c r="H214" s="33">
        <f t="shared" si="62"/>
        <v>0</v>
      </c>
      <c r="I214" s="34"/>
      <c r="J214" s="35">
        <v>0</v>
      </c>
      <c r="K214" s="36">
        <v>0</v>
      </c>
      <c r="L214" s="35">
        <v>-1630000</v>
      </c>
      <c r="M214" s="35">
        <v>0</v>
      </c>
      <c r="N214" s="35">
        <v>0</v>
      </c>
      <c r="O214" s="35">
        <v>0</v>
      </c>
      <c r="P214" s="35">
        <v>0</v>
      </c>
      <c r="R214" s="37">
        <f t="shared" si="51"/>
        <v>1630000</v>
      </c>
      <c r="X214" s="28"/>
      <c r="Y214" s="28"/>
    </row>
    <row r="215" spans="1:25" s="4" customFormat="1">
      <c r="A215" s="41"/>
      <c r="B215" s="20" t="s">
        <v>52</v>
      </c>
      <c r="C215" s="42">
        <v>2025</v>
      </c>
      <c r="D215" s="19" t="s">
        <v>453</v>
      </c>
      <c r="E215" s="3" t="s">
        <v>408</v>
      </c>
      <c r="F215" s="1">
        <v>0</v>
      </c>
      <c r="G215" s="32">
        <v>0</v>
      </c>
      <c r="H215" s="33">
        <f t="shared" si="62"/>
        <v>0</v>
      </c>
      <c r="I215" s="34"/>
      <c r="J215" s="35">
        <v>0</v>
      </c>
      <c r="K215" s="36">
        <v>0</v>
      </c>
      <c r="L215" s="35">
        <v>-5808118</v>
      </c>
      <c r="M215" s="35">
        <v>0</v>
      </c>
      <c r="N215" s="35">
        <v>0</v>
      </c>
      <c r="O215" s="35">
        <v>0</v>
      </c>
      <c r="P215" s="35">
        <v>0</v>
      </c>
      <c r="R215" s="37">
        <f t="shared" ref="R215" si="65">F215-J215-K215-L215-M215-N215-O215</f>
        <v>5808118</v>
      </c>
      <c r="X215" s="28"/>
      <c r="Y215" s="28"/>
    </row>
    <row r="216" spans="1:25" s="4" customFormat="1">
      <c r="A216" s="41"/>
      <c r="B216" s="20" t="s">
        <v>52</v>
      </c>
      <c r="C216" s="42">
        <v>2025</v>
      </c>
      <c r="D216" s="19" t="s">
        <v>450</v>
      </c>
      <c r="E216" s="3" t="s">
        <v>409</v>
      </c>
      <c r="F216" s="1">
        <v>0</v>
      </c>
      <c r="G216" s="32">
        <v>0</v>
      </c>
      <c r="H216" s="33">
        <f t="shared" si="62"/>
        <v>0</v>
      </c>
      <c r="I216" s="34"/>
      <c r="J216" s="35">
        <v>0</v>
      </c>
      <c r="K216" s="36">
        <v>0</v>
      </c>
      <c r="L216" s="35">
        <v>-15940190</v>
      </c>
      <c r="M216" s="35">
        <v>0</v>
      </c>
      <c r="N216" s="35">
        <v>0</v>
      </c>
      <c r="O216" s="35">
        <v>0</v>
      </c>
      <c r="P216" s="35">
        <v>0</v>
      </c>
      <c r="R216" s="37">
        <f t="shared" ref="R216:R217" si="66">F216-J216-K216-L216-M216-N216-O216</f>
        <v>15940190</v>
      </c>
      <c r="X216" s="28"/>
      <c r="Y216" s="28"/>
    </row>
    <row r="217" spans="1:25" s="4" customFormat="1">
      <c r="A217" s="41"/>
      <c r="B217" s="20" t="s">
        <v>52</v>
      </c>
      <c r="C217" s="42">
        <v>2025</v>
      </c>
      <c r="D217" s="19" t="s">
        <v>200</v>
      </c>
      <c r="E217" s="3" t="s">
        <v>410</v>
      </c>
      <c r="F217" s="1">
        <v>0</v>
      </c>
      <c r="G217" s="32">
        <v>0</v>
      </c>
      <c r="H217" s="33">
        <f t="shared" si="62"/>
        <v>0</v>
      </c>
      <c r="I217" s="34"/>
      <c r="J217" s="35">
        <v>0</v>
      </c>
      <c r="K217" s="36">
        <v>0</v>
      </c>
      <c r="L217" s="35">
        <v>-16000000</v>
      </c>
      <c r="M217" s="35">
        <v>0</v>
      </c>
      <c r="N217" s="35">
        <v>0</v>
      </c>
      <c r="O217" s="35">
        <v>0</v>
      </c>
      <c r="P217" s="35">
        <v>0</v>
      </c>
      <c r="R217" s="37">
        <f t="shared" si="66"/>
        <v>16000000</v>
      </c>
      <c r="X217" s="28"/>
      <c r="Y217" s="28"/>
    </row>
    <row r="218" spans="1:25" s="4" customFormat="1">
      <c r="A218" s="41"/>
      <c r="B218" s="20" t="s">
        <v>52</v>
      </c>
      <c r="C218" s="42">
        <v>2025</v>
      </c>
      <c r="D218" s="19" t="s">
        <v>202</v>
      </c>
      <c r="E218" s="3" t="s">
        <v>411</v>
      </c>
      <c r="F218" s="1">
        <v>0</v>
      </c>
      <c r="G218" s="32">
        <v>0</v>
      </c>
      <c r="H218" s="33">
        <f t="shared" si="62"/>
        <v>0</v>
      </c>
      <c r="I218" s="34"/>
      <c r="J218" s="35">
        <v>0</v>
      </c>
      <c r="K218" s="36">
        <v>0</v>
      </c>
      <c r="L218" s="35">
        <v>-1421082</v>
      </c>
      <c r="M218" s="35">
        <v>0</v>
      </c>
      <c r="N218" s="35">
        <v>0</v>
      </c>
      <c r="O218" s="35">
        <v>0</v>
      </c>
      <c r="P218" s="35">
        <v>0</v>
      </c>
      <c r="R218" s="37">
        <f t="shared" si="51"/>
        <v>1421082</v>
      </c>
      <c r="X218" s="28"/>
      <c r="Y218" s="28"/>
    </row>
    <row r="219" spans="1:25" s="4" customFormat="1">
      <c r="A219" s="41"/>
      <c r="B219" s="20" t="s">
        <v>52</v>
      </c>
      <c r="C219" s="42">
        <v>2025</v>
      </c>
      <c r="D219" s="19" t="s">
        <v>458</v>
      </c>
      <c r="E219" s="3" t="s">
        <v>412</v>
      </c>
      <c r="F219" s="1">
        <v>0</v>
      </c>
      <c r="G219" s="32">
        <v>0</v>
      </c>
      <c r="H219" s="33">
        <f t="shared" si="62"/>
        <v>0</v>
      </c>
      <c r="I219" s="34"/>
      <c r="J219" s="35">
        <v>0</v>
      </c>
      <c r="K219" s="36">
        <v>0</v>
      </c>
      <c r="L219" s="35">
        <v>-50000000</v>
      </c>
      <c r="M219" s="35">
        <v>0</v>
      </c>
      <c r="N219" s="35">
        <v>0</v>
      </c>
      <c r="O219" s="35">
        <v>0</v>
      </c>
      <c r="P219" s="35">
        <v>0</v>
      </c>
      <c r="R219" s="37">
        <f t="shared" ref="R219" si="67">F219-J219-K219-L219-M219-N219-O219</f>
        <v>50000000</v>
      </c>
      <c r="X219" s="28"/>
      <c r="Y219" s="28"/>
    </row>
    <row r="220" spans="1:25" s="4" customFormat="1">
      <c r="A220" s="41"/>
      <c r="B220" s="20" t="s">
        <v>52</v>
      </c>
      <c r="C220" s="42">
        <v>2025</v>
      </c>
      <c r="D220" s="19" t="s">
        <v>457</v>
      </c>
      <c r="E220" s="3" t="s">
        <v>413</v>
      </c>
      <c r="F220" s="1">
        <v>0</v>
      </c>
      <c r="G220" s="32">
        <v>0</v>
      </c>
      <c r="H220" s="33">
        <f t="shared" si="62"/>
        <v>0</v>
      </c>
      <c r="I220" s="34"/>
      <c r="J220" s="35">
        <v>0</v>
      </c>
      <c r="K220" s="36">
        <v>0</v>
      </c>
      <c r="L220" s="35">
        <v>-55000000</v>
      </c>
      <c r="M220" s="35">
        <v>0</v>
      </c>
      <c r="N220" s="35">
        <v>0</v>
      </c>
      <c r="O220" s="35">
        <v>0</v>
      </c>
      <c r="P220" s="35">
        <v>0</v>
      </c>
      <c r="R220" s="37">
        <f t="shared" si="51"/>
        <v>55000000</v>
      </c>
      <c r="X220" s="28"/>
      <c r="Y220" s="28"/>
    </row>
    <row r="221" spans="1:25" s="4" customFormat="1">
      <c r="A221" s="41"/>
      <c r="B221" s="20" t="s">
        <v>52</v>
      </c>
      <c r="C221" s="42">
        <v>2025</v>
      </c>
      <c r="D221" s="19" t="s">
        <v>460</v>
      </c>
      <c r="E221" s="3" t="s">
        <v>523</v>
      </c>
      <c r="F221" s="1">
        <v>0</v>
      </c>
      <c r="G221" s="32">
        <v>0</v>
      </c>
      <c r="H221" s="33">
        <f t="shared" si="62"/>
        <v>0</v>
      </c>
      <c r="I221" s="34"/>
      <c r="J221" s="35">
        <v>0</v>
      </c>
      <c r="K221" s="36">
        <v>0</v>
      </c>
      <c r="L221" s="35">
        <v>-9896540</v>
      </c>
      <c r="M221" s="35">
        <v>0</v>
      </c>
      <c r="N221" s="35">
        <v>0</v>
      </c>
      <c r="O221" s="35">
        <v>0</v>
      </c>
      <c r="P221" s="35">
        <v>0</v>
      </c>
      <c r="R221" s="37">
        <f t="shared" ref="R221" si="68">F221-J221-K221-L221-M221-N221-O221</f>
        <v>9896540</v>
      </c>
      <c r="X221" s="28"/>
      <c r="Y221" s="28"/>
    </row>
    <row r="222" spans="1:25" s="4" customFormat="1">
      <c r="A222" s="41"/>
      <c r="B222" s="20" t="s">
        <v>52</v>
      </c>
      <c r="C222" s="42">
        <v>2025</v>
      </c>
      <c r="D222" s="19" t="s">
        <v>451</v>
      </c>
      <c r="E222" s="3" t="s">
        <v>524</v>
      </c>
      <c r="F222" s="1">
        <v>0</v>
      </c>
      <c r="G222" s="32">
        <v>0</v>
      </c>
      <c r="H222" s="33">
        <f t="shared" si="62"/>
        <v>0</v>
      </c>
      <c r="I222" s="34"/>
      <c r="J222" s="35">
        <v>0</v>
      </c>
      <c r="K222" s="36">
        <v>0</v>
      </c>
      <c r="L222" s="35">
        <v>-11000000</v>
      </c>
      <c r="M222" s="35">
        <v>0</v>
      </c>
      <c r="N222" s="35">
        <v>0</v>
      </c>
      <c r="O222" s="35">
        <v>0</v>
      </c>
      <c r="P222" s="35">
        <v>0</v>
      </c>
      <c r="R222" s="37">
        <f t="shared" si="51"/>
        <v>11000000</v>
      </c>
      <c r="X222" s="28"/>
      <c r="Y222" s="28"/>
    </row>
    <row r="223" spans="1:25" s="4" customFormat="1">
      <c r="A223" s="41"/>
      <c r="B223" s="20" t="s">
        <v>52</v>
      </c>
      <c r="C223" s="42">
        <v>2025</v>
      </c>
      <c r="D223" s="19" t="s">
        <v>460</v>
      </c>
      <c r="E223" s="3" t="s">
        <v>525</v>
      </c>
      <c r="F223" s="1">
        <v>0</v>
      </c>
      <c r="G223" s="32">
        <v>0</v>
      </c>
      <c r="H223" s="33">
        <f t="shared" si="62"/>
        <v>0</v>
      </c>
      <c r="I223" s="34"/>
      <c r="J223" s="35">
        <v>0</v>
      </c>
      <c r="K223" s="36">
        <v>0</v>
      </c>
      <c r="L223" s="35">
        <v>-11192640</v>
      </c>
      <c r="M223" s="35">
        <v>0</v>
      </c>
      <c r="N223" s="35">
        <v>0</v>
      </c>
      <c r="O223" s="35">
        <v>0</v>
      </c>
      <c r="P223" s="35">
        <v>0</v>
      </c>
      <c r="R223" s="37">
        <f t="shared" ref="R223" si="69">F223-J223-K223-L223-M223-N223-O223</f>
        <v>11192640</v>
      </c>
      <c r="X223" s="28"/>
      <c r="Y223" s="28"/>
    </row>
    <row r="224" spans="1:25" s="4" customFormat="1">
      <c r="A224" s="41"/>
      <c r="B224" s="20" t="s">
        <v>52</v>
      </c>
      <c r="C224" s="42">
        <v>2025</v>
      </c>
      <c r="D224" s="19" t="s">
        <v>373</v>
      </c>
      <c r="E224" s="3" t="s">
        <v>421</v>
      </c>
      <c r="F224" s="1">
        <v>0</v>
      </c>
      <c r="G224" s="32">
        <v>0</v>
      </c>
      <c r="H224" s="33">
        <f t="shared" si="62"/>
        <v>0</v>
      </c>
      <c r="I224" s="34"/>
      <c r="J224" s="35">
        <v>0</v>
      </c>
      <c r="K224" s="36">
        <v>0</v>
      </c>
      <c r="L224" s="35">
        <v>-2243230</v>
      </c>
      <c r="M224" s="35">
        <v>0</v>
      </c>
      <c r="N224" s="35">
        <v>0</v>
      </c>
      <c r="O224" s="35">
        <v>0</v>
      </c>
      <c r="P224" s="35">
        <v>0</v>
      </c>
      <c r="R224" s="37">
        <f t="shared" si="51"/>
        <v>2243230</v>
      </c>
      <c r="X224" s="28"/>
      <c r="Y224" s="28"/>
    </row>
    <row r="225" spans="1:25" s="4" customFormat="1">
      <c r="A225" s="41"/>
      <c r="B225" s="20" t="s">
        <v>52</v>
      </c>
      <c r="C225" s="42">
        <v>2025</v>
      </c>
      <c r="D225" s="19" t="s">
        <v>452</v>
      </c>
      <c r="E225" s="3" t="s">
        <v>422</v>
      </c>
      <c r="F225" s="1">
        <v>0</v>
      </c>
      <c r="G225" s="32">
        <v>0</v>
      </c>
      <c r="H225" s="33">
        <f t="shared" si="62"/>
        <v>0</v>
      </c>
      <c r="I225" s="34"/>
      <c r="J225" s="35">
        <v>0</v>
      </c>
      <c r="K225" s="36">
        <v>0</v>
      </c>
      <c r="L225" s="35">
        <v>-5685993</v>
      </c>
      <c r="M225" s="35">
        <v>0</v>
      </c>
      <c r="N225" s="35">
        <v>0</v>
      </c>
      <c r="O225" s="35">
        <v>0</v>
      </c>
      <c r="P225" s="35">
        <v>0</v>
      </c>
      <c r="R225" s="37">
        <f t="shared" si="51"/>
        <v>5685993</v>
      </c>
      <c r="X225" s="28"/>
      <c r="Y225" s="28"/>
    </row>
    <row r="226" spans="1:25" s="4" customFormat="1">
      <c r="A226" s="41"/>
      <c r="B226" s="20" t="s">
        <v>52</v>
      </c>
      <c r="C226" s="42">
        <v>2025</v>
      </c>
      <c r="D226" s="19" t="s">
        <v>202</v>
      </c>
      <c r="E226" s="3" t="s">
        <v>423</v>
      </c>
      <c r="F226" s="1">
        <v>0</v>
      </c>
      <c r="G226" s="32">
        <v>0</v>
      </c>
      <c r="H226" s="33">
        <f t="shared" si="62"/>
        <v>0</v>
      </c>
      <c r="I226" s="34"/>
      <c r="J226" s="35">
        <v>0</v>
      </c>
      <c r="K226" s="36">
        <v>0</v>
      </c>
      <c r="L226" s="35">
        <v>-993470</v>
      </c>
      <c r="M226" s="35">
        <v>0</v>
      </c>
      <c r="N226" s="35">
        <v>0</v>
      </c>
      <c r="O226" s="35">
        <v>0</v>
      </c>
      <c r="P226" s="35">
        <v>0</v>
      </c>
      <c r="R226" s="37">
        <f t="shared" si="51"/>
        <v>993470</v>
      </c>
      <c r="X226" s="28"/>
      <c r="Y226" s="28"/>
    </row>
    <row r="227" spans="1:25" s="4" customFormat="1">
      <c r="A227" s="41"/>
      <c r="B227" s="20" t="s">
        <v>52</v>
      </c>
      <c r="C227" s="42">
        <v>2025</v>
      </c>
      <c r="D227" s="19" t="s">
        <v>373</v>
      </c>
      <c r="E227" s="3" t="s">
        <v>424</v>
      </c>
      <c r="F227" s="1">
        <v>0</v>
      </c>
      <c r="G227" s="32">
        <v>0</v>
      </c>
      <c r="H227" s="33">
        <f t="shared" si="62"/>
        <v>0</v>
      </c>
      <c r="I227" s="34"/>
      <c r="J227" s="35">
        <v>0</v>
      </c>
      <c r="K227" s="36">
        <v>0</v>
      </c>
      <c r="L227" s="35">
        <v>-8696600</v>
      </c>
      <c r="M227" s="35">
        <v>0</v>
      </c>
      <c r="N227" s="35">
        <v>0</v>
      </c>
      <c r="O227" s="35">
        <v>0</v>
      </c>
      <c r="P227" s="35">
        <v>0</v>
      </c>
      <c r="R227" s="37">
        <f t="shared" si="51"/>
        <v>8696600</v>
      </c>
      <c r="X227" s="28"/>
      <c r="Y227" s="28"/>
    </row>
    <row r="228" spans="1:25" s="4" customFormat="1">
      <c r="A228" s="41"/>
      <c r="B228" s="20" t="s">
        <v>52</v>
      </c>
      <c r="C228" s="42">
        <v>2025</v>
      </c>
      <c r="D228" s="19" t="s">
        <v>461</v>
      </c>
      <c r="E228" s="3" t="s">
        <v>425</v>
      </c>
      <c r="F228" s="1">
        <v>0</v>
      </c>
      <c r="G228" s="32">
        <v>0</v>
      </c>
      <c r="H228" s="33">
        <f t="shared" si="62"/>
        <v>0</v>
      </c>
      <c r="I228" s="34"/>
      <c r="J228" s="35">
        <v>0</v>
      </c>
      <c r="K228" s="36">
        <v>0</v>
      </c>
      <c r="L228" s="35">
        <v>-66790000</v>
      </c>
      <c r="M228" s="35">
        <v>0</v>
      </c>
      <c r="N228" s="35">
        <v>0</v>
      </c>
      <c r="O228" s="35">
        <v>0</v>
      </c>
      <c r="P228" s="35">
        <v>0</v>
      </c>
      <c r="R228" s="37">
        <f t="shared" si="51"/>
        <v>66790000</v>
      </c>
      <c r="X228" s="28"/>
      <c r="Y228" s="28"/>
    </row>
    <row r="229" spans="1:25" s="4" customFormat="1">
      <c r="A229" s="41"/>
      <c r="B229" s="20" t="s">
        <v>52</v>
      </c>
      <c r="C229" s="42">
        <v>2025</v>
      </c>
      <c r="D229" s="19" t="s">
        <v>453</v>
      </c>
      <c r="E229" s="3" t="s">
        <v>426</v>
      </c>
      <c r="F229" s="1">
        <v>0</v>
      </c>
      <c r="G229" s="32">
        <v>0</v>
      </c>
      <c r="H229" s="33">
        <f t="shared" si="62"/>
        <v>0</v>
      </c>
      <c r="I229" s="34"/>
      <c r="J229" s="35">
        <v>0</v>
      </c>
      <c r="K229" s="36">
        <v>0</v>
      </c>
      <c r="L229" s="35">
        <v>-1187813</v>
      </c>
      <c r="M229" s="35">
        <v>0</v>
      </c>
      <c r="N229" s="35">
        <v>0</v>
      </c>
      <c r="O229" s="35">
        <v>0</v>
      </c>
      <c r="P229" s="35">
        <v>0</v>
      </c>
      <c r="R229" s="37">
        <f t="shared" ref="R229" si="70">F229-J229-K229-L229-M229-N229-O229</f>
        <v>1187813</v>
      </c>
      <c r="X229" s="28"/>
      <c r="Y229" s="28"/>
    </row>
    <row r="230" spans="1:25" s="4" customFormat="1">
      <c r="A230" s="41"/>
      <c r="B230" s="20" t="s">
        <v>52</v>
      </c>
      <c r="C230" s="42">
        <v>2025</v>
      </c>
      <c r="D230" s="19" t="s">
        <v>375</v>
      </c>
      <c r="E230" s="3" t="s">
        <v>427</v>
      </c>
      <c r="F230" s="1">
        <v>0</v>
      </c>
      <c r="G230" s="32">
        <v>0</v>
      </c>
      <c r="H230" s="33">
        <f t="shared" si="62"/>
        <v>0</v>
      </c>
      <c r="I230" s="34"/>
      <c r="J230" s="35">
        <v>0</v>
      </c>
      <c r="K230" s="36">
        <v>0</v>
      </c>
      <c r="L230" s="35">
        <v>-2326350</v>
      </c>
      <c r="M230" s="35">
        <v>0</v>
      </c>
      <c r="N230" s="35">
        <v>0</v>
      </c>
      <c r="O230" s="35">
        <v>0</v>
      </c>
      <c r="P230" s="35">
        <v>0</v>
      </c>
      <c r="R230" s="37">
        <f t="shared" si="51"/>
        <v>2326350</v>
      </c>
      <c r="X230" s="28"/>
      <c r="Y230" s="28"/>
    </row>
    <row r="231" spans="1:25" s="4" customFormat="1">
      <c r="A231" s="41"/>
      <c r="B231" s="20" t="s">
        <v>52</v>
      </c>
      <c r="C231" s="42">
        <v>2025</v>
      </c>
      <c r="D231" s="19" t="s">
        <v>459</v>
      </c>
      <c r="E231" s="3" t="s">
        <v>428</v>
      </c>
      <c r="F231" s="1">
        <v>0</v>
      </c>
      <c r="G231" s="32">
        <v>0</v>
      </c>
      <c r="H231" s="33">
        <f t="shared" si="62"/>
        <v>0</v>
      </c>
      <c r="I231" s="34"/>
      <c r="J231" s="35">
        <v>0</v>
      </c>
      <c r="K231" s="36">
        <v>0</v>
      </c>
      <c r="L231" s="35">
        <v>-3476660</v>
      </c>
      <c r="M231" s="35">
        <v>0</v>
      </c>
      <c r="N231" s="35">
        <v>0</v>
      </c>
      <c r="O231" s="35">
        <v>0</v>
      </c>
      <c r="P231" s="35">
        <v>0</v>
      </c>
      <c r="R231" s="37">
        <f t="shared" si="51"/>
        <v>3476660</v>
      </c>
      <c r="X231" s="28"/>
      <c r="Y231" s="28"/>
    </row>
    <row r="232" spans="1:25" s="4" customFormat="1">
      <c r="A232" s="41"/>
      <c r="B232" s="20" t="s">
        <v>52</v>
      </c>
      <c r="C232" s="42">
        <v>2025</v>
      </c>
      <c r="D232" s="19" t="s">
        <v>373</v>
      </c>
      <c r="E232" s="3" t="s">
        <v>429</v>
      </c>
      <c r="F232" s="1">
        <v>0</v>
      </c>
      <c r="G232" s="32">
        <v>0</v>
      </c>
      <c r="H232" s="33">
        <f t="shared" si="62"/>
        <v>0</v>
      </c>
      <c r="I232" s="34"/>
      <c r="J232" s="35">
        <v>0</v>
      </c>
      <c r="K232" s="36">
        <v>0</v>
      </c>
      <c r="L232" s="35">
        <v>-2191500</v>
      </c>
      <c r="M232" s="35">
        <v>0</v>
      </c>
      <c r="N232" s="35">
        <v>0</v>
      </c>
      <c r="O232" s="35">
        <v>0</v>
      </c>
      <c r="P232" s="35">
        <v>0</v>
      </c>
      <c r="R232" s="37">
        <f t="shared" si="51"/>
        <v>2191500</v>
      </c>
      <c r="X232" s="28"/>
      <c r="Y232" s="28"/>
    </row>
    <row r="233" spans="1:25" s="4" customFormat="1">
      <c r="A233" s="41"/>
      <c r="B233" s="20" t="s">
        <v>52</v>
      </c>
      <c r="C233" s="42">
        <v>2025</v>
      </c>
      <c r="D233" s="19" t="s">
        <v>461</v>
      </c>
      <c r="E233" s="3" t="s">
        <v>430</v>
      </c>
      <c r="F233" s="1">
        <v>0</v>
      </c>
      <c r="G233" s="32">
        <v>0</v>
      </c>
      <c r="H233" s="33">
        <f t="shared" si="62"/>
        <v>0</v>
      </c>
      <c r="I233" s="34"/>
      <c r="J233" s="35">
        <v>0</v>
      </c>
      <c r="K233" s="36">
        <v>0</v>
      </c>
      <c r="L233" s="35">
        <v>-2100000</v>
      </c>
      <c r="M233" s="35">
        <v>0</v>
      </c>
      <c r="N233" s="35">
        <v>0</v>
      </c>
      <c r="O233" s="35">
        <v>0</v>
      </c>
      <c r="P233" s="35">
        <v>0</v>
      </c>
      <c r="R233" s="37">
        <f t="shared" si="51"/>
        <v>2100000</v>
      </c>
      <c r="X233" s="28"/>
      <c r="Y233" s="28"/>
    </row>
    <row r="234" spans="1:25" s="4" customFormat="1">
      <c r="A234" s="41"/>
      <c r="B234" s="20" t="s">
        <v>52</v>
      </c>
      <c r="C234" s="42">
        <v>2025</v>
      </c>
      <c r="D234" s="19" t="s">
        <v>461</v>
      </c>
      <c r="E234" s="3" t="s">
        <v>1079</v>
      </c>
      <c r="F234" s="1">
        <v>0</v>
      </c>
      <c r="G234" s="32">
        <v>0</v>
      </c>
      <c r="H234" s="33">
        <f t="shared" si="62"/>
        <v>0</v>
      </c>
      <c r="I234" s="34"/>
      <c r="J234" s="35">
        <v>0</v>
      </c>
      <c r="K234" s="36">
        <v>0</v>
      </c>
      <c r="L234" s="35">
        <v>5000000</v>
      </c>
      <c r="M234" s="35">
        <v>0</v>
      </c>
      <c r="N234" s="35">
        <v>0</v>
      </c>
      <c r="O234" s="35">
        <v>0</v>
      </c>
      <c r="P234" s="35">
        <v>0</v>
      </c>
      <c r="R234" s="37">
        <f t="shared" ref="R234" si="71">F234-J234-K234-L234-M234-N234-O234</f>
        <v>-5000000</v>
      </c>
      <c r="X234" s="28"/>
      <c r="Y234" s="28"/>
    </row>
    <row r="235" spans="1:25" s="4" customFormat="1">
      <c r="A235" s="41"/>
      <c r="B235" s="20" t="s">
        <v>52</v>
      </c>
      <c r="C235" s="42">
        <v>2025</v>
      </c>
      <c r="D235" s="19" t="s">
        <v>456</v>
      </c>
      <c r="E235" s="3" t="s">
        <v>431</v>
      </c>
      <c r="F235" s="1">
        <v>0</v>
      </c>
      <c r="G235" s="32">
        <v>0</v>
      </c>
      <c r="H235" s="33">
        <f t="shared" si="62"/>
        <v>0</v>
      </c>
      <c r="I235" s="34"/>
      <c r="J235" s="35">
        <v>0</v>
      </c>
      <c r="K235" s="36">
        <v>0</v>
      </c>
      <c r="L235" s="35">
        <v>-4205418</v>
      </c>
      <c r="M235" s="35">
        <v>0</v>
      </c>
      <c r="N235" s="35">
        <v>0</v>
      </c>
      <c r="O235" s="35">
        <v>0</v>
      </c>
      <c r="P235" s="35">
        <v>0</v>
      </c>
      <c r="R235" s="37">
        <f t="shared" ref="R235" si="72">F235-J235-K235-L235-M235-N235-O235</f>
        <v>4205418</v>
      </c>
      <c r="X235" s="28"/>
      <c r="Y235" s="28"/>
    </row>
    <row r="236" spans="1:25" s="4" customFormat="1">
      <c r="A236" s="41"/>
      <c r="B236" s="20" t="s">
        <v>52</v>
      </c>
      <c r="C236" s="42">
        <v>2025</v>
      </c>
      <c r="D236" s="19" t="s">
        <v>366</v>
      </c>
      <c r="E236" s="3" t="s">
        <v>432</v>
      </c>
      <c r="F236" s="1">
        <v>0</v>
      </c>
      <c r="G236" s="32">
        <v>0</v>
      </c>
      <c r="H236" s="33">
        <f t="shared" si="62"/>
        <v>0</v>
      </c>
      <c r="I236" s="34"/>
      <c r="J236" s="35">
        <v>0</v>
      </c>
      <c r="K236" s="36">
        <v>0</v>
      </c>
      <c r="L236" s="35">
        <v>-8672674</v>
      </c>
      <c r="M236" s="35">
        <v>0</v>
      </c>
      <c r="N236" s="35">
        <v>0</v>
      </c>
      <c r="O236" s="35">
        <v>0</v>
      </c>
      <c r="P236" s="35">
        <v>0</v>
      </c>
      <c r="R236" s="37">
        <f t="shared" si="51"/>
        <v>8672674</v>
      </c>
      <c r="X236" s="28"/>
      <c r="Y236" s="28"/>
    </row>
    <row r="237" spans="1:25" s="4" customFormat="1">
      <c r="A237" s="41"/>
      <c r="B237" s="20" t="s">
        <v>52</v>
      </c>
      <c r="C237" s="42">
        <v>2025</v>
      </c>
      <c r="D237" s="19" t="s">
        <v>373</v>
      </c>
      <c r="E237" s="3" t="s">
        <v>433</v>
      </c>
      <c r="F237" s="1">
        <v>0</v>
      </c>
      <c r="G237" s="32">
        <v>0</v>
      </c>
      <c r="H237" s="33">
        <f t="shared" si="62"/>
        <v>0</v>
      </c>
      <c r="I237" s="34"/>
      <c r="J237" s="35">
        <v>0</v>
      </c>
      <c r="K237" s="36">
        <v>0</v>
      </c>
      <c r="L237" s="35">
        <v>-5315027</v>
      </c>
      <c r="M237" s="35">
        <v>0</v>
      </c>
      <c r="N237" s="35">
        <v>0</v>
      </c>
      <c r="O237" s="35">
        <v>0</v>
      </c>
      <c r="P237" s="35">
        <v>0</v>
      </c>
      <c r="R237" s="37">
        <f t="shared" si="51"/>
        <v>5315027</v>
      </c>
      <c r="X237" s="28"/>
      <c r="Y237" s="28"/>
    </row>
    <row r="238" spans="1:25" s="4" customFormat="1">
      <c r="A238" s="41"/>
      <c r="B238" s="20" t="s">
        <v>52</v>
      </c>
      <c r="C238" s="42">
        <v>2025</v>
      </c>
      <c r="D238" s="19" t="s">
        <v>373</v>
      </c>
      <c r="E238" s="3" t="s">
        <v>434</v>
      </c>
      <c r="F238" s="1">
        <v>0</v>
      </c>
      <c r="G238" s="32">
        <v>0</v>
      </c>
      <c r="H238" s="33">
        <f t="shared" si="62"/>
        <v>0</v>
      </c>
      <c r="I238" s="34"/>
      <c r="J238" s="35">
        <v>0</v>
      </c>
      <c r="K238" s="36">
        <v>0</v>
      </c>
      <c r="L238" s="35">
        <v>-8514010</v>
      </c>
      <c r="M238" s="35">
        <v>0</v>
      </c>
      <c r="N238" s="35">
        <v>0</v>
      </c>
      <c r="O238" s="35">
        <v>0</v>
      </c>
      <c r="P238" s="35">
        <v>0</v>
      </c>
      <c r="R238" s="37">
        <f t="shared" si="51"/>
        <v>8514010</v>
      </c>
      <c r="X238" s="28"/>
      <c r="Y238" s="28"/>
    </row>
    <row r="239" spans="1:25" s="4" customFormat="1">
      <c r="A239" s="41"/>
      <c r="B239" s="20" t="s">
        <v>52</v>
      </c>
      <c r="C239" s="42">
        <v>2025</v>
      </c>
      <c r="D239" s="19" t="s">
        <v>451</v>
      </c>
      <c r="E239" s="3" t="s">
        <v>435</v>
      </c>
      <c r="F239" s="1">
        <v>0</v>
      </c>
      <c r="G239" s="32">
        <v>0</v>
      </c>
      <c r="H239" s="33">
        <f t="shared" si="62"/>
        <v>0</v>
      </c>
      <c r="I239" s="34"/>
      <c r="J239" s="35">
        <v>0</v>
      </c>
      <c r="K239" s="36">
        <v>0</v>
      </c>
      <c r="L239" s="35">
        <v>-4315600</v>
      </c>
      <c r="M239" s="35">
        <v>0</v>
      </c>
      <c r="N239" s="35">
        <v>0</v>
      </c>
      <c r="O239" s="35">
        <v>0</v>
      </c>
      <c r="P239" s="35">
        <v>0</v>
      </c>
      <c r="R239" s="37">
        <f t="shared" si="51"/>
        <v>4315600</v>
      </c>
      <c r="X239" s="28"/>
      <c r="Y239" s="28"/>
    </row>
    <row r="240" spans="1:25" s="4" customFormat="1">
      <c r="A240" s="41"/>
      <c r="B240" s="20" t="s">
        <v>52</v>
      </c>
      <c r="C240" s="42">
        <v>2025</v>
      </c>
      <c r="D240" s="19" t="s">
        <v>453</v>
      </c>
      <c r="E240" s="3" t="s">
        <v>436</v>
      </c>
      <c r="F240" s="1">
        <v>0</v>
      </c>
      <c r="G240" s="32">
        <v>0</v>
      </c>
      <c r="H240" s="33">
        <f t="shared" si="62"/>
        <v>0</v>
      </c>
      <c r="I240" s="34"/>
      <c r="J240" s="35">
        <v>0</v>
      </c>
      <c r="K240" s="36">
        <v>0</v>
      </c>
      <c r="L240" s="35">
        <v>-760950</v>
      </c>
      <c r="M240" s="35">
        <v>0</v>
      </c>
      <c r="N240" s="35">
        <v>0</v>
      </c>
      <c r="O240" s="35">
        <v>0</v>
      </c>
      <c r="P240" s="35">
        <v>0</v>
      </c>
      <c r="R240" s="37">
        <f t="shared" ref="R240" si="73">F240-J240-K240-L240-M240-N240-O240</f>
        <v>760950</v>
      </c>
      <c r="X240" s="28"/>
      <c r="Y240" s="28"/>
    </row>
    <row r="241" spans="1:25" s="4" customFormat="1">
      <c r="A241" s="41"/>
      <c r="B241" s="20" t="s">
        <v>52</v>
      </c>
      <c r="C241" s="42">
        <v>2025</v>
      </c>
      <c r="D241" s="19" t="s">
        <v>459</v>
      </c>
      <c r="E241" s="3" t="s">
        <v>437</v>
      </c>
      <c r="F241" s="1">
        <v>0</v>
      </c>
      <c r="G241" s="32">
        <v>0</v>
      </c>
      <c r="H241" s="33">
        <f t="shared" si="62"/>
        <v>0</v>
      </c>
      <c r="I241" s="34"/>
      <c r="J241" s="35">
        <v>0</v>
      </c>
      <c r="K241" s="36">
        <v>0</v>
      </c>
      <c r="L241" s="35">
        <v>-6831807</v>
      </c>
      <c r="M241" s="35">
        <v>0</v>
      </c>
      <c r="N241" s="35">
        <v>0</v>
      </c>
      <c r="O241" s="35">
        <v>0</v>
      </c>
      <c r="P241" s="35">
        <v>0</v>
      </c>
      <c r="R241" s="37">
        <f t="shared" si="51"/>
        <v>6831807</v>
      </c>
      <c r="X241" s="28"/>
      <c r="Y241" s="28"/>
    </row>
    <row r="242" spans="1:25" s="4" customFormat="1">
      <c r="A242" s="41"/>
      <c r="B242" s="20" t="s">
        <v>52</v>
      </c>
      <c r="C242" s="42">
        <v>2025</v>
      </c>
      <c r="D242" s="19" t="s">
        <v>459</v>
      </c>
      <c r="E242" s="3" t="s">
        <v>438</v>
      </c>
      <c r="F242" s="1">
        <v>0</v>
      </c>
      <c r="G242" s="32">
        <v>0</v>
      </c>
      <c r="H242" s="33">
        <f t="shared" si="62"/>
        <v>0</v>
      </c>
      <c r="I242" s="34"/>
      <c r="J242" s="35">
        <v>0</v>
      </c>
      <c r="K242" s="36">
        <v>0</v>
      </c>
      <c r="L242" s="35">
        <v>-6363479</v>
      </c>
      <c r="M242" s="35">
        <v>0</v>
      </c>
      <c r="N242" s="35">
        <v>0</v>
      </c>
      <c r="O242" s="35">
        <v>0</v>
      </c>
      <c r="P242" s="35">
        <v>0</v>
      </c>
      <c r="R242" s="37">
        <f t="shared" si="51"/>
        <v>6363479</v>
      </c>
      <c r="X242" s="28"/>
      <c r="Y242" s="28"/>
    </row>
    <row r="243" spans="1:25" s="4" customFormat="1">
      <c r="A243" s="41"/>
      <c r="B243" s="20" t="s">
        <v>52</v>
      </c>
      <c r="C243" s="42">
        <v>2025</v>
      </c>
      <c r="D243" s="19" t="s">
        <v>461</v>
      </c>
      <c r="E243" s="3" t="s">
        <v>439</v>
      </c>
      <c r="F243" s="1">
        <v>0</v>
      </c>
      <c r="G243" s="32">
        <v>0</v>
      </c>
      <c r="H243" s="33">
        <f t="shared" si="62"/>
        <v>0</v>
      </c>
      <c r="I243" s="34"/>
      <c r="J243" s="35">
        <v>0</v>
      </c>
      <c r="K243" s="36">
        <v>0</v>
      </c>
      <c r="L243" s="35">
        <v>-4350000</v>
      </c>
      <c r="M243" s="35">
        <v>0</v>
      </c>
      <c r="N243" s="35">
        <v>0</v>
      </c>
      <c r="O243" s="35">
        <v>0</v>
      </c>
      <c r="P243" s="35">
        <v>0</v>
      </c>
      <c r="R243" s="37">
        <f t="shared" si="51"/>
        <v>4350000</v>
      </c>
      <c r="X243" s="28"/>
      <c r="Y243" s="28"/>
    </row>
    <row r="244" spans="1:25" s="4" customFormat="1">
      <c r="A244" s="41"/>
      <c r="B244" s="20" t="s">
        <v>52</v>
      </c>
      <c r="C244" s="42">
        <v>2025</v>
      </c>
      <c r="D244" s="19" t="s">
        <v>459</v>
      </c>
      <c r="E244" s="3" t="s">
        <v>440</v>
      </c>
      <c r="F244" s="1">
        <v>0</v>
      </c>
      <c r="G244" s="32">
        <v>0</v>
      </c>
      <c r="H244" s="33">
        <f t="shared" si="62"/>
        <v>0</v>
      </c>
      <c r="I244" s="34"/>
      <c r="J244" s="35">
        <v>0</v>
      </c>
      <c r="K244" s="36">
        <v>0</v>
      </c>
      <c r="L244" s="35">
        <v>-1876190</v>
      </c>
      <c r="M244" s="35">
        <v>0</v>
      </c>
      <c r="N244" s="35">
        <v>0</v>
      </c>
      <c r="O244" s="35">
        <v>0</v>
      </c>
      <c r="P244" s="35">
        <v>0</v>
      </c>
      <c r="R244" s="37">
        <f t="shared" si="51"/>
        <v>1876190</v>
      </c>
      <c r="X244" s="28"/>
      <c r="Y244" s="28"/>
    </row>
    <row r="245" spans="1:25" s="4" customFormat="1">
      <c r="A245" s="41"/>
      <c r="B245" s="20" t="s">
        <v>52</v>
      </c>
      <c r="C245" s="42">
        <v>2025</v>
      </c>
      <c r="D245" s="19" t="s">
        <v>461</v>
      </c>
      <c r="E245" s="3" t="s">
        <v>441</v>
      </c>
      <c r="F245" s="1">
        <v>0</v>
      </c>
      <c r="G245" s="32">
        <v>0</v>
      </c>
      <c r="H245" s="33">
        <f t="shared" si="62"/>
        <v>0</v>
      </c>
      <c r="I245" s="34"/>
      <c r="J245" s="35">
        <v>0</v>
      </c>
      <c r="K245" s="36">
        <v>0</v>
      </c>
      <c r="L245" s="35">
        <v>-22629669</v>
      </c>
      <c r="M245" s="35">
        <v>0</v>
      </c>
      <c r="N245" s="35">
        <v>0</v>
      </c>
      <c r="O245" s="35">
        <v>0</v>
      </c>
      <c r="P245" s="35">
        <v>0</v>
      </c>
      <c r="R245" s="37">
        <f t="shared" ref="R245:R283" si="74">F245-J245-K245-L245-M245-N245-O245</f>
        <v>22629669</v>
      </c>
      <c r="X245" s="28"/>
      <c r="Y245" s="28"/>
    </row>
    <row r="246" spans="1:25" s="4" customFormat="1">
      <c r="A246" s="41"/>
      <c r="B246" s="20" t="s">
        <v>52</v>
      </c>
      <c r="C246" s="42">
        <v>2025</v>
      </c>
      <c r="D246" s="19" t="s">
        <v>373</v>
      </c>
      <c r="E246" s="3" t="s">
        <v>442</v>
      </c>
      <c r="F246" s="1">
        <v>0</v>
      </c>
      <c r="G246" s="32">
        <v>0</v>
      </c>
      <c r="H246" s="33">
        <f t="shared" si="62"/>
        <v>0</v>
      </c>
      <c r="I246" s="34"/>
      <c r="J246" s="35">
        <v>0</v>
      </c>
      <c r="K246" s="36">
        <v>0</v>
      </c>
      <c r="L246" s="35">
        <v>-2295280</v>
      </c>
      <c r="M246" s="35">
        <v>0</v>
      </c>
      <c r="N246" s="35">
        <v>0</v>
      </c>
      <c r="O246" s="35">
        <v>0</v>
      </c>
      <c r="P246" s="35">
        <v>0</v>
      </c>
      <c r="R246" s="37">
        <f t="shared" si="74"/>
        <v>2295280</v>
      </c>
      <c r="X246" s="28"/>
      <c r="Y246" s="28"/>
    </row>
    <row r="247" spans="1:25" s="4" customFormat="1">
      <c r="A247" s="41"/>
      <c r="B247" s="20" t="s">
        <v>52</v>
      </c>
      <c r="C247" s="42">
        <v>2025</v>
      </c>
      <c r="D247" s="19" t="s">
        <v>455</v>
      </c>
      <c r="E247" s="3" t="s">
        <v>443</v>
      </c>
      <c r="F247" s="1">
        <v>0</v>
      </c>
      <c r="G247" s="32">
        <v>0</v>
      </c>
      <c r="H247" s="33">
        <f t="shared" si="62"/>
        <v>0</v>
      </c>
      <c r="I247" s="34"/>
      <c r="J247" s="35">
        <v>0</v>
      </c>
      <c r="K247" s="36">
        <v>0</v>
      </c>
      <c r="L247" s="35">
        <v>-9290240</v>
      </c>
      <c r="M247" s="35">
        <v>0</v>
      </c>
      <c r="N247" s="35">
        <v>0</v>
      </c>
      <c r="O247" s="35">
        <v>0</v>
      </c>
      <c r="P247" s="35">
        <v>0</v>
      </c>
      <c r="R247" s="37">
        <f t="shared" ref="R247" si="75">F247-J247-K247-L247-M247-N247-O247</f>
        <v>9290240</v>
      </c>
      <c r="X247" s="28"/>
      <c r="Y247" s="28"/>
    </row>
    <row r="248" spans="1:25" s="4" customFormat="1">
      <c r="A248" s="41"/>
      <c r="B248" s="20" t="s">
        <v>52</v>
      </c>
      <c r="C248" s="42">
        <v>2025</v>
      </c>
      <c r="D248" s="19" t="s">
        <v>459</v>
      </c>
      <c r="E248" s="3" t="s">
        <v>414</v>
      </c>
      <c r="F248" s="1">
        <v>0</v>
      </c>
      <c r="G248" s="32">
        <v>0</v>
      </c>
      <c r="H248" s="33">
        <f t="shared" si="62"/>
        <v>0</v>
      </c>
      <c r="I248" s="34"/>
      <c r="J248" s="35">
        <v>0</v>
      </c>
      <c r="K248" s="36">
        <v>0</v>
      </c>
      <c r="L248" s="35">
        <v>-4686624</v>
      </c>
      <c r="M248" s="35">
        <v>0</v>
      </c>
      <c r="N248" s="35">
        <v>0</v>
      </c>
      <c r="O248" s="35">
        <v>0</v>
      </c>
      <c r="P248" s="35">
        <v>0</v>
      </c>
      <c r="R248" s="37">
        <f t="shared" si="74"/>
        <v>4686624</v>
      </c>
      <c r="X248" s="28"/>
      <c r="Y248" s="28"/>
    </row>
    <row r="249" spans="1:25" s="4" customFormat="1">
      <c r="A249" s="41"/>
      <c r="B249" s="20" t="s">
        <v>52</v>
      </c>
      <c r="C249" s="42">
        <v>2025</v>
      </c>
      <c r="D249" s="19" t="s">
        <v>459</v>
      </c>
      <c r="E249" s="3" t="s">
        <v>415</v>
      </c>
      <c r="F249" s="1">
        <v>0</v>
      </c>
      <c r="G249" s="32">
        <v>0</v>
      </c>
      <c r="H249" s="33">
        <f t="shared" si="62"/>
        <v>0</v>
      </c>
      <c r="I249" s="34"/>
      <c r="J249" s="35">
        <v>0</v>
      </c>
      <c r="K249" s="36">
        <v>0</v>
      </c>
      <c r="L249" s="35">
        <v>-5707571</v>
      </c>
      <c r="M249" s="35">
        <v>0</v>
      </c>
      <c r="N249" s="35">
        <v>0</v>
      </c>
      <c r="O249" s="35">
        <v>0</v>
      </c>
      <c r="P249" s="35">
        <v>0</v>
      </c>
      <c r="R249" s="37">
        <f t="shared" si="74"/>
        <v>5707571</v>
      </c>
      <c r="X249" s="28"/>
      <c r="Y249" s="28"/>
    </row>
    <row r="250" spans="1:25" s="4" customFormat="1">
      <c r="A250" s="41"/>
      <c r="B250" s="20" t="s">
        <v>52</v>
      </c>
      <c r="C250" s="42">
        <v>2025</v>
      </c>
      <c r="D250" s="19" t="s">
        <v>461</v>
      </c>
      <c r="E250" s="3" t="s">
        <v>416</v>
      </c>
      <c r="F250" s="1">
        <v>0</v>
      </c>
      <c r="G250" s="32">
        <v>0</v>
      </c>
      <c r="H250" s="33">
        <f t="shared" si="62"/>
        <v>0</v>
      </c>
      <c r="I250" s="34"/>
      <c r="J250" s="35">
        <v>0</v>
      </c>
      <c r="K250" s="36">
        <v>0</v>
      </c>
      <c r="L250" s="35">
        <v>-188651295</v>
      </c>
      <c r="M250" s="35">
        <v>0</v>
      </c>
      <c r="N250" s="35">
        <v>0</v>
      </c>
      <c r="O250" s="35">
        <v>0</v>
      </c>
      <c r="P250" s="35">
        <v>0</v>
      </c>
      <c r="R250" s="37">
        <f t="shared" si="74"/>
        <v>188651295</v>
      </c>
      <c r="X250" s="28"/>
      <c r="Y250" s="28"/>
    </row>
    <row r="251" spans="1:25" s="4" customFormat="1">
      <c r="A251" s="41"/>
      <c r="B251" s="20" t="s">
        <v>52</v>
      </c>
      <c r="C251" s="42">
        <v>2025</v>
      </c>
      <c r="D251" s="19" t="s">
        <v>462</v>
      </c>
      <c r="E251" s="3" t="s">
        <v>469</v>
      </c>
      <c r="F251" s="1">
        <v>0</v>
      </c>
      <c r="G251" s="32">
        <v>0</v>
      </c>
      <c r="H251" s="33">
        <f t="shared" si="62"/>
        <v>0</v>
      </c>
      <c r="I251" s="34"/>
      <c r="J251" s="35">
        <v>0</v>
      </c>
      <c r="K251" s="36">
        <v>0</v>
      </c>
      <c r="L251" s="35">
        <v>-1399999</v>
      </c>
      <c r="M251" s="35">
        <v>0</v>
      </c>
      <c r="N251" s="35">
        <v>0</v>
      </c>
      <c r="O251" s="35">
        <v>0</v>
      </c>
      <c r="P251" s="35">
        <v>0</v>
      </c>
      <c r="R251" s="37">
        <f t="shared" si="74"/>
        <v>1399999</v>
      </c>
      <c r="X251" s="28"/>
      <c r="Y251" s="28"/>
    </row>
    <row r="252" spans="1:25" s="4" customFormat="1">
      <c r="A252" s="41"/>
      <c r="B252" s="20" t="s">
        <v>52</v>
      </c>
      <c r="C252" s="42">
        <v>2025</v>
      </c>
      <c r="D252" s="19" t="s">
        <v>462</v>
      </c>
      <c r="E252" s="3" t="s">
        <v>470</v>
      </c>
      <c r="F252" s="1">
        <v>0</v>
      </c>
      <c r="G252" s="32">
        <v>0</v>
      </c>
      <c r="H252" s="33">
        <f t="shared" si="62"/>
        <v>0</v>
      </c>
      <c r="I252" s="34"/>
      <c r="J252" s="35">
        <v>0</v>
      </c>
      <c r="K252" s="36">
        <v>0</v>
      </c>
      <c r="L252" s="35">
        <v>-1400000</v>
      </c>
      <c r="M252" s="35">
        <v>0</v>
      </c>
      <c r="N252" s="35">
        <v>0</v>
      </c>
      <c r="O252" s="35">
        <v>0</v>
      </c>
      <c r="P252" s="35">
        <v>0</v>
      </c>
      <c r="R252" s="37">
        <f t="shared" si="74"/>
        <v>1400000</v>
      </c>
      <c r="X252" s="28"/>
      <c r="Y252" s="28"/>
    </row>
    <row r="253" spans="1:25" s="4" customFormat="1">
      <c r="A253" s="41"/>
      <c r="B253" s="20" t="s">
        <v>52</v>
      </c>
      <c r="C253" s="42">
        <v>2025</v>
      </c>
      <c r="D253" s="19" t="s">
        <v>373</v>
      </c>
      <c r="E253" s="3" t="s">
        <v>471</v>
      </c>
      <c r="F253" s="1">
        <v>0</v>
      </c>
      <c r="G253" s="32">
        <v>0</v>
      </c>
      <c r="H253" s="33">
        <f t="shared" si="62"/>
        <v>0</v>
      </c>
      <c r="I253" s="34"/>
      <c r="J253" s="35">
        <v>0</v>
      </c>
      <c r="K253" s="36">
        <v>0</v>
      </c>
      <c r="L253" s="35">
        <v>-5400000</v>
      </c>
      <c r="M253" s="35">
        <v>0</v>
      </c>
      <c r="N253" s="35">
        <v>0</v>
      </c>
      <c r="O253" s="35">
        <v>0</v>
      </c>
      <c r="P253" s="35">
        <v>0</v>
      </c>
      <c r="R253" s="37">
        <f t="shared" si="74"/>
        <v>5400000</v>
      </c>
      <c r="X253" s="28"/>
      <c r="Y253" s="28"/>
    </row>
    <row r="254" spans="1:25" s="4" customFormat="1">
      <c r="A254" s="41"/>
      <c r="B254" s="20" t="s">
        <v>52</v>
      </c>
      <c r="C254" s="42">
        <v>2025</v>
      </c>
      <c r="D254" s="19" t="s">
        <v>461</v>
      </c>
      <c r="E254" s="3" t="s">
        <v>472</v>
      </c>
      <c r="F254" s="1">
        <v>0</v>
      </c>
      <c r="G254" s="32">
        <v>0</v>
      </c>
      <c r="H254" s="33">
        <f t="shared" si="62"/>
        <v>0</v>
      </c>
      <c r="I254" s="34"/>
      <c r="J254" s="35">
        <v>0</v>
      </c>
      <c r="K254" s="36">
        <v>0</v>
      </c>
      <c r="L254" s="35">
        <v>-67039880</v>
      </c>
      <c r="M254" s="35">
        <v>0</v>
      </c>
      <c r="N254" s="35">
        <v>0</v>
      </c>
      <c r="O254" s="35">
        <v>0</v>
      </c>
      <c r="P254" s="35">
        <v>0</v>
      </c>
      <c r="R254" s="37">
        <f t="shared" si="74"/>
        <v>67039880</v>
      </c>
      <c r="X254" s="28"/>
      <c r="Y254" s="28"/>
    </row>
    <row r="255" spans="1:25" s="4" customFormat="1">
      <c r="A255" s="41"/>
      <c r="B255" s="20" t="s">
        <v>52</v>
      </c>
      <c r="C255" s="42">
        <v>2025</v>
      </c>
      <c r="D255" s="19" t="s">
        <v>462</v>
      </c>
      <c r="E255" s="3" t="s">
        <v>473</v>
      </c>
      <c r="F255" s="1">
        <v>0</v>
      </c>
      <c r="G255" s="32">
        <v>0</v>
      </c>
      <c r="H255" s="33">
        <f t="shared" si="62"/>
        <v>0</v>
      </c>
      <c r="I255" s="34"/>
      <c r="J255" s="35">
        <v>0</v>
      </c>
      <c r="K255" s="36">
        <v>0</v>
      </c>
      <c r="L255" s="35">
        <v>-9625295</v>
      </c>
      <c r="M255" s="35">
        <v>0</v>
      </c>
      <c r="N255" s="35">
        <v>0</v>
      </c>
      <c r="O255" s="35">
        <v>0</v>
      </c>
      <c r="P255" s="35">
        <v>0</v>
      </c>
      <c r="R255" s="37">
        <f t="shared" si="74"/>
        <v>9625295</v>
      </c>
      <c r="X255" s="28"/>
      <c r="Y255" s="28"/>
    </row>
    <row r="256" spans="1:25" s="4" customFormat="1">
      <c r="A256" s="41"/>
      <c r="B256" s="20" t="s">
        <v>52</v>
      </c>
      <c r="C256" s="42">
        <v>2025</v>
      </c>
      <c r="D256" s="19" t="s">
        <v>458</v>
      </c>
      <c r="E256" s="3" t="s">
        <v>467</v>
      </c>
      <c r="F256" s="1">
        <v>0</v>
      </c>
      <c r="G256" s="32">
        <v>0</v>
      </c>
      <c r="H256" s="33">
        <f t="shared" si="62"/>
        <v>0</v>
      </c>
      <c r="I256" s="34"/>
      <c r="J256" s="35">
        <v>0</v>
      </c>
      <c r="K256" s="36">
        <v>0</v>
      </c>
      <c r="L256" s="35">
        <v>-20288382</v>
      </c>
      <c r="M256" s="35">
        <v>0</v>
      </c>
      <c r="N256" s="35">
        <v>0</v>
      </c>
      <c r="O256" s="35">
        <v>0</v>
      </c>
      <c r="P256" s="35">
        <v>0</v>
      </c>
      <c r="R256" s="37">
        <f t="shared" ref="R256" si="76">F256-J256-K256-L256-M256-N256-O256</f>
        <v>20288382</v>
      </c>
      <c r="X256" s="28"/>
      <c r="Y256" s="28"/>
    </row>
    <row r="257" spans="1:25" s="4" customFormat="1">
      <c r="A257" s="41"/>
      <c r="B257" s="20" t="s">
        <v>52</v>
      </c>
      <c r="C257" s="42">
        <v>2025</v>
      </c>
      <c r="D257" s="19" t="s">
        <v>462</v>
      </c>
      <c r="E257" s="3" t="s">
        <v>468</v>
      </c>
      <c r="F257" s="1">
        <v>0</v>
      </c>
      <c r="G257" s="32">
        <v>0</v>
      </c>
      <c r="H257" s="33">
        <f t="shared" si="62"/>
        <v>0</v>
      </c>
      <c r="I257" s="34"/>
      <c r="J257" s="35">
        <v>0</v>
      </c>
      <c r="K257" s="36">
        <v>0</v>
      </c>
      <c r="L257" s="35">
        <v>-6293600</v>
      </c>
      <c r="M257" s="35">
        <v>0</v>
      </c>
      <c r="N257" s="35">
        <v>0</v>
      </c>
      <c r="O257" s="35">
        <v>0</v>
      </c>
      <c r="P257" s="35">
        <v>0</v>
      </c>
      <c r="R257" s="37">
        <f t="shared" si="74"/>
        <v>6293600</v>
      </c>
      <c r="X257" s="28"/>
      <c r="Y257" s="28"/>
    </row>
    <row r="258" spans="1:25" s="4" customFormat="1">
      <c r="A258" s="41"/>
      <c r="B258" s="20" t="s">
        <v>52</v>
      </c>
      <c r="C258" s="42">
        <v>2025</v>
      </c>
      <c r="D258" s="19" t="s">
        <v>462</v>
      </c>
      <c r="E258" s="3" t="s">
        <v>474</v>
      </c>
      <c r="F258" s="1">
        <v>0</v>
      </c>
      <c r="G258" s="32">
        <v>0</v>
      </c>
      <c r="H258" s="33">
        <f t="shared" si="62"/>
        <v>0</v>
      </c>
      <c r="I258" s="34"/>
      <c r="J258" s="35">
        <v>0</v>
      </c>
      <c r="K258" s="36">
        <v>0</v>
      </c>
      <c r="L258" s="35">
        <v>-5130400</v>
      </c>
      <c r="M258" s="35">
        <v>0</v>
      </c>
      <c r="N258" s="35">
        <v>0</v>
      </c>
      <c r="O258" s="35">
        <v>0</v>
      </c>
      <c r="P258" s="35">
        <v>0</v>
      </c>
      <c r="R258" s="37">
        <f t="shared" si="74"/>
        <v>5130400</v>
      </c>
      <c r="X258" s="28"/>
      <c r="Y258" s="28"/>
    </row>
    <row r="259" spans="1:25" s="4" customFormat="1">
      <c r="A259" s="41"/>
      <c r="B259" s="20" t="s">
        <v>52</v>
      </c>
      <c r="C259" s="42">
        <v>2025</v>
      </c>
      <c r="D259" s="19" t="s">
        <v>462</v>
      </c>
      <c r="E259" s="3" t="s">
        <v>475</v>
      </c>
      <c r="F259" s="1">
        <v>0</v>
      </c>
      <c r="G259" s="32">
        <v>0</v>
      </c>
      <c r="H259" s="33">
        <f t="shared" si="62"/>
        <v>0</v>
      </c>
      <c r="I259" s="34"/>
      <c r="J259" s="35">
        <v>0</v>
      </c>
      <c r="K259" s="36">
        <v>0</v>
      </c>
      <c r="L259" s="35">
        <v>-4124628</v>
      </c>
      <c r="M259" s="35">
        <v>0</v>
      </c>
      <c r="N259" s="35">
        <v>0</v>
      </c>
      <c r="O259" s="35">
        <v>0</v>
      </c>
      <c r="P259" s="35">
        <v>0</v>
      </c>
      <c r="R259" s="37">
        <f t="shared" si="74"/>
        <v>4124628</v>
      </c>
      <c r="X259" s="28"/>
      <c r="Y259" s="28"/>
    </row>
    <row r="260" spans="1:25" s="4" customFormat="1">
      <c r="A260" s="41"/>
      <c r="B260" s="20" t="s">
        <v>52</v>
      </c>
      <c r="C260" s="42">
        <v>2025</v>
      </c>
      <c r="D260" s="19" t="s">
        <v>725</v>
      </c>
      <c r="E260" s="3" t="s">
        <v>476</v>
      </c>
      <c r="F260" s="1">
        <v>0</v>
      </c>
      <c r="G260" s="32">
        <v>0</v>
      </c>
      <c r="H260" s="33">
        <f t="shared" si="62"/>
        <v>0</v>
      </c>
      <c r="I260" s="34"/>
      <c r="J260" s="35">
        <v>0</v>
      </c>
      <c r="K260" s="36">
        <v>0</v>
      </c>
      <c r="L260" s="35">
        <v>-28540540</v>
      </c>
      <c r="M260" s="35">
        <v>0</v>
      </c>
      <c r="N260" s="35">
        <v>0</v>
      </c>
      <c r="O260" s="35">
        <v>0</v>
      </c>
      <c r="P260" s="35">
        <v>0</v>
      </c>
      <c r="R260" s="37">
        <f t="shared" si="74"/>
        <v>28540540</v>
      </c>
      <c r="X260" s="28"/>
      <c r="Y260" s="28"/>
    </row>
    <row r="261" spans="1:25" s="4" customFormat="1">
      <c r="A261" s="41"/>
      <c r="B261" s="20" t="s">
        <v>52</v>
      </c>
      <c r="C261" s="42">
        <v>2025</v>
      </c>
      <c r="D261" s="19" t="s">
        <v>462</v>
      </c>
      <c r="E261" s="3" t="s">
        <v>477</v>
      </c>
      <c r="F261" s="1">
        <v>0</v>
      </c>
      <c r="G261" s="32">
        <v>0</v>
      </c>
      <c r="H261" s="33">
        <f t="shared" ref="H261:H324" si="77">G261*$H$4/$E$999</f>
        <v>0</v>
      </c>
      <c r="I261" s="34"/>
      <c r="J261" s="35">
        <v>0</v>
      </c>
      <c r="K261" s="36">
        <v>0</v>
      </c>
      <c r="L261" s="35">
        <v>-5486500</v>
      </c>
      <c r="M261" s="35">
        <v>0</v>
      </c>
      <c r="N261" s="35">
        <v>0</v>
      </c>
      <c r="O261" s="35">
        <v>0</v>
      </c>
      <c r="P261" s="35">
        <v>0</v>
      </c>
      <c r="R261" s="37">
        <f t="shared" si="74"/>
        <v>5486500</v>
      </c>
      <c r="X261" s="28"/>
      <c r="Y261" s="28"/>
    </row>
    <row r="262" spans="1:25" s="4" customFormat="1">
      <c r="A262" s="41"/>
      <c r="B262" s="20" t="s">
        <v>52</v>
      </c>
      <c r="C262" s="42">
        <v>2025</v>
      </c>
      <c r="D262" s="19" t="s">
        <v>455</v>
      </c>
      <c r="E262" s="3" t="s">
        <v>478</v>
      </c>
      <c r="F262" s="1">
        <v>0</v>
      </c>
      <c r="G262" s="32">
        <v>0</v>
      </c>
      <c r="H262" s="33">
        <f t="shared" si="77"/>
        <v>0</v>
      </c>
      <c r="I262" s="34"/>
      <c r="J262" s="35">
        <v>0</v>
      </c>
      <c r="K262" s="36">
        <v>0</v>
      </c>
      <c r="L262" s="35">
        <v>-26533230</v>
      </c>
      <c r="M262" s="35">
        <v>0</v>
      </c>
      <c r="N262" s="35">
        <v>0</v>
      </c>
      <c r="O262" s="35">
        <v>0</v>
      </c>
      <c r="P262" s="35">
        <v>0</v>
      </c>
      <c r="R262" s="37">
        <f t="shared" ref="R262:R263" si="78">F262-J262-K262-L262-M262-N262-O262</f>
        <v>26533230</v>
      </c>
      <c r="X262" s="28"/>
      <c r="Y262" s="28"/>
    </row>
    <row r="263" spans="1:25" s="4" customFormat="1">
      <c r="A263" s="41"/>
      <c r="B263" s="20" t="s">
        <v>52</v>
      </c>
      <c r="C263" s="42">
        <v>2025</v>
      </c>
      <c r="D263" s="19" t="s">
        <v>450</v>
      </c>
      <c r="E263" s="3" t="s">
        <v>479</v>
      </c>
      <c r="F263" s="1">
        <v>0</v>
      </c>
      <c r="G263" s="32">
        <v>0</v>
      </c>
      <c r="H263" s="33">
        <f t="shared" si="77"/>
        <v>0</v>
      </c>
      <c r="I263" s="34"/>
      <c r="J263" s="35">
        <v>0</v>
      </c>
      <c r="K263" s="36">
        <v>0</v>
      </c>
      <c r="L263" s="35">
        <v>-1701000</v>
      </c>
      <c r="M263" s="35">
        <v>0</v>
      </c>
      <c r="N263" s="35">
        <v>0</v>
      </c>
      <c r="O263" s="35">
        <v>0</v>
      </c>
      <c r="P263" s="35">
        <v>0</v>
      </c>
      <c r="R263" s="37">
        <f t="shared" si="78"/>
        <v>1701000</v>
      </c>
      <c r="X263" s="28"/>
      <c r="Y263" s="28"/>
    </row>
    <row r="264" spans="1:25" s="4" customFormat="1">
      <c r="A264" s="41"/>
      <c r="B264" s="20" t="s">
        <v>52</v>
      </c>
      <c r="C264" s="42">
        <v>2025</v>
      </c>
      <c r="D264" s="19" t="s">
        <v>373</v>
      </c>
      <c r="E264" s="3" t="s">
        <v>480</v>
      </c>
      <c r="F264" s="1">
        <v>0</v>
      </c>
      <c r="G264" s="32">
        <v>0</v>
      </c>
      <c r="H264" s="33">
        <f t="shared" si="77"/>
        <v>0</v>
      </c>
      <c r="I264" s="34"/>
      <c r="J264" s="35">
        <v>0</v>
      </c>
      <c r="K264" s="36">
        <v>0</v>
      </c>
      <c r="L264" s="35">
        <v>-4486652</v>
      </c>
      <c r="M264" s="35">
        <v>0</v>
      </c>
      <c r="N264" s="35">
        <v>0</v>
      </c>
      <c r="O264" s="35">
        <v>0</v>
      </c>
      <c r="P264" s="35">
        <v>0</v>
      </c>
      <c r="R264" s="37">
        <f t="shared" si="74"/>
        <v>4486652</v>
      </c>
      <c r="X264" s="28"/>
      <c r="Y264" s="28"/>
    </row>
    <row r="265" spans="1:25" s="4" customFormat="1">
      <c r="A265" s="41"/>
      <c r="B265" s="20" t="s">
        <v>52</v>
      </c>
      <c r="C265" s="42">
        <v>2025</v>
      </c>
      <c r="D265" s="19" t="s">
        <v>462</v>
      </c>
      <c r="E265" s="3" t="s">
        <v>481</v>
      </c>
      <c r="F265" s="1">
        <v>0</v>
      </c>
      <c r="G265" s="32">
        <v>0</v>
      </c>
      <c r="H265" s="33">
        <f t="shared" si="77"/>
        <v>0</v>
      </c>
      <c r="I265" s="34"/>
      <c r="J265" s="35">
        <v>0</v>
      </c>
      <c r="K265" s="36">
        <v>0</v>
      </c>
      <c r="L265" s="35">
        <v>-27361053</v>
      </c>
      <c r="M265" s="35">
        <v>0</v>
      </c>
      <c r="N265" s="35">
        <v>0</v>
      </c>
      <c r="O265" s="35">
        <v>0</v>
      </c>
      <c r="P265" s="35">
        <v>0</v>
      </c>
      <c r="R265" s="37">
        <f t="shared" si="74"/>
        <v>27361053</v>
      </c>
      <c r="X265" s="28"/>
      <c r="Y265" s="28"/>
    </row>
    <row r="266" spans="1:25" s="4" customFormat="1">
      <c r="A266" s="41"/>
      <c r="B266" s="20" t="s">
        <v>52</v>
      </c>
      <c r="C266" s="42">
        <v>2025</v>
      </c>
      <c r="D266" s="19" t="s">
        <v>726</v>
      </c>
      <c r="E266" s="3" t="s">
        <v>517</v>
      </c>
      <c r="F266" s="1">
        <v>0</v>
      </c>
      <c r="G266" s="32">
        <v>0</v>
      </c>
      <c r="H266" s="33">
        <f t="shared" si="77"/>
        <v>0</v>
      </c>
      <c r="I266" s="34"/>
      <c r="J266" s="35">
        <v>0</v>
      </c>
      <c r="K266" s="36">
        <v>0</v>
      </c>
      <c r="L266" s="35">
        <v>-7500000</v>
      </c>
      <c r="M266" s="35">
        <v>0</v>
      </c>
      <c r="N266" s="35">
        <v>0</v>
      </c>
      <c r="O266" s="35">
        <v>0</v>
      </c>
      <c r="P266" s="35">
        <v>0</v>
      </c>
      <c r="R266" s="37">
        <f t="shared" si="74"/>
        <v>7500000</v>
      </c>
      <c r="X266" s="28"/>
      <c r="Y266" s="28"/>
    </row>
    <row r="267" spans="1:25" s="4" customFormat="1">
      <c r="A267" s="41"/>
      <c r="B267" s="20" t="s">
        <v>52</v>
      </c>
      <c r="C267" s="42">
        <v>2025</v>
      </c>
      <c r="D267" s="19" t="s">
        <v>726</v>
      </c>
      <c r="E267" s="3" t="s">
        <v>518</v>
      </c>
      <c r="F267" s="1">
        <v>0</v>
      </c>
      <c r="G267" s="32">
        <v>0</v>
      </c>
      <c r="H267" s="33">
        <f t="shared" si="77"/>
        <v>0</v>
      </c>
      <c r="I267" s="34"/>
      <c r="J267" s="35">
        <v>0</v>
      </c>
      <c r="K267" s="36">
        <v>0</v>
      </c>
      <c r="L267" s="35">
        <v>-7500000</v>
      </c>
      <c r="M267" s="35">
        <v>0</v>
      </c>
      <c r="N267" s="35">
        <v>0</v>
      </c>
      <c r="O267" s="35">
        <v>0</v>
      </c>
      <c r="P267" s="35">
        <v>0</v>
      </c>
      <c r="R267" s="37">
        <f t="shared" si="74"/>
        <v>7500000</v>
      </c>
      <c r="X267" s="28"/>
      <c r="Y267" s="28"/>
    </row>
    <row r="268" spans="1:25" s="4" customFormat="1">
      <c r="A268" s="41"/>
      <c r="B268" s="20" t="s">
        <v>52</v>
      </c>
      <c r="C268" s="42">
        <v>2025</v>
      </c>
      <c r="D268" s="19" t="s">
        <v>726</v>
      </c>
      <c r="E268" s="3" t="s">
        <v>519</v>
      </c>
      <c r="F268" s="1">
        <v>0</v>
      </c>
      <c r="G268" s="32">
        <v>0</v>
      </c>
      <c r="H268" s="33">
        <f t="shared" si="77"/>
        <v>0</v>
      </c>
      <c r="I268" s="34"/>
      <c r="J268" s="35">
        <v>0</v>
      </c>
      <c r="K268" s="36">
        <v>0</v>
      </c>
      <c r="L268" s="35">
        <v>-5000000</v>
      </c>
      <c r="M268" s="35">
        <v>0</v>
      </c>
      <c r="N268" s="35">
        <v>0</v>
      </c>
      <c r="O268" s="35">
        <v>0</v>
      </c>
      <c r="P268" s="35">
        <v>0</v>
      </c>
      <c r="R268" s="37">
        <f t="shared" si="74"/>
        <v>5000000</v>
      </c>
      <c r="X268" s="28"/>
      <c r="Y268" s="28"/>
    </row>
    <row r="269" spans="1:25" s="4" customFormat="1">
      <c r="A269" s="41"/>
      <c r="B269" s="20" t="s">
        <v>52</v>
      </c>
      <c r="C269" s="42">
        <v>2025</v>
      </c>
      <c r="D269" s="19" t="s">
        <v>726</v>
      </c>
      <c r="E269" s="3" t="s">
        <v>520</v>
      </c>
      <c r="F269" s="1">
        <v>0</v>
      </c>
      <c r="G269" s="32">
        <v>0</v>
      </c>
      <c r="H269" s="33">
        <f t="shared" si="77"/>
        <v>0</v>
      </c>
      <c r="I269" s="34"/>
      <c r="J269" s="35">
        <v>0</v>
      </c>
      <c r="K269" s="36">
        <v>0</v>
      </c>
      <c r="L269" s="35">
        <v>-5000000</v>
      </c>
      <c r="M269" s="35">
        <v>0</v>
      </c>
      <c r="N269" s="35">
        <v>0</v>
      </c>
      <c r="O269" s="35">
        <v>0</v>
      </c>
      <c r="P269" s="35">
        <v>0</v>
      </c>
      <c r="R269" s="37">
        <f t="shared" si="74"/>
        <v>5000000</v>
      </c>
      <c r="X269" s="28"/>
      <c r="Y269" s="28"/>
    </row>
    <row r="270" spans="1:25" s="4" customFormat="1">
      <c r="A270" s="41"/>
      <c r="B270" s="20" t="s">
        <v>52</v>
      </c>
      <c r="C270" s="42">
        <v>2025</v>
      </c>
      <c r="D270" s="19" t="s">
        <v>726</v>
      </c>
      <c r="E270" s="3" t="s">
        <v>521</v>
      </c>
      <c r="F270" s="1">
        <v>0</v>
      </c>
      <c r="G270" s="32">
        <v>0</v>
      </c>
      <c r="H270" s="33">
        <f t="shared" si="77"/>
        <v>0</v>
      </c>
      <c r="I270" s="34"/>
      <c r="J270" s="35">
        <v>0</v>
      </c>
      <c r="K270" s="36">
        <v>0</v>
      </c>
      <c r="L270" s="35">
        <v>-7500000</v>
      </c>
      <c r="M270" s="35">
        <v>0</v>
      </c>
      <c r="N270" s="35">
        <v>0</v>
      </c>
      <c r="O270" s="35">
        <v>0</v>
      </c>
      <c r="P270" s="35">
        <v>0</v>
      </c>
      <c r="R270" s="37">
        <f t="shared" si="74"/>
        <v>7500000</v>
      </c>
      <c r="X270" s="28"/>
      <c r="Y270" s="28"/>
    </row>
    <row r="271" spans="1:25" s="4" customFormat="1">
      <c r="A271" s="41"/>
      <c r="B271" s="20" t="s">
        <v>52</v>
      </c>
      <c r="C271" s="42">
        <v>2025</v>
      </c>
      <c r="D271" s="19" t="s">
        <v>723</v>
      </c>
      <c r="E271" s="3" t="s">
        <v>516</v>
      </c>
      <c r="F271" s="1">
        <v>0</v>
      </c>
      <c r="G271" s="32">
        <v>0</v>
      </c>
      <c r="H271" s="33">
        <f t="shared" si="77"/>
        <v>0</v>
      </c>
      <c r="I271" s="34"/>
      <c r="J271" s="35">
        <v>0</v>
      </c>
      <c r="K271" s="36">
        <v>0</v>
      </c>
      <c r="L271" s="35">
        <v>-30000000</v>
      </c>
      <c r="M271" s="35">
        <v>0</v>
      </c>
      <c r="N271" s="35">
        <v>0</v>
      </c>
      <c r="O271" s="35">
        <v>0</v>
      </c>
      <c r="P271" s="35">
        <v>0</v>
      </c>
      <c r="R271" s="37">
        <f t="shared" ref="R271" si="79">F271-J271-K271-L271-M271-N271-O271</f>
        <v>30000000</v>
      </c>
      <c r="X271" s="28"/>
      <c r="Y271" s="28"/>
    </row>
    <row r="272" spans="1:25" s="4" customFormat="1">
      <c r="A272" s="41"/>
      <c r="B272" s="20" t="s">
        <v>52</v>
      </c>
      <c r="C272" s="42">
        <v>2025</v>
      </c>
      <c r="D272" s="19" t="s">
        <v>462</v>
      </c>
      <c r="E272" s="3" t="s">
        <v>737</v>
      </c>
      <c r="F272" s="1">
        <v>0</v>
      </c>
      <c r="G272" s="32">
        <v>0</v>
      </c>
      <c r="H272" s="33">
        <f t="shared" si="77"/>
        <v>0</v>
      </c>
      <c r="I272" s="34"/>
      <c r="J272" s="35">
        <v>0</v>
      </c>
      <c r="K272" s="36">
        <v>0</v>
      </c>
      <c r="L272" s="35">
        <v>-9223260</v>
      </c>
      <c r="M272" s="35">
        <v>0</v>
      </c>
      <c r="N272" s="35">
        <v>0</v>
      </c>
      <c r="O272" s="35">
        <v>0</v>
      </c>
      <c r="P272" s="35">
        <v>0</v>
      </c>
      <c r="R272" s="37">
        <f t="shared" si="74"/>
        <v>9223260</v>
      </c>
      <c r="X272" s="28"/>
      <c r="Y272" s="28"/>
    </row>
    <row r="273" spans="1:25" s="4" customFormat="1">
      <c r="A273" s="41"/>
      <c r="B273" s="20" t="s">
        <v>52</v>
      </c>
      <c r="C273" s="42">
        <v>2025</v>
      </c>
      <c r="D273" s="19" t="s">
        <v>462</v>
      </c>
      <c r="E273" s="3" t="s">
        <v>738</v>
      </c>
      <c r="F273" s="1">
        <v>0</v>
      </c>
      <c r="G273" s="32">
        <v>0</v>
      </c>
      <c r="H273" s="33">
        <f t="shared" si="77"/>
        <v>0</v>
      </c>
      <c r="I273" s="34"/>
      <c r="J273" s="35">
        <v>0</v>
      </c>
      <c r="K273" s="36">
        <v>0</v>
      </c>
      <c r="L273" s="35">
        <v>-2896000</v>
      </c>
      <c r="M273" s="35">
        <v>0</v>
      </c>
      <c r="N273" s="35">
        <v>0</v>
      </c>
      <c r="O273" s="35">
        <v>0</v>
      </c>
      <c r="P273" s="35">
        <v>0</v>
      </c>
      <c r="R273" s="37">
        <f t="shared" si="74"/>
        <v>2896000</v>
      </c>
      <c r="X273" s="28"/>
      <c r="Y273" s="28"/>
    </row>
    <row r="274" spans="1:25" s="4" customFormat="1">
      <c r="A274" s="41"/>
      <c r="B274" s="20" t="s">
        <v>52</v>
      </c>
      <c r="C274" s="42">
        <v>2025</v>
      </c>
      <c r="D274" s="19" t="s">
        <v>462</v>
      </c>
      <c r="E274" s="3" t="s">
        <v>739</v>
      </c>
      <c r="F274" s="1">
        <v>0</v>
      </c>
      <c r="G274" s="32">
        <v>0</v>
      </c>
      <c r="H274" s="33">
        <f t="shared" si="77"/>
        <v>0</v>
      </c>
      <c r="I274" s="34"/>
      <c r="J274" s="35">
        <v>0</v>
      </c>
      <c r="K274" s="36">
        <v>0</v>
      </c>
      <c r="L274" s="35">
        <v>-9413596</v>
      </c>
      <c r="M274" s="35">
        <v>0</v>
      </c>
      <c r="N274" s="35">
        <v>0</v>
      </c>
      <c r="O274" s="35">
        <v>0</v>
      </c>
      <c r="P274" s="35">
        <v>0</v>
      </c>
      <c r="R274" s="37">
        <f t="shared" si="74"/>
        <v>9413596</v>
      </c>
      <c r="X274" s="28"/>
      <c r="Y274" s="28"/>
    </row>
    <row r="275" spans="1:25" s="4" customFormat="1">
      <c r="A275" s="41"/>
      <c r="B275" s="20" t="s">
        <v>52</v>
      </c>
      <c r="C275" s="42">
        <v>2025</v>
      </c>
      <c r="D275" s="19" t="s">
        <v>462</v>
      </c>
      <c r="E275" s="3" t="s">
        <v>740</v>
      </c>
      <c r="F275" s="1">
        <v>0</v>
      </c>
      <c r="G275" s="32">
        <v>0</v>
      </c>
      <c r="H275" s="33">
        <f t="shared" si="77"/>
        <v>0</v>
      </c>
      <c r="I275" s="34"/>
      <c r="J275" s="35">
        <v>0</v>
      </c>
      <c r="K275" s="36">
        <v>0</v>
      </c>
      <c r="L275" s="35">
        <v>-7209815</v>
      </c>
      <c r="M275" s="35">
        <v>0</v>
      </c>
      <c r="N275" s="35">
        <v>0</v>
      </c>
      <c r="O275" s="35">
        <v>0</v>
      </c>
      <c r="P275" s="35">
        <v>0</v>
      </c>
      <c r="R275" s="37">
        <f t="shared" si="74"/>
        <v>7209815</v>
      </c>
      <c r="X275" s="28"/>
      <c r="Y275" s="28"/>
    </row>
    <row r="276" spans="1:25" s="4" customFormat="1">
      <c r="A276" s="41"/>
      <c r="B276" s="20" t="s">
        <v>52</v>
      </c>
      <c r="C276" s="42">
        <v>2025</v>
      </c>
      <c r="D276" s="19" t="s">
        <v>462</v>
      </c>
      <c r="E276" s="3" t="s">
        <v>741</v>
      </c>
      <c r="F276" s="1">
        <v>0</v>
      </c>
      <c r="G276" s="32">
        <v>0</v>
      </c>
      <c r="H276" s="33">
        <f t="shared" si="77"/>
        <v>0</v>
      </c>
      <c r="I276" s="34"/>
      <c r="J276" s="35">
        <v>0</v>
      </c>
      <c r="K276" s="36">
        <v>0</v>
      </c>
      <c r="L276" s="35">
        <v>-396000</v>
      </c>
      <c r="M276" s="35">
        <v>0</v>
      </c>
      <c r="N276" s="35">
        <v>0</v>
      </c>
      <c r="O276" s="35">
        <v>0</v>
      </c>
      <c r="P276" s="35">
        <v>0</v>
      </c>
      <c r="R276" s="37">
        <f t="shared" si="74"/>
        <v>396000</v>
      </c>
      <c r="X276" s="28"/>
      <c r="Y276" s="28"/>
    </row>
    <row r="277" spans="1:25" s="4" customFormat="1">
      <c r="A277" s="41"/>
      <c r="B277" s="20" t="s">
        <v>52</v>
      </c>
      <c r="C277" s="42">
        <v>2025</v>
      </c>
      <c r="D277" s="19" t="s">
        <v>462</v>
      </c>
      <c r="E277" s="3" t="s">
        <v>763</v>
      </c>
      <c r="F277" s="1">
        <v>0</v>
      </c>
      <c r="G277" s="32">
        <v>0</v>
      </c>
      <c r="H277" s="33">
        <f t="shared" si="77"/>
        <v>0</v>
      </c>
      <c r="I277" s="34"/>
      <c r="J277" s="35">
        <v>0</v>
      </c>
      <c r="K277" s="36">
        <v>0</v>
      </c>
      <c r="L277" s="35">
        <v>-1728500</v>
      </c>
      <c r="M277" s="35">
        <v>0</v>
      </c>
      <c r="N277" s="35">
        <v>0</v>
      </c>
      <c r="O277" s="35">
        <v>0</v>
      </c>
      <c r="P277" s="35">
        <v>0</v>
      </c>
      <c r="R277" s="37">
        <f t="shared" si="74"/>
        <v>1728500</v>
      </c>
      <c r="X277" s="28"/>
      <c r="Y277" s="28"/>
    </row>
    <row r="278" spans="1:25" s="4" customFormat="1">
      <c r="A278" s="41"/>
      <c r="B278" s="20" t="s">
        <v>52</v>
      </c>
      <c r="C278" s="42">
        <v>2025</v>
      </c>
      <c r="D278" s="19" t="s">
        <v>462</v>
      </c>
      <c r="E278" s="3" t="s">
        <v>764</v>
      </c>
      <c r="F278" s="1">
        <v>0</v>
      </c>
      <c r="G278" s="32">
        <v>0</v>
      </c>
      <c r="H278" s="33">
        <f t="shared" si="77"/>
        <v>0</v>
      </c>
      <c r="I278" s="34"/>
      <c r="J278" s="35">
        <v>0</v>
      </c>
      <c r="K278" s="36">
        <v>0</v>
      </c>
      <c r="L278" s="35">
        <v>-5079922</v>
      </c>
      <c r="M278" s="35">
        <v>0</v>
      </c>
      <c r="N278" s="35">
        <v>0</v>
      </c>
      <c r="O278" s="35">
        <v>0</v>
      </c>
      <c r="P278" s="35">
        <v>0</v>
      </c>
      <c r="R278" s="37">
        <f t="shared" si="74"/>
        <v>5079922</v>
      </c>
      <c r="X278" s="28"/>
      <c r="Y278" s="28"/>
    </row>
    <row r="279" spans="1:25" s="4" customFormat="1">
      <c r="A279" s="41"/>
      <c r="B279" s="20" t="s">
        <v>52</v>
      </c>
      <c r="C279" s="42">
        <v>2025</v>
      </c>
      <c r="D279" s="19" t="s">
        <v>776</v>
      </c>
      <c r="E279" s="3" t="s">
        <v>765</v>
      </c>
      <c r="F279" s="1">
        <v>0</v>
      </c>
      <c r="G279" s="32">
        <v>0</v>
      </c>
      <c r="H279" s="33">
        <f t="shared" si="77"/>
        <v>0</v>
      </c>
      <c r="I279" s="34"/>
      <c r="J279" s="35">
        <v>0</v>
      </c>
      <c r="K279" s="36">
        <v>0</v>
      </c>
      <c r="L279" s="35">
        <v>-412500</v>
      </c>
      <c r="M279" s="35">
        <v>0</v>
      </c>
      <c r="N279" s="35">
        <v>0</v>
      </c>
      <c r="O279" s="35">
        <v>0</v>
      </c>
      <c r="P279" s="35">
        <v>0</v>
      </c>
      <c r="R279" s="37">
        <f t="shared" si="74"/>
        <v>412500</v>
      </c>
      <c r="X279" s="28"/>
      <c r="Y279" s="28"/>
    </row>
    <row r="280" spans="1:25" s="4" customFormat="1">
      <c r="A280" s="41"/>
      <c r="B280" s="20" t="s">
        <v>52</v>
      </c>
      <c r="C280" s="42">
        <v>2025</v>
      </c>
      <c r="D280" s="19" t="s">
        <v>373</v>
      </c>
      <c r="E280" s="3" t="s">
        <v>766</v>
      </c>
      <c r="F280" s="1">
        <v>0</v>
      </c>
      <c r="G280" s="32">
        <v>0</v>
      </c>
      <c r="H280" s="33">
        <f t="shared" si="77"/>
        <v>0</v>
      </c>
      <c r="I280" s="34"/>
      <c r="J280" s="35">
        <v>0</v>
      </c>
      <c r="K280" s="36">
        <v>0</v>
      </c>
      <c r="L280" s="35">
        <v>-1932020</v>
      </c>
      <c r="M280" s="35">
        <v>0</v>
      </c>
      <c r="N280" s="35">
        <v>0</v>
      </c>
      <c r="O280" s="35">
        <v>0</v>
      </c>
      <c r="P280" s="35">
        <v>0</v>
      </c>
      <c r="R280" s="37">
        <f t="shared" si="74"/>
        <v>1932020</v>
      </c>
      <c r="X280" s="28"/>
      <c r="Y280" s="28"/>
    </row>
    <row r="281" spans="1:25" s="4" customFormat="1">
      <c r="A281" s="41"/>
      <c r="B281" s="20" t="s">
        <v>52</v>
      </c>
      <c r="C281" s="42">
        <v>2025</v>
      </c>
      <c r="D281" s="19" t="s">
        <v>462</v>
      </c>
      <c r="E281" s="3" t="s">
        <v>767</v>
      </c>
      <c r="F281" s="1">
        <v>0</v>
      </c>
      <c r="G281" s="32">
        <v>0</v>
      </c>
      <c r="H281" s="33">
        <f t="shared" si="77"/>
        <v>0</v>
      </c>
      <c r="I281" s="34"/>
      <c r="J281" s="35">
        <v>0</v>
      </c>
      <c r="K281" s="36">
        <v>0</v>
      </c>
      <c r="L281" s="35">
        <v>-2586350</v>
      </c>
      <c r="M281" s="35">
        <v>0</v>
      </c>
      <c r="N281" s="35">
        <v>0</v>
      </c>
      <c r="O281" s="35">
        <v>0</v>
      </c>
      <c r="P281" s="35">
        <v>0</v>
      </c>
      <c r="R281" s="37">
        <f t="shared" si="74"/>
        <v>2586350</v>
      </c>
      <c r="X281" s="28"/>
      <c r="Y281" s="28"/>
    </row>
    <row r="282" spans="1:25" s="4" customFormat="1">
      <c r="A282" s="41"/>
      <c r="B282" s="20" t="s">
        <v>52</v>
      </c>
      <c r="C282" s="42">
        <v>2025</v>
      </c>
      <c r="D282" s="19" t="s">
        <v>456</v>
      </c>
      <c r="E282" s="3" t="s">
        <v>768</v>
      </c>
      <c r="F282" s="1">
        <v>0</v>
      </c>
      <c r="G282" s="32">
        <v>0</v>
      </c>
      <c r="H282" s="33">
        <f t="shared" si="77"/>
        <v>0</v>
      </c>
      <c r="I282" s="34"/>
      <c r="J282" s="35">
        <v>0</v>
      </c>
      <c r="K282" s="36">
        <v>0</v>
      </c>
      <c r="L282" s="35">
        <v>-11290500</v>
      </c>
      <c r="M282" s="35">
        <v>0</v>
      </c>
      <c r="N282" s="35">
        <v>0</v>
      </c>
      <c r="O282" s="35">
        <v>0</v>
      </c>
      <c r="P282" s="35">
        <v>0</v>
      </c>
      <c r="R282" s="37">
        <f t="shared" ref="R282" si="80">F282-J282-K282-L282-M282-N282-O282</f>
        <v>11290500</v>
      </c>
      <c r="X282" s="28"/>
      <c r="Y282" s="28"/>
    </row>
    <row r="283" spans="1:25" s="4" customFormat="1">
      <c r="A283" s="41"/>
      <c r="B283" s="20" t="s">
        <v>52</v>
      </c>
      <c r="C283" s="42">
        <v>2025</v>
      </c>
      <c r="D283" s="19" t="s">
        <v>462</v>
      </c>
      <c r="E283" s="3" t="s">
        <v>769</v>
      </c>
      <c r="F283" s="1">
        <v>0</v>
      </c>
      <c r="G283" s="32">
        <v>0</v>
      </c>
      <c r="H283" s="33">
        <f t="shared" si="77"/>
        <v>0</v>
      </c>
      <c r="I283" s="34"/>
      <c r="J283" s="35">
        <v>0</v>
      </c>
      <c r="K283" s="36">
        <v>0</v>
      </c>
      <c r="L283" s="35">
        <v>-8393955</v>
      </c>
      <c r="M283" s="35">
        <v>0</v>
      </c>
      <c r="N283" s="35">
        <v>0</v>
      </c>
      <c r="O283" s="35">
        <v>0</v>
      </c>
      <c r="P283" s="35">
        <v>0</v>
      </c>
      <c r="R283" s="37">
        <f t="shared" si="74"/>
        <v>8393955</v>
      </c>
      <c r="X283" s="28"/>
      <c r="Y283" s="28"/>
    </row>
    <row r="284" spans="1:25" s="4" customFormat="1">
      <c r="A284" s="41"/>
      <c r="B284" s="20" t="s">
        <v>52</v>
      </c>
      <c r="C284" s="42">
        <v>2025</v>
      </c>
      <c r="D284" s="19" t="s">
        <v>776</v>
      </c>
      <c r="E284" s="3" t="s">
        <v>770</v>
      </c>
      <c r="F284" s="1">
        <v>0</v>
      </c>
      <c r="G284" s="32">
        <v>0</v>
      </c>
      <c r="H284" s="33">
        <f t="shared" si="77"/>
        <v>0</v>
      </c>
      <c r="I284" s="34"/>
      <c r="J284" s="35">
        <v>0</v>
      </c>
      <c r="K284" s="36">
        <v>0</v>
      </c>
      <c r="L284" s="35">
        <v>-15485760</v>
      </c>
      <c r="M284" s="35">
        <v>0</v>
      </c>
      <c r="N284" s="35">
        <v>0</v>
      </c>
      <c r="O284" s="35">
        <v>0</v>
      </c>
      <c r="P284" s="35">
        <v>0</v>
      </c>
      <c r="R284" s="37">
        <f t="shared" ref="R284:R348" si="81">F284-J284-K284-L284-M284-N284-O284</f>
        <v>15485760</v>
      </c>
      <c r="X284" s="28"/>
      <c r="Y284" s="28"/>
    </row>
    <row r="285" spans="1:25" s="4" customFormat="1">
      <c r="A285" s="41"/>
      <c r="B285" s="20" t="s">
        <v>52</v>
      </c>
      <c r="C285" s="42">
        <v>2025</v>
      </c>
      <c r="D285" s="19" t="s">
        <v>462</v>
      </c>
      <c r="E285" s="3" t="s">
        <v>771</v>
      </c>
      <c r="F285" s="1">
        <v>0</v>
      </c>
      <c r="G285" s="32">
        <v>0</v>
      </c>
      <c r="H285" s="33">
        <f t="shared" si="77"/>
        <v>0</v>
      </c>
      <c r="I285" s="34"/>
      <c r="J285" s="35">
        <v>0</v>
      </c>
      <c r="K285" s="36">
        <v>0</v>
      </c>
      <c r="L285" s="35">
        <v>-7961399</v>
      </c>
      <c r="M285" s="35">
        <v>0</v>
      </c>
      <c r="N285" s="35">
        <v>0</v>
      </c>
      <c r="O285" s="35">
        <v>0</v>
      </c>
      <c r="P285" s="35">
        <v>0</v>
      </c>
      <c r="R285" s="37">
        <f t="shared" si="81"/>
        <v>7961399</v>
      </c>
      <c r="X285" s="28"/>
      <c r="Y285" s="28"/>
    </row>
    <row r="286" spans="1:25" s="4" customFormat="1">
      <c r="A286" s="41"/>
      <c r="B286" s="20" t="s">
        <v>52</v>
      </c>
      <c r="C286" s="42">
        <v>2025</v>
      </c>
      <c r="D286" s="19" t="s">
        <v>908</v>
      </c>
      <c r="E286" s="3" t="s">
        <v>777</v>
      </c>
      <c r="F286" s="1">
        <v>0</v>
      </c>
      <c r="G286" s="32">
        <v>0</v>
      </c>
      <c r="H286" s="33">
        <f t="shared" si="77"/>
        <v>0</v>
      </c>
      <c r="I286" s="34"/>
      <c r="J286" s="35">
        <v>0</v>
      </c>
      <c r="K286" s="36">
        <v>0</v>
      </c>
      <c r="L286" s="35">
        <v>-10000000</v>
      </c>
      <c r="M286" s="35">
        <v>0</v>
      </c>
      <c r="N286" s="35">
        <v>0</v>
      </c>
      <c r="O286" s="35">
        <v>0</v>
      </c>
      <c r="P286" s="35">
        <v>0</v>
      </c>
      <c r="R286" s="37">
        <f t="shared" si="81"/>
        <v>10000000</v>
      </c>
      <c r="X286" s="28"/>
      <c r="Y286" s="28"/>
    </row>
    <row r="287" spans="1:25" s="4" customFormat="1">
      <c r="A287" s="41"/>
      <c r="B287" s="20" t="s">
        <v>52</v>
      </c>
      <c r="C287" s="42">
        <v>2025</v>
      </c>
      <c r="D287" s="19" t="s">
        <v>462</v>
      </c>
      <c r="E287" s="3" t="s">
        <v>772</v>
      </c>
      <c r="F287" s="1">
        <v>0</v>
      </c>
      <c r="G287" s="32">
        <v>0</v>
      </c>
      <c r="H287" s="33">
        <f t="shared" si="77"/>
        <v>0</v>
      </c>
      <c r="I287" s="34"/>
      <c r="J287" s="35">
        <v>0</v>
      </c>
      <c r="K287" s="36">
        <v>0</v>
      </c>
      <c r="L287" s="35">
        <v>-1872239</v>
      </c>
      <c r="M287" s="35">
        <v>0</v>
      </c>
      <c r="N287" s="35">
        <v>0</v>
      </c>
      <c r="O287" s="35">
        <v>0</v>
      </c>
      <c r="P287" s="35">
        <v>0</v>
      </c>
      <c r="R287" s="37">
        <f t="shared" si="81"/>
        <v>1872239</v>
      </c>
      <c r="X287" s="28"/>
      <c r="Y287" s="28"/>
    </row>
    <row r="288" spans="1:25" s="4" customFormat="1">
      <c r="A288" s="41"/>
      <c r="B288" s="20" t="s">
        <v>52</v>
      </c>
      <c r="C288" s="42">
        <v>2025</v>
      </c>
      <c r="D288" s="19" t="s">
        <v>752</v>
      </c>
      <c r="E288" s="3" t="s">
        <v>773</v>
      </c>
      <c r="F288" s="1">
        <v>0</v>
      </c>
      <c r="G288" s="32">
        <v>0</v>
      </c>
      <c r="H288" s="33">
        <f t="shared" si="77"/>
        <v>0</v>
      </c>
      <c r="I288" s="34"/>
      <c r="J288" s="35">
        <v>0</v>
      </c>
      <c r="K288" s="36">
        <v>0</v>
      </c>
      <c r="L288" s="35">
        <v>-1387800</v>
      </c>
      <c r="M288" s="35">
        <v>0</v>
      </c>
      <c r="N288" s="35">
        <v>0</v>
      </c>
      <c r="O288" s="35">
        <v>0</v>
      </c>
      <c r="P288" s="35">
        <v>0</v>
      </c>
      <c r="R288" s="37">
        <f t="shared" ref="R288" si="82">F288-J288-K288-L288-M288-N288-O288</f>
        <v>1387800</v>
      </c>
      <c r="X288" s="28"/>
      <c r="Y288" s="28"/>
    </row>
    <row r="289" spans="1:25" s="4" customFormat="1">
      <c r="A289" s="41"/>
      <c r="B289" s="20" t="s">
        <v>52</v>
      </c>
      <c r="C289" s="42">
        <v>2025</v>
      </c>
      <c r="D289" s="19" t="s">
        <v>462</v>
      </c>
      <c r="E289" s="3" t="s">
        <v>774</v>
      </c>
      <c r="F289" s="1">
        <v>0</v>
      </c>
      <c r="G289" s="32">
        <v>0</v>
      </c>
      <c r="H289" s="33">
        <f t="shared" si="77"/>
        <v>0</v>
      </c>
      <c r="I289" s="34"/>
      <c r="J289" s="35">
        <v>0</v>
      </c>
      <c r="K289" s="36">
        <v>0</v>
      </c>
      <c r="L289" s="35">
        <v>-13749509</v>
      </c>
      <c r="M289" s="35">
        <v>0</v>
      </c>
      <c r="N289" s="35">
        <v>0</v>
      </c>
      <c r="O289" s="35">
        <v>0</v>
      </c>
      <c r="P289" s="35">
        <v>0</v>
      </c>
      <c r="R289" s="37">
        <f t="shared" si="81"/>
        <v>13749509</v>
      </c>
      <c r="X289" s="28"/>
      <c r="Y289" s="28"/>
    </row>
    <row r="290" spans="1:25" s="4" customFormat="1">
      <c r="A290" s="41"/>
      <c r="B290" s="20" t="s">
        <v>52</v>
      </c>
      <c r="C290" s="42">
        <v>2025</v>
      </c>
      <c r="D290" s="19" t="s">
        <v>752</v>
      </c>
      <c r="E290" s="3" t="s">
        <v>775</v>
      </c>
      <c r="F290" s="1">
        <v>0</v>
      </c>
      <c r="G290" s="32">
        <v>0</v>
      </c>
      <c r="H290" s="33">
        <f t="shared" si="77"/>
        <v>0</v>
      </c>
      <c r="I290" s="34"/>
      <c r="J290" s="35">
        <v>0</v>
      </c>
      <c r="K290" s="36">
        <v>0</v>
      </c>
      <c r="L290" s="35">
        <v>-9502310</v>
      </c>
      <c r="M290" s="35">
        <v>0</v>
      </c>
      <c r="N290" s="35">
        <v>0</v>
      </c>
      <c r="O290" s="35">
        <v>0</v>
      </c>
      <c r="P290" s="35">
        <v>0</v>
      </c>
      <c r="R290" s="37">
        <f t="shared" ref="R290" si="83">F290-J290-K290-L290-M290-N290-O290</f>
        <v>9502310</v>
      </c>
      <c r="X290" s="28"/>
      <c r="Y290" s="28"/>
    </row>
    <row r="291" spans="1:25" s="4" customFormat="1">
      <c r="A291" s="41"/>
      <c r="B291" s="20" t="s">
        <v>52</v>
      </c>
      <c r="C291" s="42">
        <v>2025</v>
      </c>
      <c r="D291" s="19" t="s">
        <v>723</v>
      </c>
      <c r="E291" s="3" t="s">
        <v>836</v>
      </c>
      <c r="F291" s="1">
        <v>0</v>
      </c>
      <c r="G291" s="32">
        <v>0</v>
      </c>
      <c r="H291" s="33">
        <f t="shared" si="77"/>
        <v>0</v>
      </c>
      <c r="I291" s="34"/>
      <c r="J291" s="35">
        <v>0</v>
      </c>
      <c r="K291" s="36">
        <v>0</v>
      </c>
      <c r="L291" s="35">
        <v>-45612813</v>
      </c>
      <c r="M291" s="35">
        <v>0</v>
      </c>
      <c r="N291" s="35">
        <v>0</v>
      </c>
      <c r="O291" s="35">
        <v>0</v>
      </c>
      <c r="P291" s="35">
        <v>0</v>
      </c>
      <c r="R291" s="37">
        <f t="shared" ref="R291" si="84">F291-J291-K291-L291-M291-N291-O291</f>
        <v>45612813</v>
      </c>
      <c r="X291" s="28"/>
      <c r="Y291" s="28"/>
    </row>
    <row r="292" spans="1:25" s="4" customFormat="1">
      <c r="A292" s="41"/>
      <c r="B292" s="20" t="s">
        <v>52</v>
      </c>
      <c r="C292" s="42">
        <v>2025</v>
      </c>
      <c r="D292" s="19" t="s">
        <v>776</v>
      </c>
      <c r="E292" s="3" t="s">
        <v>864</v>
      </c>
      <c r="F292" s="1">
        <v>0</v>
      </c>
      <c r="G292" s="32">
        <v>0</v>
      </c>
      <c r="H292" s="33">
        <f t="shared" si="77"/>
        <v>0</v>
      </c>
      <c r="I292" s="34"/>
      <c r="J292" s="35">
        <v>0</v>
      </c>
      <c r="K292" s="36">
        <v>0</v>
      </c>
      <c r="L292" s="35">
        <v>-1370000</v>
      </c>
      <c r="M292" s="35">
        <v>0</v>
      </c>
      <c r="N292" s="35">
        <v>0</v>
      </c>
      <c r="O292" s="35">
        <v>0</v>
      </c>
      <c r="P292" s="35">
        <v>0</v>
      </c>
      <c r="R292" s="37">
        <f t="shared" ref="R292" si="85">F292-J292-K292-L292-M292-N292-O292</f>
        <v>1370000</v>
      </c>
      <c r="X292" s="28"/>
      <c r="Y292" s="28"/>
    </row>
    <row r="293" spans="1:25" s="4" customFormat="1">
      <c r="A293" s="41"/>
      <c r="B293" s="20" t="s">
        <v>52</v>
      </c>
      <c r="C293" s="42">
        <v>2025</v>
      </c>
      <c r="D293" s="19" t="s">
        <v>723</v>
      </c>
      <c r="E293" s="3" t="s">
        <v>865</v>
      </c>
      <c r="F293" s="1">
        <v>0</v>
      </c>
      <c r="G293" s="32">
        <v>0</v>
      </c>
      <c r="H293" s="33">
        <f t="shared" si="77"/>
        <v>0</v>
      </c>
      <c r="I293" s="34"/>
      <c r="J293" s="35">
        <v>0</v>
      </c>
      <c r="K293" s="36">
        <v>0</v>
      </c>
      <c r="L293" s="35">
        <v>-4175570</v>
      </c>
      <c r="M293" s="35">
        <v>0</v>
      </c>
      <c r="N293" s="35">
        <v>0</v>
      </c>
      <c r="O293" s="35">
        <v>0</v>
      </c>
      <c r="P293" s="35">
        <v>0</v>
      </c>
      <c r="R293" s="37">
        <f t="shared" ref="R293" si="86">F293-J293-K293-L293-M293-N293-O293</f>
        <v>4175570</v>
      </c>
      <c r="X293" s="28"/>
      <c r="Y293" s="28"/>
    </row>
    <row r="294" spans="1:25" s="4" customFormat="1">
      <c r="A294" s="41"/>
      <c r="B294" s="20" t="s">
        <v>52</v>
      </c>
      <c r="C294" s="42">
        <v>2025</v>
      </c>
      <c r="D294" s="19" t="s">
        <v>462</v>
      </c>
      <c r="E294" s="3" t="s">
        <v>866</v>
      </c>
      <c r="F294" s="1">
        <v>0</v>
      </c>
      <c r="G294" s="32">
        <v>0</v>
      </c>
      <c r="H294" s="33">
        <f t="shared" si="77"/>
        <v>0</v>
      </c>
      <c r="I294" s="34"/>
      <c r="J294" s="35">
        <v>0</v>
      </c>
      <c r="K294" s="36">
        <v>0</v>
      </c>
      <c r="L294" s="35">
        <v>-12531000</v>
      </c>
      <c r="M294" s="35">
        <v>0</v>
      </c>
      <c r="N294" s="35">
        <v>0</v>
      </c>
      <c r="O294" s="35">
        <v>0</v>
      </c>
      <c r="P294" s="35">
        <v>0</v>
      </c>
      <c r="R294" s="37">
        <f t="shared" ref="R294:R301" si="87">F294-J294-K294-L294-M294-N294-O294</f>
        <v>12531000</v>
      </c>
      <c r="X294" s="28"/>
      <c r="Y294" s="28"/>
    </row>
    <row r="295" spans="1:25" s="4" customFormat="1">
      <c r="A295" s="41"/>
      <c r="B295" s="20" t="s">
        <v>52</v>
      </c>
      <c r="C295" s="42">
        <v>2025</v>
      </c>
      <c r="D295" s="19" t="s">
        <v>462</v>
      </c>
      <c r="E295" s="3" t="s">
        <v>867</v>
      </c>
      <c r="F295" s="1">
        <v>0</v>
      </c>
      <c r="G295" s="32">
        <v>0</v>
      </c>
      <c r="H295" s="33">
        <f t="shared" si="77"/>
        <v>0</v>
      </c>
      <c r="I295" s="34"/>
      <c r="J295" s="35">
        <v>0</v>
      </c>
      <c r="K295" s="36">
        <v>0</v>
      </c>
      <c r="L295" s="35">
        <v>-2281300</v>
      </c>
      <c r="M295" s="35">
        <v>0</v>
      </c>
      <c r="N295" s="35">
        <v>0</v>
      </c>
      <c r="O295" s="35">
        <v>0</v>
      </c>
      <c r="P295" s="35">
        <v>0</v>
      </c>
      <c r="R295" s="37">
        <f t="shared" si="87"/>
        <v>2281300</v>
      </c>
      <c r="X295" s="28"/>
      <c r="Y295" s="28"/>
    </row>
    <row r="296" spans="1:25" s="4" customFormat="1">
      <c r="A296" s="41"/>
      <c r="B296" s="20" t="s">
        <v>52</v>
      </c>
      <c r="C296" s="42">
        <v>2025</v>
      </c>
      <c r="D296" s="19" t="s">
        <v>455</v>
      </c>
      <c r="E296" s="3" t="s">
        <v>868</v>
      </c>
      <c r="F296" s="1">
        <v>0</v>
      </c>
      <c r="G296" s="32">
        <v>0</v>
      </c>
      <c r="H296" s="33">
        <f t="shared" si="77"/>
        <v>0</v>
      </c>
      <c r="I296" s="34"/>
      <c r="J296" s="35">
        <v>0</v>
      </c>
      <c r="K296" s="36">
        <v>0</v>
      </c>
      <c r="L296" s="35">
        <v>-4518484</v>
      </c>
      <c r="M296" s="35">
        <v>0</v>
      </c>
      <c r="N296" s="35">
        <v>0</v>
      </c>
      <c r="O296" s="35">
        <v>0</v>
      </c>
      <c r="P296" s="35">
        <v>0</v>
      </c>
      <c r="R296" s="37">
        <f t="shared" ref="R296" si="88">F296-J296-K296-L296-M296-N296-O296</f>
        <v>4518484</v>
      </c>
      <c r="X296" s="28"/>
      <c r="Y296" s="28"/>
    </row>
    <row r="297" spans="1:25" s="4" customFormat="1">
      <c r="A297" s="41"/>
      <c r="B297" s="20" t="s">
        <v>52</v>
      </c>
      <c r="C297" s="42">
        <v>2025</v>
      </c>
      <c r="D297" s="19" t="s">
        <v>753</v>
      </c>
      <c r="E297" s="3" t="s">
        <v>869</v>
      </c>
      <c r="F297" s="1">
        <v>0</v>
      </c>
      <c r="G297" s="32">
        <v>0</v>
      </c>
      <c r="H297" s="33">
        <f t="shared" si="77"/>
        <v>0</v>
      </c>
      <c r="I297" s="34"/>
      <c r="J297" s="35">
        <v>0</v>
      </c>
      <c r="K297" s="36">
        <v>0</v>
      </c>
      <c r="L297" s="35">
        <v>-12765014</v>
      </c>
      <c r="M297" s="35">
        <v>0</v>
      </c>
      <c r="N297" s="35">
        <v>0</v>
      </c>
      <c r="O297" s="35">
        <v>0</v>
      </c>
      <c r="P297" s="35">
        <v>0</v>
      </c>
      <c r="R297" s="37">
        <f t="shared" ref="R297" si="89">F297-J297-K297-L297-M297-N297-O297</f>
        <v>12765014</v>
      </c>
      <c r="X297" s="28"/>
      <c r="Y297" s="28"/>
    </row>
    <row r="298" spans="1:25" s="4" customFormat="1">
      <c r="A298" s="41"/>
      <c r="B298" s="20" t="s">
        <v>52</v>
      </c>
      <c r="C298" s="42">
        <v>2025</v>
      </c>
      <c r="D298" s="19" t="s">
        <v>776</v>
      </c>
      <c r="E298" s="3" t="s">
        <v>870</v>
      </c>
      <c r="F298" s="1">
        <v>0</v>
      </c>
      <c r="G298" s="32">
        <v>0</v>
      </c>
      <c r="H298" s="33">
        <f t="shared" si="77"/>
        <v>0</v>
      </c>
      <c r="I298" s="34"/>
      <c r="J298" s="35">
        <v>0</v>
      </c>
      <c r="K298" s="36">
        <v>0</v>
      </c>
      <c r="L298" s="35">
        <v>-1298545</v>
      </c>
      <c r="M298" s="35">
        <v>0</v>
      </c>
      <c r="N298" s="35">
        <v>0</v>
      </c>
      <c r="O298" s="35">
        <v>0</v>
      </c>
      <c r="P298" s="35">
        <v>0</v>
      </c>
      <c r="R298" s="37">
        <f t="shared" si="87"/>
        <v>1298545</v>
      </c>
      <c r="X298" s="28"/>
      <c r="Y298" s="28"/>
    </row>
    <row r="299" spans="1:25" s="4" customFormat="1">
      <c r="A299" s="41"/>
      <c r="B299" s="20" t="s">
        <v>52</v>
      </c>
      <c r="C299" s="42">
        <v>2025</v>
      </c>
      <c r="D299" s="19" t="s">
        <v>883</v>
      </c>
      <c r="E299" s="3" t="s">
        <v>871</v>
      </c>
      <c r="F299" s="1">
        <v>0</v>
      </c>
      <c r="G299" s="32">
        <v>0</v>
      </c>
      <c r="H299" s="33">
        <f t="shared" si="77"/>
        <v>0</v>
      </c>
      <c r="I299" s="34"/>
      <c r="J299" s="35">
        <v>0</v>
      </c>
      <c r="K299" s="36">
        <v>0</v>
      </c>
      <c r="L299" s="35">
        <v>-106558618</v>
      </c>
      <c r="M299" s="35">
        <v>0</v>
      </c>
      <c r="N299" s="35">
        <v>0</v>
      </c>
      <c r="O299" s="35">
        <v>0</v>
      </c>
      <c r="P299" s="35">
        <v>0</v>
      </c>
      <c r="R299" s="37">
        <f t="shared" si="87"/>
        <v>106558618</v>
      </c>
      <c r="X299" s="28"/>
      <c r="Y299" s="28"/>
    </row>
    <row r="300" spans="1:25" s="4" customFormat="1">
      <c r="A300" s="41"/>
      <c r="B300" s="20" t="s">
        <v>52</v>
      </c>
      <c r="C300" s="42">
        <v>2025</v>
      </c>
      <c r="D300" s="19" t="s">
        <v>776</v>
      </c>
      <c r="E300" s="3" t="s">
        <v>872</v>
      </c>
      <c r="F300" s="1">
        <v>0</v>
      </c>
      <c r="G300" s="32">
        <v>0</v>
      </c>
      <c r="H300" s="33">
        <f t="shared" si="77"/>
        <v>0</v>
      </c>
      <c r="I300" s="34"/>
      <c r="J300" s="35">
        <v>0</v>
      </c>
      <c r="K300" s="36">
        <v>0</v>
      </c>
      <c r="L300" s="35">
        <v>-1500745</v>
      </c>
      <c r="M300" s="35">
        <v>0</v>
      </c>
      <c r="N300" s="35">
        <v>0</v>
      </c>
      <c r="O300" s="35">
        <v>0</v>
      </c>
      <c r="P300" s="35">
        <v>0</v>
      </c>
      <c r="R300" s="37">
        <f t="shared" si="87"/>
        <v>1500745</v>
      </c>
      <c r="X300" s="28"/>
      <c r="Y300" s="28"/>
    </row>
    <row r="301" spans="1:25" s="4" customFormat="1">
      <c r="A301" s="41"/>
      <c r="B301" s="20" t="s">
        <v>52</v>
      </c>
      <c r="C301" s="42">
        <v>2025</v>
      </c>
      <c r="D301" s="10" t="s">
        <v>204</v>
      </c>
      <c r="E301" s="3" t="s">
        <v>80</v>
      </c>
      <c r="F301" s="1">
        <v>0</v>
      </c>
      <c r="G301" s="32">
        <v>0</v>
      </c>
      <c r="H301" s="33">
        <f t="shared" si="77"/>
        <v>0</v>
      </c>
      <c r="I301" s="34"/>
      <c r="J301" s="35">
        <v>0</v>
      </c>
      <c r="K301" s="36">
        <v>0</v>
      </c>
      <c r="L301" s="35">
        <v>0</v>
      </c>
      <c r="M301" s="35">
        <v>-9768000</v>
      </c>
      <c r="N301" s="35">
        <v>0</v>
      </c>
      <c r="O301" s="35">
        <v>0</v>
      </c>
      <c r="P301" s="35">
        <v>0</v>
      </c>
      <c r="R301" s="37">
        <f t="shared" si="87"/>
        <v>9768000</v>
      </c>
      <c r="X301" s="28"/>
      <c r="Y301" s="28"/>
    </row>
    <row r="302" spans="1:25" s="4" customFormat="1">
      <c r="A302" s="41"/>
      <c r="B302" s="20" t="s">
        <v>52</v>
      </c>
      <c r="C302" s="42">
        <v>2025</v>
      </c>
      <c r="D302" s="10" t="s">
        <v>93</v>
      </c>
      <c r="E302" s="3" t="s">
        <v>205</v>
      </c>
      <c r="F302" s="1">
        <v>0</v>
      </c>
      <c r="G302" s="32">
        <v>0</v>
      </c>
      <c r="H302" s="33">
        <f t="shared" si="77"/>
        <v>0</v>
      </c>
      <c r="I302" s="34"/>
      <c r="J302" s="35">
        <v>0</v>
      </c>
      <c r="K302" s="36">
        <v>0</v>
      </c>
      <c r="L302" s="35">
        <v>0</v>
      </c>
      <c r="M302" s="35">
        <v>-1565953</v>
      </c>
      <c r="N302" s="35">
        <v>0</v>
      </c>
      <c r="O302" s="35">
        <v>0</v>
      </c>
      <c r="P302" s="35">
        <v>0</v>
      </c>
      <c r="R302" s="37">
        <f t="shared" si="81"/>
        <v>1565953</v>
      </c>
      <c r="X302" s="28"/>
      <c r="Y302" s="28"/>
    </row>
    <row r="303" spans="1:25" s="4" customFormat="1">
      <c r="A303" s="41"/>
      <c r="B303" s="20" t="s">
        <v>52</v>
      </c>
      <c r="C303" s="42">
        <v>2025</v>
      </c>
      <c r="D303" s="19" t="s">
        <v>85</v>
      </c>
      <c r="E303" s="3" t="s">
        <v>746</v>
      </c>
      <c r="F303" s="1">
        <v>0</v>
      </c>
      <c r="G303" s="32">
        <v>0</v>
      </c>
      <c r="H303" s="33">
        <f t="shared" si="77"/>
        <v>0</v>
      </c>
      <c r="I303" s="34"/>
      <c r="J303" s="35">
        <v>0</v>
      </c>
      <c r="K303" s="36">
        <v>0</v>
      </c>
      <c r="L303" s="35">
        <v>0</v>
      </c>
      <c r="M303" s="35">
        <v>0</v>
      </c>
      <c r="N303" s="35">
        <v>-502500</v>
      </c>
      <c r="O303" s="35">
        <v>0</v>
      </c>
      <c r="P303" s="35">
        <v>0</v>
      </c>
      <c r="R303" s="37">
        <f t="shared" si="81"/>
        <v>502500</v>
      </c>
      <c r="X303" s="28"/>
      <c r="Y303" s="28"/>
    </row>
    <row r="304" spans="1:25" s="4" customFormat="1">
      <c r="A304" s="41"/>
      <c r="B304" s="20" t="s">
        <v>52</v>
      </c>
      <c r="C304" s="42">
        <v>2025</v>
      </c>
      <c r="D304" s="19" t="s">
        <v>85</v>
      </c>
      <c r="E304" s="3" t="s">
        <v>86</v>
      </c>
      <c r="F304" s="1">
        <v>0</v>
      </c>
      <c r="G304" s="32">
        <v>0</v>
      </c>
      <c r="H304" s="33">
        <f t="shared" si="77"/>
        <v>0</v>
      </c>
      <c r="I304" s="34"/>
      <c r="J304" s="35">
        <v>0</v>
      </c>
      <c r="K304" s="36">
        <v>0</v>
      </c>
      <c r="L304" s="35">
        <v>0</v>
      </c>
      <c r="M304" s="35">
        <v>0</v>
      </c>
      <c r="N304" s="35">
        <v>-28325</v>
      </c>
      <c r="O304" s="35">
        <v>0</v>
      </c>
      <c r="P304" s="35">
        <v>0</v>
      </c>
      <c r="R304" s="37">
        <f t="shared" si="81"/>
        <v>28325</v>
      </c>
      <c r="X304" s="28"/>
      <c r="Y304" s="28"/>
    </row>
    <row r="305" spans="1:25" s="4" customFormat="1">
      <c r="A305" s="41"/>
      <c r="B305" s="20" t="s">
        <v>52</v>
      </c>
      <c r="C305" s="42">
        <v>2025</v>
      </c>
      <c r="D305" s="19" t="s">
        <v>85</v>
      </c>
      <c r="E305" s="3" t="s">
        <v>87</v>
      </c>
      <c r="F305" s="1">
        <v>0</v>
      </c>
      <c r="G305" s="32">
        <v>0</v>
      </c>
      <c r="H305" s="33">
        <f t="shared" si="77"/>
        <v>0</v>
      </c>
      <c r="I305" s="34"/>
      <c r="J305" s="35">
        <v>0</v>
      </c>
      <c r="K305" s="36">
        <v>0</v>
      </c>
      <c r="L305" s="35">
        <v>0</v>
      </c>
      <c r="M305" s="35">
        <v>0</v>
      </c>
      <c r="N305" s="35">
        <v>-25000</v>
      </c>
      <c r="O305" s="35">
        <v>0</v>
      </c>
      <c r="P305" s="35">
        <v>0</v>
      </c>
      <c r="R305" s="37">
        <f t="shared" si="81"/>
        <v>25000</v>
      </c>
      <c r="X305" s="28"/>
      <c r="Y305" s="28"/>
    </row>
    <row r="306" spans="1:25" s="4" customFormat="1">
      <c r="A306" s="41"/>
      <c r="B306" s="20" t="s">
        <v>52</v>
      </c>
      <c r="C306" s="42">
        <v>2025</v>
      </c>
      <c r="D306" s="19" t="s">
        <v>907</v>
      </c>
      <c r="E306" s="3" t="s">
        <v>492</v>
      </c>
      <c r="F306" s="1">
        <v>0</v>
      </c>
      <c r="G306" s="32">
        <v>0</v>
      </c>
      <c r="H306" s="33">
        <f t="shared" si="77"/>
        <v>0</v>
      </c>
      <c r="I306" s="34"/>
      <c r="J306" s="35">
        <v>0</v>
      </c>
      <c r="K306" s="36">
        <v>0</v>
      </c>
      <c r="L306" s="35">
        <v>0</v>
      </c>
      <c r="M306" s="35">
        <v>0</v>
      </c>
      <c r="N306" s="35">
        <v>-202500</v>
      </c>
      <c r="O306" s="35">
        <v>0</v>
      </c>
      <c r="P306" s="35">
        <v>0</v>
      </c>
      <c r="R306" s="37">
        <f t="shared" si="81"/>
        <v>202500</v>
      </c>
      <c r="X306" s="28"/>
      <c r="Y306" s="28"/>
    </row>
    <row r="307" spans="1:25" s="4" customFormat="1">
      <c r="A307" s="41"/>
      <c r="B307" s="20" t="s">
        <v>52</v>
      </c>
      <c r="C307" s="42">
        <v>2025</v>
      </c>
      <c r="D307" s="19" t="s">
        <v>203</v>
      </c>
      <c r="E307" s="3" t="s">
        <v>493</v>
      </c>
      <c r="F307" s="1">
        <v>0</v>
      </c>
      <c r="G307" s="32">
        <v>0</v>
      </c>
      <c r="H307" s="33">
        <f t="shared" si="77"/>
        <v>0</v>
      </c>
      <c r="I307" s="34"/>
      <c r="J307" s="35">
        <v>0</v>
      </c>
      <c r="K307" s="36">
        <v>0</v>
      </c>
      <c r="L307" s="35">
        <v>0</v>
      </c>
      <c r="M307" s="35">
        <v>0</v>
      </c>
      <c r="N307" s="35">
        <v>-20000</v>
      </c>
      <c r="O307" s="35">
        <v>0</v>
      </c>
      <c r="P307" s="35">
        <v>0</v>
      </c>
      <c r="R307" s="37">
        <f t="shared" ref="R307" si="90">F307-J307-K307-L307-M307-N307-O307</f>
        <v>20000</v>
      </c>
      <c r="X307" s="28"/>
      <c r="Y307" s="28"/>
    </row>
    <row r="308" spans="1:25" s="4" customFormat="1">
      <c r="A308" s="41"/>
      <c r="B308" s="20" t="s">
        <v>52</v>
      </c>
      <c r="C308" s="42">
        <v>2025</v>
      </c>
      <c r="D308" s="19" t="s">
        <v>203</v>
      </c>
      <c r="E308" s="3" t="s">
        <v>494</v>
      </c>
      <c r="F308" s="1">
        <v>0</v>
      </c>
      <c r="G308" s="32">
        <v>0</v>
      </c>
      <c r="H308" s="33">
        <f t="shared" si="77"/>
        <v>0</v>
      </c>
      <c r="I308" s="34"/>
      <c r="J308" s="35">
        <v>0</v>
      </c>
      <c r="K308" s="36">
        <v>0</v>
      </c>
      <c r="L308" s="35">
        <v>0</v>
      </c>
      <c r="M308" s="35">
        <v>0</v>
      </c>
      <c r="N308" s="35">
        <v>-100000</v>
      </c>
      <c r="O308" s="35">
        <v>0</v>
      </c>
      <c r="P308" s="35">
        <v>0</v>
      </c>
      <c r="R308" s="37">
        <f t="shared" ref="R308:R314" si="91">F308-J308-K308-L308-M308-N308-O308</f>
        <v>100000</v>
      </c>
      <c r="X308" s="28"/>
      <c r="Y308" s="28"/>
    </row>
    <row r="309" spans="1:25" s="4" customFormat="1">
      <c r="A309" s="41"/>
      <c r="B309" s="20" t="s">
        <v>52</v>
      </c>
      <c r="C309" s="42">
        <v>2025</v>
      </c>
      <c r="D309" s="19" t="s">
        <v>203</v>
      </c>
      <c r="E309" s="3" t="s">
        <v>495</v>
      </c>
      <c r="F309" s="1">
        <v>0</v>
      </c>
      <c r="G309" s="32">
        <v>0</v>
      </c>
      <c r="H309" s="33">
        <f t="shared" si="77"/>
        <v>0</v>
      </c>
      <c r="I309" s="34"/>
      <c r="J309" s="35">
        <v>0</v>
      </c>
      <c r="K309" s="36">
        <v>0</v>
      </c>
      <c r="L309" s="35">
        <v>0</v>
      </c>
      <c r="M309" s="35">
        <v>0</v>
      </c>
      <c r="N309" s="35">
        <v>-51000</v>
      </c>
      <c r="O309" s="35">
        <v>0</v>
      </c>
      <c r="P309" s="35">
        <v>0</v>
      </c>
      <c r="R309" s="37">
        <f t="shared" si="91"/>
        <v>51000</v>
      </c>
      <c r="X309" s="28"/>
      <c r="Y309" s="28"/>
    </row>
    <row r="310" spans="1:25" s="4" customFormat="1">
      <c r="A310" s="41"/>
      <c r="B310" s="20" t="s">
        <v>52</v>
      </c>
      <c r="C310" s="42">
        <v>2025</v>
      </c>
      <c r="D310" s="19" t="s">
        <v>203</v>
      </c>
      <c r="E310" s="3" t="s">
        <v>496</v>
      </c>
      <c r="F310" s="1">
        <v>0</v>
      </c>
      <c r="G310" s="32">
        <v>0</v>
      </c>
      <c r="H310" s="33">
        <f t="shared" si="77"/>
        <v>0</v>
      </c>
      <c r="I310" s="34"/>
      <c r="J310" s="35">
        <v>0</v>
      </c>
      <c r="K310" s="36">
        <v>0</v>
      </c>
      <c r="L310" s="35">
        <v>0</v>
      </c>
      <c r="M310" s="35">
        <v>0</v>
      </c>
      <c r="N310" s="35">
        <v>-50000</v>
      </c>
      <c r="O310" s="35">
        <v>0</v>
      </c>
      <c r="P310" s="35">
        <v>0</v>
      </c>
      <c r="R310" s="37">
        <f t="shared" si="91"/>
        <v>50000</v>
      </c>
      <c r="X310" s="28"/>
      <c r="Y310" s="28"/>
    </row>
    <row r="311" spans="1:25" s="4" customFormat="1">
      <c r="A311" s="41"/>
      <c r="B311" s="20" t="s">
        <v>52</v>
      </c>
      <c r="C311" s="42">
        <v>2025</v>
      </c>
      <c r="D311" s="19" t="s">
        <v>203</v>
      </c>
      <c r="E311" s="3" t="s">
        <v>497</v>
      </c>
      <c r="F311" s="1">
        <v>0</v>
      </c>
      <c r="G311" s="32">
        <v>0</v>
      </c>
      <c r="H311" s="33">
        <f t="shared" si="77"/>
        <v>0</v>
      </c>
      <c r="I311" s="34"/>
      <c r="J311" s="35">
        <v>0</v>
      </c>
      <c r="K311" s="36">
        <v>0</v>
      </c>
      <c r="L311" s="35">
        <v>0</v>
      </c>
      <c r="M311" s="35">
        <v>0</v>
      </c>
      <c r="N311" s="35">
        <v>-57600</v>
      </c>
      <c r="O311" s="35">
        <v>0</v>
      </c>
      <c r="P311" s="35">
        <v>0</v>
      </c>
      <c r="R311" s="37">
        <f t="shared" si="91"/>
        <v>57600</v>
      </c>
      <c r="X311" s="28"/>
      <c r="Y311" s="28"/>
    </row>
    <row r="312" spans="1:25" s="4" customFormat="1">
      <c r="A312" s="41"/>
      <c r="B312" s="20" t="s">
        <v>52</v>
      </c>
      <c r="C312" s="42">
        <v>2025</v>
      </c>
      <c r="D312" s="19" t="s">
        <v>203</v>
      </c>
      <c r="E312" s="3" t="s">
        <v>498</v>
      </c>
      <c r="F312" s="1">
        <v>0</v>
      </c>
      <c r="G312" s="32">
        <v>0</v>
      </c>
      <c r="H312" s="33">
        <f t="shared" si="77"/>
        <v>0</v>
      </c>
      <c r="I312" s="34"/>
      <c r="J312" s="35">
        <v>0</v>
      </c>
      <c r="K312" s="36">
        <v>0</v>
      </c>
      <c r="L312" s="35">
        <v>0</v>
      </c>
      <c r="M312" s="35">
        <v>0</v>
      </c>
      <c r="N312" s="35">
        <v>-30000</v>
      </c>
      <c r="O312" s="35">
        <v>0</v>
      </c>
      <c r="P312" s="35">
        <v>0</v>
      </c>
      <c r="R312" s="37">
        <f t="shared" si="91"/>
        <v>30000</v>
      </c>
      <c r="X312" s="28"/>
      <c r="Y312" s="28"/>
    </row>
    <row r="313" spans="1:25" s="4" customFormat="1">
      <c r="A313" s="41"/>
      <c r="B313" s="20" t="s">
        <v>52</v>
      </c>
      <c r="C313" s="42">
        <v>2025</v>
      </c>
      <c r="D313" s="19" t="s">
        <v>203</v>
      </c>
      <c r="E313" s="3" t="s">
        <v>499</v>
      </c>
      <c r="F313" s="1">
        <v>0</v>
      </c>
      <c r="G313" s="32">
        <v>0</v>
      </c>
      <c r="H313" s="33">
        <f t="shared" si="77"/>
        <v>0</v>
      </c>
      <c r="I313" s="34"/>
      <c r="J313" s="35">
        <v>0</v>
      </c>
      <c r="K313" s="36">
        <v>0</v>
      </c>
      <c r="L313" s="35">
        <v>0</v>
      </c>
      <c r="M313" s="35">
        <v>0</v>
      </c>
      <c r="N313" s="35">
        <v>-63600</v>
      </c>
      <c r="O313" s="35">
        <v>0</v>
      </c>
      <c r="P313" s="35">
        <v>0</v>
      </c>
      <c r="R313" s="37">
        <f t="shared" si="91"/>
        <v>63600</v>
      </c>
      <c r="X313" s="28"/>
      <c r="Y313" s="28"/>
    </row>
    <row r="314" spans="1:25" s="4" customFormat="1">
      <c r="A314" s="41"/>
      <c r="B314" s="20" t="s">
        <v>52</v>
      </c>
      <c r="C314" s="42">
        <v>2025</v>
      </c>
      <c r="D314" s="19" t="s">
        <v>203</v>
      </c>
      <c r="E314" s="3" t="s">
        <v>500</v>
      </c>
      <c r="F314" s="1">
        <v>0</v>
      </c>
      <c r="G314" s="32">
        <v>0</v>
      </c>
      <c r="H314" s="33">
        <f t="shared" si="77"/>
        <v>0</v>
      </c>
      <c r="I314" s="34"/>
      <c r="J314" s="35">
        <v>0</v>
      </c>
      <c r="K314" s="36">
        <v>0</v>
      </c>
      <c r="L314" s="35">
        <v>0</v>
      </c>
      <c r="M314" s="35">
        <v>0</v>
      </c>
      <c r="N314" s="35">
        <v>-50000</v>
      </c>
      <c r="O314" s="35">
        <v>0</v>
      </c>
      <c r="P314" s="35">
        <v>0</v>
      </c>
      <c r="R314" s="37">
        <f t="shared" si="91"/>
        <v>50000</v>
      </c>
      <c r="X314" s="28"/>
      <c r="Y314" s="28"/>
    </row>
    <row r="315" spans="1:25" s="4" customFormat="1">
      <c r="A315" s="41"/>
      <c r="B315" s="20" t="s">
        <v>52</v>
      </c>
      <c r="C315" s="42">
        <v>2025</v>
      </c>
      <c r="D315" s="19" t="s">
        <v>459</v>
      </c>
      <c r="E315" s="3" t="s">
        <v>501</v>
      </c>
      <c r="F315" s="1">
        <v>0</v>
      </c>
      <c r="G315" s="32">
        <v>0</v>
      </c>
      <c r="H315" s="33">
        <f t="shared" si="77"/>
        <v>0</v>
      </c>
      <c r="I315" s="34"/>
      <c r="J315" s="35">
        <v>0</v>
      </c>
      <c r="K315" s="36">
        <v>0</v>
      </c>
      <c r="L315" s="35">
        <v>0</v>
      </c>
      <c r="M315" s="35">
        <v>0</v>
      </c>
      <c r="N315" s="35">
        <v>-243982</v>
      </c>
      <c r="O315" s="35">
        <v>0</v>
      </c>
      <c r="P315" s="35">
        <v>0</v>
      </c>
      <c r="R315" s="37">
        <f t="shared" si="81"/>
        <v>243982</v>
      </c>
      <c r="X315" s="28"/>
      <c r="Y315" s="28"/>
    </row>
    <row r="316" spans="1:25" s="4" customFormat="1">
      <c r="A316" s="41"/>
      <c r="B316" s="20" t="s">
        <v>52</v>
      </c>
      <c r="C316" s="42">
        <v>2025</v>
      </c>
      <c r="D316" s="19" t="s">
        <v>505</v>
      </c>
      <c r="E316" s="3" t="s">
        <v>727</v>
      </c>
      <c r="F316" s="1">
        <v>0</v>
      </c>
      <c r="G316" s="32">
        <v>0</v>
      </c>
      <c r="H316" s="33">
        <f t="shared" si="77"/>
        <v>0</v>
      </c>
      <c r="I316" s="34"/>
      <c r="J316" s="35">
        <v>0</v>
      </c>
      <c r="K316" s="36">
        <v>0</v>
      </c>
      <c r="L316" s="35">
        <v>0</v>
      </c>
      <c r="M316" s="35">
        <v>0</v>
      </c>
      <c r="N316" s="35">
        <v>-120000</v>
      </c>
      <c r="O316" s="35">
        <v>0</v>
      </c>
      <c r="P316" s="35">
        <v>0</v>
      </c>
      <c r="R316" s="37">
        <f t="shared" ref="R316:R317" si="92">F316-J316-K316-L316-M316-N316-O316</f>
        <v>120000</v>
      </c>
      <c r="X316" s="28"/>
      <c r="Y316" s="28"/>
    </row>
    <row r="317" spans="1:25" s="4" customFormat="1">
      <c r="A317" s="41"/>
      <c r="B317" s="20" t="s">
        <v>52</v>
      </c>
      <c r="C317" s="42">
        <v>2025</v>
      </c>
      <c r="D317" s="19" t="s">
        <v>505</v>
      </c>
      <c r="E317" s="3" t="s">
        <v>728</v>
      </c>
      <c r="F317" s="1">
        <v>0</v>
      </c>
      <c r="G317" s="32">
        <v>0</v>
      </c>
      <c r="H317" s="33">
        <f t="shared" si="77"/>
        <v>0</v>
      </c>
      <c r="I317" s="34"/>
      <c r="J317" s="35">
        <v>0</v>
      </c>
      <c r="K317" s="36">
        <v>0</v>
      </c>
      <c r="L317" s="35">
        <v>0</v>
      </c>
      <c r="M317" s="35">
        <v>0</v>
      </c>
      <c r="N317" s="35">
        <v>-345000</v>
      </c>
      <c r="O317" s="35">
        <v>0</v>
      </c>
      <c r="P317" s="35">
        <v>0</v>
      </c>
      <c r="R317" s="37">
        <f t="shared" si="92"/>
        <v>345000</v>
      </c>
      <c r="X317" s="28"/>
      <c r="Y317" s="28"/>
    </row>
    <row r="318" spans="1:25" s="4" customFormat="1">
      <c r="A318" s="41"/>
      <c r="B318" s="20" t="s">
        <v>52</v>
      </c>
      <c r="C318" s="42">
        <v>2025</v>
      </c>
      <c r="D318" s="19" t="s">
        <v>462</v>
      </c>
      <c r="E318" s="3" t="s">
        <v>729</v>
      </c>
      <c r="F318" s="1">
        <v>0</v>
      </c>
      <c r="G318" s="32">
        <v>0</v>
      </c>
      <c r="H318" s="33">
        <f t="shared" si="77"/>
        <v>0</v>
      </c>
      <c r="I318" s="34"/>
      <c r="J318" s="35">
        <v>0</v>
      </c>
      <c r="K318" s="36">
        <v>0</v>
      </c>
      <c r="L318" s="35">
        <v>0</v>
      </c>
      <c r="M318" s="35">
        <v>0</v>
      </c>
      <c r="N318" s="35">
        <v>-153000</v>
      </c>
      <c r="O318" s="35">
        <v>0</v>
      </c>
      <c r="P318" s="35">
        <v>0</v>
      </c>
      <c r="R318" s="37">
        <f t="shared" si="81"/>
        <v>153000</v>
      </c>
      <c r="X318" s="28"/>
      <c r="Y318" s="28"/>
    </row>
    <row r="319" spans="1:25" s="4" customFormat="1">
      <c r="A319" s="41"/>
      <c r="B319" s="20" t="s">
        <v>52</v>
      </c>
      <c r="C319" s="42">
        <v>2025</v>
      </c>
      <c r="D319" s="19" t="s">
        <v>505</v>
      </c>
      <c r="E319" s="3" t="s">
        <v>730</v>
      </c>
      <c r="F319" s="1">
        <v>0</v>
      </c>
      <c r="G319" s="32">
        <v>0</v>
      </c>
      <c r="H319" s="33">
        <f t="shared" si="77"/>
        <v>0</v>
      </c>
      <c r="I319" s="34"/>
      <c r="J319" s="35">
        <v>0</v>
      </c>
      <c r="K319" s="36">
        <v>0</v>
      </c>
      <c r="L319" s="35">
        <v>0</v>
      </c>
      <c r="M319" s="35">
        <v>0</v>
      </c>
      <c r="N319" s="35">
        <v>-125000</v>
      </c>
      <c r="O319" s="35">
        <v>0</v>
      </c>
      <c r="P319" s="35">
        <v>0</v>
      </c>
      <c r="R319" s="37">
        <f t="shared" ref="R319" si="93">F319-J319-K319-L319-M319-N319-O319</f>
        <v>125000</v>
      </c>
      <c r="X319" s="28"/>
      <c r="Y319" s="28"/>
    </row>
    <row r="320" spans="1:25" s="4" customFormat="1">
      <c r="A320" s="41"/>
      <c r="B320" s="20" t="s">
        <v>52</v>
      </c>
      <c r="C320" s="42">
        <v>2025</v>
      </c>
      <c r="D320" s="19" t="s">
        <v>505</v>
      </c>
      <c r="E320" s="3" t="s">
        <v>731</v>
      </c>
      <c r="F320" s="1">
        <v>0</v>
      </c>
      <c r="G320" s="32">
        <v>0</v>
      </c>
      <c r="H320" s="33">
        <f t="shared" si="77"/>
        <v>0</v>
      </c>
      <c r="I320" s="34"/>
      <c r="J320" s="35">
        <v>0</v>
      </c>
      <c r="K320" s="36">
        <v>0</v>
      </c>
      <c r="L320" s="35">
        <v>0</v>
      </c>
      <c r="M320" s="35">
        <v>0</v>
      </c>
      <c r="N320" s="36">
        <v>-274300</v>
      </c>
      <c r="O320" s="35">
        <v>0</v>
      </c>
      <c r="P320" s="35">
        <v>0</v>
      </c>
      <c r="R320" s="37">
        <f t="shared" ref="R320:R323" si="94">F320-J320-K320-L320-M320-N320-O320</f>
        <v>274300</v>
      </c>
      <c r="X320" s="28"/>
      <c r="Y320" s="28"/>
    </row>
    <row r="321" spans="1:25" s="4" customFormat="1">
      <c r="A321" s="41"/>
      <c r="B321" s="20" t="s">
        <v>52</v>
      </c>
      <c r="C321" s="42">
        <v>2025</v>
      </c>
      <c r="D321" s="19" t="s">
        <v>505</v>
      </c>
      <c r="E321" s="3" t="s">
        <v>732</v>
      </c>
      <c r="F321" s="1">
        <v>0</v>
      </c>
      <c r="G321" s="32">
        <v>0</v>
      </c>
      <c r="H321" s="33">
        <f t="shared" si="77"/>
        <v>0</v>
      </c>
      <c r="I321" s="34"/>
      <c r="J321" s="35">
        <v>0</v>
      </c>
      <c r="K321" s="36">
        <v>0</v>
      </c>
      <c r="L321" s="35">
        <v>0</v>
      </c>
      <c r="M321" s="35">
        <v>0</v>
      </c>
      <c r="N321" s="35">
        <v>-200000</v>
      </c>
      <c r="O321" s="35">
        <v>0</v>
      </c>
      <c r="P321" s="35">
        <v>0</v>
      </c>
      <c r="R321" s="37">
        <f t="shared" si="94"/>
        <v>200000</v>
      </c>
      <c r="X321" s="28"/>
      <c r="Y321" s="28"/>
    </row>
    <row r="322" spans="1:25" s="4" customFormat="1">
      <c r="A322" s="41"/>
      <c r="B322" s="20" t="s">
        <v>52</v>
      </c>
      <c r="C322" s="42">
        <v>2025</v>
      </c>
      <c r="D322" s="19" t="s">
        <v>505</v>
      </c>
      <c r="E322" s="3" t="s">
        <v>733</v>
      </c>
      <c r="F322" s="1">
        <v>0</v>
      </c>
      <c r="G322" s="32">
        <v>0</v>
      </c>
      <c r="H322" s="33">
        <f t="shared" si="77"/>
        <v>0</v>
      </c>
      <c r="I322" s="34"/>
      <c r="J322" s="35">
        <v>0</v>
      </c>
      <c r="K322" s="36">
        <v>0</v>
      </c>
      <c r="L322" s="35">
        <v>0</v>
      </c>
      <c r="M322" s="35">
        <v>0</v>
      </c>
      <c r="N322" s="35">
        <v>-40000</v>
      </c>
      <c r="O322" s="35">
        <v>0</v>
      </c>
      <c r="P322" s="35">
        <v>0</v>
      </c>
      <c r="R322" s="37">
        <f t="shared" si="94"/>
        <v>40000</v>
      </c>
      <c r="X322" s="28"/>
      <c r="Y322" s="28"/>
    </row>
    <row r="323" spans="1:25" s="4" customFormat="1">
      <c r="A323" s="41"/>
      <c r="B323" s="20" t="s">
        <v>52</v>
      </c>
      <c r="C323" s="42">
        <v>2025</v>
      </c>
      <c r="D323" s="19" t="s">
        <v>505</v>
      </c>
      <c r="E323" s="3" t="s">
        <v>910</v>
      </c>
      <c r="F323" s="1">
        <v>0</v>
      </c>
      <c r="G323" s="32">
        <v>0</v>
      </c>
      <c r="H323" s="33">
        <f t="shared" si="77"/>
        <v>0</v>
      </c>
      <c r="I323" s="34"/>
      <c r="J323" s="35">
        <v>0</v>
      </c>
      <c r="K323" s="36">
        <v>0</v>
      </c>
      <c r="L323" s="35">
        <v>0</v>
      </c>
      <c r="M323" s="35">
        <v>0</v>
      </c>
      <c r="N323" s="35">
        <v>-130834</v>
      </c>
      <c r="O323" s="35">
        <v>0</v>
      </c>
      <c r="P323" s="35">
        <v>0</v>
      </c>
      <c r="R323" s="37">
        <f t="shared" si="94"/>
        <v>130834</v>
      </c>
      <c r="X323" s="28"/>
      <c r="Y323" s="28"/>
    </row>
    <row r="324" spans="1:25" s="4" customFormat="1">
      <c r="A324" s="41"/>
      <c r="B324" s="20" t="s">
        <v>52</v>
      </c>
      <c r="C324" s="42">
        <v>2025</v>
      </c>
      <c r="D324" s="19" t="s">
        <v>90</v>
      </c>
      <c r="E324" s="3" t="s">
        <v>95</v>
      </c>
      <c r="F324" s="1">
        <v>0</v>
      </c>
      <c r="G324" s="32">
        <v>0</v>
      </c>
      <c r="H324" s="33">
        <f t="shared" si="77"/>
        <v>0</v>
      </c>
      <c r="I324" s="34"/>
      <c r="J324" s="35">
        <v>0</v>
      </c>
      <c r="K324" s="36">
        <v>0</v>
      </c>
      <c r="L324" s="35">
        <v>0</v>
      </c>
      <c r="M324" s="35">
        <v>0</v>
      </c>
      <c r="N324" s="35">
        <v>0</v>
      </c>
      <c r="O324" s="35">
        <v>-942405</v>
      </c>
      <c r="P324" s="35">
        <v>0</v>
      </c>
      <c r="R324" s="37">
        <f t="shared" ref="R324" si="95">F324-J324-K324-L324-M324-N324-O324</f>
        <v>942405</v>
      </c>
      <c r="X324" s="28"/>
      <c r="Y324" s="28"/>
    </row>
    <row r="325" spans="1:25" s="4" customFormat="1">
      <c r="A325" s="41"/>
      <c r="B325" s="20" t="s">
        <v>52</v>
      </c>
      <c r="C325" s="42">
        <v>2025</v>
      </c>
      <c r="D325" s="19" t="s">
        <v>90</v>
      </c>
      <c r="E325" s="3" t="s">
        <v>96</v>
      </c>
      <c r="F325" s="1">
        <v>0</v>
      </c>
      <c r="G325" s="32">
        <v>0</v>
      </c>
      <c r="H325" s="33">
        <f t="shared" ref="H325:H388" si="96">G325*$H$4/$E$999</f>
        <v>0</v>
      </c>
      <c r="I325" s="34"/>
      <c r="J325" s="35">
        <v>0</v>
      </c>
      <c r="K325" s="36">
        <v>0</v>
      </c>
      <c r="L325" s="35">
        <v>0</v>
      </c>
      <c r="M325" s="35">
        <v>0</v>
      </c>
      <c r="N325" s="35">
        <v>0</v>
      </c>
      <c r="O325" s="35">
        <v>-1405700</v>
      </c>
      <c r="P325" s="35">
        <v>0</v>
      </c>
      <c r="R325" s="37">
        <f t="shared" ref="R325:R341" si="97">F325-J325-K325-L325-M325-N325-O325</f>
        <v>1405700</v>
      </c>
      <c r="X325" s="28"/>
      <c r="Y325" s="28"/>
    </row>
    <row r="326" spans="1:25" s="4" customFormat="1">
      <c r="A326" s="41"/>
      <c r="B326" s="20" t="s">
        <v>52</v>
      </c>
      <c r="C326" s="42">
        <v>2025</v>
      </c>
      <c r="D326" s="19" t="s">
        <v>90</v>
      </c>
      <c r="E326" s="3" t="s">
        <v>97</v>
      </c>
      <c r="F326" s="1">
        <v>0</v>
      </c>
      <c r="G326" s="32">
        <v>0</v>
      </c>
      <c r="H326" s="33">
        <f t="shared" si="96"/>
        <v>0</v>
      </c>
      <c r="I326" s="34"/>
      <c r="J326" s="35">
        <v>0</v>
      </c>
      <c r="K326" s="36">
        <v>0</v>
      </c>
      <c r="L326" s="35">
        <v>0</v>
      </c>
      <c r="M326" s="35">
        <v>0</v>
      </c>
      <c r="N326" s="35">
        <v>0</v>
      </c>
      <c r="O326" s="35">
        <v>-1463600</v>
      </c>
      <c r="P326" s="35">
        <v>0</v>
      </c>
      <c r="R326" s="37">
        <f t="shared" si="97"/>
        <v>1463600</v>
      </c>
      <c r="X326" s="28"/>
      <c r="Y326" s="28"/>
    </row>
    <row r="327" spans="1:25" s="4" customFormat="1">
      <c r="A327" s="41"/>
      <c r="B327" s="20" t="s">
        <v>52</v>
      </c>
      <c r="C327" s="42">
        <v>2025</v>
      </c>
      <c r="D327" s="19" t="s">
        <v>90</v>
      </c>
      <c r="E327" s="3" t="s">
        <v>98</v>
      </c>
      <c r="F327" s="1">
        <v>0</v>
      </c>
      <c r="G327" s="32">
        <v>0</v>
      </c>
      <c r="H327" s="33">
        <f t="shared" si="96"/>
        <v>0</v>
      </c>
      <c r="I327" s="34"/>
      <c r="J327" s="35">
        <v>0</v>
      </c>
      <c r="K327" s="36">
        <v>0</v>
      </c>
      <c r="L327" s="35">
        <v>0</v>
      </c>
      <c r="M327" s="35">
        <v>0</v>
      </c>
      <c r="N327" s="35">
        <v>0</v>
      </c>
      <c r="O327" s="35">
        <v>-1975100</v>
      </c>
      <c r="P327" s="35">
        <v>0</v>
      </c>
      <c r="R327" s="37">
        <f t="shared" si="97"/>
        <v>1975100</v>
      </c>
      <c r="X327" s="28"/>
      <c r="Y327" s="28"/>
    </row>
    <row r="328" spans="1:25" s="4" customFormat="1">
      <c r="A328" s="41"/>
      <c r="B328" s="20" t="s">
        <v>52</v>
      </c>
      <c r="C328" s="42">
        <v>2025</v>
      </c>
      <c r="D328" s="19" t="s">
        <v>90</v>
      </c>
      <c r="E328" s="3" t="s">
        <v>99</v>
      </c>
      <c r="F328" s="1">
        <v>0</v>
      </c>
      <c r="G328" s="32">
        <v>0</v>
      </c>
      <c r="H328" s="33">
        <f t="shared" si="96"/>
        <v>0</v>
      </c>
      <c r="I328" s="34"/>
      <c r="J328" s="35">
        <v>0</v>
      </c>
      <c r="K328" s="36">
        <v>0</v>
      </c>
      <c r="L328" s="35">
        <v>0</v>
      </c>
      <c r="M328" s="35">
        <v>0</v>
      </c>
      <c r="N328" s="35">
        <v>0</v>
      </c>
      <c r="O328" s="35">
        <v>-5000000</v>
      </c>
      <c r="P328" s="35">
        <v>0</v>
      </c>
      <c r="R328" s="37">
        <f t="shared" si="97"/>
        <v>5000000</v>
      </c>
      <c r="X328" s="28"/>
      <c r="Y328" s="28"/>
    </row>
    <row r="329" spans="1:25" s="4" customFormat="1">
      <c r="A329" s="41"/>
      <c r="B329" s="20" t="s">
        <v>52</v>
      </c>
      <c r="C329" s="42">
        <v>2025</v>
      </c>
      <c r="D329" s="19" t="s">
        <v>90</v>
      </c>
      <c r="E329" s="3" t="s">
        <v>100</v>
      </c>
      <c r="F329" s="1">
        <v>0</v>
      </c>
      <c r="G329" s="32">
        <v>0</v>
      </c>
      <c r="H329" s="33">
        <f t="shared" si="96"/>
        <v>0</v>
      </c>
      <c r="I329" s="34"/>
      <c r="J329" s="35">
        <v>0</v>
      </c>
      <c r="K329" s="36">
        <v>0</v>
      </c>
      <c r="L329" s="35">
        <v>0</v>
      </c>
      <c r="M329" s="35">
        <v>0</v>
      </c>
      <c r="N329" s="35">
        <v>0</v>
      </c>
      <c r="O329" s="35">
        <v>-1012455</v>
      </c>
      <c r="P329" s="35">
        <v>0</v>
      </c>
      <c r="R329" s="37">
        <f t="shared" si="97"/>
        <v>1012455</v>
      </c>
      <c r="X329" s="28"/>
      <c r="Y329" s="28"/>
    </row>
    <row r="330" spans="1:25" s="4" customFormat="1">
      <c r="A330" s="41"/>
      <c r="B330" s="20" t="s">
        <v>52</v>
      </c>
      <c r="C330" s="42">
        <v>2025</v>
      </c>
      <c r="D330" s="19" t="s">
        <v>90</v>
      </c>
      <c r="E330" s="3" t="s">
        <v>101</v>
      </c>
      <c r="F330" s="1">
        <v>0</v>
      </c>
      <c r="G330" s="32">
        <v>0</v>
      </c>
      <c r="H330" s="33">
        <f t="shared" si="96"/>
        <v>0</v>
      </c>
      <c r="I330" s="34"/>
      <c r="J330" s="35">
        <v>0</v>
      </c>
      <c r="K330" s="36">
        <v>0</v>
      </c>
      <c r="L330" s="35">
        <v>0</v>
      </c>
      <c r="M330" s="35">
        <v>0</v>
      </c>
      <c r="N330" s="35">
        <v>0</v>
      </c>
      <c r="O330" s="35">
        <v>-1140800</v>
      </c>
      <c r="P330" s="35">
        <v>0</v>
      </c>
      <c r="R330" s="37">
        <f t="shared" si="97"/>
        <v>1140800</v>
      </c>
      <c r="X330" s="28"/>
      <c r="Y330" s="28"/>
    </row>
    <row r="331" spans="1:25" s="4" customFormat="1">
      <c r="A331" s="41"/>
      <c r="B331" s="20" t="s">
        <v>52</v>
      </c>
      <c r="C331" s="42">
        <v>2025</v>
      </c>
      <c r="D331" s="19" t="s">
        <v>90</v>
      </c>
      <c r="E331" s="3" t="s">
        <v>102</v>
      </c>
      <c r="F331" s="1">
        <v>0</v>
      </c>
      <c r="G331" s="32">
        <v>0</v>
      </c>
      <c r="H331" s="33">
        <f t="shared" si="96"/>
        <v>0</v>
      </c>
      <c r="I331" s="34"/>
      <c r="J331" s="35">
        <v>0</v>
      </c>
      <c r="K331" s="36">
        <v>0</v>
      </c>
      <c r="L331" s="35">
        <v>0</v>
      </c>
      <c r="M331" s="35">
        <v>0</v>
      </c>
      <c r="N331" s="35">
        <v>0</v>
      </c>
      <c r="O331" s="35">
        <v>-959700</v>
      </c>
      <c r="P331" s="35">
        <v>0</v>
      </c>
      <c r="R331" s="37">
        <f t="shared" si="97"/>
        <v>959700</v>
      </c>
      <c r="X331" s="28"/>
      <c r="Y331" s="28"/>
    </row>
    <row r="332" spans="1:25" s="4" customFormat="1">
      <c r="A332" s="41"/>
      <c r="B332" s="20" t="s">
        <v>52</v>
      </c>
      <c r="C332" s="42">
        <v>2025</v>
      </c>
      <c r="D332" s="19" t="s">
        <v>104</v>
      </c>
      <c r="E332" s="3" t="s">
        <v>103</v>
      </c>
      <c r="F332" s="1">
        <v>0</v>
      </c>
      <c r="G332" s="32">
        <v>0</v>
      </c>
      <c r="H332" s="33">
        <f t="shared" si="96"/>
        <v>0</v>
      </c>
      <c r="I332" s="34"/>
      <c r="J332" s="35">
        <v>0</v>
      </c>
      <c r="K332" s="36">
        <v>0</v>
      </c>
      <c r="L332" s="35">
        <v>0</v>
      </c>
      <c r="M332" s="35">
        <v>0</v>
      </c>
      <c r="N332" s="35">
        <v>0</v>
      </c>
      <c r="O332" s="35">
        <v>-1410747</v>
      </c>
      <c r="P332" s="35">
        <v>0</v>
      </c>
      <c r="R332" s="37">
        <f t="shared" si="97"/>
        <v>1410747</v>
      </c>
      <c r="X332" s="28"/>
      <c r="Y332" s="28"/>
    </row>
    <row r="333" spans="1:25" s="4" customFormat="1">
      <c r="A333" s="41"/>
      <c r="B333" s="20" t="s">
        <v>52</v>
      </c>
      <c r="C333" s="42">
        <v>2025</v>
      </c>
      <c r="D333" s="19" t="s">
        <v>104</v>
      </c>
      <c r="E333" s="3" t="s">
        <v>105</v>
      </c>
      <c r="F333" s="1">
        <v>0</v>
      </c>
      <c r="G333" s="32">
        <v>0</v>
      </c>
      <c r="H333" s="33">
        <f t="shared" si="96"/>
        <v>0</v>
      </c>
      <c r="I333" s="34"/>
      <c r="J333" s="35">
        <v>0</v>
      </c>
      <c r="K333" s="36">
        <v>0</v>
      </c>
      <c r="L333" s="35">
        <v>0</v>
      </c>
      <c r="M333" s="35">
        <v>0</v>
      </c>
      <c r="N333" s="35">
        <v>0</v>
      </c>
      <c r="O333" s="35">
        <v>-1514930</v>
      </c>
      <c r="P333" s="35">
        <v>0</v>
      </c>
      <c r="R333" s="37">
        <f t="shared" si="97"/>
        <v>1514930</v>
      </c>
      <c r="X333" s="28"/>
      <c r="Y333" s="28"/>
    </row>
    <row r="334" spans="1:25" s="4" customFormat="1">
      <c r="A334" s="41"/>
      <c r="B334" s="20" t="s">
        <v>52</v>
      </c>
      <c r="C334" s="42">
        <v>2025</v>
      </c>
      <c r="D334" s="19" t="s">
        <v>104</v>
      </c>
      <c r="E334" s="3" t="s">
        <v>106</v>
      </c>
      <c r="F334" s="1">
        <v>0</v>
      </c>
      <c r="G334" s="32">
        <v>0</v>
      </c>
      <c r="H334" s="33">
        <f t="shared" si="96"/>
        <v>0</v>
      </c>
      <c r="I334" s="34"/>
      <c r="J334" s="35">
        <v>0</v>
      </c>
      <c r="K334" s="36">
        <v>0</v>
      </c>
      <c r="L334" s="35">
        <v>0</v>
      </c>
      <c r="M334" s="35">
        <v>0</v>
      </c>
      <c r="N334" s="35">
        <v>0</v>
      </c>
      <c r="O334" s="35">
        <v>-1646566</v>
      </c>
      <c r="P334" s="35">
        <v>0</v>
      </c>
      <c r="R334" s="37">
        <f t="shared" si="97"/>
        <v>1646566</v>
      </c>
      <c r="X334" s="28"/>
      <c r="Y334" s="28"/>
    </row>
    <row r="335" spans="1:25" s="4" customFormat="1">
      <c r="A335" s="41"/>
      <c r="B335" s="20" t="s">
        <v>52</v>
      </c>
      <c r="C335" s="42">
        <v>2025</v>
      </c>
      <c r="D335" s="19" t="s">
        <v>104</v>
      </c>
      <c r="E335" s="3" t="s">
        <v>107</v>
      </c>
      <c r="F335" s="1">
        <v>0</v>
      </c>
      <c r="G335" s="32">
        <v>0</v>
      </c>
      <c r="H335" s="33">
        <f t="shared" si="96"/>
        <v>0</v>
      </c>
      <c r="I335" s="34"/>
      <c r="J335" s="35">
        <v>0</v>
      </c>
      <c r="K335" s="36">
        <v>0</v>
      </c>
      <c r="L335" s="35">
        <v>0</v>
      </c>
      <c r="M335" s="35">
        <v>0</v>
      </c>
      <c r="N335" s="35">
        <v>0</v>
      </c>
      <c r="O335" s="35">
        <v>-1439183</v>
      </c>
      <c r="P335" s="35">
        <v>0</v>
      </c>
      <c r="R335" s="37">
        <f t="shared" si="97"/>
        <v>1439183</v>
      </c>
      <c r="X335" s="28"/>
      <c r="Y335" s="28"/>
    </row>
    <row r="336" spans="1:25" s="4" customFormat="1">
      <c r="A336" s="41"/>
      <c r="B336" s="20" t="s">
        <v>52</v>
      </c>
      <c r="C336" s="42">
        <v>2025</v>
      </c>
      <c r="D336" s="19" t="s">
        <v>104</v>
      </c>
      <c r="E336" s="3" t="s">
        <v>108</v>
      </c>
      <c r="F336" s="1">
        <v>0</v>
      </c>
      <c r="G336" s="32">
        <v>0</v>
      </c>
      <c r="H336" s="33">
        <f t="shared" si="96"/>
        <v>0</v>
      </c>
      <c r="I336" s="34"/>
      <c r="J336" s="35">
        <v>0</v>
      </c>
      <c r="K336" s="36">
        <v>0</v>
      </c>
      <c r="L336" s="35">
        <v>0</v>
      </c>
      <c r="M336" s="35">
        <v>0</v>
      </c>
      <c r="N336" s="35">
        <v>0</v>
      </c>
      <c r="O336" s="35">
        <v>-1048300</v>
      </c>
      <c r="P336" s="35">
        <v>0</v>
      </c>
      <c r="R336" s="37">
        <f t="shared" si="97"/>
        <v>1048300</v>
      </c>
      <c r="X336" s="28"/>
      <c r="Y336" s="28"/>
    </row>
    <row r="337" spans="1:25" s="4" customFormat="1">
      <c r="A337" s="41"/>
      <c r="B337" s="20" t="s">
        <v>52</v>
      </c>
      <c r="C337" s="42">
        <v>2025</v>
      </c>
      <c r="D337" s="19" t="s">
        <v>104</v>
      </c>
      <c r="E337" s="3" t="s">
        <v>109</v>
      </c>
      <c r="F337" s="1">
        <v>0</v>
      </c>
      <c r="G337" s="32">
        <v>0</v>
      </c>
      <c r="H337" s="33">
        <f t="shared" si="96"/>
        <v>0</v>
      </c>
      <c r="I337" s="34"/>
      <c r="J337" s="35">
        <v>0</v>
      </c>
      <c r="K337" s="36">
        <v>0</v>
      </c>
      <c r="L337" s="35">
        <v>0</v>
      </c>
      <c r="M337" s="35">
        <v>0</v>
      </c>
      <c r="N337" s="35">
        <v>0</v>
      </c>
      <c r="O337" s="35">
        <v>-1374605</v>
      </c>
      <c r="P337" s="35">
        <v>0</v>
      </c>
      <c r="R337" s="37">
        <f t="shared" si="97"/>
        <v>1374605</v>
      </c>
      <c r="X337" s="28"/>
      <c r="Y337" s="28"/>
    </row>
    <row r="338" spans="1:25" s="4" customFormat="1">
      <c r="A338" s="41"/>
      <c r="B338" s="20" t="s">
        <v>52</v>
      </c>
      <c r="C338" s="42">
        <v>2025</v>
      </c>
      <c r="D338" s="19" t="s">
        <v>104</v>
      </c>
      <c r="E338" s="3" t="s">
        <v>787</v>
      </c>
      <c r="F338" s="1">
        <v>0</v>
      </c>
      <c r="G338" s="32">
        <v>0</v>
      </c>
      <c r="H338" s="33">
        <f t="shared" si="96"/>
        <v>0</v>
      </c>
      <c r="I338" s="34"/>
      <c r="J338" s="35">
        <v>0</v>
      </c>
      <c r="K338" s="36">
        <v>0</v>
      </c>
      <c r="L338" s="35">
        <v>0</v>
      </c>
      <c r="M338" s="35">
        <v>0</v>
      </c>
      <c r="N338" s="35">
        <v>0</v>
      </c>
      <c r="O338" s="35">
        <v>-3316000</v>
      </c>
      <c r="P338" s="35">
        <v>0</v>
      </c>
      <c r="R338" s="37">
        <f t="shared" si="97"/>
        <v>3316000</v>
      </c>
      <c r="X338" s="28"/>
      <c r="Y338" s="28"/>
    </row>
    <row r="339" spans="1:25" s="4" customFormat="1">
      <c r="A339" s="41"/>
      <c r="B339" s="20" t="s">
        <v>52</v>
      </c>
      <c r="C339" s="42">
        <v>2025</v>
      </c>
      <c r="D339" s="19" t="s">
        <v>104</v>
      </c>
      <c r="E339" s="3" t="s">
        <v>853</v>
      </c>
      <c r="F339" s="1">
        <v>0</v>
      </c>
      <c r="G339" s="32">
        <v>0</v>
      </c>
      <c r="H339" s="33">
        <f t="shared" si="96"/>
        <v>0</v>
      </c>
      <c r="I339" s="34"/>
      <c r="J339" s="35">
        <v>0</v>
      </c>
      <c r="K339" s="36">
        <v>0</v>
      </c>
      <c r="L339" s="35">
        <v>0</v>
      </c>
      <c r="M339" s="35">
        <v>0</v>
      </c>
      <c r="N339" s="35">
        <v>0</v>
      </c>
      <c r="O339" s="35">
        <v>-3626000</v>
      </c>
      <c r="P339" s="35">
        <v>0</v>
      </c>
      <c r="R339" s="37">
        <f t="shared" si="97"/>
        <v>3626000</v>
      </c>
      <c r="X339" s="28"/>
      <c r="Y339" s="28"/>
    </row>
    <row r="340" spans="1:25" s="4" customFormat="1">
      <c r="A340" s="41"/>
      <c r="B340" s="20" t="s">
        <v>52</v>
      </c>
      <c r="C340" s="42">
        <v>2025</v>
      </c>
      <c r="D340" s="19" t="s">
        <v>104</v>
      </c>
      <c r="E340" s="3" t="s">
        <v>110</v>
      </c>
      <c r="F340" s="1">
        <v>0</v>
      </c>
      <c r="G340" s="32">
        <v>0</v>
      </c>
      <c r="H340" s="33">
        <f t="shared" si="96"/>
        <v>0</v>
      </c>
      <c r="I340" s="34"/>
      <c r="J340" s="35">
        <v>0</v>
      </c>
      <c r="K340" s="36">
        <v>0</v>
      </c>
      <c r="L340" s="35">
        <v>0</v>
      </c>
      <c r="M340" s="35">
        <v>0</v>
      </c>
      <c r="N340" s="35">
        <v>0</v>
      </c>
      <c r="O340" s="35">
        <v>-1628805</v>
      </c>
      <c r="P340" s="35">
        <v>0</v>
      </c>
      <c r="R340" s="37">
        <f t="shared" si="97"/>
        <v>1628805</v>
      </c>
      <c r="X340" s="28"/>
      <c r="Y340" s="28"/>
    </row>
    <row r="341" spans="1:25" s="4" customFormat="1">
      <c r="A341" s="41"/>
      <c r="B341" s="20" t="s">
        <v>52</v>
      </c>
      <c r="C341" s="42">
        <v>2025</v>
      </c>
      <c r="D341" s="19" t="s">
        <v>104</v>
      </c>
      <c r="E341" s="3" t="s">
        <v>111</v>
      </c>
      <c r="F341" s="1">
        <v>0</v>
      </c>
      <c r="G341" s="32">
        <v>0</v>
      </c>
      <c r="H341" s="33">
        <f t="shared" si="96"/>
        <v>0</v>
      </c>
      <c r="I341" s="34"/>
      <c r="J341" s="35">
        <v>0</v>
      </c>
      <c r="K341" s="36">
        <v>0</v>
      </c>
      <c r="L341" s="35">
        <v>0</v>
      </c>
      <c r="M341" s="35">
        <v>0</v>
      </c>
      <c r="N341" s="35">
        <v>0</v>
      </c>
      <c r="O341" s="35">
        <v>820219</v>
      </c>
      <c r="P341" s="35">
        <v>0</v>
      </c>
      <c r="R341" s="37">
        <f t="shared" si="97"/>
        <v>-820219</v>
      </c>
      <c r="X341" s="28"/>
      <c r="Y341" s="28"/>
    </row>
    <row r="342" spans="1:25" s="4" customFormat="1">
      <c r="A342" s="41"/>
      <c r="B342" s="20" t="s">
        <v>52</v>
      </c>
      <c r="C342" s="42">
        <v>2025</v>
      </c>
      <c r="D342" s="19" t="s">
        <v>93</v>
      </c>
      <c r="E342" s="3" t="s">
        <v>297</v>
      </c>
      <c r="F342" s="1">
        <v>0</v>
      </c>
      <c r="G342" s="32">
        <v>0</v>
      </c>
      <c r="H342" s="33">
        <f t="shared" si="96"/>
        <v>0</v>
      </c>
      <c r="I342" s="34"/>
      <c r="J342" s="35">
        <v>0</v>
      </c>
      <c r="K342" s="36">
        <v>0</v>
      </c>
      <c r="L342" s="35">
        <v>0</v>
      </c>
      <c r="M342" s="35">
        <v>0</v>
      </c>
      <c r="N342" s="35">
        <v>0</v>
      </c>
      <c r="O342" s="35">
        <v>-1488000</v>
      </c>
      <c r="P342" s="35">
        <v>0</v>
      </c>
      <c r="R342" s="37">
        <f t="shared" si="81"/>
        <v>1488000</v>
      </c>
      <c r="X342" s="28"/>
      <c r="Y342" s="28"/>
    </row>
    <row r="343" spans="1:25" s="4" customFormat="1">
      <c r="A343" s="41"/>
      <c r="B343" s="20" t="s">
        <v>52</v>
      </c>
      <c r="C343" s="42">
        <v>2025</v>
      </c>
      <c r="D343" s="19" t="s">
        <v>93</v>
      </c>
      <c r="E343" s="3" t="s">
        <v>298</v>
      </c>
      <c r="F343" s="1">
        <v>0</v>
      </c>
      <c r="G343" s="32">
        <v>0</v>
      </c>
      <c r="H343" s="33">
        <f t="shared" si="96"/>
        <v>0</v>
      </c>
      <c r="I343" s="34"/>
      <c r="J343" s="35">
        <v>0</v>
      </c>
      <c r="K343" s="36">
        <v>0</v>
      </c>
      <c r="L343" s="35">
        <v>0</v>
      </c>
      <c r="M343" s="35">
        <v>0</v>
      </c>
      <c r="N343" s="35">
        <v>0</v>
      </c>
      <c r="O343" s="35">
        <v>-1694026</v>
      </c>
      <c r="P343" s="35">
        <v>0</v>
      </c>
      <c r="R343" s="37">
        <f t="shared" si="81"/>
        <v>1694026</v>
      </c>
      <c r="X343" s="28"/>
      <c r="Y343" s="28"/>
    </row>
    <row r="344" spans="1:25" s="4" customFormat="1">
      <c r="A344" s="41"/>
      <c r="B344" s="20" t="s">
        <v>52</v>
      </c>
      <c r="C344" s="42">
        <v>2025</v>
      </c>
      <c r="D344" s="19" t="s">
        <v>93</v>
      </c>
      <c r="E344" s="3" t="s">
        <v>299</v>
      </c>
      <c r="F344" s="1">
        <v>0</v>
      </c>
      <c r="G344" s="32">
        <v>0</v>
      </c>
      <c r="H344" s="33">
        <f t="shared" si="96"/>
        <v>0</v>
      </c>
      <c r="I344" s="34"/>
      <c r="J344" s="35">
        <v>0</v>
      </c>
      <c r="K344" s="36">
        <v>0</v>
      </c>
      <c r="L344" s="35">
        <v>0</v>
      </c>
      <c r="M344" s="35">
        <v>0</v>
      </c>
      <c r="N344" s="35">
        <v>0</v>
      </c>
      <c r="O344" s="35">
        <v>-3156000</v>
      </c>
      <c r="P344" s="35">
        <v>0</v>
      </c>
      <c r="R344" s="37">
        <f t="shared" si="81"/>
        <v>3156000</v>
      </c>
      <c r="X344" s="28"/>
      <c r="Y344" s="28"/>
    </row>
    <row r="345" spans="1:25" s="4" customFormat="1">
      <c r="A345" s="41"/>
      <c r="B345" s="20" t="s">
        <v>52</v>
      </c>
      <c r="C345" s="42">
        <v>2025</v>
      </c>
      <c r="D345" s="19" t="s">
        <v>85</v>
      </c>
      <c r="E345" s="3" t="s">
        <v>300</v>
      </c>
      <c r="F345" s="1">
        <v>0</v>
      </c>
      <c r="G345" s="32">
        <v>0</v>
      </c>
      <c r="H345" s="33">
        <f t="shared" si="96"/>
        <v>0</v>
      </c>
      <c r="I345" s="34"/>
      <c r="J345" s="35">
        <v>0</v>
      </c>
      <c r="K345" s="36">
        <v>0</v>
      </c>
      <c r="L345" s="35">
        <v>0</v>
      </c>
      <c r="M345" s="35">
        <v>0</v>
      </c>
      <c r="N345" s="35">
        <v>0</v>
      </c>
      <c r="O345" s="35">
        <v>-2360900</v>
      </c>
      <c r="P345" s="35">
        <v>0</v>
      </c>
      <c r="R345" s="37">
        <f t="shared" si="81"/>
        <v>2360900</v>
      </c>
      <c r="X345" s="28"/>
      <c r="Y345" s="28"/>
    </row>
    <row r="346" spans="1:25" s="4" customFormat="1">
      <c r="A346" s="41"/>
      <c r="B346" s="20" t="s">
        <v>52</v>
      </c>
      <c r="C346" s="42">
        <v>2025</v>
      </c>
      <c r="D346" s="19" t="s">
        <v>85</v>
      </c>
      <c r="E346" s="3" t="s">
        <v>301</v>
      </c>
      <c r="F346" s="1">
        <v>0</v>
      </c>
      <c r="G346" s="32">
        <v>0</v>
      </c>
      <c r="H346" s="33">
        <f t="shared" si="96"/>
        <v>0</v>
      </c>
      <c r="I346" s="34"/>
      <c r="J346" s="35">
        <v>0</v>
      </c>
      <c r="K346" s="36">
        <v>0</v>
      </c>
      <c r="L346" s="35">
        <v>0</v>
      </c>
      <c r="M346" s="35">
        <v>0</v>
      </c>
      <c r="N346" s="35">
        <v>0</v>
      </c>
      <c r="O346" s="35">
        <v>-163152</v>
      </c>
      <c r="P346" s="35">
        <v>0</v>
      </c>
      <c r="R346" s="37">
        <f t="shared" si="81"/>
        <v>163152</v>
      </c>
      <c r="X346" s="28"/>
      <c r="Y346" s="28"/>
    </row>
    <row r="347" spans="1:25" s="4" customFormat="1">
      <c r="A347" s="41"/>
      <c r="B347" s="20" t="s">
        <v>52</v>
      </c>
      <c r="C347" s="42">
        <v>2025</v>
      </c>
      <c r="D347" s="19" t="s">
        <v>85</v>
      </c>
      <c r="E347" s="3" t="s">
        <v>302</v>
      </c>
      <c r="F347" s="1">
        <v>0</v>
      </c>
      <c r="G347" s="32">
        <v>0</v>
      </c>
      <c r="H347" s="33">
        <f t="shared" si="96"/>
        <v>0</v>
      </c>
      <c r="I347" s="34"/>
      <c r="J347" s="35">
        <v>0</v>
      </c>
      <c r="K347" s="36">
        <v>0</v>
      </c>
      <c r="L347" s="35">
        <v>0</v>
      </c>
      <c r="M347" s="35">
        <v>0</v>
      </c>
      <c r="N347" s="35">
        <v>0</v>
      </c>
      <c r="O347" s="35">
        <v>-169950</v>
      </c>
      <c r="P347" s="35">
        <v>0</v>
      </c>
      <c r="R347" s="37">
        <f t="shared" si="81"/>
        <v>169950</v>
      </c>
      <c r="X347" s="28"/>
      <c r="Y347" s="28"/>
    </row>
    <row r="348" spans="1:25" s="4" customFormat="1">
      <c r="A348" s="41"/>
      <c r="B348" s="20" t="s">
        <v>52</v>
      </c>
      <c r="C348" s="42">
        <v>2025</v>
      </c>
      <c r="D348" s="19" t="s">
        <v>85</v>
      </c>
      <c r="E348" s="3" t="s">
        <v>303</v>
      </c>
      <c r="F348" s="1">
        <v>0</v>
      </c>
      <c r="G348" s="32">
        <v>0</v>
      </c>
      <c r="H348" s="33">
        <f t="shared" si="96"/>
        <v>0</v>
      </c>
      <c r="I348" s="34"/>
      <c r="J348" s="35">
        <v>0</v>
      </c>
      <c r="K348" s="36">
        <v>0</v>
      </c>
      <c r="L348" s="35">
        <v>0</v>
      </c>
      <c r="M348" s="35">
        <v>0</v>
      </c>
      <c r="N348" s="35">
        <v>0</v>
      </c>
      <c r="O348" s="35">
        <v>-330270</v>
      </c>
      <c r="P348" s="35">
        <v>0</v>
      </c>
      <c r="R348" s="37">
        <f t="shared" si="81"/>
        <v>330270</v>
      </c>
      <c r="X348" s="28"/>
      <c r="Y348" s="28"/>
    </row>
    <row r="349" spans="1:25" s="4" customFormat="1">
      <c r="A349" s="41"/>
      <c r="B349" s="20" t="s">
        <v>52</v>
      </c>
      <c r="C349" s="42">
        <v>2025</v>
      </c>
      <c r="D349" s="19" t="s">
        <v>85</v>
      </c>
      <c r="E349" s="3" t="s">
        <v>304</v>
      </c>
      <c r="F349" s="1">
        <v>0</v>
      </c>
      <c r="G349" s="32">
        <v>0</v>
      </c>
      <c r="H349" s="33">
        <f t="shared" si="96"/>
        <v>0</v>
      </c>
      <c r="I349" s="34"/>
      <c r="J349" s="35">
        <v>0</v>
      </c>
      <c r="K349" s="36">
        <v>0</v>
      </c>
      <c r="L349" s="35">
        <v>0</v>
      </c>
      <c r="M349" s="35">
        <v>0</v>
      </c>
      <c r="N349" s="35">
        <v>0</v>
      </c>
      <c r="O349" s="35">
        <v>-339900</v>
      </c>
      <c r="P349" s="35">
        <v>0</v>
      </c>
      <c r="R349" s="37">
        <f t="shared" ref="R349" si="98">F349-J349-K349-L349-M349-N349-O349</f>
        <v>339900</v>
      </c>
      <c r="X349" s="28"/>
      <c r="Y349" s="28"/>
    </row>
    <row r="350" spans="1:25" s="4" customFormat="1">
      <c r="A350" s="41"/>
      <c r="B350" s="20" t="s">
        <v>52</v>
      </c>
      <c r="C350" s="42">
        <v>2025</v>
      </c>
      <c r="D350" s="19" t="s">
        <v>104</v>
      </c>
      <c r="E350" s="3" t="s">
        <v>305</v>
      </c>
      <c r="F350" s="1">
        <v>0</v>
      </c>
      <c r="G350" s="32">
        <v>0</v>
      </c>
      <c r="H350" s="33">
        <f t="shared" si="96"/>
        <v>0</v>
      </c>
      <c r="I350" s="34"/>
      <c r="J350" s="35">
        <v>0</v>
      </c>
      <c r="K350" s="36">
        <v>0</v>
      </c>
      <c r="L350" s="35">
        <v>0</v>
      </c>
      <c r="M350" s="35">
        <v>0</v>
      </c>
      <c r="N350" s="35">
        <v>0</v>
      </c>
      <c r="O350" s="35">
        <v>298000</v>
      </c>
      <c r="P350" s="35">
        <v>0</v>
      </c>
      <c r="R350" s="37">
        <f t="shared" ref="R350" si="99">F350-J350-K350-L350-M350-N350-O350</f>
        <v>-298000</v>
      </c>
      <c r="X350" s="28"/>
      <c r="Y350" s="28"/>
    </row>
    <row r="351" spans="1:25" s="4" customFormat="1">
      <c r="A351" s="41"/>
      <c r="B351" s="20" t="s">
        <v>52</v>
      </c>
      <c r="C351" s="42">
        <v>2025</v>
      </c>
      <c r="D351" s="19" t="s">
        <v>907</v>
      </c>
      <c r="E351" s="3" t="s">
        <v>306</v>
      </c>
      <c r="F351" s="1">
        <v>0</v>
      </c>
      <c r="G351" s="32">
        <v>0</v>
      </c>
      <c r="H351" s="33">
        <f t="shared" si="96"/>
        <v>0</v>
      </c>
      <c r="I351" s="34"/>
      <c r="J351" s="35">
        <v>0</v>
      </c>
      <c r="K351" s="36">
        <v>0</v>
      </c>
      <c r="L351" s="35">
        <v>0</v>
      </c>
      <c r="M351" s="35">
        <v>0</v>
      </c>
      <c r="N351" s="35">
        <v>0</v>
      </c>
      <c r="O351" s="35">
        <v>-411543</v>
      </c>
      <c r="P351" s="35">
        <v>0</v>
      </c>
      <c r="R351" s="37">
        <f t="shared" ref="R351:R434" si="100">F351-J351-K351-L351-M351-N351-O351</f>
        <v>411543</v>
      </c>
      <c r="X351" s="28"/>
      <c r="Y351" s="28"/>
    </row>
    <row r="352" spans="1:25" s="4" customFormat="1">
      <c r="A352" s="41"/>
      <c r="B352" s="20" t="s">
        <v>52</v>
      </c>
      <c r="C352" s="42">
        <v>2025</v>
      </c>
      <c r="D352" s="19" t="s">
        <v>907</v>
      </c>
      <c r="E352" s="3" t="s">
        <v>306</v>
      </c>
      <c r="F352" s="1">
        <v>0</v>
      </c>
      <c r="G352" s="32">
        <v>0</v>
      </c>
      <c r="H352" s="33">
        <f t="shared" si="96"/>
        <v>0</v>
      </c>
      <c r="I352" s="34"/>
      <c r="J352" s="35">
        <v>0</v>
      </c>
      <c r="K352" s="36">
        <v>0</v>
      </c>
      <c r="L352" s="35">
        <v>0</v>
      </c>
      <c r="M352" s="35">
        <v>0</v>
      </c>
      <c r="N352" s="35">
        <v>0</v>
      </c>
      <c r="O352" s="35">
        <v>-411543</v>
      </c>
      <c r="P352" s="35">
        <v>0</v>
      </c>
      <c r="R352" s="37">
        <f t="shared" si="100"/>
        <v>411543</v>
      </c>
      <c r="X352" s="28"/>
      <c r="Y352" s="28"/>
    </row>
    <row r="353" spans="1:25" s="4" customFormat="1">
      <c r="A353" s="41"/>
      <c r="B353" s="20" t="s">
        <v>52</v>
      </c>
      <c r="C353" s="42">
        <v>2025</v>
      </c>
      <c r="D353" s="19" t="s">
        <v>907</v>
      </c>
      <c r="E353" s="3" t="s">
        <v>307</v>
      </c>
      <c r="F353" s="1">
        <v>0</v>
      </c>
      <c r="G353" s="32">
        <v>0</v>
      </c>
      <c r="H353" s="33">
        <f t="shared" si="96"/>
        <v>0</v>
      </c>
      <c r="I353" s="34"/>
      <c r="J353" s="35">
        <v>0</v>
      </c>
      <c r="K353" s="36">
        <v>0</v>
      </c>
      <c r="L353" s="35">
        <v>0</v>
      </c>
      <c r="M353" s="35">
        <v>0</v>
      </c>
      <c r="N353" s="35">
        <v>0</v>
      </c>
      <c r="O353" s="35">
        <v>-718651</v>
      </c>
      <c r="P353" s="35">
        <v>0</v>
      </c>
      <c r="R353" s="37">
        <f t="shared" si="100"/>
        <v>718651</v>
      </c>
      <c r="X353" s="28"/>
      <c r="Y353" s="28"/>
    </row>
    <row r="354" spans="1:25" s="4" customFormat="1">
      <c r="A354" s="41"/>
      <c r="B354" s="20" t="s">
        <v>52</v>
      </c>
      <c r="C354" s="42">
        <v>2025</v>
      </c>
      <c r="D354" s="19" t="s">
        <v>907</v>
      </c>
      <c r="E354" s="3" t="s">
        <v>308</v>
      </c>
      <c r="F354" s="1">
        <v>0</v>
      </c>
      <c r="G354" s="32">
        <v>0</v>
      </c>
      <c r="H354" s="33">
        <f t="shared" si="96"/>
        <v>0</v>
      </c>
      <c r="I354" s="34"/>
      <c r="J354" s="35">
        <v>0</v>
      </c>
      <c r="K354" s="36">
        <v>0</v>
      </c>
      <c r="L354" s="35">
        <v>0</v>
      </c>
      <c r="M354" s="35">
        <v>0</v>
      </c>
      <c r="N354" s="35">
        <v>0</v>
      </c>
      <c r="O354" s="35">
        <v>-718651</v>
      </c>
      <c r="P354" s="35">
        <v>0</v>
      </c>
      <c r="R354" s="37">
        <f t="shared" si="100"/>
        <v>718651</v>
      </c>
      <c r="X354" s="28"/>
      <c r="Y354" s="28"/>
    </row>
    <row r="355" spans="1:25" s="4" customFormat="1">
      <c r="A355" s="41"/>
      <c r="B355" s="20" t="s">
        <v>52</v>
      </c>
      <c r="C355" s="42">
        <v>2025</v>
      </c>
      <c r="D355" s="19" t="s">
        <v>907</v>
      </c>
      <c r="E355" s="3" t="s">
        <v>309</v>
      </c>
      <c r="F355" s="1">
        <v>0</v>
      </c>
      <c r="G355" s="32">
        <v>0</v>
      </c>
      <c r="H355" s="33">
        <f t="shared" si="96"/>
        <v>0</v>
      </c>
      <c r="I355" s="34"/>
      <c r="J355" s="35">
        <v>0</v>
      </c>
      <c r="K355" s="36">
        <v>0</v>
      </c>
      <c r="L355" s="35">
        <v>0</v>
      </c>
      <c r="M355" s="35">
        <v>0</v>
      </c>
      <c r="N355" s="35">
        <v>0</v>
      </c>
      <c r="O355" s="35">
        <v>-403014</v>
      </c>
      <c r="P355" s="35">
        <v>0</v>
      </c>
      <c r="R355" s="37">
        <f t="shared" si="100"/>
        <v>403014</v>
      </c>
      <c r="X355" s="28"/>
      <c r="Y355" s="28"/>
    </row>
    <row r="356" spans="1:25" s="4" customFormat="1">
      <c r="A356" s="41"/>
      <c r="B356" s="20" t="s">
        <v>52</v>
      </c>
      <c r="C356" s="42">
        <v>2025</v>
      </c>
      <c r="D356" s="19" t="s">
        <v>907</v>
      </c>
      <c r="E356" s="3" t="s">
        <v>310</v>
      </c>
      <c r="F356" s="1">
        <v>0</v>
      </c>
      <c r="G356" s="32">
        <v>0</v>
      </c>
      <c r="H356" s="33">
        <f t="shared" si="96"/>
        <v>0</v>
      </c>
      <c r="I356" s="34"/>
      <c r="J356" s="35">
        <v>0</v>
      </c>
      <c r="K356" s="36">
        <v>0</v>
      </c>
      <c r="L356" s="35">
        <v>0</v>
      </c>
      <c r="M356" s="35">
        <v>0</v>
      </c>
      <c r="N356" s="35">
        <v>0</v>
      </c>
      <c r="O356" s="35">
        <v>-790516</v>
      </c>
      <c r="P356" s="35">
        <v>0</v>
      </c>
      <c r="R356" s="37">
        <f t="shared" si="100"/>
        <v>790516</v>
      </c>
      <c r="X356" s="28"/>
      <c r="Y356" s="28"/>
    </row>
    <row r="357" spans="1:25" s="4" customFormat="1">
      <c r="A357" s="41"/>
      <c r="B357" s="20" t="s">
        <v>52</v>
      </c>
      <c r="C357" s="42">
        <v>2025</v>
      </c>
      <c r="D357" s="19" t="s">
        <v>85</v>
      </c>
      <c r="E357" s="3" t="s">
        <v>311</v>
      </c>
      <c r="F357" s="1">
        <v>0</v>
      </c>
      <c r="G357" s="32">
        <v>0</v>
      </c>
      <c r="H357" s="33">
        <f t="shared" si="96"/>
        <v>0</v>
      </c>
      <c r="I357" s="34"/>
      <c r="J357" s="35">
        <v>0</v>
      </c>
      <c r="K357" s="36">
        <v>0</v>
      </c>
      <c r="L357" s="35">
        <v>0</v>
      </c>
      <c r="M357" s="35">
        <v>0</v>
      </c>
      <c r="N357" s="35">
        <v>0</v>
      </c>
      <c r="O357" s="35">
        <v>-3147800</v>
      </c>
      <c r="P357" s="35">
        <v>0</v>
      </c>
      <c r="R357" s="37">
        <f t="shared" si="100"/>
        <v>3147800</v>
      </c>
      <c r="X357" s="28"/>
      <c r="Y357" s="28"/>
    </row>
    <row r="358" spans="1:25" s="4" customFormat="1">
      <c r="A358" s="41"/>
      <c r="B358" s="20" t="s">
        <v>52</v>
      </c>
      <c r="C358" s="42">
        <v>2025</v>
      </c>
      <c r="D358" s="19" t="s">
        <v>85</v>
      </c>
      <c r="E358" s="3" t="s">
        <v>312</v>
      </c>
      <c r="F358" s="1">
        <v>0</v>
      </c>
      <c r="G358" s="32">
        <v>0</v>
      </c>
      <c r="H358" s="33">
        <f t="shared" si="96"/>
        <v>0</v>
      </c>
      <c r="I358" s="34"/>
      <c r="J358" s="35">
        <v>0</v>
      </c>
      <c r="K358" s="36">
        <v>0</v>
      </c>
      <c r="L358" s="35">
        <v>0</v>
      </c>
      <c r="M358" s="35">
        <v>0</v>
      </c>
      <c r="N358" s="35">
        <v>0</v>
      </c>
      <c r="O358" s="35">
        <v>-4569819</v>
      </c>
      <c r="P358" s="35">
        <v>0</v>
      </c>
      <c r="R358" s="37">
        <f t="shared" si="100"/>
        <v>4569819</v>
      </c>
      <c r="X358" s="28"/>
      <c r="Y358" s="28"/>
    </row>
    <row r="359" spans="1:25" s="4" customFormat="1">
      <c r="A359" s="41"/>
      <c r="B359" s="20" t="s">
        <v>52</v>
      </c>
      <c r="C359" s="42">
        <v>2025</v>
      </c>
      <c r="D359" s="19" t="s">
        <v>203</v>
      </c>
      <c r="E359" s="3" t="s">
        <v>313</v>
      </c>
      <c r="F359" s="1">
        <v>0</v>
      </c>
      <c r="G359" s="32">
        <v>0</v>
      </c>
      <c r="H359" s="33">
        <f t="shared" si="96"/>
        <v>0</v>
      </c>
      <c r="I359" s="34"/>
      <c r="J359" s="35">
        <v>0</v>
      </c>
      <c r="K359" s="36">
        <v>0</v>
      </c>
      <c r="L359" s="35">
        <v>0</v>
      </c>
      <c r="M359" s="35">
        <v>0</v>
      </c>
      <c r="N359" s="35">
        <v>0</v>
      </c>
      <c r="O359" s="35">
        <v>-1209000</v>
      </c>
      <c r="P359" s="35">
        <v>0</v>
      </c>
      <c r="R359" s="37">
        <f t="shared" ref="R359" si="101">F359-J359-K359-L359-M359-N359-O359</f>
        <v>1209000</v>
      </c>
      <c r="X359" s="28"/>
      <c r="Y359" s="28"/>
    </row>
    <row r="360" spans="1:25" s="4" customFormat="1">
      <c r="A360" s="41"/>
      <c r="B360" s="20" t="s">
        <v>52</v>
      </c>
      <c r="C360" s="42">
        <v>2025</v>
      </c>
      <c r="D360" s="19" t="s">
        <v>203</v>
      </c>
      <c r="E360" s="3" t="s">
        <v>314</v>
      </c>
      <c r="F360" s="1">
        <v>0</v>
      </c>
      <c r="G360" s="32">
        <v>0</v>
      </c>
      <c r="H360" s="33">
        <f t="shared" si="96"/>
        <v>0</v>
      </c>
      <c r="I360" s="34"/>
      <c r="J360" s="35">
        <v>0</v>
      </c>
      <c r="K360" s="36">
        <v>0</v>
      </c>
      <c r="L360" s="35">
        <v>0</v>
      </c>
      <c r="M360" s="35">
        <v>0</v>
      </c>
      <c r="N360" s="35">
        <v>0</v>
      </c>
      <c r="O360" s="35">
        <v>-825344</v>
      </c>
      <c r="P360" s="35">
        <v>0</v>
      </c>
      <c r="R360" s="37">
        <f t="shared" ref="R360:R362" si="102">F360-J360-K360-L360-M360-N360-O360</f>
        <v>825344</v>
      </c>
      <c r="X360" s="28"/>
      <c r="Y360" s="28"/>
    </row>
    <row r="361" spans="1:25" s="4" customFormat="1">
      <c r="A361" s="41"/>
      <c r="B361" s="20" t="s">
        <v>52</v>
      </c>
      <c r="C361" s="42">
        <v>2025</v>
      </c>
      <c r="D361" s="19" t="s">
        <v>203</v>
      </c>
      <c r="E361" s="3" t="s">
        <v>315</v>
      </c>
      <c r="F361" s="1">
        <v>0</v>
      </c>
      <c r="G361" s="32">
        <v>0</v>
      </c>
      <c r="H361" s="33">
        <f t="shared" si="96"/>
        <v>0</v>
      </c>
      <c r="I361" s="34"/>
      <c r="J361" s="35">
        <v>0</v>
      </c>
      <c r="K361" s="36">
        <v>0</v>
      </c>
      <c r="L361" s="35">
        <v>0</v>
      </c>
      <c r="M361" s="35">
        <v>0</v>
      </c>
      <c r="N361" s="35">
        <v>0</v>
      </c>
      <c r="O361" s="35">
        <v>-26400000</v>
      </c>
      <c r="P361" s="35">
        <v>0</v>
      </c>
      <c r="R361" s="37">
        <f t="shared" si="102"/>
        <v>26400000</v>
      </c>
      <c r="X361" s="28"/>
      <c r="Y361" s="28"/>
    </row>
    <row r="362" spans="1:25" s="4" customFormat="1">
      <c r="A362" s="41"/>
      <c r="B362" s="20" t="s">
        <v>52</v>
      </c>
      <c r="C362" s="42">
        <v>2025</v>
      </c>
      <c r="D362" s="19" t="s">
        <v>203</v>
      </c>
      <c r="E362" s="3" t="s">
        <v>316</v>
      </c>
      <c r="F362" s="1">
        <v>0</v>
      </c>
      <c r="G362" s="32">
        <v>0</v>
      </c>
      <c r="H362" s="33">
        <f t="shared" si="96"/>
        <v>0</v>
      </c>
      <c r="I362" s="34"/>
      <c r="J362" s="35">
        <v>0</v>
      </c>
      <c r="K362" s="36">
        <v>0</v>
      </c>
      <c r="L362" s="35">
        <v>0</v>
      </c>
      <c r="M362" s="35">
        <v>0</v>
      </c>
      <c r="N362" s="35">
        <v>0</v>
      </c>
      <c r="O362" s="35">
        <v>-56300</v>
      </c>
      <c r="P362" s="35">
        <v>0</v>
      </c>
      <c r="R362" s="37">
        <f t="shared" si="102"/>
        <v>56300</v>
      </c>
      <c r="X362" s="28"/>
      <c r="Y362" s="28"/>
    </row>
    <row r="363" spans="1:25" s="4" customFormat="1">
      <c r="A363" s="41"/>
      <c r="B363" s="20" t="s">
        <v>52</v>
      </c>
      <c r="C363" s="42">
        <v>2025</v>
      </c>
      <c r="D363" s="19" t="s">
        <v>85</v>
      </c>
      <c r="E363" s="3" t="s">
        <v>317</v>
      </c>
      <c r="F363" s="1">
        <v>0</v>
      </c>
      <c r="G363" s="32">
        <v>0</v>
      </c>
      <c r="H363" s="33">
        <f t="shared" si="96"/>
        <v>0</v>
      </c>
      <c r="I363" s="34"/>
      <c r="J363" s="35">
        <v>0</v>
      </c>
      <c r="K363" s="36">
        <v>0</v>
      </c>
      <c r="L363" s="35">
        <v>0</v>
      </c>
      <c r="M363" s="35">
        <v>0</v>
      </c>
      <c r="N363" s="35">
        <v>0</v>
      </c>
      <c r="O363" s="35">
        <v>-1528000</v>
      </c>
      <c r="P363" s="35">
        <v>0</v>
      </c>
      <c r="R363" s="37">
        <f t="shared" si="100"/>
        <v>1528000</v>
      </c>
      <c r="X363" s="28"/>
      <c r="Y363" s="28"/>
    </row>
    <row r="364" spans="1:25" s="4" customFormat="1">
      <c r="A364" s="41"/>
      <c r="B364" s="20" t="s">
        <v>52</v>
      </c>
      <c r="C364" s="42">
        <v>2025</v>
      </c>
      <c r="D364" s="3" t="s">
        <v>203</v>
      </c>
      <c r="E364" s="3" t="s">
        <v>318</v>
      </c>
      <c r="F364" s="1">
        <v>0</v>
      </c>
      <c r="G364" s="32">
        <v>0</v>
      </c>
      <c r="H364" s="33">
        <f t="shared" si="96"/>
        <v>0</v>
      </c>
      <c r="I364" s="34"/>
      <c r="J364" s="35">
        <v>0</v>
      </c>
      <c r="K364" s="36">
        <v>0</v>
      </c>
      <c r="L364" s="35">
        <v>0</v>
      </c>
      <c r="M364" s="35">
        <v>0</v>
      </c>
      <c r="N364" s="35">
        <v>0</v>
      </c>
      <c r="O364" s="35">
        <v>-1658000</v>
      </c>
      <c r="P364" s="35">
        <v>0</v>
      </c>
      <c r="R364" s="37">
        <f t="shared" ref="R364" si="103">F364-J364-K364-L364-M364-N364-O364</f>
        <v>1658000</v>
      </c>
      <c r="X364" s="28"/>
      <c r="Y364" s="28"/>
    </row>
    <row r="365" spans="1:25" s="4" customFormat="1">
      <c r="A365" s="41"/>
      <c r="B365" s="20" t="s">
        <v>52</v>
      </c>
      <c r="C365" s="42">
        <v>2025</v>
      </c>
      <c r="D365" s="19" t="s">
        <v>85</v>
      </c>
      <c r="E365" s="3" t="s">
        <v>319</v>
      </c>
      <c r="F365" s="1">
        <v>0</v>
      </c>
      <c r="G365" s="32">
        <v>0</v>
      </c>
      <c r="H365" s="33">
        <f t="shared" si="96"/>
        <v>0</v>
      </c>
      <c r="I365" s="34"/>
      <c r="J365" s="35">
        <v>0</v>
      </c>
      <c r="K365" s="36">
        <v>0</v>
      </c>
      <c r="L365" s="35">
        <v>0</v>
      </c>
      <c r="M365" s="35">
        <v>0</v>
      </c>
      <c r="N365" s="35">
        <v>0</v>
      </c>
      <c r="O365" s="35">
        <v>-1658000</v>
      </c>
      <c r="P365" s="35">
        <v>0</v>
      </c>
      <c r="R365" s="37">
        <f t="shared" si="100"/>
        <v>1658000</v>
      </c>
      <c r="X365" s="28"/>
      <c r="Y365" s="28"/>
    </row>
    <row r="366" spans="1:25" s="4" customFormat="1">
      <c r="A366" s="41"/>
      <c r="B366" s="20" t="s">
        <v>52</v>
      </c>
      <c r="C366" s="42">
        <v>2025</v>
      </c>
      <c r="D366" s="19" t="s">
        <v>85</v>
      </c>
      <c r="E366" s="3" t="s">
        <v>320</v>
      </c>
      <c r="F366" s="1">
        <v>0</v>
      </c>
      <c r="G366" s="32">
        <v>0</v>
      </c>
      <c r="H366" s="33">
        <f t="shared" si="96"/>
        <v>0</v>
      </c>
      <c r="I366" s="34"/>
      <c r="J366" s="35">
        <v>0</v>
      </c>
      <c r="K366" s="36">
        <v>0</v>
      </c>
      <c r="L366" s="35">
        <v>0</v>
      </c>
      <c r="M366" s="35">
        <v>0</v>
      </c>
      <c r="N366" s="35">
        <v>0</v>
      </c>
      <c r="O366" s="35">
        <v>-3056000</v>
      </c>
      <c r="P366" s="35">
        <v>0</v>
      </c>
      <c r="R366" s="37">
        <f t="shared" si="100"/>
        <v>3056000</v>
      </c>
      <c r="X366" s="28"/>
      <c r="Y366" s="28"/>
    </row>
    <row r="367" spans="1:25" s="4" customFormat="1">
      <c r="A367" s="41"/>
      <c r="B367" s="20" t="s">
        <v>52</v>
      </c>
      <c r="C367" s="42">
        <v>2025</v>
      </c>
      <c r="D367" s="19" t="s">
        <v>85</v>
      </c>
      <c r="E367" s="3" t="s">
        <v>321</v>
      </c>
      <c r="F367" s="1">
        <v>0</v>
      </c>
      <c r="G367" s="32">
        <v>0</v>
      </c>
      <c r="H367" s="33">
        <f t="shared" si="96"/>
        <v>0</v>
      </c>
      <c r="I367" s="34"/>
      <c r="J367" s="35">
        <v>0</v>
      </c>
      <c r="K367" s="36">
        <v>0</v>
      </c>
      <c r="L367" s="35">
        <v>0</v>
      </c>
      <c r="M367" s="35">
        <v>0</v>
      </c>
      <c r="N367" s="35">
        <v>0</v>
      </c>
      <c r="O367" s="35">
        <v>-7490000</v>
      </c>
      <c r="P367" s="35">
        <v>0</v>
      </c>
      <c r="R367" s="37">
        <f t="shared" si="100"/>
        <v>7490000</v>
      </c>
      <c r="X367" s="28"/>
      <c r="Y367" s="28"/>
    </row>
    <row r="368" spans="1:25" s="4" customFormat="1">
      <c r="A368" s="41"/>
      <c r="B368" s="20" t="s">
        <v>52</v>
      </c>
      <c r="C368" s="42">
        <v>2025</v>
      </c>
      <c r="D368" s="19" t="s">
        <v>204</v>
      </c>
      <c r="E368" s="3" t="s">
        <v>322</v>
      </c>
      <c r="F368" s="1">
        <v>0</v>
      </c>
      <c r="G368" s="32">
        <v>0</v>
      </c>
      <c r="H368" s="33">
        <f t="shared" si="96"/>
        <v>0</v>
      </c>
      <c r="I368" s="34"/>
      <c r="J368" s="35">
        <v>0</v>
      </c>
      <c r="K368" s="36">
        <v>0</v>
      </c>
      <c r="L368" s="35">
        <v>0</v>
      </c>
      <c r="M368" s="35">
        <v>0</v>
      </c>
      <c r="N368" s="35">
        <v>0</v>
      </c>
      <c r="O368" s="35">
        <v>-1257733</v>
      </c>
      <c r="P368" s="35">
        <v>0</v>
      </c>
      <c r="R368" s="37">
        <f t="shared" ref="R368" si="104">F368-J368-K368-L368-M368-N368-O368</f>
        <v>1257733</v>
      </c>
      <c r="X368" s="28"/>
      <c r="Y368" s="28"/>
    </row>
    <row r="369" spans="1:25" s="4" customFormat="1">
      <c r="A369" s="41"/>
      <c r="B369" s="20" t="s">
        <v>52</v>
      </c>
      <c r="C369" s="42">
        <v>2025</v>
      </c>
      <c r="D369" s="19" t="s">
        <v>203</v>
      </c>
      <c r="E369" s="3" t="s">
        <v>323</v>
      </c>
      <c r="F369" s="1">
        <v>0</v>
      </c>
      <c r="G369" s="32">
        <v>0</v>
      </c>
      <c r="H369" s="33">
        <f t="shared" si="96"/>
        <v>0</v>
      </c>
      <c r="I369" s="34"/>
      <c r="J369" s="35">
        <v>0</v>
      </c>
      <c r="K369" s="36">
        <v>0</v>
      </c>
      <c r="L369" s="35">
        <v>0</v>
      </c>
      <c r="M369" s="35">
        <v>0</v>
      </c>
      <c r="N369" s="35">
        <v>0</v>
      </c>
      <c r="O369" s="35">
        <v>-59500</v>
      </c>
      <c r="P369" s="35">
        <v>0</v>
      </c>
      <c r="R369" s="37">
        <f t="shared" ref="R369:R378" si="105">F369-J369-K369-L369-M369-N369-O369</f>
        <v>59500</v>
      </c>
      <c r="X369" s="28"/>
      <c r="Y369" s="28"/>
    </row>
    <row r="370" spans="1:25" s="4" customFormat="1">
      <c r="A370" s="41"/>
      <c r="B370" s="20" t="s">
        <v>52</v>
      </c>
      <c r="C370" s="42">
        <v>2025</v>
      </c>
      <c r="D370" s="19" t="s">
        <v>203</v>
      </c>
      <c r="E370" s="3" t="s">
        <v>324</v>
      </c>
      <c r="F370" s="1">
        <v>0</v>
      </c>
      <c r="G370" s="32">
        <v>0</v>
      </c>
      <c r="H370" s="33">
        <f t="shared" si="96"/>
        <v>0</v>
      </c>
      <c r="I370" s="34"/>
      <c r="J370" s="35">
        <v>0</v>
      </c>
      <c r="K370" s="36">
        <v>0</v>
      </c>
      <c r="L370" s="35">
        <v>0</v>
      </c>
      <c r="M370" s="35">
        <v>0</v>
      </c>
      <c r="N370" s="35">
        <v>0</v>
      </c>
      <c r="O370" s="35">
        <v>-161700</v>
      </c>
      <c r="P370" s="35">
        <v>0</v>
      </c>
      <c r="R370" s="37">
        <f t="shared" si="105"/>
        <v>161700</v>
      </c>
      <c r="X370" s="28"/>
      <c r="Y370" s="28"/>
    </row>
    <row r="371" spans="1:25" s="4" customFormat="1">
      <c r="A371" s="41"/>
      <c r="B371" s="20" t="s">
        <v>52</v>
      </c>
      <c r="C371" s="42">
        <v>2025</v>
      </c>
      <c r="D371" s="19" t="s">
        <v>203</v>
      </c>
      <c r="E371" s="3" t="s">
        <v>325</v>
      </c>
      <c r="F371" s="1">
        <v>0</v>
      </c>
      <c r="G371" s="32">
        <v>0</v>
      </c>
      <c r="H371" s="33">
        <f t="shared" si="96"/>
        <v>0</v>
      </c>
      <c r="I371" s="34"/>
      <c r="J371" s="35">
        <v>0</v>
      </c>
      <c r="K371" s="36">
        <v>0</v>
      </c>
      <c r="L371" s="35">
        <v>0</v>
      </c>
      <c r="M371" s="35">
        <v>0</v>
      </c>
      <c r="N371" s="35">
        <v>0</v>
      </c>
      <c r="O371" s="35">
        <v>-48000</v>
      </c>
      <c r="P371" s="35">
        <v>0</v>
      </c>
      <c r="R371" s="37">
        <f t="shared" si="105"/>
        <v>48000</v>
      </c>
      <c r="X371" s="28"/>
      <c r="Y371" s="28"/>
    </row>
    <row r="372" spans="1:25" s="4" customFormat="1">
      <c r="A372" s="41"/>
      <c r="B372" s="20" t="s">
        <v>52</v>
      </c>
      <c r="C372" s="42">
        <v>2025</v>
      </c>
      <c r="D372" s="19" t="s">
        <v>204</v>
      </c>
      <c r="E372" s="3" t="s">
        <v>326</v>
      </c>
      <c r="F372" s="1">
        <v>0</v>
      </c>
      <c r="G372" s="32">
        <v>0</v>
      </c>
      <c r="H372" s="33">
        <f t="shared" si="96"/>
        <v>0</v>
      </c>
      <c r="I372" s="34"/>
      <c r="J372" s="35">
        <v>0</v>
      </c>
      <c r="K372" s="36">
        <v>0</v>
      </c>
      <c r="L372" s="35">
        <v>0</v>
      </c>
      <c r="M372" s="35">
        <v>0</v>
      </c>
      <c r="N372" s="35">
        <v>0</v>
      </c>
      <c r="O372" s="35">
        <v>-1086706</v>
      </c>
      <c r="P372" s="35">
        <v>0</v>
      </c>
      <c r="R372" s="37">
        <f t="shared" si="105"/>
        <v>1086706</v>
      </c>
      <c r="X372" s="28"/>
      <c r="Y372" s="28"/>
    </row>
    <row r="373" spans="1:25" s="4" customFormat="1">
      <c r="A373" s="41"/>
      <c r="B373" s="20" t="s">
        <v>52</v>
      </c>
      <c r="C373" s="42">
        <v>2025</v>
      </c>
      <c r="D373" s="19" t="s">
        <v>204</v>
      </c>
      <c r="E373" s="3" t="s">
        <v>327</v>
      </c>
      <c r="F373" s="1">
        <v>0</v>
      </c>
      <c r="G373" s="32">
        <v>0</v>
      </c>
      <c r="H373" s="33">
        <f t="shared" si="96"/>
        <v>0</v>
      </c>
      <c r="I373" s="34"/>
      <c r="J373" s="35">
        <v>0</v>
      </c>
      <c r="K373" s="36">
        <v>0</v>
      </c>
      <c r="L373" s="35">
        <v>0</v>
      </c>
      <c r="M373" s="35">
        <v>0</v>
      </c>
      <c r="N373" s="35">
        <v>0</v>
      </c>
      <c r="O373" s="35">
        <v>-1086706</v>
      </c>
      <c r="P373" s="35">
        <v>0</v>
      </c>
      <c r="R373" s="37">
        <f t="shared" si="105"/>
        <v>1086706</v>
      </c>
      <c r="X373" s="28"/>
      <c r="Y373" s="28"/>
    </row>
    <row r="374" spans="1:25" s="4" customFormat="1">
      <c r="A374" s="41"/>
      <c r="B374" s="20" t="s">
        <v>52</v>
      </c>
      <c r="C374" s="42">
        <v>2025</v>
      </c>
      <c r="D374" s="19" t="s">
        <v>204</v>
      </c>
      <c r="E374" s="3" t="s">
        <v>328</v>
      </c>
      <c r="F374" s="1">
        <v>0</v>
      </c>
      <c r="G374" s="32">
        <v>0</v>
      </c>
      <c r="H374" s="33">
        <f t="shared" si="96"/>
        <v>0</v>
      </c>
      <c r="I374" s="34"/>
      <c r="J374" s="35">
        <v>0</v>
      </c>
      <c r="K374" s="36">
        <v>0</v>
      </c>
      <c r="L374" s="35">
        <v>0</v>
      </c>
      <c r="M374" s="35">
        <v>0</v>
      </c>
      <c r="N374" s="35">
        <v>0</v>
      </c>
      <c r="O374" s="35">
        <v>-1086706</v>
      </c>
      <c r="P374" s="35">
        <v>0</v>
      </c>
      <c r="R374" s="37">
        <f t="shared" si="105"/>
        <v>1086706</v>
      </c>
      <c r="X374" s="28"/>
      <c r="Y374" s="28"/>
    </row>
    <row r="375" spans="1:25" s="4" customFormat="1">
      <c r="A375" s="41"/>
      <c r="B375" s="20" t="s">
        <v>52</v>
      </c>
      <c r="C375" s="42">
        <v>2025</v>
      </c>
      <c r="D375" s="19" t="s">
        <v>204</v>
      </c>
      <c r="E375" s="3" t="s">
        <v>329</v>
      </c>
      <c r="F375" s="1">
        <v>0</v>
      </c>
      <c r="G375" s="32">
        <v>0</v>
      </c>
      <c r="H375" s="33">
        <f t="shared" si="96"/>
        <v>0</v>
      </c>
      <c r="I375" s="34"/>
      <c r="J375" s="35">
        <v>0</v>
      </c>
      <c r="K375" s="36">
        <v>0</v>
      </c>
      <c r="L375" s="35">
        <v>0</v>
      </c>
      <c r="M375" s="35">
        <v>0</v>
      </c>
      <c r="N375" s="35">
        <v>0</v>
      </c>
      <c r="O375" s="35">
        <v>-1328000</v>
      </c>
      <c r="P375" s="35">
        <v>0</v>
      </c>
      <c r="R375" s="37">
        <f t="shared" si="105"/>
        <v>1328000</v>
      </c>
      <c r="X375" s="28"/>
      <c r="Y375" s="28"/>
    </row>
    <row r="376" spans="1:25" s="4" customFormat="1">
      <c r="A376" s="41"/>
      <c r="B376" s="20" t="s">
        <v>52</v>
      </c>
      <c r="C376" s="42">
        <v>2025</v>
      </c>
      <c r="D376" s="19" t="s">
        <v>204</v>
      </c>
      <c r="E376" s="3" t="s">
        <v>330</v>
      </c>
      <c r="F376" s="1">
        <v>0</v>
      </c>
      <c r="G376" s="32">
        <v>0</v>
      </c>
      <c r="H376" s="33">
        <f t="shared" si="96"/>
        <v>0</v>
      </c>
      <c r="I376" s="34"/>
      <c r="J376" s="35">
        <v>0</v>
      </c>
      <c r="K376" s="36">
        <v>0</v>
      </c>
      <c r="L376" s="35">
        <v>0</v>
      </c>
      <c r="M376" s="35">
        <v>0</v>
      </c>
      <c r="N376" s="35">
        <v>0</v>
      </c>
      <c r="O376" s="35">
        <v>-2626000</v>
      </c>
      <c r="P376" s="35">
        <v>0</v>
      </c>
      <c r="R376" s="37">
        <f t="shared" si="105"/>
        <v>2626000</v>
      </c>
      <c r="X376" s="28"/>
      <c r="Y376" s="28"/>
    </row>
    <row r="377" spans="1:25" s="4" customFormat="1">
      <c r="A377" s="41"/>
      <c r="B377" s="20" t="s">
        <v>52</v>
      </c>
      <c r="C377" s="42">
        <v>2025</v>
      </c>
      <c r="D377" s="19" t="s">
        <v>204</v>
      </c>
      <c r="E377" s="3" t="s">
        <v>331</v>
      </c>
      <c r="F377" s="1">
        <v>0</v>
      </c>
      <c r="G377" s="32">
        <v>0</v>
      </c>
      <c r="H377" s="33">
        <f t="shared" si="96"/>
        <v>0</v>
      </c>
      <c r="I377" s="34"/>
      <c r="J377" s="35">
        <v>0</v>
      </c>
      <c r="K377" s="36">
        <v>0</v>
      </c>
      <c r="L377" s="35">
        <v>0</v>
      </c>
      <c r="M377" s="35">
        <v>0</v>
      </c>
      <c r="N377" s="35">
        <v>0</v>
      </c>
      <c r="O377" s="35">
        <v>-1116987</v>
      </c>
      <c r="P377" s="35">
        <v>0</v>
      </c>
      <c r="R377" s="37">
        <f t="shared" si="105"/>
        <v>1116987</v>
      </c>
      <c r="X377" s="28"/>
      <c r="Y377" s="28"/>
    </row>
    <row r="378" spans="1:25" s="4" customFormat="1">
      <c r="A378" s="41"/>
      <c r="B378" s="20" t="s">
        <v>52</v>
      </c>
      <c r="C378" s="42">
        <v>2025</v>
      </c>
      <c r="D378" s="19" t="s">
        <v>204</v>
      </c>
      <c r="E378" s="3" t="s">
        <v>332</v>
      </c>
      <c r="F378" s="1">
        <v>0</v>
      </c>
      <c r="G378" s="32">
        <v>0</v>
      </c>
      <c r="H378" s="33">
        <f t="shared" si="96"/>
        <v>0</v>
      </c>
      <c r="I378" s="34"/>
      <c r="J378" s="35">
        <v>0</v>
      </c>
      <c r="K378" s="36">
        <v>0</v>
      </c>
      <c r="L378" s="35">
        <v>0</v>
      </c>
      <c r="M378" s="35">
        <v>0</v>
      </c>
      <c r="N378" s="35">
        <v>0</v>
      </c>
      <c r="O378" s="35">
        <v>-1177733</v>
      </c>
      <c r="P378" s="35">
        <v>0</v>
      </c>
      <c r="R378" s="37">
        <f t="shared" si="105"/>
        <v>1177733</v>
      </c>
      <c r="X378" s="28"/>
      <c r="Y378" s="28"/>
    </row>
    <row r="379" spans="1:25" s="4" customFormat="1">
      <c r="A379" s="41"/>
      <c r="B379" s="20" t="s">
        <v>52</v>
      </c>
      <c r="C379" s="42">
        <v>2025</v>
      </c>
      <c r="D379" s="19" t="s">
        <v>85</v>
      </c>
      <c r="E379" s="3" t="s">
        <v>333</v>
      </c>
      <c r="F379" s="1">
        <v>0</v>
      </c>
      <c r="G379" s="32">
        <v>0</v>
      </c>
      <c r="H379" s="33">
        <f t="shared" si="96"/>
        <v>0</v>
      </c>
      <c r="I379" s="34"/>
      <c r="J379" s="35">
        <v>0</v>
      </c>
      <c r="K379" s="36">
        <v>0</v>
      </c>
      <c r="L379" s="35">
        <v>0</v>
      </c>
      <c r="M379" s="35">
        <v>0</v>
      </c>
      <c r="N379" s="35">
        <v>0</v>
      </c>
      <c r="O379" s="35">
        <v>-1599994</v>
      </c>
      <c r="P379" s="35">
        <v>0</v>
      </c>
      <c r="R379" s="37">
        <f t="shared" si="100"/>
        <v>1599994</v>
      </c>
      <c r="X379" s="28"/>
      <c r="Y379" s="28"/>
    </row>
    <row r="380" spans="1:25" s="4" customFormat="1">
      <c r="A380" s="41"/>
      <c r="B380" s="20" t="s">
        <v>52</v>
      </c>
      <c r="C380" s="42">
        <v>2025</v>
      </c>
      <c r="D380" s="19" t="s">
        <v>85</v>
      </c>
      <c r="E380" s="3" t="s">
        <v>334</v>
      </c>
      <c r="F380" s="1">
        <v>0</v>
      </c>
      <c r="G380" s="32">
        <v>0</v>
      </c>
      <c r="H380" s="33">
        <f t="shared" si="96"/>
        <v>0</v>
      </c>
      <c r="I380" s="34"/>
      <c r="J380" s="35">
        <v>0</v>
      </c>
      <c r="K380" s="36">
        <v>0</v>
      </c>
      <c r="L380" s="35">
        <v>0</v>
      </c>
      <c r="M380" s="35">
        <v>0</v>
      </c>
      <c r="N380" s="35">
        <v>0</v>
      </c>
      <c r="O380" s="35">
        <v>-1600000</v>
      </c>
      <c r="P380" s="35">
        <v>0</v>
      </c>
      <c r="R380" s="37">
        <f t="shared" si="100"/>
        <v>1600000</v>
      </c>
      <c r="X380" s="28"/>
      <c r="Y380" s="28"/>
    </row>
    <row r="381" spans="1:25" s="4" customFormat="1">
      <c r="A381" s="41"/>
      <c r="B381" s="20" t="s">
        <v>52</v>
      </c>
      <c r="C381" s="42">
        <v>2025</v>
      </c>
      <c r="D381" s="19" t="s">
        <v>202</v>
      </c>
      <c r="E381" s="3" t="s">
        <v>335</v>
      </c>
      <c r="F381" s="1">
        <v>0</v>
      </c>
      <c r="G381" s="32">
        <v>0</v>
      </c>
      <c r="H381" s="33">
        <f t="shared" si="96"/>
        <v>0</v>
      </c>
      <c r="I381" s="34"/>
      <c r="J381" s="35">
        <v>0</v>
      </c>
      <c r="K381" s="36">
        <v>0</v>
      </c>
      <c r="L381" s="35">
        <v>0</v>
      </c>
      <c r="M381" s="35">
        <v>0</v>
      </c>
      <c r="N381" s="35">
        <v>0</v>
      </c>
      <c r="O381" s="35">
        <v>-199737</v>
      </c>
      <c r="P381" s="35">
        <v>0</v>
      </c>
      <c r="R381" s="37">
        <f t="shared" si="100"/>
        <v>199737</v>
      </c>
      <c r="X381" s="28"/>
      <c r="Y381" s="28"/>
    </row>
    <row r="382" spans="1:25" s="4" customFormat="1">
      <c r="A382" s="41"/>
      <c r="B382" s="20" t="s">
        <v>52</v>
      </c>
      <c r="C382" s="42">
        <v>2025</v>
      </c>
      <c r="D382" s="19" t="s">
        <v>202</v>
      </c>
      <c r="E382" s="3" t="s">
        <v>336</v>
      </c>
      <c r="F382" s="1">
        <v>0</v>
      </c>
      <c r="G382" s="32">
        <v>0</v>
      </c>
      <c r="H382" s="33">
        <f t="shared" si="96"/>
        <v>0</v>
      </c>
      <c r="I382" s="34"/>
      <c r="J382" s="35">
        <v>0</v>
      </c>
      <c r="K382" s="36">
        <v>0</v>
      </c>
      <c r="L382" s="35">
        <v>0</v>
      </c>
      <c r="M382" s="35">
        <v>0</v>
      </c>
      <c r="N382" s="35">
        <v>0</v>
      </c>
      <c r="O382" s="35">
        <v>-1066764</v>
      </c>
      <c r="P382" s="35">
        <v>0</v>
      </c>
      <c r="R382" s="37">
        <f t="shared" si="100"/>
        <v>1066764</v>
      </c>
      <c r="X382" s="28"/>
      <c r="Y382" s="28"/>
    </row>
    <row r="383" spans="1:25" s="4" customFormat="1">
      <c r="A383" s="41"/>
      <c r="B383" s="20" t="s">
        <v>52</v>
      </c>
      <c r="C383" s="42">
        <v>2025</v>
      </c>
      <c r="D383" s="19" t="s">
        <v>202</v>
      </c>
      <c r="E383" s="3" t="s">
        <v>337</v>
      </c>
      <c r="F383" s="1">
        <v>0</v>
      </c>
      <c r="G383" s="32">
        <v>0</v>
      </c>
      <c r="H383" s="33">
        <f t="shared" si="96"/>
        <v>0</v>
      </c>
      <c r="I383" s="34"/>
      <c r="J383" s="35">
        <v>0</v>
      </c>
      <c r="K383" s="36">
        <v>0</v>
      </c>
      <c r="L383" s="35">
        <v>0</v>
      </c>
      <c r="M383" s="35">
        <v>0</v>
      </c>
      <c r="N383" s="35">
        <v>0</v>
      </c>
      <c r="O383" s="35">
        <v>-1073566</v>
      </c>
      <c r="P383" s="35">
        <v>0</v>
      </c>
      <c r="R383" s="37">
        <f t="shared" si="100"/>
        <v>1073566</v>
      </c>
      <c r="X383" s="28"/>
      <c r="Y383" s="28"/>
    </row>
    <row r="384" spans="1:25" s="4" customFormat="1">
      <c r="A384" s="41"/>
      <c r="B384" s="20" t="s">
        <v>52</v>
      </c>
      <c r="C384" s="42">
        <v>2025</v>
      </c>
      <c r="D384" s="19" t="s">
        <v>202</v>
      </c>
      <c r="E384" s="3" t="s">
        <v>338</v>
      </c>
      <c r="F384" s="1">
        <v>0</v>
      </c>
      <c r="G384" s="32">
        <v>0</v>
      </c>
      <c r="H384" s="33">
        <f t="shared" si="96"/>
        <v>0</v>
      </c>
      <c r="I384" s="34"/>
      <c r="J384" s="35">
        <v>0</v>
      </c>
      <c r="K384" s="36">
        <v>0</v>
      </c>
      <c r="L384" s="35">
        <v>0</v>
      </c>
      <c r="M384" s="35">
        <v>0</v>
      </c>
      <c r="N384" s="35">
        <v>0</v>
      </c>
      <c r="O384" s="35">
        <v>-1073566</v>
      </c>
      <c r="P384" s="35">
        <v>0</v>
      </c>
      <c r="R384" s="37">
        <f t="shared" si="100"/>
        <v>1073566</v>
      </c>
      <c r="X384" s="28"/>
      <c r="Y384" s="28"/>
    </row>
    <row r="385" spans="1:25" s="4" customFormat="1">
      <c r="A385" s="41"/>
      <c r="B385" s="20" t="s">
        <v>52</v>
      </c>
      <c r="C385" s="42">
        <v>2025</v>
      </c>
      <c r="D385" s="19" t="s">
        <v>202</v>
      </c>
      <c r="E385" s="3" t="s">
        <v>339</v>
      </c>
      <c r="F385" s="1">
        <v>0</v>
      </c>
      <c r="G385" s="32">
        <v>0</v>
      </c>
      <c r="H385" s="33">
        <f t="shared" si="96"/>
        <v>0</v>
      </c>
      <c r="I385" s="34"/>
      <c r="J385" s="35">
        <v>0</v>
      </c>
      <c r="K385" s="36">
        <v>0</v>
      </c>
      <c r="L385" s="35">
        <v>0</v>
      </c>
      <c r="M385" s="35">
        <v>0</v>
      </c>
      <c r="N385" s="35">
        <v>0</v>
      </c>
      <c r="O385" s="35">
        <v>-1073566</v>
      </c>
      <c r="P385" s="35">
        <v>0</v>
      </c>
      <c r="R385" s="37">
        <f t="shared" si="100"/>
        <v>1073566</v>
      </c>
      <c r="X385" s="28"/>
      <c r="Y385" s="28"/>
    </row>
    <row r="386" spans="1:25" s="4" customFormat="1">
      <c r="A386" s="41"/>
      <c r="B386" s="20" t="s">
        <v>52</v>
      </c>
      <c r="C386" s="42">
        <v>2025</v>
      </c>
      <c r="D386" s="19" t="s">
        <v>202</v>
      </c>
      <c r="E386" s="3" t="s">
        <v>340</v>
      </c>
      <c r="F386" s="1">
        <v>0</v>
      </c>
      <c r="G386" s="32">
        <v>0</v>
      </c>
      <c r="H386" s="33">
        <f t="shared" si="96"/>
        <v>0</v>
      </c>
      <c r="I386" s="34"/>
      <c r="J386" s="35">
        <v>0</v>
      </c>
      <c r="K386" s="36">
        <v>0</v>
      </c>
      <c r="L386" s="35">
        <v>0</v>
      </c>
      <c r="M386" s="35">
        <v>0</v>
      </c>
      <c r="N386" s="35">
        <v>0</v>
      </c>
      <c r="O386" s="35">
        <v>-1117624</v>
      </c>
      <c r="P386" s="35">
        <v>0</v>
      </c>
      <c r="R386" s="37">
        <f t="shared" si="100"/>
        <v>1117624</v>
      </c>
      <c r="X386" s="28"/>
      <c r="Y386" s="28"/>
    </row>
    <row r="387" spans="1:25" s="4" customFormat="1">
      <c r="A387" s="41"/>
      <c r="B387" s="20" t="s">
        <v>52</v>
      </c>
      <c r="C387" s="42">
        <v>2025</v>
      </c>
      <c r="D387" s="19" t="s">
        <v>202</v>
      </c>
      <c r="E387" s="3" t="s">
        <v>341</v>
      </c>
      <c r="F387" s="1">
        <v>0</v>
      </c>
      <c r="G387" s="32">
        <v>0</v>
      </c>
      <c r="H387" s="33">
        <f t="shared" si="96"/>
        <v>0</v>
      </c>
      <c r="I387" s="34"/>
      <c r="J387" s="35">
        <v>0</v>
      </c>
      <c r="K387" s="36">
        <v>0</v>
      </c>
      <c r="L387" s="35">
        <v>0</v>
      </c>
      <c r="M387" s="35">
        <v>0</v>
      </c>
      <c r="N387" s="35">
        <v>0</v>
      </c>
      <c r="O387" s="35">
        <v>-707131</v>
      </c>
      <c r="P387" s="35">
        <v>0</v>
      </c>
      <c r="R387" s="37">
        <f t="shared" si="100"/>
        <v>707131</v>
      </c>
      <c r="X387" s="28"/>
      <c r="Y387" s="28"/>
    </row>
    <row r="388" spans="1:25" s="4" customFormat="1">
      <c r="A388" s="41"/>
      <c r="B388" s="20" t="s">
        <v>52</v>
      </c>
      <c r="C388" s="42">
        <v>2025</v>
      </c>
      <c r="D388" s="19" t="s">
        <v>202</v>
      </c>
      <c r="E388" s="3" t="s">
        <v>342</v>
      </c>
      <c r="F388" s="1">
        <v>0</v>
      </c>
      <c r="G388" s="32">
        <v>0</v>
      </c>
      <c r="H388" s="33">
        <f t="shared" si="96"/>
        <v>0</v>
      </c>
      <c r="I388" s="34"/>
      <c r="J388" s="35">
        <v>0</v>
      </c>
      <c r="K388" s="36">
        <v>0</v>
      </c>
      <c r="L388" s="35">
        <v>0</v>
      </c>
      <c r="M388" s="35">
        <v>0</v>
      </c>
      <c r="N388" s="35">
        <v>0</v>
      </c>
      <c r="O388" s="35">
        <v>-707131</v>
      </c>
      <c r="P388" s="35">
        <v>0</v>
      </c>
      <c r="R388" s="37">
        <f t="shared" si="100"/>
        <v>707131</v>
      </c>
      <c r="X388" s="28"/>
      <c r="Y388" s="28"/>
    </row>
    <row r="389" spans="1:25" s="4" customFormat="1">
      <c r="A389" s="41"/>
      <c r="B389" s="20" t="s">
        <v>52</v>
      </c>
      <c r="C389" s="42">
        <v>2025</v>
      </c>
      <c r="D389" s="19" t="s">
        <v>202</v>
      </c>
      <c r="E389" s="3" t="s">
        <v>343</v>
      </c>
      <c r="F389" s="1">
        <v>0</v>
      </c>
      <c r="G389" s="32">
        <v>0</v>
      </c>
      <c r="H389" s="33">
        <f t="shared" ref="H389:H452" si="106">G389*$H$4/$E$999</f>
        <v>0</v>
      </c>
      <c r="I389" s="34"/>
      <c r="J389" s="35">
        <v>0</v>
      </c>
      <c r="K389" s="36">
        <v>0</v>
      </c>
      <c r="L389" s="35">
        <v>0</v>
      </c>
      <c r="M389" s="35">
        <v>0</v>
      </c>
      <c r="N389" s="35">
        <v>0</v>
      </c>
      <c r="O389" s="35">
        <v>-707131</v>
      </c>
      <c r="P389" s="35">
        <v>0</v>
      </c>
      <c r="R389" s="37">
        <f t="shared" si="100"/>
        <v>707131</v>
      </c>
      <c r="X389" s="28"/>
      <c r="Y389" s="28"/>
    </row>
    <row r="390" spans="1:25" s="4" customFormat="1">
      <c r="A390" s="41"/>
      <c r="B390" s="20" t="s">
        <v>52</v>
      </c>
      <c r="C390" s="42">
        <v>2025</v>
      </c>
      <c r="D390" s="19" t="s">
        <v>85</v>
      </c>
      <c r="E390" s="3" t="s">
        <v>344</v>
      </c>
      <c r="F390" s="1">
        <v>0</v>
      </c>
      <c r="G390" s="32">
        <v>0</v>
      </c>
      <c r="H390" s="33">
        <f t="shared" si="106"/>
        <v>0</v>
      </c>
      <c r="I390" s="34"/>
      <c r="J390" s="35">
        <v>0</v>
      </c>
      <c r="K390" s="36">
        <v>0</v>
      </c>
      <c r="L390" s="35">
        <v>0</v>
      </c>
      <c r="M390" s="35">
        <v>0</v>
      </c>
      <c r="N390" s="35">
        <v>0</v>
      </c>
      <c r="O390" s="35">
        <v>-733082</v>
      </c>
      <c r="P390" s="35">
        <v>0</v>
      </c>
      <c r="R390" s="37">
        <f t="shared" si="100"/>
        <v>733082</v>
      </c>
      <c r="X390" s="28"/>
      <c r="Y390" s="28"/>
    </row>
    <row r="391" spans="1:25" s="4" customFormat="1">
      <c r="A391" s="41"/>
      <c r="B391" s="20" t="s">
        <v>52</v>
      </c>
      <c r="C391" s="42">
        <v>2025</v>
      </c>
      <c r="D391" s="19" t="s">
        <v>85</v>
      </c>
      <c r="E391" s="3" t="s">
        <v>345</v>
      </c>
      <c r="F391" s="1">
        <v>0</v>
      </c>
      <c r="G391" s="32">
        <v>0</v>
      </c>
      <c r="H391" s="33">
        <f t="shared" si="106"/>
        <v>0</v>
      </c>
      <c r="I391" s="34"/>
      <c r="J391" s="35">
        <v>0</v>
      </c>
      <c r="K391" s="36">
        <v>0</v>
      </c>
      <c r="L391" s="35">
        <v>0</v>
      </c>
      <c r="M391" s="35">
        <v>0</v>
      </c>
      <c r="N391" s="35">
        <v>0</v>
      </c>
      <c r="O391" s="35">
        <v>-810000</v>
      </c>
      <c r="P391" s="35">
        <v>0</v>
      </c>
      <c r="R391" s="37">
        <f t="shared" si="100"/>
        <v>810000</v>
      </c>
      <c r="X391" s="28"/>
      <c r="Y391" s="28"/>
    </row>
    <row r="392" spans="1:25" s="4" customFormat="1">
      <c r="A392" s="41"/>
      <c r="B392" s="20" t="s">
        <v>52</v>
      </c>
      <c r="C392" s="42">
        <v>2025</v>
      </c>
      <c r="D392" s="19" t="s">
        <v>85</v>
      </c>
      <c r="E392" s="3" t="s">
        <v>346</v>
      </c>
      <c r="F392" s="1">
        <v>0</v>
      </c>
      <c r="G392" s="32">
        <v>0</v>
      </c>
      <c r="H392" s="33">
        <f t="shared" si="106"/>
        <v>0</v>
      </c>
      <c r="I392" s="34"/>
      <c r="J392" s="35">
        <v>0</v>
      </c>
      <c r="K392" s="36">
        <v>0</v>
      </c>
      <c r="L392" s="35">
        <v>0</v>
      </c>
      <c r="M392" s="35">
        <v>0</v>
      </c>
      <c r="N392" s="35">
        <v>0</v>
      </c>
      <c r="O392" s="35">
        <v>-865251</v>
      </c>
      <c r="P392" s="35">
        <v>0</v>
      </c>
      <c r="R392" s="37">
        <f t="shared" si="100"/>
        <v>865251</v>
      </c>
      <c r="X392" s="28"/>
      <c r="Y392" s="28"/>
    </row>
    <row r="393" spans="1:25" s="4" customFormat="1">
      <c r="A393" s="41"/>
      <c r="B393" s="20" t="s">
        <v>52</v>
      </c>
      <c r="C393" s="42">
        <v>2025</v>
      </c>
      <c r="D393" s="19" t="s">
        <v>202</v>
      </c>
      <c r="E393" s="3" t="s">
        <v>347</v>
      </c>
      <c r="F393" s="1">
        <v>0</v>
      </c>
      <c r="G393" s="32">
        <v>0</v>
      </c>
      <c r="H393" s="33">
        <f t="shared" si="106"/>
        <v>0</v>
      </c>
      <c r="I393" s="34"/>
      <c r="J393" s="35">
        <v>0</v>
      </c>
      <c r="K393" s="36">
        <v>0</v>
      </c>
      <c r="L393" s="35">
        <v>0</v>
      </c>
      <c r="M393" s="35">
        <v>0</v>
      </c>
      <c r="N393" s="35">
        <v>0</v>
      </c>
      <c r="O393" s="35">
        <v>-707131</v>
      </c>
      <c r="P393" s="35">
        <v>0</v>
      </c>
      <c r="R393" s="37">
        <f t="shared" si="100"/>
        <v>707131</v>
      </c>
      <c r="X393" s="28"/>
      <c r="Y393" s="28"/>
    </row>
    <row r="394" spans="1:25" s="4" customFormat="1">
      <c r="A394" s="41"/>
      <c r="B394" s="20" t="s">
        <v>52</v>
      </c>
      <c r="C394" s="42">
        <v>2025</v>
      </c>
      <c r="D394" s="19" t="s">
        <v>202</v>
      </c>
      <c r="E394" s="3" t="s">
        <v>348</v>
      </c>
      <c r="F394" s="1">
        <v>0</v>
      </c>
      <c r="G394" s="32">
        <v>0</v>
      </c>
      <c r="H394" s="33">
        <f t="shared" si="106"/>
        <v>0</v>
      </c>
      <c r="I394" s="34"/>
      <c r="J394" s="35">
        <v>0</v>
      </c>
      <c r="K394" s="36">
        <v>0</v>
      </c>
      <c r="L394" s="35">
        <v>0</v>
      </c>
      <c r="M394" s="35">
        <v>0</v>
      </c>
      <c r="N394" s="35">
        <v>0</v>
      </c>
      <c r="O394" s="35">
        <v>-707131</v>
      </c>
      <c r="P394" s="35">
        <v>0</v>
      </c>
      <c r="R394" s="37">
        <f t="shared" si="100"/>
        <v>707131</v>
      </c>
      <c r="X394" s="28"/>
      <c r="Y394" s="28"/>
    </row>
    <row r="395" spans="1:25" s="4" customFormat="1">
      <c r="A395" s="41"/>
      <c r="B395" s="20" t="s">
        <v>52</v>
      </c>
      <c r="C395" s="42">
        <v>2025</v>
      </c>
      <c r="D395" s="19" t="s">
        <v>202</v>
      </c>
      <c r="E395" s="3" t="s">
        <v>349</v>
      </c>
      <c r="F395" s="1">
        <v>0</v>
      </c>
      <c r="G395" s="32">
        <v>0</v>
      </c>
      <c r="H395" s="33">
        <f t="shared" si="106"/>
        <v>0</v>
      </c>
      <c r="I395" s="34"/>
      <c r="J395" s="35">
        <v>0</v>
      </c>
      <c r="K395" s="36">
        <v>0</v>
      </c>
      <c r="L395" s="35">
        <v>0</v>
      </c>
      <c r="M395" s="35">
        <v>0</v>
      </c>
      <c r="N395" s="35">
        <v>0</v>
      </c>
      <c r="O395" s="35">
        <v>-707131</v>
      </c>
      <c r="P395" s="35">
        <v>0</v>
      </c>
      <c r="R395" s="37">
        <f t="shared" si="100"/>
        <v>707131</v>
      </c>
      <c r="X395" s="28"/>
      <c r="Y395" s="28"/>
    </row>
    <row r="396" spans="1:25" s="4" customFormat="1">
      <c r="A396" s="41"/>
      <c r="B396" s="20" t="s">
        <v>52</v>
      </c>
      <c r="C396" s="42">
        <v>2025</v>
      </c>
      <c r="D396" s="19" t="s">
        <v>202</v>
      </c>
      <c r="E396" s="3" t="s">
        <v>350</v>
      </c>
      <c r="F396" s="1">
        <v>0</v>
      </c>
      <c r="G396" s="32">
        <v>0</v>
      </c>
      <c r="H396" s="33">
        <f t="shared" si="106"/>
        <v>0</v>
      </c>
      <c r="I396" s="34"/>
      <c r="J396" s="35">
        <v>0</v>
      </c>
      <c r="K396" s="36">
        <v>0</v>
      </c>
      <c r="L396" s="35">
        <v>0</v>
      </c>
      <c r="M396" s="35">
        <v>0</v>
      </c>
      <c r="N396" s="35">
        <v>0</v>
      </c>
      <c r="O396" s="35">
        <v>-723571</v>
      </c>
      <c r="P396" s="35">
        <v>0</v>
      </c>
      <c r="R396" s="37">
        <f t="shared" si="100"/>
        <v>723571</v>
      </c>
      <c r="X396" s="28"/>
      <c r="Y396" s="28"/>
    </row>
    <row r="397" spans="1:25" s="4" customFormat="1">
      <c r="A397" s="41"/>
      <c r="B397" s="20" t="s">
        <v>52</v>
      </c>
      <c r="C397" s="42">
        <v>2025</v>
      </c>
      <c r="D397" s="19" t="s">
        <v>85</v>
      </c>
      <c r="E397" s="3" t="s">
        <v>351</v>
      </c>
      <c r="F397" s="1">
        <v>0</v>
      </c>
      <c r="G397" s="32">
        <v>0</v>
      </c>
      <c r="H397" s="33">
        <f t="shared" si="106"/>
        <v>0</v>
      </c>
      <c r="I397" s="34"/>
      <c r="J397" s="35">
        <v>0</v>
      </c>
      <c r="K397" s="36">
        <v>0</v>
      </c>
      <c r="L397" s="35">
        <v>0</v>
      </c>
      <c r="M397" s="35">
        <v>0</v>
      </c>
      <c r="N397" s="35">
        <v>0</v>
      </c>
      <c r="O397" s="35">
        <v>-3483081</v>
      </c>
      <c r="P397" s="35">
        <v>0</v>
      </c>
      <c r="R397" s="37">
        <f t="shared" si="100"/>
        <v>3483081</v>
      </c>
      <c r="X397" s="28"/>
      <c r="Y397" s="28"/>
    </row>
    <row r="398" spans="1:25" s="4" customFormat="1">
      <c r="A398" s="41"/>
      <c r="B398" s="20" t="s">
        <v>52</v>
      </c>
      <c r="C398" s="42">
        <v>2025</v>
      </c>
      <c r="D398" s="19" t="s">
        <v>85</v>
      </c>
      <c r="E398" s="3" t="s">
        <v>352</v>
      </c>
      <c r="F398" s="1">
        <v>0</v>
      </c>
      <c r="G398" s="32">
        <v>0</v>
      </c>
      <c r="H398" s="33">
        <f t="shared" si="106"/>
        <v>0</v>
      </c>
      <c r="I398" s="34"/>
      <c r="J398" s="35">
        <v>0</v>
      </c>
      <c r="K398" s="36">
        <v>0</v>
      </c>
      <c r="L398" s="35">
        <v>0</v>
      </c>
      <c r="M398" s="35">
        <v>0</v>
      </c>
      <c r="N398" s="35">
        <v>0</v>
      </c>
      <c r="O398" s="35">
        <v>-818084</v>
      </c>
      <c r="P398" s="35">
        <v>0</v>
      </c>
      <c r="R398" s="37">
        <f t="shared" si="100"/>
        <v>818084</v>
      </c>
      <c r="X398" s="28"/>
      <c r="Y398" s="28"/>
    </row>
    <row r="399" spans="1:25" s="4" customFormat="1">
      <c r="A399" s="41"/>
      <c r="B399" s="20" t="s">
        <v>52</v>
      </c>
      <c r="C399" s="42">
        <v>2025</v>
      </c>
      <c r="D399" s="19" t="s">
        <v>85</v>
      </c>
      <c r="E399" s="3" t="s">
        <v>353</v>
      </c>
      <c r="F399" s="1">
        <v>0</v>
      </c>
      <c r="G399" s="32">
        <v>0</v>
      </c>
      <c r="H399" s="33">
        <f t="shared" si="106"/>
        <v>0</v>
      </c>
      <c r="I399" s="34"/>
      <c r="J399" s="35">
        <v>0</v>
      </c>
      <c r="K399" s="36">
        <v>0</v>
      </c>
      <c r="L399" s="35">
        <v>0</v>
      </c>
      <c r="M399" s="35">
        <v>0</v>
      </c>
      <c r="N399" s="35">
        <v>0</v>
      </c>
      <c r="O399" s="35">
        <v>-818085</v>
      </c>
      <c r="P399" s="35">
        <v>0</v>
      </c>
      <c r="R399" s="37">
        <f t="shared" si="100"/>
        <v>818085</v>
      </c>
      <c r="X399" s="28"/>
      <c r="Y399" s="28"/>
    </row>
    <row r="400" spans="1:25" s="4" customFormat="1">
      <c r="A400" s="41"/>
      <c r="B400" s="20" t="s">
        <v>52</v>
      </c>
      <c r="C400" s="42">
        <v>2025</v>
      </c>
      <c r="D400" s="19" t="s">
        <v>85</v>
      </c>
      <c r="E400" s="3" t="s">
        <v>354</v>
      </c>
      <c r="F400" s="1">
        <v>0</v>
      </c>
      <c r="G400" s="32">
        <v>0</v>
      </c>
      <c r="H400" s="33">
        <f t="shared" si="106"/>
        <v>0</v>
      </c>
      <c r="I400" s="34"/>
      <c r="J400" s="35">
        <v>0</v>
      </c>
      <c r="K400" s="36">
        <v>0</v>
      </c>
      <c r="L400" s="35">
        <v>0</v>
      </c>
      <c r="M400" s="35">
        <v>0</v>
      </c>
      <c r="N400" s="35">
        <v>0</v>
      </c>
      <c r="O400" s="35">
        <v>-1539080</v>
      </c>
      <c r="P400" s="35">
        <v>0</v>
      </c>
      <c r="R400" s="37">
        <f t="shared" si="100"/>
        <v>1539080</v>
      </c>
      <c r="X400" s="28"/>
      <c r="Y400" s="28"/>
    </row>
    <row r="401" spans="1:25" s="4" customFormat="1">
      <c r="A401" s="41"/>
      <c r="B401" s="20" t="s">
        <v>52</v>
      </c>
      <c r="C401" s="42">
        <v>2025</v>
      </c>
      <c r="D401" s="19" t="s">
        <v>85</v>
      </c>
      <c r="E401" s="3" t="s">
        <v>355</v>
      </c>
      <c r="F401" s="1">
        <v>0</v>
      </c>
      <c r="G401" s="32">
        <v>0</v>
      </c>
      <c r="H401" s="33">
        <f t="shared" si="106"/>
        <v>0</v>
      </c>
      <c r="I401" s="34"/>
      <c r="J401" s="35">
        <v>0</v>
      </c>
      <c r="K401" s="36">
        <v>0</v>
      </c>
      <c r="L401" s="35">
        <v>0</v>
      </c>
      <c r="M401" s="35">
        <v>0</v>
      </c>
      <c r="N401" s="35">
        <v>0</v>
      </c>
      <c r="O401" s="35">
        <v>-1660080</v>
      </c>
      <c r="P401" s="35">
        <v>0</v>
      </c>
      <c r="R401" s="37">
        <f t="shared" si="100"/>
        <v>1660080</v>
      </c>
      <c r="X401" s="28"/>
      <c r="Y401" s="28"/>
    </row>
    <row r="402" spans="1:25" s="4" customFormat="1">
      <c r="A402" s="41"/>
      <c r="B402" s="20" t="s">
        <v>52</v>
      </c>
      <c r="C402" s="42">
        <v>2025</v>
      </c>
      <c r="D402" s="19" t="s">
        <v>85</v>
      </c>
      <c r="E402" s="3" t="s">
        <v>356</v>
      </c>
      <c r="F402" s="1">
        <v>0</v>
      </c>
      <c r="G402" s="32">
        <v>0</v>
      </c>
      <c r="H402" s="33">
        <f t="shared" si="106"/>
        <v>0</v>
      </c>
      <c r="I402" s="34"/>
      <c r="J402" s="35">
        <v>0</v>
      </c>
      <c r="K402" s="36">
        <v>0</v>
      </c>
      <c r="L402" s="35">
        <v>0</v>
      </c>
      <c r="M402" s="35">
        <v>0</v>
      </c>
      <c r="N402" s="35">
        <v>0</v>
      </c>
      <c r="O402" s="35">
        <v>-4478889</v>
      </c>
      <c r="P402" s="35">
        <v>0</v>
      </c>
      <c r="R402" s="37">
        <f t="shared" si="100"/>
        <v>4478889</v>
      </c>
      <c r="X402" s="28"/>
      <c r="Y402" s="28"/>
    </row>
    <row r="403" spans="1:25" s="4" customFormat="1">
      <c r="A403" s="41"/>
      <c r="B403" s="20" t="s">
        <v>52</v>
      </c>
      <c r="C403" s="42">
        <v>2025</v>
      </c>
      <c r="D403" s="19" t="s">
        <v>85</v>
      </c>
      <c r="E403" s="3" t="s">
        <v>357</v>
      </c>
      <c r="F403" s="1">
        <v>0</v>
      </c>
      <c r="G403" s="32">
        <v>0</v>
      </c>
      <c r="H403" s="33">
        <f t="shared" si="106"/>
        <v>0</v>
      </c>
      <c r="I403" s="34"/>
      <c r="J403" s="35">
        <v>0</v>
      </c>
      <c r="K403" s="36">
        <v>0</v>
      </c>
      <c r="L403" s="35">
        <v>0</v>
      </c>
      <c r="M403" s="35">
        <v>0</v>
      </c>
      <c r="N403" s="35">
        <v>0</v>
      </c>
      <c r="O403" s="35">
        <v>-1144695</v>
      </c>
      <c r="P403" s="35">
        <v>0</v>
      </c>
      <c r="R403" s="37">
        <f t="shared" si="100"/>
        <v>1144695</v>
      </c>
      <c r="X403" s="28"/>
      <c r="Y403" s="28"/>
    </row>
    <row r="404" spans="1:25" s="4" customFormat="1">
      <c r="A404" s="41"/>
      <c r="B404" s="20" t="s">
        <v>52</v>
      </c>
      <c r="C404" s="42">
        <v>2025</v>
      </c>
      <c r="D404" s="19" t="s">
        <v>85</v>
      </c>
      <c r="E404" s="3" t="s">
        <v>358</v>
      </c>
      <c r="F404" s="1">
        <v>0</v>
      </c>
      <c r="G404" s="32">
        <v>0</v>
      </c>
      <c r="H404" s="33">
        <f t="shared" si="106"/>
        <v>0</v>
      </c>
      <c r="I404" s="34"/>
      <c r="J404" s="35">
        <v>0</v>
      </c>
      <c r="K404" s="36">
        <v>0</v>
      </c>
      <c r="L404" s="35">
        <v>0</v>
      </c>
      <c r="M404" s="35">
        <v>0</v>
      </c>
      <c r="N404" s="35">
        <v>0</v>
      </c>
      <c r="O404" s="35">
        <v>-1704795</v>
      </c>
      <c r="P404" s="35">
        <v>0</v>
      </c>
      <c r="R404" s="37">
        <f t="shared" si="100"/>
        <v>1704795</v>
      </c>
      <c r="X404" s="28"/>
      <c r="Y404" s="28"/>
    </row>
    <row r="405" spans="1:25" s="4" customFormat="1">
      <c r="A405" s="41"/>
      <c r="B405" s="20" t="s">
        <v>52</v>
      </c>
      <c r="C405" s="42">
        <v>2025</v>
      </c>
      <c r="D405" s="19" t="s">
        <v>85</v>
      </c>
      <c r="E405" s="3" t="s">
        <v>359</v>
      </c>
      <c r="F405" s="1">
        <v>0</v>
      </c>
      <c r="G405" s="32">
        <v>0</v>
      </c>
      <c r="H405" s="33">
        <f t="shared" si="106"/>
        <v>0</v>
      </c>
      <c r="I405" s="34"/>
      <c r="J405" s="35">
        <v>0</v>
      </c>
      <c r="K405" s="36">
        <v>0</v>
      </c>
      <c r="L405" s="35">
        <v>0</v>
      </c>
      <c r="M405" s="35">
        <v>0</v>
      </c>
      <c r="N405" s="35">
        <v>0</v>
      </c>
      <c r="O405" s="35">
        <v>-1724725</v>
      </c>
      <c r="P405" s="35">
        <v>0</v>
      </c>
      <c r="R405" s="37">
        <f t="shared" si="100"/>
        <v>1724725</v>
      </c>
      <c r="X405" s="28"/>
      <c r="Y405" s="28"/>
    </row>
    <row r="406" spans="1:25" s="4" customFormat="1">
      <c r="A406" s="41"/>
      <c r="B406" s="20" t="s">
        <v>52</v>
      </c>
      <c r="C406" s="42">
        <v>2025</v>
      </c>
      <c r="D406" s="19" t="s">
        <v>85</v>
      </c>
      <c r="E406" s="3" t="s">
        <v>360</v>
      </c>
      <c r="F406" s="1">
        <v>0</v>
      </c>
      <c r="G406" s="32">
        <v>0</v>
      </c>
      <c r="H406" s="33">
        <f t="shared" si="106"/>
        <v>0</v>
      </c>
      <c r="I406" s="34"/>
      <c r="J406" s="35">
        <v>0</v>
      </c>
      <c r="K406" s="36">
        <v>0</v>
      </c>
      <c r="L406" s="35">
        <v>0</v>
      </c>
      <c r="M406" s="35">
        <v>0</v>
      </c>
      <c r="N406" s="35">
        <v>0</v>
      </c>
      <c r="O406" s="35">
        <v>-1948521</v>
      </c>
      <c r="P406" s="35">
        <v>0</v>
      </c>
      <c r="R406" s="37">
        <f t="shared" si="100"/>
        <v>1948521</v>
      </c>
      <c r="X406" s="28"/>
      <c r="Y406" s="28"/>
    </row>
    <row r="407" spans="1:25" s="4" customFormat="1">
      <c r="A407" s="41"/>
      <c r="B407" s="20" t="s">
        <v>52</v>
      </c>
      <c r="C407" s="42">
        <v>2025</v>
      </c>
      <c r="D407" s="19" t="s">
        <v>200</v>
      </c>
      <c r="E407" s="3" t="s">
        <v>362</v>
      </c>
      <c r="F407" s="1">
        <v>0</v>
      </c>
      <c r="G407" s="32">
        <v>0</v>
      </c>
      <c r="H407" s="33">
        <f t="shared" si="106"/>
        <v>0</v>
      </c>
      <c r="I407" s="34"/>
      <c r="J407" s="35">
        <v>0</v>
      </c>
      <c r="K407" s="36">
        <v>0</v>
      </c>
      <c r="L407" s="35">
        <v>0</v>
      </c>
      <c r="M407" s="35">
        <v>0</v>
      </c>
      <c r="N407" s="35">
        <v>0</v>
      </c>
      <c r="O407" s="35">
        <v>-1960081</v>
      </c>
      <c r="P407" s="35">
        <v>0</v>
      </c>
      <c r="R407" s="37">
        <f t="shared" ref="R407" si="107">F407-J407-K407-L407-M407-N407-O407</f>
        <v>1960081</v>
      </c>
      <c r="X407" s="28"/>
      <c r="Y407" s="28"/>
    </row>
    <row r="408" spans="1:25" s="4" customFormat="1">
      <c r="A408" s="41"/>
      <c r="B408" s="20" t="s">
        <v>52</v>
      </c>
      <c r="C408" s="42">
        <v>2025</v>
      </c>
      <c r="D408" s="19" t="s">
        <v>200</v>
      </c>
      <c r="E408" s="3" t="s">
        <v>363</v>
      </c>
      <c r="F408" s="1">
        <v>0</v>
      </c>
      <c r="G408" s="32">
        <v>0</v>
      </c>
      <c r="H408" s="33">
        <f t="shared" si="106"/>
        <v>0</v>
      </c>
      <c r="I408" s="34"/>
      <c r="J408" s="35">
        <v>0</v>
      </c>
      <c r="K408" s="36">
        <v>0</v>
      </c>
      <c r="L408" s="35">
        <v>0</v>
      </c>
      <c r="M408" s="35">
        <v>0</v>
      </c>
      <c r="N408" s="35">
        <v>0</v>
      </c>
      <c r="O408" s="35">
        <v>-1526256</v>
      </c>
      <c r="P408" s="35">
        <v>0</v>
      </c>
      <c r="R408" s="37">
        <f t="shared" ref="R408:R409" si="108">F408-J408-K408-L408-M408-N408-O408</f>
        <v>1526256</v>
      </c>
      <c r="X408" s="28"/>
      <c r="Y408" s="28"/>
    </row>
    <row r="409" spans="1:25" s="4" customFormat="1">
      <c r="A409" s="41"/>
      <c r="B409" s="20" t="s">
        <v>52</v>
      </c>
      <c r="C409" s="42">
        <v>2025</v>
      </c>
      <c r="D409" s="19" t="s">
        <v>200</v>
      </c>
      <c r="E409" s="3" t="s">
        <v>364</v>
      </c>
      <c r="F409" s="1">
        <v>0</v>
      </c>
      <c r="G409" s="32">
        <v>0</v>
      </c>
      <c r="H409" s="33">
        <f t="shared" si="106"/>
        <v>0</v>
      </c>
      <c r="I409" s="34"/>
      <c r="J409" s="35">
        <v>0</v>
      </c>
      <c r="K409" s="36">
        <v>0</v>
      </c>
      <c r="L409" s="35">
        <v>0</v>
      </c>
      <c r="M409" s="35">
        <v>0</v>
      </c>
      <c r="N409" s="35">
        <v>0</v>
      </c>
      <c r="O409" s="35">
        <v>-1696258</v>
      </c>
      <c r="P409" s="35">
        <v>0</v>
      </c>
      <c r="R409" s="37">
        <f t="shared" si="108"/>
        <v>1696258</v>
      </c>
      <c r="X409" s="28"/>
      <c r="Y409" s="28"/>
    </row>
    <row r="410" spans="1:25" s="4" customFormat="1">
      <c r="A410" s="41"/>
      <c r="B410" s="20" t="s">
        <v>52</v>
      </c>
      <c r="C410" s="42">
        <v>2025</v>
      </c>
      <c r="D410" s="19" t="s">
        <v>366</v>
      </c>
      <c r="E410" s="3" t="s">
        <v>365</v>
      </c>
      <c r="F410" s="1">
        <v>0</v>
      </c>
      <c r="G410" s="32">
        <v>0</v>
      </c>
      <c r="H410" s="33">
        <f t="shared" si="106"/>
        <v>0</v>
      </c>
      <c r="I410" s="34"/>
      <c r="J410" s="35">
        <v>0</v>
      </c>
      <c r="K410" s="36">
        <v>0</v>
      </c>
      <c r="L410" s="35">
        <v>0</v>
      </c>
      <c r="M410" s="35">
        <v>0</v>
      </c>
      <c r="N410" s="35">
        <v>0</v>
      </c>
      <c r="O410" s="35">
        <v>-1648200</v>
      </c>
      <c r="P410" s="35">
        <v>0</v>
      </c>
      <c r="R410" s="37">
        <f t="shared" si="100"/>
        <v>1648200</v>
      </c>
      <c r="X410" s="28"/>
      <c r="Y410" s="28"/>
    </row>
    <row r="411" spans="1:25" s="4" customFormat="1">
      <c r="A411" s="41"/>
      <c r="B411" s="20" t="s">
        <v>52</v>
      </c>
      <c r="C411" s="42">
        <v>2025</v>
      </c>
      <c r="D411" s="19" t="s">
        <v>366</v>
      </c>
      <c r="E411" s="3" t="s">
        <v>367</v>
      </c>
      <c r="F411" s="1">
        <v>0</v>
      </c>
      <c r="G411" s="32">
        <v>0</v>
      </c>
      <c r="H411" s="33">
        <f t="shared" si="106"/>
        <v>0</v>
      </c>
      <c r="I411" s="34"/>
      <c r="J411" s="35">
        <v>0</v>
      </c>
      <c r="K411" s="36">
        <v>0</v>
      </c>
      <c r="L411" s="35">
        <v>0</v>
      </c>
      <c r="M411" s="35">
        <v>0</v>
      </c>
      <c r="N411" s="35">
        <v>0</v>
      </c>
      <c r="O411" s="35">
        <v>-977300</v>
      </c>
      <c r="P411" s="35">
        <v>0</v>
      </c>
      <c r="R411" s="37">
        <f t="shared" si="100"/>
        <v>977300</v>
      </c>
      <c r="X411" s="28"/>
      <c r="Y411" s="28"/>
    </row>
    <row r="412" spans="1:25" s="4" customFormat="1">
      <c r="A412" s="41"/>
      <c r="B412" s="20" t="s">
        <v>52</v>
      </c>
      <c r="C412" s="42">
        <v>2025</v>
      </c>
      <c r="D412" s="19" t="s">
        <v>366</v>
      </c>
      <c r="E412" s="3" t="s">
        <v>368</v>
      </c>
      <c r="F412" s="1">
        <v>0</v>
      </c>
      <c r="G412" s="32">
        <v>0</v>
      </c>
      <c r="H412" s="33">
        <f t="shared" si="106"/>
        <v>0</v>
      </c>
      <c r="I412" s="34"/>
      <c r="J412" s="35">
        <v>0</v>
      </c>
      <c r="K412" s="36">
        <v>0</v>
      </c>
      <c r="L412" s="35">
        <v>0</v>
      </c>
      <c r="M412" s="35">
        <v>0</v>
      </c>
      <c r="N412" s="35">
        <v>0</v>
      </c>
      <c r="O412" s="35">
        <v>-1441700</v>
      </c>
      <c r="P412" s="35">
        <v>0</v>
      </c>
      <c r="R412" s="37">
        <f t="shared" si="100"/>
        <v>1441700</v>
      </c>
      <c r="X412" s="28"/>
      <c r="Y412" s="28"/>
    </row>
    <row r="413" spans="1:25" s="4" customFormat="1">
      <c r="A413" s="41"/>
      <c r="B413" s="20" t="s">
        <v>52</v>
      </c>
      <c r="C413" s="42">
        <v>2025</v>
      </c>
      <c r="D413" s="19" t="s">
        <v>366</v>
      </c>
      <c r="E413" s="3" t="s">
        <v>369</v>
      </c>
      <c r="F413" s="1">
        <v>0</v>
      </c>
      <c r="G413" s="32">
        <v>0</v>
      </c>
      <c r="H413" s="33">
        <f t="shared" si="106"/>
        <v>0</v>
      </c>
      <c r="I413" s="34"/>
      <c r="J413" s="35">
        <v>0</v>
      </c>
      <c r="K413" s="36">
        <v>0</v>
      </c>
      <c r="L413" s="35">
        <v>0</v>
      </c>
      <c r="M413" s="35">
        <v>0</v>
      </c>
      <c r="N413" s="35">
        <v>0</v>
      </c>
      <c r="O413" s="35">
        <v>-1441700</v>
      </c>
      <c r="P413" s="35">
        <v>0</v>
      </c>
      <c r="R413" s="37">
        <f t="shared" si="100"/>
        <v>1441700</v>
      </c>
      <c r="X413" s="28"/>
      <c r="Y413" s="28"/>
    </row>
    <row r="414" spans="1:25" s="4" customFormat="1">
      <c r="A414" s="41"/>
      <c r="B414" s="20" t="s">
        <v>52</v>
      </c>
      <c r="C414" s="42">
        <v>2025</v>
      </c>
      <c r="D414" s="19" t="s">
        <v>366</v>
      </c>
      <c r="E414" s="3" t="s">
        <v>370</v>
      </c>
      <c r="F414" s="1">
        <v>0</v>
      </c>
      <c r="G414" s="32">
        <v>0</v>
      </c>
      <c r="H414" s="33">
        <f t="shared" si="106"/>
        <v>0</v>
      </c>
      <c r="I414" s="34"/>
      <c r="J414" s="35">
        <v>0</v>
      </c>
      <c r="K414" s="36">
        <v>0</v>
      </c>
      <c r="L414" s="35">
        <v>0</v>
      </c>
      <c r="M414" s="35">
        <v>0</v>
      </c>
      <c r="N414" s="35">
        <v>0</v>
      </c>
      <c r="O414" s="35">
        <v>-1175200</v>
      </c>
      <c r="P414" s="35">
        <v>0</v>
      </c>
      <c r="R414" s="37">
        <f t="shared" si="100"/>
        <v>1175200</v>
      </c>
      <c r="X414" s="28"/>
      <c r="Y414" s="28"/>
    </row>
    <row r="415" spans="1:25" s="4" customFormat="1">
      <c r="A415" s="41"/>
      <c r="B415" s="20" t="s">
        <v>52</v>
      </c>
      <c r="C415" s="42">
        <v>2025</v>
      </c>
      <c r="D415" s="19" t="s">
        <v>366</v>
      </c>
      <c r="E415" s="3" t="s">
        <v>371</v>
      </c>
      <c r="F415" s="1">
        <v>0</v>
      </c>
      <c r="G415" s="32">
        <v>0</v>
      </c>
      <c r="H415" s="33">
        <f t="shared" si="106"/>
        <v>0</v>
      </c>
      <c r="I415" s="34"/>
      <c r="J415" s="35">
        <v>0</v>
      </c>
      <c r="K415" s="36">
        <v>0</v>
      </c>
      <c r="L415" s="35">
        <v>0</v>
      </c>
      <c r="M415" s="35">
        <v>0</v>
      </c>
      <c r="N415" s="35">
        <v>0</v>
      </c>
      <c r="O415" s="35">
        <v>-995150</v>
      </c>
      <c r="P415" s="35">
        <v>0</v>
      </c>
      <c r="R415" s="37">
        <f t="shared" si="100"/>
        <v>995150</v>
      </c>
      <c r="X415" s="28"/>
      <c r="Y415" s="28"/>
    </row>
    <row r="416" spans="1:25" s="4" customFormat="1">
      <c r="A416" s="41"/>
      <c r="B416" s="20" t="s">
        <v>52</v>
      </c>
      <c r="C416" s="42">
        <v>2025</v>
      </c>
      <c r="D416" s="19" t="s">
        <v>373</v>
      </c>
      <c r="E416" s="3" t="s">
        <v>372</v>
      </c>
      <c r="F416" s="1">
        <v>0</v>
      </c>
      <c r="G416" s="32">
        <v>0</v>
      </c>
      <c r="H416" s="33">
        <f t="shared" si="106"/>
        <v>0</v>
      </c>
      <c r="I416" s="34"/>
      <c r="J416" s="35">
        <v>0</v>
      </c>
      <c r="K416" s="36">
        <v>0</v>
      </c>
      <c r="L416" s="35">
        <v>0</v>
      </c>
      <c r="M416" s="35">
        <v>0</v>
      </c>
      <c r="N416" s="35">
        <v>0</v>
      </c>
      <c r="O416" s="35">
        <v>-3056400</v>
      </c>
      <c r="P416" s="35">
        <v>0</v>
      </c>
      <c r="R416" s="37">
        <f t="shared" si="100"/>
        <v>3056400</v>
      </c>
      <c r="X416" s="28"/>
      <c r="Y416" s="28"/>
    </row>
    <row r="417" spans="1:25" s="4" customFormat="1">
      <c r="A417" s="41"/>
      <c r="B417" s="20" t="s">
        <v>52</v>
      </c>
      <c r="C417" s="42">
        <v>2025</v>
      </c>
      <c r="D417" s="19" t="s">
        <v>380</v>
      </c>
      <c r="E417" s="3" t="s">
        <v>526</v>
      </c>
      <c r="F417" s="1">
        <v>0</v>
      </c>
      <c r="G417" s="32">
        <v>0</v>
      </c>
      <c r="H417" s="33">
        <f t="shared" si="106"/>
        <v>0</v>
      </c>
      <c r="I417" s="34"/>
      <c r="J417" s="35">
        <v>0</v>
      </c>
      <c r="K417" s="36">
        <v>0</v>
      </c>
      <c r="L417" s="35">
        <v>0</v>
      </c>
      <c r="M417" s="35">
        <v>0</v>
      </c>
      <c r="N417" s="35">
        <v>0</v>
      </c>
      <c r="O417" s="35">
        <v>-1308000</v>
      </c>
      <c r="P417" s="35">
        <v>0</v>
      </c>
      <c r="R417" s="37">
        <f t="shared" si="100"/>
        <v>1308000</v>
      </c>
      <c r="X417" s="28"/>
      <c r="Y417" s="28"/>
    </row>
    <row r="418" spans="1:25" s="4" customFormat="1">
      <c r="A418" s="41"/>
      <c r="B418" s="20" t="s">
        <v>52</v>
      </c>
      <c r="C418" s="42">
        <v>2025</v>
      </c>
      <c r="D418" s="19" t="s">
        <v>379</v>
      </c>
      <c r="E418" s="3" t="s">
        <v>527</v>
      </c>
      <c r="F418" s="1">
        <v>0</v>
      </c>
      <c r="G418" s="32">
        <v>0</v>
      </c>
      <c r="H418" s="33">
        <f t="shared" si="106"/>
        <v>0</v>
      </c>
      <c r="I418" s="34"/>
      <c r="J418" s="35">
        <v>0</v>
      </c>
      <c r="K418" s="36">
        <v>0</v>
      </c>
      <c r="L418" s="35">
        <v>0</v>
      </c>
      <c r="M418" s="35">
        <v>0</v>
      </c>
      <c r="N418" s="35">
        <v>0</v>
      </c>
      <c r="O418" s="35">
        <v>-1567500</v>
      </c>
      <c r="P418" s="35">
        <v>0</v>
      </c>
      <c r="R418" s="37">
        <f t="shared" si="100"/>
        <v>1567500</v>
      </c>
      <c r="X418" s="28"/>
      <c r="Y418" s="28"/>
    </row>
    <row r="419" spans="1:25" s="4" customFormat="1">
      <c r="A419" s="41"/>
      <c r="B419" s="20" t="s">
        <v>52</v>
      </c>
      <c r="C419" s="42">
        <v>2025</v>
      </c>
      <c r="D419" s="19" t="s">
        <v>373</v>
      </c>
      <c r="E419" s="3" t="s">
        <v>528</v>
      </c>
      <c r="F419" s="1">
        <v>0</v>
      </c>
      <c r="G419" s="32">
        <v>0</v>
      </c>
      <c r="H419" s="33">
        <f t="shared" si="106"/>
        <v>0</v>
      </c>
      <c r="I419" s="34"/>
      <c r="J419" s="35">
        <v>0</v>
      </c>
      <c r="K419" s="36">
        <v>0</v>
      </c>
      <c r="L419" s="35">
        <v>0</v>
      </c>
      <c r="M419" s="35">
        <v>0</v>
      </c>
      <c r="N419" s="35">
        <v>0</v>
      </c>
      <c r="O419" s="35">
        <v>-1567500</v>
      </c>
      <c r="P419" s="35">
        <v>0</v>
      </c>
      <c r="R419" s="37">
        <f t="shared" si="100"/>
        <v>1567500</v>
      </c>
      <c r="X419" s="28"/>
      <c r="Y419" s="28"/>
    </row>
    <row r="420" spans="1:25" s="4" customFormat="1">
      <c r="A420" s="41"/>
      <c r="B420" s="20" t="s">
        <v>52</v>
      </c>
      <c r="C420" s="42">
        <v>2025</v>
      </c>
      <c r="D420" s="19" t="s">
        <v>373</v>
      </c>
      <c r="E420" s="3" t="s">
        <v>529</v>
      </c>
      <c r="F420" s="1">
        <v>0</v>
      </c>
      <c r="G420" s="32">
        <v>0</v>
      </c>
      <c r="H420" s="33">
        <f t="shared" si="106"/>
        <v>0</v>
      </c>
      <c r="I420" s="34"/>
      <c r="J420" s="35">
        <v>0</v>
      </c>
      <c r="K420" s="36">
        <v>0</v>
      </c>
      <c r="L420" s="35">
        <v>0</v>
      </c>
      <c r="M420" s="35">
        <v>0</v>
      </c>
      <c r="N420" s="35">
        <v>0</v>
      </c>
      <c r="O420" s="35">
        <v>-1478080</v>
      </c>
      <c r="P420" s="35">
        <v>0</v>
      </c>
      <c r="R420" s="37">
        <f t="shared" si="100"/>
        <v>1478080</v>
      </c>
      <c r="X420" s="28"/>
      <c r="Y420" s="28"/>
    </row>
    <row r="421" spans="1:25" s="4" customFormat="1">
      <c r="A421" s="41"/>
      <c r="B421" s="20" t="s">
        <v>52</v>
      </c>
      <c r="C421" s="42">
        <v>2025</v>
      </c>
      <c r="D421" s="19" t="s">
        <v>379</v>
      </c>
      <c r="E421" s="3" t="s">
        <v>530</v>
      </c>
      <c r="F421" s="1">
        <v>0</v>
      </c>
      <c r="G421" s="32">
        <v>0</v>
      </c>
      <c r="H421" s="33">
        <f t="shared" si="106"/>
        <v>0</v>
      </c>
      <c r="I421" s="34"/>
      <c r="J421" s="35">
        <v>0</v>
      </c>
      <c r="K421" s="36">
        <v>0</v>
      </c>
      <c r="L421" s="35">
        <v>0</v>
      </c>
      <c r="M421" s="35">
        <v>0</v>
      </c>
      <c r="N421" s="35">
        <v>0</v>
      </c>
      <c r="O421" s="35">
        <v>-1310203</v>
      </c>
      <c r="P421" s="35">
        <v>0</v>
      </c>
      <c r="R421" s="37">
        <f t="shared" si="100"/>
        <v>1310203</v>
      </c>
      <c r="X421" s="28"/>
      <c r="Y421" s="28"/>
    </row>
    <row r="422" spans="1:25" s="4" customFormat="1">
      <c r="A422" s="41"/>
      <c r="B422" s="20" t="s">
        <v>52</v>
      </c>
      <c r="C422" s="42">
        <v>2025</v>
      </c>
      <c r="D422" s="19" t="s">
        <v>379</v>
      </c>
      <c r="E422" s="3" t="s">
        <v>530</v>
      </c>
      <c r="F422" s="1">
        <v>0</v>
      </c>
      <c r="G422" s="32">
        <v>0</v>
      </c>
      <c r="H422" s="33">
        <f t="shared" si="106"/>
        <v>0</v>
      </c>
      <c r="I422" s="34"/>
      <c r="J422" s="35">
        <v>0</v>
      </c>
      <c r="K422" s="36">
        <v>0</v>
      </c>
      <c r="L422" s="35">
        <v>0</v>
      </c>
      <c r="M422" s="35">
        <v>0</v>
      </c>
      <c r="N422" s="35">
        <v>0</v>
      </c>
      <c r="O422" s="35">
        <v>-2607260</v>
      </c>
      <c r="P422" s="35">
        <v>0</v>
      </c>
      <c r="R422" s="37">
        <f t="shared" si="100"/>
        <v>2607260</v>
      </c>
      <c r="X422" s="28"/>
      <c r="Y422" s="28"/>
    </row>
    <row r="423" spans="1:25" s="4" customFormat="1">
      <c r="A423" s="41"/>
      <c r="B423" s="20" t="s">
        <v>52</v>
      </c>
      <c r="C423" s="42">
        <v>2025</v>
      </c>
      <c r="D423" s="19" t="s">
        <v>379</v>
      </c>
      <c r="E423" s="3" t="s">
        <v>530</v>
      </c>
      <c r="F423" s="1">
        <v>0</v>
      </c>
      <c r="G423" s="32">
        <v>0</v>
      </c>
      <c r="H423" s="33">
        <f t="shared" si="106"/>
        <v>0</v>
      </c>
      <c r="I423" s="34"/>
      <c r="J423" s="35">
        <v>0</v>
      </c>
      <c r="K423" s="36">
        <v>0</v>
      </c>
      <c r="L423" s="35">
        <v>0</v>
      </c>
      <c r="M423" s="35">
        <v>0</v>
      </c>
      <c r="N423" s="35">
        <v>0</v>
      </c>
      <c r="O423" s="35">
        <v>-2800654</v>
      </c>
      <c r="P423" s="35">
        <v>0</v>
      </c>
      <c r="R423" s="37">
        <f t="shared" si="100"/>
        <v>2800654</v>
      </c>
      <c r="X423" s="28"/>
      <c r="Y423" s="28"/>
    </row>
    <row r="424" spans="1:25" s="4" customFormat="1">
      <c r="A424" s="41"/>
      <c r="B424" s="20" t="s">
        <v>52</v>
      </c>
      <c r="C424" s="42">
        <v>2025</v>
      </c>
      <c r="D424" s="19" t="s">
        <v>201</v>
      </c>
      <c r="E424" s="3" t="s">
        <v>531</v>
      </c>
      <c r="F424" s="1">
        <v>0</v>
      </c>
      <c r="G424" s="32">
        <v>0</v>
      </c>
      <c r="H424" s="33">
        <f t="shared" si="106"/>
        <v>0</v>
      </c>
      <c r="I424" s="34"/>
      <c r="J424" s="35">
        <v>0</v>
      </c>
      <c r="K424" s="36">
        <v>0</v>
      </c>
      <c r="L424" s="35">
        <v>0</v>
      </c>
      <c r="M424" s="35">
        <v>0</v>
      </c>
      <c r="N424" s="35">
        <v>0</v>
      </c>
      <c r="O424" s="35">
        <v>-1356600</v>
      </c>
      <c r="P424" s="35">
        <v>0</v>
      </c>
      <c r="R424" s="37">
        <f t="shared" si="100"/>
        <v>1356600</v>
      </c>
      <c r="X424" s="28"/>
      <c r="Y424" s="28"/>
    </row>
    <row r="425" spans="1:25" s="4" customFormat="1">
      <c r="A425" s="41"/>
      <c r="B425" s="20" t="s">
        <v>52</v>
      </c>
      <c r="C425" s="42">
        <v>2025</v>
      </c>
      <c r="D425" s="19" t="s">
        <v>373</v>
      </c>
      <c r="E425" s="3" t="s">
        <v>532</v>
      </c>
      <c r="F425" s="1">
        <v>0</v>
      </c>
      <c r="G425" s="32">
        <v>0</v>
      </c>
      <c r="H425" s="33">
        <f t="shared" si="106"/>
        <v>0</v>
      </c>
      <c r="I425" s="34"/>
      <c r="J425" s="35">
        <v>0</v>
      </c>
      <c r="K425" s="36">
        <v>0</v>
      </c>
      <c r="L425" s="35">
        <v>0</v>
      </c>
      <c r="M425" s="35">
        <v>0</v>
      </c>
      <c r="N425" s="35">
        <v>0</v>
      </c>
      <c r="O425" s="35">
        <v>-1719998</v>
      </c>
      <c r="P425" s="35">
        <v>0</v>
      </c>
      <c r="R425" s="37">
        <f t="shared" si="100"/>
        <v>1719998</v>
      </c>
      <c r="X425" s="28"/>
      <c r="Y425" s="28"/>
    </row>
    <row r="426" spans="1:25" s="4" customFormat="1">
      <c r="A426" s="41"/>
      <c r="B426" s="20" t="s">
        <v>52</v>
      </c>
      <c r="C426" s="42">
        <v>2025</v>
      </c>
      <c r="D426" s="19" t="s">
        <v>373</v>
      </c>
      <c r="E426" s="3" t="s">
        <v>533</v>
      </c>
      <c r="F426" s="1">
        <v>0</v>
      </c>
      <c r="G426" s="32">
        <v>0</v>
      </c>
      <c r="H426" s="33">
        <f t="shared" si="106"/>
        <v>0</v>
      </c>
      <c r="I426" s="34"/>
      <c r="J426" s="35">
        <v>0</v>
      </c>
      <c r="K426" s="36">
        <v>0</v>
      </c>
      <c r="L426" s="35">
        <v>0</v>
      </c>
      <c r="M426" s="35">
        <v>0</v>
      </c>
      <c r="N426" s="35">
        <v>0</v>
      </c>
      <c r="O426" s="35">
        <v>-1488000</v>
      </c>
      <c r="P426" s="35">
        <v>0</v>
      </c>
      <c r="R426" s="37">
        <f t="shared" si="100"/>
        <v>1488000</v>
      </c>
      <c r="X426" s="28"/>
      <c r="Y426" s="28"/>
    </row>
    <row r="427" spans="1:25" s="4" customFormat="1">
      <c r="A427" s="41"/>
      <c r="B427" s="20" t="s">
        <v>52</v>
      </c>
      <c r="C427" s="42">
        <v>2025</v>
      </c>
      <c r="D427" s="19" t="s">
        <v>373</v>
      </c>
      <c r="E427" s="3" t="s">
        <v>534</v>
      </c>
      <c r="F427" s="1">
        <v>0</v>
      </c>
      <c r="G427" s="32">
        <v>0</v>
      </c>
      <c r="H427" s="33">
        <f t="shared" si="106"/>
        <v>0</v>
      </c>
      <c r="I427" s="34"/>
      <c r="J427" s="35">
        <v>0</v>
      </c>
      <c r="K427" s="36">
        <v>0</v>
      </c>
      <c r="L427" s="35">
        <v>0</v>
      </c>
      <c r="M427" s="35">
        <v>0</v>
      </c>
      <c r="N427" s="35">
        <v>0</v>
      </c>
      <c r="O427" s="35">
        <v>-770400</v>
      </c>
      <c r="P427" s="35">
        <v>0</v>
      </c>
      <c r="R427" s="37">
        <f t="shared" si="100"/>
        <v>770400</v>
      </c>
      <c r="X427" s="28"/>
      <c r="Y427" s="28"/>
    </row>
    <row r="428" spans="1:25" s="4" customFormat="1">
      <c r="A428" s="41"/>
      <c r="B428" s="20" t="s">
        <v>52</v>
      </c>
      <c r="C428" s="42">
        <v>2025</v>
      </c>
      <c r="D428" s="19" t="s">
        <v>373</v>
      </c>
      <c r="E428" s="3" t="s">
        <v>535</v>
      </c>
      <c r="F428" s="1">
        <v>0</v>
      </c>
      <c r="G428" s="32">
        <v>0</v>
      </c>
      <c r="H428" s="33">
        <f t="shared" si="106"/>
        <v>0</v>
      </c>
      <c r="I428" s="34"/>
      <c r="J428" s="35">
        <v>0</v>
      </c>
      <c r="K428" s="36">
        <v>0</v>
      </c>
      <c r="L428" s="35">
        <v>0</v>
      </c>
      <c r="M428" s="35">
        <v>0</v>
      </c>
      <c r="N428" s="35">
        <v>0</v>
      </c>
      <c r="O428" s="35">
        <v>-911842</v>
      </c>
      <c r="P428" s="35">
        <v>0</v>
      </c>
      <c r="R428" s="37">
        <f t="shared" si="100"/>
        <v>911842</v>
      </c>
      <c r="X428" s="28"/>
      <c r="Y428" s="28"/>
    </row>
    <row r="429" spans="1:25" s="4" customFormat="1">
      <c r="A429" s="41"/>
      <c r="B429" s="20" t="s">
        <v>52</v>
      </c>
      <c r="C429" s="42">
        <v>2025</v>
      </c>
      <c r="D429" s="19" t="s">
        <v>459</v>
      </c>
      <c r="E429" s="3" t="s">
        <v>855</v>
      </c>
      <c r="F429" s="1">
        <v>0</v>
      </c>
      <c r="G429" s="32">
        <v>0</v>
      </c>
      <c r="H429" s="33">
        <f t="shared" si="106"/>
        <v>0</v>
      </c>
      <c r="I429" s="34"/>
      <c r="J429" s="35">
        <v>0</v>
      </c>
      <c r="K429" s="36">
        <v>0</v>
      </c>
      <c r="L429" s="35">
        <v>0</v>
      </c>
      <c r="M429" s="35">
        <v>0</v>
      </c>
      <c r="N429" s="35">
        <v>0</v>
      </c>
      <c r="O429" s="35">
        <v>1105829</v>
      </c>
      <c r="P429" s="35">
        <v>0</v>
      </c>
      <c r="R429" s="37">
        <f t="shared" ref="R429" si="109">F429-J429-K429-L429-M429-N429-O429</f>
        <v>-1105829</v>
      </c>
      <c r="X429" s="28"/>
      <c r="Y429" s="28"/>
    </row>
    <row r="430" spans="1:25" s="4" customFormat="1">
      <c r="A430" s="41"/>
      <c r="B430" s="20" t="s">
        <v>52</v>
      </c>
      <c r="C430" s="42">
        <v>2025</v>
      </c>
      <c r="D430" s="19" t="s">
        <v>373</v>
      </c>
      <c r="E430" s="3" t="s">
        <v>536</v>
      </c>
      <c r="F430" s="1">
        <v>0</v>
      </c>
      <c r="G430" s="32">
        <v>0</v>
      </c>
      <c r="H430" s="33">
        <f t="shared" si="106"/>
        <v>0</v>
      </c>
      <c r="I430" s="34"/>
      <c r="J430" s="35">
        <v>0</v>
      </c>
      <c r="K430" s="36">
        <v>0</v>
      </c>
      <c r="L430" s="35">
        <v>0</v>
      </c>
      <c r="M430" s="35">
        <v>0</v>
      </c>
      <c r="N430" s="35">
        <v>0</v>
      </c>
      <c r="O430" s="35">
        <v>-1472434</v>
      </c>
      <c r="P430" s="35">
        <v>0</v>
      </c>
      <c r="R430" s="37">
        <f t="shared" si="100"/>
        <v>1472434</v>
      </c>
      <c r="X430" s="28"/>
      <c r="Y430" s="28"/>
    </row>
    <row r="431" spans="1:25" s="4" customFormat="1">
      <c r="A431" s="41"/>
      <c r="B431" s="20" t="s">
        <v>52</v>
      </c>
      <c r="C431" s="42">
        <v>2025</v>
      </c>
      <c r="D431" s="19" t="s">
        <v>375</v>
      </c>
      <c r="E431" s="3" t="s">
        <v>537</v>
      </c>
      <c r="F431" s="1">
        <v>0</v>
      </c>
      <c r="G431" s="32">
        <v>0</v>
      </c>
      <c r="H431" s="33">
        <f t="shared" si="106"/>
        <v>0</v>
      </c>
      <c r="I431" s="34"/>
      <c r="J431" s="35">
        <v>0</v>
      </c>
      <c r="K431" s="36">
        <v>0</v>
      </c>
      <c r="L431" s="35">
        <v>0</v>
      </c>
      <c r="M431" s="35">
        <v>0</v>
      </c>
      <c r="N431" s="35">
        <v>0</v>
      </c>
      <c r="O431" s="35">
        <v>-908800</v>
      </c>
      <c r="P431" s="35">
        <v>0</v>
      </c>
      <c r="R431" s="37">
        <f t="shared" si="100"/>
        <v>908800</v>
      </c>
      <c r="X431" s="28"/>
      <c r="Y431" s="28"/>
    </row>
    <row r="432" spans="1:25" s="4" customFormat="1">
      <c r="A432" s="41"/>
      <c r="B432" s="20" t="s">
        <v>52</v>
      </c>
      <c r="C432" s="42">
        <v>2025</v>
      </c>
      <c r="D432" s="19" t="s">
        <v>375</v>
      </c>
      <c r="E432" s="3" t="s">
        <v>538</v>
      </c>
      <c r="F432" s="1">
        <v>0</v>
      </c>
      <c r="G432" s="32">
        <v>0</v>
      </c>
      <c r="H432" s="33">
        <f t="shared" si="106"/>
        <v>0</v>
      </c>
      <c r="I432" s="34"/>
      <c r="J432" s="35">
        <v>0</v>
      </c>
      <c r="K432" s="36">
        <v>0</v>
      </c>
      <c r="L432" s="35">
        <v>0</v>
      </c>
      <c r="M432" s="35">
        <v>0</v>
      </c>
      <c r="N432" s="35">
        <v>0</v>
      </c>
      <c r="O432" s="35">
        <v>-22102000</v>
      </c>
      <c r="P432" s="35">
        <v>0</v>
      </c>
      <c r="R432" s="37">
        <f t="shared" si="100"/>
        <v>22102000</v>
      </c>
      <c r="X432" s="28"/>
      <c r="Y432" s="28"/>
    </row>
    <row r="433" spans="1:25" s="4" customFormat="1">
      <c r="A433" s="41"/>
      <c r="B433" s="20" t="s">
        <v>52</v>
      </c>
      <c r="C433" s="42">
        <v>2025</v>
      </c>
      <c r="D433" s="19" t="s">
        <v>375</v>
      </c>
      <c r="E433" s="3" t="s">
        <v>539</v>
      </c>
      <c r="F433" s="1">
        <v>0</v>
      </c>
      <c r="G433" s="32">
        <v>0</v>
      </c>
      <c r="H433" s="33">
        <f t="shared" si="106"/>
        <v>0</v>
      </c>
      <c r="I433" s="34"/>
      <c r="J433" s="35">
        <v>0</v>
      </c>
      <c r="K433" s="36">
        <v>0</v>
      </c>
      <c r="L433" s="35">
        <v>0</v>
      </c>
      <c r="M433" s="35">
        <v>0</v>
      </c>
      <c r="N433" s="35">
        <v>0</v>
      </c>
      <c r="O433" s="35">
        <v>-65500</v>
      </c>
      <c r="P433" s="35">
        <v>0</v>
      </c>
      <c r="R433" s="37">
        <f t="shared" si="100"/>
        <v>65500</v>
      </c>
      <c r="X433" s="28"/>
      <c r="Y433" s="28"/>
    </row>
    <row r="434" spans="1:25" s="4" customFormat="1">
      <c r="A434" s="41"/>
      <c r="B434" s="20" t="s">
        <v>52</v>
      </c>
      <c r="C434" s="42">
        <v>2025</v>
      </c>
      <c r="D434" s="19" t="s">
        <v>375</v>
      </c>
      <c r="E434" s="3" t="s">
        <v>540</v>
      </c>
      <c r="F434" s="1">
        <v>0</v>
      </c>
      <c r="G434" s="32">
        <v>0</v>
      </c>
      <c r="H434" s="33">
        <f t="shared" si="106"/>
        <v>0</v>
      </c>
      <c r="I434" s="34"/>
      <c r="J434" s="35">
        <v>0</v>
      </c>
      <c r="K434" s="36">
        <v>0</v>
      </c>
      <c r="L434" s="35">
        <v>0</v>
      </c>
      <c r="M434" s="35">
        <v>0</v>
      </c>
      <c r="N434" s="35">
        <v>0</v>
      </c>
      <c r="O434" s="35">
        <v>-484014</v>
      </c>
      <c r="P434" s="35">
        <v>0</v>
      </c>
      <c r="R434" s="37">
        <f t="shared" si="100"/>
        <v>484014</v>
      </c>
      <c r="X434" s="28"/>
      <c r="Y434" s="28"/>
    </row>
    <row r="435" spans="1:25" s="4" customFormat="1">
      <c r="A435" s="41"/>
      <c r="B435" s="20" t="s">
        <v>52</v>
      </c>
      <c r="C435" s="42">
        <v>2025</v>
      </c>
      <c r="D435" s="19" t="s">
        <v>373</v>
      </c>
      <c r="E435" s="3" t="s">
        <v>541</v>
      </c>
      <c r="F435" s="1">
        <v>0</v>
      </c>
      <c r="G435" s="32">
        <v>0</v>
      </c>
      <c r="H435" s="33">
        <f t="shared" si="106"/>
        <v>0</v>
      </c>
      <c r="I435" s="34"/>
      <c r="J435" s="35">
        <v>0</v>
      </c>
      <c r="K435" s="36">
        <v>0</v>
      </c>
      <c r="L435" s="35">
        <v>0</v>
      </c>
      <c r="M435" s="35">
        <v>0</v>
      </c>
      <c r="N435" s="35">
        <v>0</v>
      </c>
      <c r="O435" s="35">
        <v>-3127288</v>
      </c>
      <c r="P435" s="35">
        <v>0</v>
      </c>
      <c r="R435" s="37">
        <f t="shared" ref="R435:R616" si="110">F435-J435-K435-L435-M435-N435-O435</f>
        <v>3127288</v>
      </c>
      <c r="X435" s="28"/>
      <c r="Y435" s="28"/>
    </row>
    <row r="436" spans="1:25" s="4" customFormat="1">
      <c r="A436" s="41"/>
      <c r="B436" s="20" t="s">
        <v>52</v>
      </c>
      <c r="C436" s="42">
        <v>2025</v>
      </c>
      <c r="D436" s="19" t="s">
        <v>375</v>
      </c>
      <c r="E436" s="3" t="s">
        <v>542</v>
      </c>
      <c r="F436" s="1">
        <v>0</v>
      </c>
      <c r="G436" s="32">
        <v>0</v>
      </c>
      <c r="H436" s="33">
        <f t="shared" si="106"/>
        <v>0</v>
      </c>
      <c r="I436" s="34"/>
      <c r="J436" s="35">
        <v>0</v>
      </c>
      <c r="K436" s="36">
        <v>0</v>
      </c>
      <c r="L436" s="35">
        <v>0</v>
      </c>
      <c r="M436" s="35">
        <v>0</v>
      </c>
      <c r="N436" s="35">
        <v>0</v>
      </c>
      <c r="O436" s="35">
        <v>-241700</v>
      </c>
      <c r="P436" s="35">
        <v>0</v>
      </c>
      <c r="R436" s="37">
        <f t="shared" si="110"/>
        <v>241700</v>
      </c>
      <c r="X436" s="28"/>
      <c r="Y436" s="28"/>
    </row>
    <row r="437" spans="1:25" s="4" customFormat="1">
      <c r="A437" s="41"/>
      <c r="B437" s="20" t="s">
        <v>52</v>
      </c>
      <c r="C437" s="42">
        <v>2025</v>
      </c>
      <c r="D437" s="19" t="s">
        <v>375</v>
      </c>
      <c r="E437" s="3" t="s">
        <v>543</v>
      </c>
      <c r="F437" s="1">
        <v>0</v>
      </c>
      <c r="G437" s="32">
        <v>0</v>
      </c>
      <c r="H437" s="33">
        <f t="shared" si="106"/>
        <v>0</v>
      </c>
      <c r="I437" s="34"/>
      <c r="J437" s="35">
        <v>0</v>
      </c>
      <c r="K437" s="36">
        <v>0</v>
      </c>
      <c r="L437" s="35">
        <v>0</v>
      </c>
      <c r="M437" s="35">
        <v>0</v>
      </c>
      <c r="N437" s="35">
        <v>0</v>
      </c>
      <c r="O437" s="35">
        <v>-489000</v>
      </c>
      <c r="P437" s="35">
        <v>0</v>
      </c>
      <c r="R437" s="37">
        <f t="shared" si="110"/>
        <v>489000</v>
      </c>
      <c r="X437" s="28"/>
      <c r="Y437" s="28"/>
    </row>
    <row r="438" spans="1:25" s="4" customFormat="1">
      <c r="A438" s="41"/>
      <c r="B438" s="20" t="s">
        <v>52</v>
      </c>
      <c r="C438" s="42">
        <v>2025</v>
      </c>
      <c r="D438" s="19" t="s">
        <v>375</v>
      </c>
      <c r="E438" s="3" t="s">
        <v>544</v>
      </c>
      <c r="F438" s="1">
        <v>0</v>
      </c>
      <c r="G438" s="32">
        <v>0</v>
      </c>
      <c r="H438" s="33">
        <f t="shared" si="106"/>
        <v>0</v>
      </c>
      <c r="I438" s="34"/>
      <c r="J438" s="35">
        <v>0</v>
      </c>
      <c r="K438" s="36">
        <v>0</v>
      </c>
      <c r="L438" s="35">
        <v>0</v>
      </c>
      <c r="M438" s="35">
        <v>0</v>
      </c>
      <c r="N438" s="35">
        <v>0</v>
      </c>
      <c r="O438" s="35">
        <v>-35000</v>
      </c>
      <c r="P438" s="35">
        <v>0</v>
      </c>
      <c r="R438" s="37">
        <f t="shared" si="110"/>
        <v>35000</v>
      </c>
      <c r="X438" s="28"/>
      <c r="Y438" s="28"/>
    </row>
    <row r="439" spans="1:25" s="4" customFormat="1">
      <c r="A439" s="41"/>
      <c r="B439" s="20" t="s">
        <v>52</v>
      </c>
      <c r="C439" s="42">
        <v>2025</v>
      </c>
      <c r="D439" s="19" t="s">
        <v>453</v>
      </c>
      <c r="E439" s="3" t="s">
        <v>545</v>
      </c>
      <c r="F439" s="1">
        <v>0</v>
      </c>
      <c r="G439" s="32">
        <v>0</v>
      </c>
      <c r="H439" s="33">
        <f t="shared" si="106"/>
        <v>0</v>
      </c>
      <c r="I439" s="34"/>
      <c r="J439" s="35">
        <v>0</v>
      </c>
      <c r="K439" s="36">
        <v>0</v>
      </c>
      <c r="L439" s="35">
        <v>0</v>
      </c>
      <c r="M439" s="35">
        <v>0</v>
      </c>
      <c r="N439" s="35">
        <v>0</v>
      </c>
      <c r="O439" s="35">
        <v>-607133</v>
      </c>
      <c r="P439" s="35">
        <v>0</v>
      </c>
      <c r="R439" s="37">
        <f t="shared" ref="R439" si="111">F439-J439-K439-L439-M439-N439-O439</f>
        <v>607133</v>
      </c>
      <c r="X439" s="28"/>
      <c r="Y439" s="28"/>
    </row>
    <row r="440" spans="1:25" s="4" customFormat="1">
      <c r="A440" s="41"/>
      <c r="B440" s="20" t="s">
        <v>52</v>
      </c>
      <c r="C440" s="42">
        <v>2025</v>
      </c>
      <c r="D440" s="19" t="s">
        <v>373</v>
      </c>
      <c r="E440" s="3" t="s">
        <v>546</v>
      </c>
      <c r="F440" s="1">
        <v>0</v>
      </c>
      <c r="G440" s="32">
        <v>0</v>
      </c>
      <c r="H440" s="33">
        <f t="shared" si="106"/>
        <v>0</v>
      </c>
      <c r="I440" s="34"/>
      <c r="J440" s="35">
        <v>0</v>
      </c>
      <c r="K440" s="36">
        <v>0</v>
      </c>
      <c r="L440" s="35">
        <v>0</v>
      </c>
      <c r="M440" s="35">
        <v>0</v>
      </c>
      <c r="N440" s="35">
        <v>0</v>
      </c>
      <c r="O440" s="35">
        <v>-1449964</v>
      </c>
      <c r="P440" s="35">
        <v>0</v>
      </c>
      <c r="R440" s="37">
        <f t="shared" si="110"/>
        <v>1449964</v>
      </c>
      <c r="X440" s="28"/>
      <c r="Y440" s="28"/>
    </row>
    <row r="441" spans="1:25" s="4" customFormat="1">
      <c r="A441" s="41"/>
      <c r="B441" s="20" t="s">
        <v>52</v>
      </c>
      <c r="C441" s="42">
        <v>2025</v>
      </c>
      <c r="D441" s="19" t="s">
        <v>452</v>
      </c>
      <c r="E441" s="3" t="s">
        <v>547</v>
      </c>
      <c r="F441" s="1">
        <v>0</v>
      </c>
      <c r="G441" s="32">
        <v>0</v>
      </c>
      <c r="H441" s="33">
        <f t="shared" si="106"/>
        <v>0</v>
      </c>
      <c r="I441" s="34"/>
      <c r="J441" s="35">
        <v>0</v>
      </c>
      <c r="K441" s="36">
        <v>0</v>
      </c>
      <c r="L441" s="35">
        <v>0</v>
      </c>
      <c r="M441" s="35">
        <v>0</v>
      </c>
      <c r="N441" s="35">
        <v>0</v>
      </c>
      <c r="O441" s="35">
        <v>-504960</v>
      </c>
      <c r="P441" s="35">
        <v>0</v>
      </c>
      <c r="R441" s="37">
        <f t="shared" si="110"/>
        <v>504960</v>
      </c>
      <c r="X441" s="28"/>
      <c r="Y441" s="28"/>
    </row>
    <row r="442" spans="1:25" s="4" customFormat="1">
      <c r="A442" s="41"/>
      <c r="B442" s="20" t="s">
        <v>52</v>
      </c>
      <c r="C442" s="42">
        <v>2025</v>
      </c>
      <c r="D442" s="19" t="s">
        <v>453</v>
      </c>
      <c r="E442" s="3" t="s">
        <v>548</v>
      </c>
      <c r="F442" s="1">
        <v>0</v>
      </c>
      <c r="G442" s="32">
        <v>0</v>
      </c>
      <c r="H442" s="33">
        <f t="shared" si="106"/>
        <v>0</v>
      </c>
      <c r="I442" s="34"/>
      <c r="J442" s="35">
        <v>0</v>
      </c>
      <c r="K442" s="36">
        <v>0</v>
      </c>
      <c r="L442" s="35">
        <v>0</v>
      </c>
      <c r="M442" s="35">
        <v>0</v>
      </c>
      <c r="N442" s="35">
        <v>0</v>
      </c>
      <c r="O442" s="35">
        <v>-828830</v>
      </c>
      <c r="P442" s="35">
        <v>0</v>
      </c>
      <c r="R442" s="37">
        <f t="shared" ref="R442" si="112">F442-J442-K442-L442-M442-N442-O442</f>
        <v>828830</v>
      </c>
      <c r="X442" s="28"/>
      <c r="Y442" s="28"/>
    </row>
    <row r="443" spans="1:25" s="4" customFormat="1">
      <c r="A443" s="41"/>
      <c r="B443" s="20" t="s">
        <v>52</v>
      </c>
      <c r="C443" s="42">
        <v>2025</v>
      </c>
      <c r="D443" s="19" t="s">
        <v>453</v>
      </c>
      <c r="E443" s="3" t="s">
        <v>549</v>
      </c>
      <c r="F443" s="1">
        <v>0</v>
      </c>
      <c r="G443" s="32">
        <v>0</v>
      </c>
      <c r="H443" s="33">
        <f t="shared" si="106"/>
        <v>0</v>
      </c>
      <c r="I443" s="34"/>
      <c r="J443" s="35">
        <v>0</v>
      </c>
      <c r="K443" s="36">
        <v>0</v>
      </c>
      <c r="L443" s="35">
        <v>0</v>
      </c>
      <c r="M443" s="35">
        <v>0</v>
      </c>
      <c r="N443" s="35">
        <v>0</v>
      </c>
      <c r="O443" s="35">
        <v>-828830</v>
      </c>
      <c r="P443" s="35">
        <v>0</v>
      </c>
      <c r="R443" s="37">
        <f t="shared" ref="R443:R444" si="113">F443-J443-K443-L443-M443-N443-O443</f>
        <v>828830</v>
      </c>
      <c r="X443" s="28"/>
      <c r="Y443" s="28"/>
    </row>
    <row r="444" spans="1:25" s="4" customFormat="1">
      <c r="A444" s="41"/>
      <c r="B444" s="20" t="s">
        <v>52</v>
      </c>
      <c r="C444" s="42">
        <v>2025</v>
      </c>
      <c r="D444" s="19" t="s">
        <v>453</v>
      </c>
      <c r="E444" s="3" t="s">
        <v>550</v>
      </c>
      <c r="F444" s="1">
        <v>0</v>
      </c>
      <c r="G444" s="32">
        <v>0</v>
      </c>
      <c r="H444" s="33">
        <f t="shared" si="106"/>
        <v>0</v>
      </c>
      <c r="I444" s="34"/>
      <c r="J444" s="35">
        <v>0</v>
      </c>
      <c r="K444" s="36">
        <v>0</v>
      </c>
      <c r="L444" s="35">
        <v>0</v>
      </c>
      <c r="M444" s="35">
        <v>0</v>
      </c>
      <c r="N444" s="35">
        <v>0</v>
      </c>
      <c r="O444" s="35">
        <v>-922432</v>
      </c>
      <c r="P444" s="35">
        <v>0</v>
      </c>
      <c r="R444" s="37">
        <f t="shared" si="113"/>
        <v>922432</v>
      </c>
      <c r="X444" s="28"/>
      <c r="Y444" s="28"/>
    </row>
    <row r="445" spans="1:25" s="4" customFormat="1">
      <c r="A445" s="41"/>
      <c r="B445" s="20" t="s">
        <v>52</v>
      </c>
      <c r="C445" s="42">
        <v>2025</v>
      </c>
      <c r="D445" s="19" t="s">
        <v>451</v>
      </c>
      <c r="E445" s="3" t="s">
        <v>551</v>
      </c>
      <c r="F445" s="1">
        <v>0</v>
      </c>
      <c r="G445" s="32">
        <v>0</v>
      </c>
      <c r="H445" s="33">
        <f t="shared" si="106"/>
        <v>0</v>
      </c>
      <c r="I445" s="34"/>
      <c r="J445" s="35">
        <v>0</v>
      </c>
      <c r="K445" s="36">
        <v>0</v>
      </c>
      <c r="L445" s="35">
        <v>0</v>
      </c>
      <c r="M445" s="35">
        <v>0</v>
      </c>
      <c r="N445" s="35">
        <v>0</v>
      </c>
      <c r="O445" s="35">
        <v>-1980000</v>
      </c>
      <c r="P445" s="35">
        <v>0</v>
      </c>
      <c r="R445" s="37">
        <f t="shared" si="110"/>
        <v>1980000</v>
      </c>
      <c r="X445" s="28"/>
      <c r="Y445" s="28"/>
    </row>
    <row r="446" spans="1:25" s="4" customFormat="1">
      <c r="A446" s="41"/>
      <c r="B446" s="20" t="s">
        <v>52</v>
      </c>
      <c r="C446" s="42">
        <v>2025</v>
      </c>
      <c r="D446" s="19" t="s">
        <v>451</v>
      </c>
      <c r="E446" s="3" t="s">
        <v>552</v>
      </c>
      <c r="F446" s="1">
        <v>0</v>
      </c>
      <c r="G446" s="32">
        <v>0</v>
      </c>
      <c r="H446" s="33">
        <f t="shared" si="106"/>
        <v>0</v>
      </c>
      <c r="I446" s="34"/>
      <c r="J446" s="35">
        <v>0</v>
      </c>
      <c r="K446" s="36">
        <v>0</v>
      </c>
      <c r="L446" s="35">
        <v>0</v>
      </c>
      <c r="M446" s="35">
        <v>0</v>
      </c>
      <c r="N446" s="35">
        <v>0</v>
      </c>
      <c r="O446" s="35">
        <v>-1919000</v>
      </c>
      <c r="P446" s="35">
        <v>0</v>
      </c>
      <c r="R446" s="37">
        <f t="shared" si="110"/>
        <v>1919000</v>
      </c>
      <c r="X446" s="28"/>
      <c r="Y446" s="28"/>
    </row>
    <row r="447" spans="1:25" s="4" customFormat="1">
      <c r="A447" s="41"/>
      <c r="B447" s="20" t="s">
        <v>52</v>
      </c>
      <c r="C447" s="42">
        <v>2025</v>
      </c>
      <c r="D447" s="19" t="s">
        <v>451</v>
      </c>
      <c r="E447" s="3" t="s">
        <v>553</v>
      </c>
      <c r="F447" s="1">
        <v>0</v>
      </c>
      <c r="G447" s="32">
        <v>0</v>
      </c>
      <c r="H447" s="33">
        <f t="shared" si="106"/>
        <v>0</v>
      </c>
      <c r="I447" s="34"/>
      <c r="J447" s="35">
        <v>0</v>
      </c>
      <c r="K447" s="36">
        <v>0</v>
      </c>
      <c r="L447" s="35">
        <v>0</v>
      </c>
      <c r="M447" s="35">
        <v>0</v>
      </c>
      <c r="N447" s="35">
        <v>0</v>
      </c>
      <c r="O447" s="35">
        <v>-1919000</v>
      </c>
      <c r="P447" s="35">
        <v>0</v>
      </c>
      <c r="R447" s="37">
        <f t="shared" si="110"/>
        <v>1919000</v>
      </c>
      <c r="X447" s="28"/>
      <c r="Y447" s="28"/>
    </row>
    <row r="448" spans="1:25" s="4" customFormat="1">
      <c r="A448" s="41"/>
      <c r="B448" s="20" t="s">
        <v>52</v>
      </c>
      <c r="C448" s="42">
        <v>2025</v>
      </c>
      <c r="D448" s="19" t="s">
        <v>453</v>
      </c>
      <c r="E448" s="3" t="s">
        <v>554</v>
      </c>
      <c r="F448" s="1">
        <v>0</v>
      </c>
      <c r="G448" s="32">
        <v>0</v>
      </c>
      <c r="H448" s="33">
        <f t="shared" si="106"/>
        <v>0</v>
      </c>
      <c r="I448" s="34"/>
      <c r="J448" s="35">
        <v>0</v>
      </c>
      <c r="K448" s="36">
        <v>0</v>
      </c>
      <c r="L448" s="35">
        <v>0</v>
      </c>
      <c r="M448" s="35">
        <v>0</v>
      </c>
      <c r="N448" s="35">
        <v>0</v>
      </c>
      <c r="O448" s="35">
        <v>215397</v>
      </c>
      <c r="P448" s="35">
        <v>0</v>
      </c>
      <c r="R448" s="37">
        <f t="shared" ref="R448" si="114">F448-J448-K448-L448-M448-N448-O448</f>
        <v>-215397</v>
      </c>
      <c r="X448" s="28"/>
      <c r="Y448" s="28"/>
    </row>
    <row r="449" spans="1:25" s="4" customFormat="1">
      <c r="A449" s="41"/>
      <c r="B449" s="20" t="s">
        <v>52</v>
      </c>
      <c r="C449" s="42">
        <v>2025</v>
      </c>
      <c r="D449" s="19" t="s">
        <v>451</v>
      </c>
      <c r="E449" s="3" t="s">
        <v>555</v>
      </c>
      <c r="F449" s="1">
        <v>0</v>
      </c>
      <c r="G449" s="32">
        <v>0</v>
      </c>
      <c r="H449" s="33">
        <f t="shared" si="106"/>
        <v>0</v>
      </c>
      <c r="I449" s="34"/>
      <c r="J449" s="35">
        <v>0</v>
      </c>
      <c r="K449" s="36">
        <v>0</v>
      </c>
      <c r="L449" s="35">
        <v>0</v>
      </c>
      <c r="M449" s="35">
        <v>0</v>
      </c>
      <c r="N449" s="35">
        <v>0</v>
      </c>
      <c r="O449" s="35">
        <v>-632538</v>
      </c>
      <c r="P449" s="35">
        <v>0</v>
      </c>
      <c r="R449" s="37">
        <f t="shared" si="110"/>
        <v>632538</v>
      </c>
      <c r="X449" s="28"/>
      <c r="Y449" s="28"/>
    </row>
    <row r="450" spans="1:25" s="4" customFormat="1">
      <c r="A450" s="41"/>
      <c r="B450" s="20" t="s">
        <v>52</v>
      </c>
      <c r="C450" s="42">
        <v>2025</v>
      </c>
      <c r="D450" s="19" t="s">
        <v>451</v>
      </c>
      <c r="E450" s="3" t="s">
        <v>556</v>
      </c>
      <c r="F450" s="1">
        <v>0</v>
      </c>
      <c r="G450" s="32">
        <v>0</v>
      </c>
      <c r="H450" s="33">
        <f t="shared" si="106"/>
        <v>0</v>
      </c>
      <c r="I450" s="34"/>
      <c r="J450" s="35">
        <v>0</v>
      </c>
      <c r="K450" s="36">
        <v>0</v>
      </c>
      <c r="L450" s="35">
        <v>0</v>
      </c>
      <c r="M450" s="35">
        <v>0</v>
      </c>
      <c r="N450" s="35">
        <v>0</v>
      </c>
      <c r="O450" s="35">
        <v>-859008</v>
      </c>
      <c r="P450" s="35">
        <v>0</v>
      </c>
      <c r="R450" s="37">
        <f t="shared" si="110"/>
        <v>859008</v>
      </c>
      <c r="X450" s="28"/>
      <c r="Y450" s="28"/>
    </row>
    <row r="451" spans="1:25" s="4" customFormat="1">
      <c r="A451" s="41"/>
      <c r="B451" s="20" t="s">
        <v>52</v>
      </c>
      <c r="C451" s="42">
        <v>2025</v>
      </c>
      <c r="D451" s="19" t="s">
        <v>456</v>
      </c>
      <c r="E451" s="3" t="s">
        <v>557</v>
      </c>
      <c r="F451" s="1">
        <v>0</v>
      </c>
      <c r="G451" s="32">
        <v>0</v>
      </c>
      <c r="H451" s="33">
        <f t="shared" si="106"/>
        <v>0</v>
      </c>
      <c r="I451" s="34"/>
      <c r="J451" s="35">
        <v>0</v>
      </c>
      <c r="K451" s="36">
        <v>0</v>
      </c>
      <c r="L451" s="35">
        <v>0</v>
      </c>
      <c r="M451" s="35">
        <v>0</v>
      </c>
      <c r="N451" s="35">
        <v>0</v>
      </c>
      <c r="O451" s="35">
        <v>-1966931</v>
      </c>
      <c r="P451" s="35">
        <v>0</v>
      </c>
      <c r="R451" s="37">
        <f t="shared" ref="R451:R452" si="115">F451-J451-K451-L451-M451-N451-O451</f>
        <v>1966931</v>
      </c>
      <c r="X451" s="28"/>
      <c r="Y451" s="28"/>
    </row>
    <row r="452" spans="1:25" s="4" customFormat="1">
      <c r="A452" s="41"/>
      <c r="B452" s="20" t="s">
        <v>52</v>
      </c>
      <c r="C452" s="42">
        <v>2025</v>
      </c>
      <c r="D452" s="19" t="s">
        <v>456</v>
      </c>
      <c r="E452" s="3" t="s">
        <v>558</v>
      </c>
      <c r="F452" s="1">
        <v>0</v>
      </c>
      <c r="G452" s="32">
        <v>0</v>
      </c>
      <c r="H452" s="33">
        <f t="shared" si="106"/>
        <v>0</v>
      </c>
      <c r="I452" s="34"/>
      <c r="J452" s="35">
        <v>0</v>
      </c>
      <c r="K452" s="36">
        <v>0</v>
      </c>
      <c r="L452" s="35">
        <v>0</v>
      </c>
      <c r="M452" s="35">
        <v>0</v>
      </c>
      <c r="N452" s="35">
        <v>0</v>
      </c>
      <c r="O452" s="35">
        <v>-2174850</v>
      </c>
      <c r="P452" s="35">
        <v>0</v>
      </c>
      <c r="R452" s="37">
        <f t="shared" si="115"/>
        <v>2174850</v>
      </c>
      <c r="X452" s="28"/>
      <c r="Y452" s="28"/>
    </row>
    <row r="453" spans="1:25" s="4" customFormat="1">
      <c r="A453" s="41"/>
      <c r="B453" s="20" t="s">
        <v>52</v>
      </c>
      <c r="C453" s="42">
        <v>2025</v>
      </c>
      <c r="D453" s="19" t="s">
        <v>459</v>
      </c>
      <c r="E453" s="3" t="s">
        <v>559</v>
      </c>
      <c r="F453" s="1">
        <v>0</v>
      </c>
      <c r="G453" s="32">
        <v>0</v>
      </c>
      <c r="H453" s="33">
        <f t="shared" ref="H453:H516" si="116">G453*$H$4/$E$999</f>
        <v>0</v>
      </c>
      <c r="I453" s="34"/>
      <c r="J453" s="35">
        <v>0</v>
      </c>
      <c r="K453" s="36">
        <v>0</v>
      </c>
      <c r="L453" s="35">
        <v>0</v>
      </c>
      <c r="M453" s="35">
        <v>0</v>
      </c>
      <c r="N453" s="35">
        <v>0</v>
      </c>
      <c r="O453" s="35">
        <v>-2108000</v>
      </c>
      <c r="P453" s="35">
        <v>0</v>
      </c>
      <c r="R453" s="37">
        <f t="shared" si="110"/>
        <v>2108000</v>
      </c>
      <c r="X453" s="28"/>
      <c r="Y453" s="28"/>
    </row>
    <row r="454" spans="1:25" s="4" customFormat="1">
      <c r="A454" s="41"/>
      <c r="B454" s="20" t="s">
        <v>52</v>
      </c>
      <c r="C454" s="42">
        <v>2025</v>
      </c>
      <c r="D454" s="19" t="s">
        <v>459</v>
      </c>
      <c r="E454" s="3" t="s">
        <v>854</v>
      </c>
      <c r="F454" s="1">
        <v>0</v>
      </c>
      <c r="G454" s="32">
        <v>0</v>
      </c>
      <c r="H454" s="33">
        <f t="shared" si="116"/>
        <v>0</v>
      </c>
      <c r="I454" s="34"/>
      <c r="J454" s="35">
        <v>0</v>
      </c>
      <c r="K454" s="36">
        <v>0</v>
      </c>
      <c r="L454" s="35">
        <v>0</v>
      </c>
      <c r="M454" s="35">
        <v>0</v>
      </c>
      <c r="N454" s="35">
        <v>0</v>
      </c>
      <c r="O454" s="35">
        <v>-2128000</v>
      </c>
      <c r="P454" s="35">
        <v>0</v>
      </c>
      <c r="R454" s="37">
        <f t="shared" ref="R454" si="117">F454-J454-K454-L454-M454-N454-O454</f>
        <v>2128000</v>
      </c>
      <c r="X454" s="28"/>
      <c r="Y454" s="28"/>
    </row>
    <row r="455" spans="1:25" s="4" customFormat="1">
      <c r="A455" s="41"/>
      <c r="B455" s="20" t="s">
        <v>52</v>
      </c>
      <c r="C455" s="42">
        <v>2025</v>
      </c>
      <c r="D455" s="19" t="s">
        <v>459</v>
      </c>
      <c r="E455" s="3" t="s">
        <v>560</v>
      </c>
      <c r="F455" s="1">
        <v>0</v>
      </c>
      <c r="G455" s="32">
        <v>0</v>
      </c>
      <c r="H455" s="33">
        <f t="shared" si="116"/>
        <v>0</v>
      </c>
      <c r="I455" s="34"/>
      <c r="J455" s="35">
        <v>0</v>
      </c>
      <c r="K455" s="36">
        <v>0</v>
      </c>
      <c r="L455" s="35">
        <v>0</v>
      </c>
      <c r="M455" s="35">
        <v>0</v>
      </c>
      <c r="N455" s="35">
        <v>0</v>
      </c>
      <c r="O455" s="35">
        <v>-620078</v>
      </c>
      <c r="P455" s="35">
        <v>0</v>
      </c>
      <c r="R455" s="37">
        <f t="shared" si="110"/>
        <v>620078</v>
      </c>
      <c r="X455" s="28"/>
      <c r="Y455" s="28"/>
    </row>
    <row r="456" spans="1:25" s="4" customFormat="1">
      <c r="A456" s="41"/>
      <c r="B456" s="20" t="s">
        <v>52</v>
      </c>
      <c r="C456" s="42">
        <v>2025</v>
      </c>
      <c r="D456" s="19" t="s">
        <v>459</v>
      </c>
      <c r="E456" s="3" t="s">
        <v>561</v>
      </c>
      <c r="F456" s="1">
        <v>0</v>
      </c>
      <c r="G456" s="32">
        <v>0</v>
      </c>
      <c r="H456" s="33">
        <f t="shared" si="116"/>
        <v>0</v>
      </c>
      <c r="I456" s="34"/>
      <c r="J456" s="35">
        <v>0</v>
      </c>
      <c r="K456" s="36">
        <v>0</v>
      </c>
      <c r="L456" s="35">
        <v>0</v>
      </c>
      <c r="M456" s="35">
        <v>0</v>
      </c>
      <c r="N456" s="35">
        <v>0</v>
      </c>
      <c r="O456" s="35">
        <v>-1489000</v>
      </c>
      <c r="P456" s="35">
        <v>0</v>
      </c>
      <c r="R456" s="37">
        <f t="shared" si="110"/>
        <v>1489000</v>
      </c>
      <c r="X456" s="28"/>
      <c r="Y456" s="28"/>
    </row>
    <row r="457" spans="1:25" s="4" customFormat="1">
      <c r="A457" s="41"/>
      <c r="B457" s="20" t="s">
        <v>52</v>
      </c>
      <c r="C457" s="42">
        <v>2025</v>
      </c>
      <c r="D457" s="19" t="s">
        <v>459</v>
      </c>
      <c r="E457" s="3" t="s">
        <v>562</v>
      </c>
      <c r="F457" s="1">
        <v>0</v>
      </c>
      <c r="G457" s="32">
        <v>0</v>
      </c>
      <c r="H457" s="33">
        <f t="shared" si="116"/>
        <v>0</v>
      </c>
      <c r="I457" s="34"/>
      <c r="J457" s="35">
        <v>0</v>
      </c>
      <c r="K457" s="36">
        <v>0</v>
      </c>
      <c r="L457" s="35">
        <v>0</v>
      </c>
      <c r="M457" s="35">
        <v>0</v>
      </c>
      <c r="N457" s="35">
        <v>0</v>
      </c>
      <c r="O457" s="35">
        <v>-1559000</v>
      </c>
      <c r="P457" s="35">
        <v>0</v>
      </c>
      <c r="R457" s="37">
        <f t="shared" si="110"/>
        <v>1559000</v>
      </c>
      <c r="X457" s="28"/>
      <c r="Y457" s="28"/>
    </row>
    <row r="458" spans="1:25" s="4" customFormat="1">
      <c r="A458" s="41"/>
      <c r="B458" s="20" t="s">
        <v>52</v>
      </c>
      <c r="C458" s="42">
        <v>2025</v>
      </c>
      <c r="D458" s="19" t="s">
        <v>373</v>
      </c>
      <c r="E458" s="3" t="s">
        <v>563</v>
      </c>
      <c r="F458" s="1">
        <v>0</v>
      </c>
      <c r="G458" s="32">
        <v>0</v>
      </c>
      <c r="H458" s="33">
        <f t="shared" si="116"/>
        <v>0</v>
      </c>
      <c r="I458" s="34"/>
      <c r="J458" s="35">
        <v>0</v>
      </c>
      <c r="K458" s="36">
        <v>0</v>
      </c>
      <c r="L458" s="35">
        <v>0</v>
      </c>
      <c r="M458" s="35">
        <v>0</v>
      </c>
      <c r="N458" s="35">
        <v>0</v>
      </c>
      <c r="O458" s="35">
        <v>-1306289</v>
      </c>
      <c r="P458" s="35">
        <v>0</v>
      </c>
      <c r="R458" s="37">
        <f t="shared" si="110"/>
        <v>1306289</v>
      </c>
      <c r="X458" s="28"/>
      <c r="Y458" s="28"/>
    </row>
    <row r="459" spans="1:25" s="4" customFormat="1">
      <c r="A459" s="41"/>
      <c r="B459" s="20" t="s">
        <v>52</v>
      </c>
      <c r="C459" s="42">
        <v>2025</v>
      </c>
      <c r="D459" s="19" t="s">
        <v>459</v>
      </c>
      <c r="E459" s="3" t="s">
        <v>915</v>
      </c>
      <c r="F459" s="1">
        <v>0</v>
      </c>
      <c r="G459" s="32">
        <v>0</v>
      </c>
      <c r="H459" s="33">
        <f t="shared" si="116"/>
        <v>0</v>
      </c>
      <c r="I459" s="34"/>
      <c r="J459" s="35">
        <v>0</v>
      </c>
      <c r="K459" s="36">
        <v>0</v>
      </c>
      <c r="L459" s="35">
        <v>0</v>
      </c>
      <c r="M459" s="35">
        <v>0</v>
      </c>
      <c r="N459" s="35">
        <v>0</v>
      </c>
      <c r="O459" s="35">
        <v>-1100000</v>
      </c>
      <c r="P459" s="35">
        <v>0</v>
      </c>
      <c r="R459" s="37">
        <f t="shared" ref="R459" si="118">F459-J459-K459-L459-M459-N459-O459</f>
        <v>1100000</v>
      </c>
      <c r="X459" s="28"/>
      <c r="Y459" s="28"/>
    </row>
    <row r="460" spans="1:25" s="4" customFormat="1">
      <c r="A460" s="41"/>
      <c r="B460" s="20" t="s">
        <v>52</v>
      </c>
      <c r="C460" s="42">
        <v>2025</v>
      </c>
      <c r="D460" s="19" t="s">
        <v>459</v>
      </c>
      <c r="E460" s="3" t="s">
        <v>1080</v>
      </c>
      <c r="F460" s="1">
        <v>0</v>
      </c>
      <c r="G460" s="32">
        <v>0</v>
      </c>
      <c r="H460" s="33">
        <f t="shared" si="116"/>
        <v>0</v>
      </c>
      <c r="I460" s="34"/>
      <c r="J460" s="35">
        <v>0</v>
      </c>
      <c r="K460" s="36">
        <v>0</v>
      </c>
      <c r="L460" s="35">
        <v>0</v>
      </c>
      <c r="M460" s="35">
        <v>0</v>
      </c>
      <c r="N460" s="35">
        <v>0</v>
      </c>
      <c r="O460" s="35">
        <v>1205869</v>
      </c>
      <c r="P460" s="35">
        <v>0</v>
      </c>
      <c r="R460" s="37">
        <f t="shared" ref="R460" si="119">F460-J460-K460-L460-M460-N460-O460</f>
        <v>-1205869</v>
      </c>
      <c r="X460" s="28"/>
      <c r="Y460" s="28"/>
    </row>
    <row r="461" spans="1:25" s="4" customFormat="1">
      <c r="A461" s="41"/>
      <c r="B461" s="20" t="s">
        <v>52</v>
      </c>
      <c r="C461" s="42">
        <v>2025</v>
      </c>
      <c r="D461" s="19" t="s">
        <v>459</v>
      </c>
      <c r="E461" s="3" t="s">
        <v>916</v>
      </c>
      <c r="F461" s="1">
        <v>0</v>
      </c>
      <c r="G461" s="32">
        <v>0</v>
      </c>
      <c r="H461" s="33">
        <f t="shared" si="116"/>
        <v>0</v>
      </c>
      <c r="I461" s="34"/>
      <c r="J461" s="35">
        <v>0</v>
      </c>
      <c r="K461" s="36">
        <v>0</v>
      </c>
      <c r="L461" s="35">
        <v>0</v>
      </c>
      <c r="M461" s="35">
        <v>0</v>
      </c>
      <c r="N461" s="35">
        <v>0</v>
      </c>
      <c r="O461" s="35">
        <v>-2577280</v>
      </c>
      <c r="P461" s="35">
        <v>0</v>
      </c>
      <c r="R461" s="37">
        <f t="shared" ref="R461:R476" si="120">F461-J461-K461-L461-M461-N461-O461</f>
        <v>2577280</v>
      </c>
      <c r="X461" s="28"/>
      <c r="Y461" s="28"/>
    </row>
    <row r="462" spans="1:25" s="4" customFormat="1">
      <c r="A462" s="41"/>
      <c r="B462" s="20" t="s">
        <v>52</v>
      </c>
      <c r="C462" s="42">
        <v>2025</v>
      </c>
      <c r="D462" s="19" t="s">
        <v>459</v>
      </c>
      <c r="E462" s="3" t="s">
        <v>916</v>
      </c>
      <c r="F462" s="1">
        <v>0</v>
      </c>
      <c r="G462" s="32">
        <v>0</v>
      </c>
      <c r="H462" s="33">
        <f t="shared" si="116"/>
        <v>0</v>
      </c>
      <c r="I462" s="34"/>
      <c r="J462" s="35">
        <v>0</v>
      </c>
      <c r="K462" s="36">
        <v>0</v>
      </c>
      <c r="L462" s="35">
        <v>0</v>
      </c>
      <c r="M462" s="35">
        <v>0</v>
      </c>
      <c r="N462" s="35">
        <v>0</v>
      </c>
      <c r="O462" s="35">
        <v>-1932000</v>
      </c>
      <c r="P462" s="35">
        <v>0</v>
      </c>
      <c r="R462" s="37">
        <f t="shared" si="120"/>
        <v>1932000</v>
      </c>
      <c r="X462" s="28"/>
      <c r="Y462" s="28"/>
    </row>
    <row r="463" spans="1:25" s="4" customFormat="1">
      <c r="A463" s="41"/>
      <c r="B463" s="20" t="s">
        <v>52</v>
      </c>
      <c r="C463" s="42">
        <v>2025</v>
      </c>
      <c r="D463" s="19" t="s">
        <v>459</v>
      </c>
      <c r="E463" s="3" t="s">
        <v>916</v>
      </c>
      <c r="F463" s="1">
        <v>0</v>
      </c>
      <c r="G463" s="32">
        <v>0</v>
      </c>
      <c r="H463" s="33">
        <f t="shared" si="116"/>
        <v>0</v>
      </c>
      <c r="I463" s="34"/>
      <c r="J463" s="35">
        <v>0</v>
      </c>
      <c r="K463" s="36">
        <v>0</v>
      </c>
      <c r="L463" s="35">
        <v>0</v>
      </c>
      <c r="M463" s="35">
        <v>0</v>
      </c>
      <c r="N463" s="35">
        <v>0</v>
      </c>
      <c r="O463" s="35">
        <v>-1479000</v>
      </c>
      <c r="P463" s="35">
        <v>0</v>
      </c>
      <c r="R463" s="37">
        <f t="shared" si="120"/>
        <v>1479000</v>
      </c>
      <c r="X463" s="28"/>
      <c r="Y463" s="28"/>
    </row>
    <row r="464" spans="1:25" s="4" customFormat="1">
      <c r="A464" s="41"/>
      <c r="B464" s="20" t="s">
        <v>52</v>
      </c>
      <c r="C464" s="42">
        <v>2025</v>
      </c>
      <c r="D464" s="19" t="s">
        <v>459</v>
      </c>
      <c r="E464" s="3" t="s">
        <v>916</v>
      </c>
      <c r="F464" s="1">
        <v>0</v>
      </c>
      <c r="G464" s="32">
        <v>0</v>
      </c>
      <c r="H464" s="33">
        <f t="shared" si="116"/>
        <v>0</v>
      </c>
      <c r="I464" s="34"/>
      <c r="J464" s="35">
        <v>0</v>
      </c>
      <c r="K464" s="36">
        <v>0</v>
      </c>
      <c r="L464" s="35">
        <v>0</v>
      </c>
      <c r="M464" s="35">
        <v>0</v>
      </c>
      <c r="N464" s="35">
        <v>0</v>
      </c>
      <c r="O464" s="35">
        <v>-2168000</v>
      </c>
      <c r="P464" s="35">
        <v>0</v>
      </c>
      <c r="R464" s="37">
        <f t="shared" si="120"/>
        <v>2168000</v>
      </c>
      <c r="X464" s="28"/>
      <c r="Y464" s="28"/>
    </row>
    <row r="465" spans="1:25" s="4" customFormat="1">
      <c r="A465" s="41"/>
      <c r="B465" s="20" t="s">
        <v>52</v>
      </c>
      <c r="C465" s="42">
        <v>2025</v>
      </c>
      <c r="D465" s="19" t="s">
        <v>459</v>
      </c>
      <c r="E465" s="3" t="s">
        <v>916</v>
      </c>
      <c r="F465" s="1">
        <v>0</v>
      </c>
      <c r="G465" s="32">
        <v>0</v>
      </c>
      <c r="H465" s="33">
        <f t="shared" si="116"/>
        <v>0</v>
      </c>
      <c r="I465" s="34"/>
      <c r="J465" s="35">
        <v>0</v>
      </c>
      <c r="K465" s="36">
        <v>0</v>
      </c>
      <c r="L465" s="35">
        <v>0</v>
      </c>
      <c r="M465" s="35">
        <v>0</v>
      </c>
      <c r="N465" s="35">
        <v>0</v>
      </c>
      <c r="O465" s="35">
        <v>-1408000</v>
      </c>
      <c r="P465" s="35">
        <v>0</v>
      </c>
      <c r="R465" s="37">
        <f t="shared" si="120"/>
        <v>1408000</v>
      </c>
      <c r="X465" s="28"/>
      <c r="Y465" s="28"/>
    </row>
    <row r="466" spans="1:25" s="4" customFormat="1">
      <c r="A466" s="41"/>
      <c r="B466" s="20" t="s">
        <v>52</v>
      </c>
      <c r="C466" s="42">
        <v>2025</v>
      </c>
      <c r="D466" s="19" t="s">
        <v>459</v>
      </c>
      <c r="E466" s="3" t="s">
        <v>916</v>
      </c>
      <c r="F466" s="1">
        <v>0</v>
      </c>
      <c r="G466" s="32">
        <v>0</v>
      </c>
      <c r="H466" s="33">
        <f t="shared" si="116"/>
        <v>0</v>
      </c>
      <c r="I466" s="34"/>
      <c r="J466" s="35">
        <v>0</v>
      </c>
      <c r="K466" s="36">
        <v>0</v>
      </c>
      <c r="L466" s="35">
        <v>0</v>
      </c>
      <c r="M466" s="35">
        <v>0</v>
      </c>
      <c r="N466" s="35">
        <v>0</v>
      </c>
      <c r="O466" s="35">
        <v>-1209000</v>
      </c>
      <c r="P466" s="35">
        <v>0</v>
      </c>
      <c r="R466" s="37">
        <f t="shared" si="120"/>
        <v>1209000</v>
      </c>
      <c r="X466" s="28"/>
      <c r="Y466" s="28"/>
    </row>
    <row r="467" spans="1:25" s="4" customFormat="1">
      <c r="A467" s="41"/>
      <c r="B467" s="20" t="s">
        <v>52</v>
      </c>
      <c r="C467" s="42">
        <v>2025</v>
      </c>
      <c r="D467" s="19" t="s">
        <v>451</v>
      </c>
      <c r="E467" s="3" t="s">
        <v>950</v>
      </c>
      <c r="F467" s="1">
        <v>0</v>
      </c>
      <c r="G467" s="32">
        <v>0</v>
      </c>
      <c r="H467" s="33">
        <f t="shared" si="116"/>
        <v>0</v>
      </c>
      <c r="I467" s="34"/>
      <c r="J467" s="35">
        <v>0</v>
      </c>
      <c r="K467" s="36">
        <v>0</v>
      </c>
      <c r="L467" s="35">
        <v>0</v>
      </c>
      <c r="M467" s="35">
        <v>0</v>
      </c>
      <c r="N467" s="35">
        <v>0</v>
      </c>
      <c r="O467" s="35">
        <f>-1189000</f>
        <v>-1189000</v>
      </c>
      <c r="P467" s="35">
        <v>0</v>
      </c>
      <c r="R467" s="37">
        <f t="shared" ref="R467" si="121">F467-J467-K467-L467-M467-N467-O467</f>
        <v>1189000</v>
      </c>
      <c r="X467" s="28"/>
      <c r="Y467" s="28"/>
    </row>
    <row r="468" spans="1:25" s="4" customFormat="1">
      <c r="A468" s="41"/>
      <c r="B468" s="20" t="s">
        <v>52</v>
      </c>
      <c r="C468" s="42">
        <v>2025</v>
      </c>
      <c r="D468" s="19" t="s">
        <v>451</v>
      </c>
      <c r="E468" s="3" t="s">
        <v>950</v>
      </c>
      <c r="F468" s="1">
        <v>0</v>
      </c>
      <c r="G468" s="32">
        <v>0</v>
      </c>
      <c r="H468" s="33">
        <f t="shared" si="116"/>
        <v>0</v>
      </c>
      <c r="I468" s="34"/>
      <c r="J468" s="35">
        <v>0</v>
      </c>
      <c r="K468" s="36">
        <v>0</v>
      </c>
      <c r="L468" s="35">
        <v>0</v>
      </c>
      <c r="M468" s="35">
        <v>0</v>
      </c>
      <c r="N468" s="35">
        <v>0</v>
      </c>
      <c r="O468" s="35">
        <v>-1040000</v>
      </c>
      <c r="P468" s="35">
        <v>0</v>
      </c>
      <c r="R468" s="37">
        <f t="shared" ref="R468:R469" si="122">F468-J468-K468-L468-M468-N468-O468</f>
        <v>1040000</v>
      </c>
      <c r="X468" s="28"/>
      <c r="Y468" s="28"/>
    </row>
    <row r="469" spans="1:25" s="4" customFormat="1">
      <c r="A469" s="41"/>
      <c r="B469" s="20" t="s">
        <v>52</v>
      </c>
      <c r="C469" s="42">
        <v>2025</v>
      </c>
      <c r="D469" s="19" t="s">
        <v>373</v>
      </c>
      <c r="E469" s="3" t="s">
        <v>951</v>
      </c>
      <c r="F469" s="1">
        <v>0</v>
      </c>
      <c r="G469" s="32">
        <v>0</v>
      </c>
      <c r="H469" s="33">
        <f t="shared" si="116"/>
        <v>0</v>
      </c>
      <c r="I469" s="34"/>
      <c r="J469" s="35">
        <v>0</v>
      </c>
      <c r="K469" s="36">
        <v>0</v>
      </c>
      <c r="L469" s="35">
        <v>0</v>
      </c>
      <c r="M469" s="35">
        <v>0</v>
      </c>
      <c r="N469" s="35">
        <v>0</v>
      </c>
      <c r="O469" s="35">
        <v>-653999</v>
      </c>
      <c r="P469" s="35">
        <v>0</v>
      </c>
      <c r="R469" s="37">
        <f t="shared" si="122"/>
        <v>653999</v>
      </c>
      <c r="X469" s="28"/>
      <c r="Y469" s="28"/>
    </row>
    <row r="470" spans="1:25" s="4" customFormat="1">
      <c r="A470" s="41"/>
      <c r="B470" s="20" t="s">
        <v>52</v>
      </c>
      <c r="C470" s="42">
        <v>2025</v>
      </c>
      <c r="D470" s="19" t="s">
        <v>462</v>
      </c>
      <c r="E470" s="3" t="s">
        <v>913</v>
      </c>
      <c r="F470" s="1">
        <v>0</v>
      </c>
      <c r="G470" s="32">
        <v>0</v>
      </c>
      <c r="H470" s="33">
        <f t="shared" si="116"/>
        <v>0</v>
      </c>
      <c r="I470" s="34"/>
      <c r="J470" s="35">
        <v>0</v>
      </c>
      <c r="K470" s="36">
        <v>0</v>
      </c>
      <c r="L470" s="35">
        <v>0</v>
      </c>
      <c r="M470" s="35">
        <v>0</v>
      </c>
      <c r="N470" s="35">
        <v>0</v>
      </c>
      <c r="O470" s="35">
        <v>-3749718</v>
      </c>
      <c r="P470" s="35">
        <v>0</v>
      </c>
      <c r="R470" s="37">
        <f t="shared" si="120"/>
        <v>3749718</v>
      </c>
      <c r="X470" s="28"/>
      <c r="Y470" s="28"/>
    </row>
    <row r="471" spans="1:25" s="4" customFormat="1">
      <c r="A471" s="41"/>
      <c r="B471" s="20" t="s">
        <v>52</v>
      </c>
      <c r="C471" s="42">
        <v>2025</v>
      </c>
      <c r="D471" s="19" t="s">
        <v>458</v>
      </c>
      <c r="E471" s="3" t="s">
        <v>952</v>
      </c>
      <c r="F471" s="1">
        <v>0</v>
      </c>
      <c r="G471" s="32">
        <v>0</v>
      </c>
      <c r="H471" s="33">
        <f t="shared" si="116"/>
        <v>0</v>
      </c>
      <c r="I471" s="34"/>
      <c r="J471" s="35">
        <v>0</v>
      </c>
      <c r="K471" s="36">
        <v>0</v>
      </c>
      <c r="L471" s="35">
        <v>0</v>
      </c>
      <c r="M471" s="35">
        <v>0</v>
      </c>
      <c r="N471" s="35">
        <v>0</v>
      </c>
      <c r="O471" s="35">
        <v>-175100</v>
      </c>
      <c r="P471" s="35">
        <v>0</v>
      </c>
      <c r="R471" s="37">
        <f t="shared" ref="R471" si="123">F471-J471-K471-L471-M471-N471-O471</f>
        <v>175100</v>
      </c>
      <c r="X471" s="28"/>
      <c r="Y471" s="28"/>
    </row>
    <row r="472" spans="1:25" s="4" customFormat="1">
      <c r="A472" s="41"/>
      <c r="B472" s="20" t="s">
        <v>52</v>
      </c>
      <c r="C472" s="42">
        <v>2025</v>
      </c>
      <c r="D472" s="19" t="s">
        <v>458</v>
      </c>
      <c r="E472" s="3" t="s">
        <v>952</v>
      </c>
      <c r="F472" s="1">
        <v>0</v>
      </c>
      <c r="G472" s="32">
        <v>0</v>
      </c>
      <c r="H472" s="33">
        <f t="shared" si="116"/>
        <v>0</v>
      </c>
      <c r="I472" s="34"/>
      <c r="J472" s="35">
        <v>0</v>
      </c>
      <c r="K472" s="36">
        <v>0</v>
      </c>
      <c r="L472" s="35">
        <v>0</v>
      </c>
      <c r="M472" s="35">
        <v>0</v>
      </c>
      <c r="N472" s="35">
        <v>0</v>
      </c>
      <c r="O472" s="35">
        <v>-175100</v>
      </c>
      <c r="P472" s="35">
        <v>0</v>
      </c>
      <c r="R472" s="37">
        <f t="shared" ref="R472" si="124">F472-J472-K472-L472-M472-N472-O472</f>
        <v>175100</v>
      </c>
      <c r="X472" s="28"/>
      <c r="Y472" s="28"/>
    </row>
    <row r="473" spans="1:25" s="4" customFormat="1">
      <c r="A473" s="41"/>
      <c r="B473" s="20" t="s">
        <v>52</v>
      </c>
      <c r="C473" s="42">
        <v>2025</v>
      </c>
      <c r="D473" s="19" t="s">
        <v>908</v>
      </c>
      <c r="E473" s="3" t="s">
        <v>917</v>
      </c>
      <c r="F473" s="1">
        <v>0</v>
      </c>
      <c r="G473" s="32">
        <v>0</v>
      </c>
      <c r="H473" s="33">
        <f t="shared" si="116"/>
        <v>0</v>
      </c>
      <c r="I473" s="34"/>
      <c r="J473" s="35">
        <v>0</v>
      </c>
      <c r="K473" s="36">
        <v>0</v>
      </c>
      <c r="L473" s="35">
        <v>0</v>
      </c>
      <c r="M473" s="35">
        <v>0</v>
      </c>
      <c r="N473" s="35">
        <v>0</v>
      </c>
      <c r="O473" s="35">
        <v>-4865400</v>
      </c>
      <c r="P473" s="35">
        <v>0</v>
      </c>
      <c r="R473" s="37">
        <f t="shared" si="120"/>
        <v>4865400</v>
      </c>
      <c r="X473" s="28"/>
      <c r="Y473" s="28"/>
    </row>
    <row r="474" spans="1:25" s="4" customFormat="1">
      <c r="A474" s="41"/>
      <c r="B474" s="20" t="s">
        <v>52</v>
      </c>
      <c r="C474" s="42">
        <v>2025</v>
      </c>
      <c r="D474" s="19" t="s">
        <v>908</v>
      </c>
      <c r="E474" s="3" t="s">
        <v>918</v>
      </c>
      <c r="F474" s="1">
        <v>0</v>
      </c>
      <c r="G474" s="32">
        <v>0</v>
      </c>
      <c r="H474" s="33">
        <f t="shared" si="116"/>
        <v>0</v>
      </c>
      <c r="I474" s="34"/>
      <c r="J474" s="35">
        <v>0</v>
      </c>
      <c r="K474" s="36">
        <v>0</v>
      </c>
      <c r="L474" s="35">
        <v>0</v>
      </c>
      <c r="M474" s="35">
        <v>0</v>
      </c>
      <c r="N474" s="35">
        <v>0</v>
      </c>
      <c r="O474" s="35">
        <v>-3481349</v>
      </c>
      <c r="P474" s="35">
        <v>0</v>
      </c>
      <c r="R474" s="37">
        <f t="shared" si="120"/>
        <v>3481349</v>
      </c>
      <c r="X474" s="28"/>
      <c r="Y474" s="28"/>
    </row>
    <row r="475" spans="1:25" s="4" customFormat="1">
      <c r="A475" s="41"/>
      <c r="B475" s="20" t="s">
        <v>52</v>
      </c>
      <c r="C475" s="42">
        <v>2025</v>
      </c>
      <c r="D475" s="19" t="s">
        <v>908</v>
      </c>
      <c r="E475" s="3" t="s">
        <v>919</v>
      </c>
      <c r="F475" s="1">
        <v>0</v>
      </c>
      <c r="G475" s="32">
        <v>0</v>
      </c>
      <c r="H475" s="33">
        <f t="shared" si="116"/>
        <v>0</v>
      </c>
      <c r="I475" s="34"/>
      <c r="J475" s="35">
        <v>0</v>
      </c>
      <c r="K475" s="36">
        <v>0</v>
      </c>
      <c r="L475" s="35">
        <v>0</v>
      </c>
      <c r="M475" s="35">
        <v>0</v>
      </c>
      <c r="N475" s="35">
        <v>0</v>
      </c>
      <c r="O475" s="35">
        <v>-2362007</v>
      </c>
      <c r="P475" s="35">
        <v>0</v>
      </c>
      <c r="R475" s="37">
        <f t="shared" si="120"/>
        <v>2362007</v>
      </c>
      <c r="X475" s="28"/>
      <c r="Y475" s="28"/>
    </row>
    <row r="476" spans="1:25" s="4" customFormat="1">
      <c r="A476" s="41"/>
      <c r="B476" s="20" t="s">
        <v>52</v>
      </c>
      <c r="C476" s="42">
        <v>2025</v>
      </c>
      <c r="D476" s="19" t="s">
        <v>462</v>
      </c>
      <c r="E476" s="3" t="s">
        <v>920</v>
      </c>
      <c r="F476" s="1">
        <v>0</v>
      </c>
      <c r="G476" s="32">
        <v>0</v>
      </c>
      <c r="H476" s="33">
        <f t="shared" si="116"/>
        <v>0</v>
      </c>
      <c r="I476" s="34"/>
      <c r="J476" s="35">
        <v>0</v>
      </c>
      <c r="K476" s="36">
        <v>0</v>
      </c>
      <c r="L476" s="35">
        <v>0</v>
      </c>
      <c r="M476" s="35">
        <v>0</v>
      </c>
      <c r="N476" s="35">
        <v>0</v>
      </c>
      <c r="O476" s="35">
        <v>-647660</v>
      </c>
      <c r="P476" s="35">
        <v>0</v>
      </c>
      <c r="R476" s="37">
        <f t="shared" si="120"/>
        <v>647660</v>
      </c>
      <c r="X476" s="28"/>
      <c r="Y476" s="28"/>
    </row>
    <row r="477" spans="1:25" s="4" customFormat="1">
      <c r="A477" s="41"/>
      <c r="B477" s="20" t="s">
        <v>52</v>
      </c>
      <c r="C477" s="42">
        <v>2025</v>
      </c>
      <c r="D477" s="19" t="s">
        <v>505</v>
      </c>
      <c r="E477" s="3" t="s">
        <v>921</v>
      </c>
      <c r="F477" s="1">
        <v>0</v>
      </c>
      <c r="G477" s="32">
        <v>0</v>
      </c>
      <c r="H477" s="33">
        <f t="shared" si="116"/>
        <v>0</v>
      </c>
      <c r="I477" s="34"/>
      <c r="J477" s="35">
        <v>0</v>
      </c>
      <c r="K477" s="36">
        <v>0</v>
      </c>
      <c r="L477" s="35">
        <v>0</v>
      </c>
      <c r="M477" s="35">
        <v>0</v>
      </c>
      <c r="N477" s="35">
        <v>0</v>
      </c>
      <c r="O477" s="14">
        <v>-1882060</v>
      </c>
      <c r="P477" s="35">
        <v>0</v>
      </c>
      <c r="R477" s="37">
        <f t="shared" ref="R477:R482" si="125">F477-J477-K477-L477-M477-N477-O477</f>
        <v>1882060</v>
      </c>
      <c r="T477" s="13"/>
      <c r="U477" s="13"/>
      <c r="V477" s="13"/>
      <c r="W477" s="13"/>
      <c r="X477" s="43"/>
      <c r="Y477" s="43"/>
    </row>
    <row r="478" spans="1:25" s="4" customFormat="1">
      <c r="A478" s="41"/>
      <c r="B478" s="20" t="s">
        <v>52</v>
      </c>
      <c r="C478" s="42">
        <v>2025</v>
      </c>
      <c r="D478" s="19" t="s">
        <v>505</v>
      </c>
      <c r="E478" s="3" t="s">
        <v>922</v>
      </c>
      <c r="F478" s="1">
        <v>0</v>
      </c>
      <c r="G478" s="32">
        <v>0</v>
      </c>
      <c r="H478" s="33">
        <f t="shared" si="116"/>
        <v>0</v>
      </c>
      <c r="I478" s="34"/>
      <c r="J478" s="35">
        <v>0</v>
      </c>
      <c r="K478" s="36">
        <v>0</v>
      </c>
      <c r="L478" s="35">
        <v>0</v>
      </c>
      <c r="M478" s="35">
        <v>0</v>
      </c>
      <c r="N478" s="35">
        <v>0</v>
      </c>
      <c r="O478" s="14">
        <v>-502800</v>
      </c>
      <c r="P478" s="35">
        <v>0</v>
      </c>
      <c r="R478" s="37">
        <f t="shared" si="125"/>
        <v>502800</v>
      </c>
      <c r="T478" s="13"/>
      <c r="U478" s="13"/>
      <c r="V478" s="13"/>
      <c r="W478" s="13"/>
      <c r="X478" s="43"/>
      <c r="Y478" s="43"/>
    </row>
    <row r="479" spans="1:25" s="4" customFormat="1">
      <c r="A479" s="41"/>
      <c r="B479" s="20" t="s">
        <v>52</v>
      </c>
      <c r="C479" s="42">
        <v>2025</v>
      </c>
      <c r="D479" s="19" t="s">
        <v>505</v>
      </c>
      <c r="E479" s="3" t="s">
        <v>923</v>
      </c>
      <c r="F479" s="1">
        <v>0</v>
      </c>
      <c r="G479" s="32">
        <v>0</v>
      </c>
      <c r="H479" s="33">
        <f t="shared" si="116"/>
        <v>0</v>
      </c>
      <c r="I479" s="34"/>
      <c r="J479" s="35">
        <v>0</v>
      </c>
      <c r="K479" s="36">
        <v>0</v>
      </c>
      <c r="L479" s="35">
        <v>0</v>
      </c>
      <c r="M479" s="35">
        <v>0</v>
      </c>
      <c r="N479" s="35">
        <v>0</v>
      </c>
      <c r="O479" s="14">
        <v>-1072188</v>
      </c>
      <c r="P479" s="35">
        <v>0</v>
      </c>
      <c r="R479" s="37">
        <f t="shared" si="125"/>
        <v>1072188</v>
      </c>
      <c r="T479" s="13"/>
      <c r="U479" s="13"/>
      <c r="V479" s="13"/>
      <c r="W479" s="13"/>
      <c r="X479" s="43"/>
      <c r="Y479" s="43"/>
    </row>
    <row r="480" spans="1:25" s="4" customFormat="1">
      <c r="A480" s="41"/>
      <c r="B480" s="20" t="s">
        <v>52</v>
      </c>
      <c r="C480" s="42">
        <v>2025</v>
      </c>
      <c r="D480" s="19" t="s">
        <v>462</v>
      </c>
      <c r="E480" s="3" t="s">
        <v>924</v>
      </c>
      <c r="F480" s="1">
        <v>0</v>
      </c>
      <c r="G480" s="32">
        <v>0</v>
      </c>
      <c r="H480" s="33">
        <f t="shared" si="116"/>
        <v>0</v>
      </c>
      <c r="I480" s="34"/>
      <c r="J480" s="35">
        <v>0</v>
      </c>
      <c r="K480" s="36">
        <v>0</v>
      </c>
      <c r="L480" s="35">
        <v>0</v>
      </c>
      <c r="M480" s="35">
        <v>0</v>
      </c>
      <c r="N480" s="35">
        <v>0</v>
      </c>
      <c r="O480" s="14">
        <v>-417000</v>
      </c>
      <c r="P480" s="35">
        <v>0</v>
      </c>
      <c r="R480" s="37">
        <f t="shared" si="125"/>
        <v>417000</v>
      </c>
      <c r="T480" s="13"/>
      <c r="U480" s="13"/>
      <c r="V480" s="13"/>
      <c r="W480" s="13"/>
      <c r="X480" s="43"/>
      <c r="Y480" s="43"/>
    </row>
    <row r="481" spans="1:25" s="4" customFormat="1">
      <c r="A481" s="41"/>
      <c r="B481" s="20" t="s">
        <v>52</v>
      </c>
      <c r="C481" s="42">
        <v>2025</v>
      </c>
      <c r="D481" s="19" t="s">
        <v>462</v>
      </c>
      <c r="E481" s="3" t="s">
        <v>925</v>
      </c>
      <c r="F481" s="1">
        <v>0</v>
      </c>
      <c r="G481" s="32">
        <v>0</v>
      </c>
      <c r="H481" s="33">
        <f t="shared" si="116"/>
        <v>0</v>
      </c>
      <c r="I481" s="34"/>
      <c r="J481" s="35">
        <v>0</v>
      </c>
      <c r="K481" s="36">
        <v>0</v>
      </c>
      <c r="L481" s="35">
        <v>0</v>
      </c>
      <c r="M481" s="35">
        <v>0</v>
      </c>
      <c r="N481" s="35">
        <v>0</v>
      </c>
      <c r="O481" s="14">
        <v>-297000</v>
      </c>
      <c r="P481" s="35">
        <v>0</v>
      </c>
      <c r="R481" s="37">
        <f t="shared" si="125"/>
        <v>297000</v>
      </c>
      <c r="T481" s="13"/>
      <c r="U481" s="13"/>
      <c r="V481" s="13"/>
      <c r="W481" s="13"/>
      <c r="X481" s="43"/>
      <c r="Y481" s="43"/>
    </row>
    <row r="482" spans="1:25" s="4" customFormat="1">
      <c r="A482" s="41"/>
      <c r="B482" s="20" t="s">
        <v>52</v>
      </c>
      <c r="C482" s="42">
        <v>2025</v>
      </c>
      <c r="D482" s="19" t="s">
        <v>462</v>
      </c>
      <c r="E482" s="3" t="s">
        <v>926</v>
      </c>
      <c r="F482" s="1">
        <v>0</v>
      </c>
      <c r="G482" s="32">
        <v>0</v>
      </c>
      <c r="H482" s="33">
        <f t="shared" si="116"/>
        <v>0</v>
      </c>
      <c r="I482" s="34"/>
      <c r="J482" s="35">
        <v>0</v>
      </c>
      <c r="K482" s="36">
        <v>0</v>
      </c>
      <c r="L482" s="35">
        <v>0</v>
      </c>
      <c r="M482" s="35">
        <v>0</v>
      </c>
      <c r="N482" s="35">
        <v>0</v>
      </c>
      <c r="O482" s="14">
        <v>-4514000</v>
      </c>
      <c r="P482" s="35">
        <v>0</v>
      </c>
      <c r="R482" s="37">
        <f t="shared" si="125"/>
        <v>4514000</v>
      </c>
      <c r="T482" s="13"/>
      <c r="U482" s="13"/>
      <c r="V482" s="13"/>
      <c r="W482" s="13"/>
      <c r="X482" s="43"/>
      <c r="Y482" s="43"/>
    </row>
    <row r="483" spans="1:25" s="4" customFormat="1">
      <c r="A483" s="41"/>
      <c r="B483" s="20" t="s">
        <v>52</v>
      </c>
      <c r="C483" s="42">
        <v>2025</v>
      </c>
      <c r="D483" s="19" t="s">
        <v>380</v>
      </c>
      <c r="E483" s="3" t="s">
        <v>564</v>
      </c>
      <c r="F483" s="1">
        <v>0</v>
      </c>
      <c r="G483" s="32">
        <v>0</v>
      </c>
      <c r="H483" s="33">
        <f t="shared" si="116"/>
        <v>0</v>
      </c>
      <c r="I483" s="34"/>
      <c r="J483" s="35">
        <v>0</v>
      </c>
      <c r="K483" s="36">
        <v>0</v>
      </c>
      <c r="L483" s="35">
        <v>0</v>
      </c>
      <c r="M483" s="35">
        <v>0</v>
      </c>
      <c r="N483" s="35">
        <v>0</v>
      </c>
      <c r="O483" s="35">
        <v>-13980000</v>
      </c>
      <c r="P483" s="35">
        <v>0</v>
      </c>
      <c r="R483" s="37">
        <f t="shared" si="110"/>
        <v>13980000</v>
      </c>
      <c r="X483" s="28"/>
      <c r="Y483" s="28"/>
    </row>
    <row r="484" spans="1:25" s="4" customFormat="1">
      <c r="A484" s="41"/>
      <c r="B484" s="20" t="s">
        <v>52</v>
      </c>
      <c r="C484" s="42">
        <v>2025</v>
      </c>
      <c r="D484" s="19" t="s">
        <v>373</v>
      </c>
      <c r="E484" s="3" t="s">
        <v>565</v>
      </c>
      <c r="F484" s="1">
        <v>0</v>
      </c>
      <c r="G484" s="32">
        <v>0</v>
      </c>
      <c r="H484" s="33">
        <f t="shared" si="116"/>
        <v>0</v>
      </c>
      <c r="I484" s="34"/>
      <c r="J484" s="35">
        <v>0</v>
      </c>
      <c r="K484" s="36">
        <v>0</v>
      </c>
      <c r="L484" s="35">
        <v>0</v>
      </c>
      <c r="M484" s="35">
        <v>0</v>
      </c>
      <c r="N484" s="35">
        <v>0</v>
      </c>
      <c r="O484" s="35">
        <v>-1050000</v>
      </c>
      <c r="P484" s="35">
        <v>0</v>
      </c>
      <c r="R484" s="37">
        <f t="shared" si="110"/>
        <v>1050000</v>
      </c>
      <c r="X484" s="28"/>
      <c r="Y484" s="28"/>
    </row>
    <row r="485" spans="1:25" s="4" customFormat="1">
      <c r="A485" s="41"/>
      <c r="B485" s="20" t="s">
        <v>52</v>
      </c>
      <c r="C485" s="42">
        <v>2025</v>
      </c>
      <c r="D485" s="19" t="s">
        <v>375</v>
      </c>
      <c r="E485" s="3" t="s">
        <v>566</v>
      </c>
      <c r="F485" s="1">
        <v>0</v>
      </c>
      <c r="G485" s="32">
        <v>0</v>
      </c>
      <c r="H485" s="33">
        <f t="shared" si="116"/>
        <v>0</v>
      </c>
      <c r="I485" s="34"/>
      <c r="J485" s="35">
        <v>0</v>
      </c>
      <c r="K485" s="36">
        <v>0</v>
      </c>
      <c r="L485" s="35">
        <v>0</v>
      </c>
      <c r="M485" s="35">
        <v>0</v>
      </c>
      <c r="N485" s="35">
        <v>0</v>
      </c>
      <c r="O485" s="35">
        <v>-76162000</v>
      </c>
      <c r="P485" s="35">
        <v>0</v>
      </c>
      <c r="R485" s="37">
        <f t="shared" si="110"/>
        <v>76162000</v>
      </c>
      <c r="X485" s="28"/>
      <c r="Y485" s="28"/>
    </row>
    <row r="486" spans="1:25" s="4" customFormat="1">
      <c r="A486" s="41"/>
      <c r="B486" s="20" t="s">
        <v>52</v>
      </c>
      <c r="C486" s="42">
        <v>2025</v>
      </c>
      <c r="D486" s="19" t="s">
        <v>375</v>
      </c>
      <c r="E486" s="3" t="s">
        <v>567</v>
      </c>
      <c r="F486" s="1">
        <v>0</v>
      </c>
      <c r="G486" s="32">
        <v>0</v>
      </c>
      <c r="H486" s="33">
        <f t="shared" si="116"/>
        <v>0</v>
      </c>
      <c r="I486" s="34"/>
      <c r="J486" s="35">
        <v>0</v>
      </c>
      <c r="K486" s="36">
        <v>0</v>
      </c>
      <c r="L486" s="35">
        <v>0</v>
      </c>
      <c r="M486" s="35">
        <v>0</v>
      </c>
      <c r="N486" s="35">
        <v>0</v>
      </c>
      <c r="O486" s="35">
        <v>-2219140</v>
      </c>
      <c r="P486" s="35">
        <v>0</v>
      </c>
      <c r="R486" s="37">
        <f t="shared" si="110"/>
        <v>2219140</v>
      </c>
      <c r="X486" s="28"/>
      <c r="Y486" s="28"/>
    </row>
    <row r="487" spans="1:25" s="4" customFormat="1">
      <c r="A487" s="41"/>
      <c r="B487" s="20" t="s">
        <v>52</v>
      </c>
      <c r="C487" s="42">
        <v>2025</v>
      </c>
      <c r="D487" s="19" t="s">
        <v>375</v>
      </c>
      <c r="E487" s="3" t="s">
        <v>568</v>
      </c>
      <c r="F487" s="1">
        <v>0</v>
      </c>
      <c r="G487" s="32">
        <v>0</v>
      </c>
      <c r="H487" s="33">
        <f t="shared" si="116"/>
        <v>0</v>
      </c>
      <c r="I487" s="34"/>
      <c r="J487" s="35">
        <v>0</v>
      </c>
      <c r="K487" s="36">
        <v>0</v>
      </c>
      <c r="L487" s="35">
        <v>0</v>
      </c>
      <c r="M487" s="35">
        <v>0</v>
      </c>
      <c r="N487" s="35">
        <v>0</v>
      </c>
      <c r="O487" s="35">
        <v>-8296800</v>
      </c>
      <c r="P487" s="35">
        <v>0</v>
      </c>
      <c r="R487" s="37">
        <f t="shared" si="110"/>
        <v>8296800</v>
      </c>
      <c r="X487" s="28"/>
      <c r="Y487" s="28"/>
    </row>
    <row r="488" spans="1:25" s="4" customFormat="1">
      <c r="A488" s="41"/>
      <c r="B488" s="20" t="s">
        <v>52</v>
      </c>
      <c r="C488" s="42">
        <v>2025</v>
      </c>
      <c r="D488" s="19" t="s">
        <v>461</v>
      </c>
      <c r="E488" s="3" t="s">
        <v>953</v>
      </c>
      <c r="F488" s="1">
        <v>0</v>
      </c>
      <c r="G488" s="32">
        <v>0</v>
      </c>
      <c r="H488" s="33">
        <f t="shared" si="116"/>
        <v>0</v>
      </c>
      <c r="I488" s="34"/>
      <c r="J488" s="35">
        <v>0</v>
      </c>
      <c r="K488" s="36">
        <v>0</v>
      </c>
      <c r="L488" s="35">
        <v>0</v>
      </c>
      <c r="M488" s="35">
        <v>0</v>
      </c>
      <c r="N488" s="35">
        <v>0</v>
      </c>
      <c r="O488" s="35">
        <v>-70190000</v>
      </c>
      <c r="P488" s="35">
        <v>0</v>
      </c>
      <c r="R488" s="37">
        <f t="shared" ref="R488" si="126">F488-J488-K488-L488-M488-N488-O488</f>
        <v>70190000</v>
      </c>
      <c r="X488" s="28"/>
      <c r="Y488" s="28"/>
    </row>
    <row r="489" spans="1:25" s="4" customFormat="1">
      <c r="A489" s="41"/>
      <c r="B489" s="20" t="s">
        <v>52</v>
      </c>
      <c r="C489" s="42">
        <v>2025</v>
      </c>
      <c r="D489" s="19" t="s">
        <v>461</v>
      </c>
      <c r="E489" s="3" t="s">
        <v>954</v>
      </c>
      <c r="F489" s="1">
        <v>0</v>
      </c>
      <c r="G489" s="32">
        <v>0</v>
      </c>
      <c r="H489" s="33">
        <f t="shared" si="116"/>
        <v>0</v>
      </c>
      <c r="I489" s="34"/>
      <c r="J489" s="35">
        <v>0</v>
      </c>
      <c r="K489" s="36">
        <v>0</v>
      </c>
      <c r="L489" s="35">
        <v>0</v>
      </c>
      <c r="M489" s="35">
        <v>0</v>
      </c>
      <c r="N489" s="35">
        <v>0</v>
      </c>
      <c r="O489" s="35">
        <v>-10630400</v>
      </c>
      <c r="P489" s="35">
        <v>0</v>
      </c>
      <c r="R489" s="37">
        <f t="shared" ref="R489:R491" si="127">F489-J489-K489-L489-M489-N489-O489</f>
        <v>10630400</v>
      </c>
      <c r="X489" s="28"/>
      <c r="Y489" s="28"/>
    </row>
    <row r="490" spans="1:25" s="4" customFormat="1">
      <c r="A490" s="41"/>
      <c r="B490" s="20" t="s">
        <v>52</v>
      </c>
      <c r="C490" s="42">
        <v>2025</v>
      </c>
      <c r="D490" s="19" t="s">
        <v>461</v>
      </c>
      <c r="E490" s="3" t="s">
        <v>955</v>
      </c>
      <c r="F490" s="1">
        <v>0</v>
      </c>
      <c r="G490" s="32">
        <v>0</v>
      </c>
      <c r="H490" s="33">
        <f t="shared" si="116"/>
        <v>0</v>
      </c>
      <c r="I490" s="34"/>
      <c r="J490" s="35">
        <v>0</v>
      </c>
      <c r="K490" s="36">
        <v>0</v>
      </c>
      <c r="L490" s="35">
        <v>0</v>
      </c>
      <c r="M490" s="35">
        <v>0</v>
      </c>
      <c r="N490" s="35">
        <v>0</v>
      </c>
      <c r="O490" s="35">
        <v>-3185600</v>
      </c>
      <c r="P490" s="35">
        <v>0</v>
      </c>
      <c r="R490" s="37">
        <f t="shared" si="127"/>
        <v>3185600</v>
      </c>
      <c r="X490" s="28"/>
      <c r="Y490" s="28"/>
    </row>
    <row r="491" spans="1:25" s="4" customFormat="1">
      <c r="A491" s="41"/>
      <c r="B491" s="20" t="s">
        <v>52</v>
      </c>
      <c r="C491" s="42">
        <v>2025</v>
      </c>
      <c r="D491" s="19" t="s">
        <v>461</v>
      </c>
      <c r="E491" s="3" t="s">
        <v>956</v>
      </c>
      <c r="F491" s="1">
        <v>0</v>
      </c>
      <c r="G491" s="32">
        <v>0</v>
      </c>
      <c r="H491" s="33">
        <f t="shared" si="116"/>
        <v>0</v>
      </c>
      <c r="I491" s="34"/>
      <c r="J491" s="35">
        <v>0</v>
      </c>
      <c r="K491" s="36">
        <v>0</v>
      </c>
      <c r="L491" s="35">
        <v>0</v>
      </c>
      <c r="M491" s="35">
        <v>0</v>
      </c>
      <c r="N491" s="35">
        <v>0</v>
      </c>
      <c r="O491" s="35">
        <v>-1730000</v>
      </c>
      <c r="P491" s="35">
        <v>0</v>
      </c>
      <c r="R491" s="37">
        <f t="shared" si="127"/>
        <v>1730000</v>
      </c>
      <c r="X491" s="28"/>
      <c r="Y491" s="28"/>
    </row>
    <row r="492" spans="1:25" s="4" customFormat="1">
      <c r="A492" s="41"/>
      <c r="B492" s="20" t="s">
        <v>52</v>
      </c>
      <c r="C492" s="42">
        <v>2025</v>
      </c>
      <c r="D492" s="19" t="s">
        <v>455</v>
      </c>
      <c r="E492" s="3" t="s">
        <v>927</v>
      </c>
      <c r="F492" s="1">
        <v>0</v>
      </c>
      <c r="G492" s="32">
        <v>0</v>
      </c>
      <c r="H492" s="33">
        <f t="shared" si="116"/>
        <v>0</v>
      </c>
      <c r="I492" s="34"/>
      <c r="J492" s="35">
        <v>0</v>
      </c>
      <c r="K492" s="36">
        <v>0</v>
      </c>
      <c r="L492" s="35">
        <v>0</v>
      </c>
      <c r="M492" s="35">
        <v>0</v>
      </c>
      <c r="N492" s="35">
        <v>0</v>
      </c>
      <c r="O492" s="35">
        <v>-4516142</v>
      </c>
      <c r="P492" s="35">
        <v>0</v>
      </c>
      <c r="R492" s="37">
        <f t="shared" ref="R492" si="128">F492-J492-K492-L492-M492-N492-O492</f>
        <v>4516142</v>
      </c>
      <c r="X492" s="28"/>
      <c r="Y492" s="28"/>
    </row>
    <row r="493" spans="1:25" s="4" customFormat="1">
      <c r="A493" s="41"/>
      <c r="B493" s="20" t="s">
        <v>52</v>
      </c>
      <c r="C493" s="42">
        <v>2025</v>
      </c>
      <c r="D493" s="19" t="s">
        <v>461</v>
      </c>
      <c r="E493" s="3" t="s">
        <v>928</v>
      </c>
      <c r="F493" s="1">
        <v>0</v>
      </c>
      <c r="G493" s="32">
        <v>0</v>
      </c>
      <c r="H493" s="33">
        <f t="shared" si="116"/>
        <v>0</v>
      </c>
      <c r="I493" s="34"/>
      <c r="J493" s="35">
        <v>0</v>
      </c>
      <c r="K493" s="36">
        <v>0</v>
      </c>
      <c r="L493" s="35">
        <v>0</v>
      </c>
      <c r="M493" s="35">
        <v>0</v>
      </c>
      <c r="N493" s="35">
        <v>0</v>
      </c>
      <c r="O493" s="35">
        <v>-657679</v>
      </c>
      <c r="P493" s="35">
        <v>0</v>
      </c>
      <c r="R493" s="37">
        <f t="shared" ref="R493:R519" si="129">F493-J493-K493-L493-M493-N493-O493</f>
        <v>657679</v>
      </c>
      <c r="X493" s="28"/>
      <c r="Y493" s="28"/>
    </row>
    <row r="494" spans="1:25" s="4" customFormat="1">
      <c r="A494" s="41"/>
      <c r="B494" s="20" t="s">
        <v>52</v>
      </c>
      <c r="C494" s="42">
        <v>2025</v>
      </c>
      <c r="D494" s="19" t="s">
        <v>461</v>
      </c>
      <c r="E494" s="3" t="s">
        <v>929</v>
      </c>
      <c r="F494" s="1">
        <v>0</v>
      </c>
      <c r="G494" s="32">
        <v>0</v>
      </c>
      <c r="H494" s="33">
        <f t="shared" si="116"/>
        <v>0</v>
      </c>
      <c r="I494" s="34"/>
      <c r="J494" s="35">
        <v>0</v>
      </c>
      <c r="K494" s="36">
        <v>0</v>
      </c>
      <c r="L494" s="35">
        <v>0</v>
      </c>
      <c r="M494" s="35">
        <v>0</v>
      </c>
      <c r="N494" s="35">
        <v>0</v>
      </c>
      <c r="O494" s="35">
        <v>-416123</v>
      </c>
      <c r="P494" s="35">
        <v>0</v>
      </c>
      <c r="R494" s="37">
        <f t="shared" si="129"/>
        <v>416123</v>
      </c>
      <c r="X494" s="28"/>
      <c r="Y494" s="28"/>
    </row>
    <row r="495" spans="1:25" s="4" customFormat="1">
      <c r="A495" s="41"/>
      <c r="B495" s="20" t="s">
        <v>52</v>
      </c>
      <c r="C495" s="42">
        <v>2025</v>
      </c>
      <c r="D495" s="19" t="s">
        <v>378</v>
      </c>
      <c r="E495" s="3" t="s">
        <v>930</v>
      </c>
      <c r="F495" s="1">
        <v>0</v>
      </c>
      <c r="G495" s="32">
        <v>0</v>
      </c>
      <c r="H495" s="33">
        <f t="shared" si="116"/>
        <v>0</v>
      </c>
      <c r="I495" s="34"/>
      <c r="J495" s="35">
        <v>0</v>
      </c>
      <c r="K495" s="36">
        <v>0</v>
      </c>
      <c r="L495" s="35">
        <v>0</v>
      </c>
      <c r="M495" s="35">
        <v>0</v>
      </c>
      <c r="N495" s="35">
        <v>0</v>
      </c>
      <c r="O495" s="35">
        <v>-2520000</v>
      </c>
      <c r="P495" s="35">
        <v>0</v>
      </c>
      <c r="R495" s="37">
        <f t="shared" si="129"/>
        <v>2520000</v>
      </c>
      <c r="X495" s="28"/>
      <c r="Y495" s="28"/>
    </row>
    <row r="496" spans="1:25" s="4" customFormat="1">
      <c r="A496" s="41"/>
      <c r="B496" s="20" t="s">
        <v>52</v>
      </c>
      <c r="C496" s="42">
        <v>2025</v>
      </c>
      <c r="D496" s="19" t="s">
        <v>461</v>
      </c>
      <c r="E496" s="3" t="s">
        <v>957</v>
      </c>
      <c r="F496" s="1">
        <v>0</v>
      </c>
      <c r="G496" s="32">
        <v>0</v>
      </c>
      <c r="H496" s="33">
        <f t="shared" si="116"/>
        <v>0</v>
      </c>
      <c r="I496" s="34"/>
      <c r="J496" s="35">
        <v>0</v>
      </c>
      <c r="K496" s="36">
        <v>0</v>
      </c>
      <c r="L496" s="35">
        <v>0</v>
      </c>
      <c r="M496" s="35">
        <v>0</v>
      </c>
      <c r="N496" s="35">
        <v>0</v>
      </c>
      <c r="O496" s="35">
        <v>-4668000</v>
      </c>
      <c r="P496" s="35">
        <v>0</v>
      </c>
      <c r="R496" s="37">
        <f t="shared" ref="R496" si="130">F496-J496-K496-L496-M496-N496-O496</f>
        <v>4668000</v>
      </c>
      <c r="X496" s="28"/>
      <c r="Y496" s="28"/>
    </row>
    <row r="497" spans="1:25" s="4" customFormat="1">
      <c r="A497" s="41"/>
      <c r="B497" s="20" t="s">
        <v>52</v>
      </c>
      <c r="C497" s="42">
        <v>2025</v>
      </c>
      <c r="D497" s="19" t="s">
        <v>461</v>
      </c>
      <c r="E497" s="3" t="s">
        <v>931</v>
      </c>
      <c r="F497" s="1">
        <v>0</v>
      </c>
      <c r="G497" s="32">
        <v>0</v>
      </c>
      <c r="H497" s="33">
        <f t="shared" si="116"/>
        <v>0</v>
      </c>
      <c r="I497" s="34"/>
      <c r="J497" s="35">
        <v>0</v>
      </c>
      <c r="K497" s="36">
        <v>0</v>
      </c>
      <c r="L497" s="35">
        <v>0</v>
      </c>
      <c r="M497" s="35">
        <v>0</v>
      </c>
      <c r="N497" s="35">
        <v>0</v>
      </c>
      <c r="O497" s="35">
        <v>-432793</v>
      </c>
      <c r="P497" s="35">
        <v>0</v>
      </c>
      <c r="R497" s="37">
        <f t="shared" si="129"/>
        <v>432793</v>
      </c>
      <c r="X497" s="28"/>
      <c r="Y497" s="28"/>
    </row>
    <row r="498" spans="1:25" s="4" customFormat="1">
      <c r="A498" s="41"/>
      <c r="B498" s="20" t="s">
        <v>52</v>
      </c>
      <c r="C498" s="42">
        <v>2025</v>
      </c>
      <c r="D498" s="19" t="s">
        <v>461</v>
      </c>
      <c r="E498" s="3" t="s">
        <v>934</v>
      </c>
      <c r="F498" s="1">
        <v>0</v>
      </c>
      <c r="G498" s="32">
        <v>0</v>
      </c>
      <c r="H498" s="33">
        <f t="shared" si="116"/>
        <v>0</v>
      </c>
      <c r="I498" s="34"/>
      <c r="J498" s="35">
        <v>0</v>
      </c>
      <c r="K498" s="36">
        <v>0</v>
      </c>
      <c r="L498" s="35">
        <v>0</v>
      </c>
      <c r="M498" s="35">
        <v>0</v>
      </c>
      <c r="N498" s="35">
        <v>0</v>
      </c>
      <c r="O498" s="35">
        <v>-800000</v>
      </c>
      <c r="P498" s="35">
        <v>0</v>
      </c>
      <c r="R498" s="37">
        <f t="shared" si="129"/>
        <v>800000</v>
      </c>
      <c r="X498" s="28"/>
      <c r="Y498" s="28"/>
    </row>
    <row r="499" spans="1:25" s="4" customFormat="1">
      <c r="A499" s="41"/>
      <c r="B499" s="20" t="s">
        <v>52</v>
      </c>
      <c r="C499" s="42">
        <v>2025</v>
      </c>
      <c r="D499" s="19" t="s">
        <v>461</v>
      </c>
      <c r="E499" s="3" t="s">
        <v>932</v>
      </c>
      <c r="F499" s="1">
        <v>0</v>
      </c>
      <c r="G499" s="32">
        <v>0</v>
      </c>
      <c r="H499" s="33">
        <f t="shared" si="116"/>
        <v>0</v>
      </c>
      <c r="I499" s="34"/>
      <c r="J499" s="35">
        <v>0</v>
      </c>
      <c r="K499" s="36">
        <v>0</v>
      </c>
      <c r="L499" s="35">
        <v>0</v>
      </c>
      <c r="M499" s="35">
        <v>0</v>
      </c>
      <c r="N499" s="35">
        <v>0</v>
      </c>
      <c r="O499" s="35">
        <v>-210000</v>
      </c>
      <c r="P499" s="35">
        <v>0</v>
      </c>
      <c r="R499" s="37">
        <f t="shared" si="129"/>
        <v>210000</v>
      </c>
      <c r="X499" s="28"/>
      <c r="Y499" s="28"/>
    </row>
    <row r="500" spans="1:25" s="4" customFormat="1">
      <c r="A500" s="41"/>
      <c r="B500" s="20" t="s">
        <v>52</v>
      </c>
      <c r="C500" s="42">
        <v>2025</v>
      </c>
      <c r="D500" s="19" t="s">
        <v>461</v>
      </c>
      <c r="E500" s="3" t="s">
        <v>933</v>
      </c>
      <c r="F500" s="1">
        <v>0</v>
      </c>
      <c r="G500" s="32">
        <v>0</v>
      </c>
      <c r="H500" s="33">
        <f t="shared" si="116"/>
        <v>0</v>
      </c>
      <c r="I500" s="34"/>
      <c r="J500" s="35">
        <v>0</v>
      </c>
      <c r="K500" s="36">
        <v>0</v>
      </c>
      <c r="L500" s="35">
        <v>0</v>
      </c>
      <c r="M500" s="35">
        <v>0</v>
      </c>
      <c r="N500" s="35">
        <v>0</v>
      </c>
      <c r="O500" s="35">
        <v>-460000</v>
      </c>
      <c r="P500" s="35">
        <v>0</v>
      </c>
      <c r="R500" s="37">
        <f t="shared" si="129"/>
        <v>460000</v>
      </c>
      <c r="X500" s="28"/>
      <c r="Y500" s="28"/>
    </row>
    <row r="501" spans="1:25" s="4" customFormat="1">
      <c r="A501" s="41"/>
      <c r="B501" s="20" t="s">
        <v>52</v>
      </c>
      <c r="C501" s="42">
        <v>2025</v>
      </c>
      <c r="D501" s="19" t="s">
        <v>461</v>
      </c>
      <c r="E501" s="3" t="s">
        <v>933</v>
      </c>
      <c r="F501" s="1">
        <v>0</v>
      </c>
      <c r="G501" s="32">
        <v>0</v>
      </c>
      <c r="H501" s="33">
        <f t="shared" si="116"/>
        <v>0</v>
      </c>
      <c r="I501" s="34"/>
      <c r="J501" s="35">
        <v>0</v>
      </c>
      <c r="K501" s="36">
        <v>0</v>
      </c>
      <c r="L501" s="35">
        <v>0</v>
      </c>
      <c r="M501" s="35">
        <v>0</v>
      </c>
      <c r="N501" s="35">
        <v>0</v>
      </c>
      <c r="O501" s="35">
        <v>-160000</v>
      </c>
      <c r="P501" s="35">
        <v>0</v>
      </c>
      <c r="R501" s="37">
        <f t="shared" si="129"/>
        <v>160000</v>
      </c>
      <c r="X501" s="28"/>
      <c r="Y501" s="28"/>
    </row>
    <row r="502" spans="1:25" s="4" customFormat="1">
      <c r="A502" s="41"/>
      <c r="B502" s="20" t="s">
        <v>52</v>
      </c>
      <c r="C502" s="42">
        <v>2025</v>
      </c>
      <c r="D502" s="19" t="s">
        <v>462</v>
      </c>
      <c r="E502" s="3" t="s">
        <v>935</v>
      </c>
      <c r="F502" s="1">
        <v>0</v>
      </c>
      <c r="G502" s="32">
        <v>0</v>
      </c>
      <c r="H502" s="33">
        <f t="shared" si="116"/>
        <v>0</v>
      </c>
      <c r="I502" s="34"/>
      <c r="J502" s="35">
        <v>0</v>
      </c>
      <c r="K502" s="36">
        <v>0</v>
      </c>
      <c r="L502" s="35">
        <v>0</v>
      </c>
      <c r="M502" s="35">
        <v>0</v>
      </c>
      <c r="N502" s="35">
        <v>0</v>
      </c>
      <c r="O502" s="35">
        <v>-3990400</v>
      </c>
      <c r="P502" s="35">
        <v>0</v>
      </c>
      <c r="R502" s="37">
        <f t="shared" si="129"/>
        <v>3990400</v>
      </c>
      <c r="X502" s="28"/>
      <c r="Y502" s="28"/>
    </row>
    <row r="503" spans="1:25" s="4" customFormat="1">
      <c r="A503" s="41"/>
      <c r="B503" s="20" t="s">
        <v>52</v>
      </c>
      <c r="C503" s="42">
        <v>2025</v>
      </c>
      <c r="D503" s="19" t="s">
        <v>458</v>
      </c>
      <c r="E503" s="3" t="s">
        <v>936</v>
      </c>
      <c r="F503" s="1">
        <v>0</v>
      </c>
      <c r="G503" s="32">
        <v>0</v>
      </c>
      <c r="H503" s="33">
        <f t="shared" si="116"/>
        <v>0</v>
      </c>
      <c r="I503" s="34"/>
      <c r="J503" s="35">
        <v>0</v>
      </c>
      <c r="K503" s="36">
        <v>0</v>
      </c>
      <c r="L503" s="35">
        <v>0</v>
      </c>
      <c r="M503" s="35">
        <v>0</v>
      </c>
      <c r="N503" s="35">
        <v>0</v>
      </c>
      <c r="O503" s="35">
        <v>-11452000</v>
      </c>
      <c r="P503" s="35">
        <v>0</v>
      </c>
      <c r="R503" s="37">
        <f t="shared" si="129"/>
        <v>11452000</v>
      </c>
      <c r="X503" s="28"/>
      <c r="Y503" s="28"/>
    </row>
    <row r="504" spans="1:25" s="4" customFormat="1">
      <c r="A504" s="41"/>
      <c r="B504" s="20" t="s">
        <v>52</v>
      </c>
      <c r="C504" s="42">
        <v>2025</v>
      </c>
      <c r="D504" s="19" t="s">
        <v>458</v>
      </c>
      <c r="E504" s="3" t="s">
        <v>958</v>
      </c>
      <c r="F504" s="1">
        <v>0</v>
      </c>
      <c r="G504" s="32">
        <v>0</v>
      </c>
      <c r="H504" s="33">
        <f t="shared" si="116"/>
        <v>0</v>
      </c>
      <c r="I504" s="34"/>
      <c r="J504" s="35">
        <v>0</v>
      </c>
      <c r="K504" s="36">
        <v>0</v>
      </c>
      <c r="L504" s="35">
        <v>0</v>
      </c>
      <c r="M504" s="35">
        <v>0</v>
      </c>
      <c r="N504" s="35">
        <v>0</v>
      </c>
      <c r="O504" s="35">
        <v>-6000000</v>
      </c>
      <c r="P504" s="35">
        <v>0</v>
      </c>
      <c r="R504" s="37">
        <f t="shared" ref="R504" si="131">F504-J504-K504-L504-M504-N504-O504</f>
        <v>6000000</v>
      </c>
      <c r="X504" s="28"/>
      <c r="Y504" s="28"/>
    </row>
    <row r="505" spans="1:25" s="4" customFormat="1">
      <c r="A505" s="41"/>
      <c r="B505" s="20" t="s">
        <v>52</v>
      </c>
      <c r="C505" s="42">
        <v>2025</v>
      </c>
      <c r="D505" s="19" t="s">
        <v>462</v>
      </c>
      <c r="E505" s="3" t="s">
        <v>937</v>
      </c>
      <c r="F505" s="1">
        <v>0</v>
      </c>
      <c r="G505" s="32">
        <v>0</v>
      </c>
      <c r="H505" s="33">
        <f t="shared" si="116"/>
        <v>0</v>
      </c>
      <c r="I505" s="34"/>
      <c r="J505" s="35">
        <v>0</v>
      </c>
      <c r="K505" s="36">
        <v>0</v>
      </c>
      <c r="L505" s="35">
        <v>0</v>
      </c>
      <c r="M505" s="35">
        <v>0</v>
      </c>
      <c r="N505" s="35">
        <v>0</v>
      </c>
      <c r="O505" s="35">
        <v>-3400000</v>
      </c>
      <c r="P505" s="35">
        <v>0</v>
      </c>
      <c r="R505" s="37">
        <f t="shared" si="129"/>
        <v>3400000</v>
      </c>
      <c r="X505" s="28"/>
      <c r="Y505" s="28"/>
    </row>
    <row r="506" spans="1:25" s="4" customFormat="1">
      <c r="A506" s="41"/>
      <c r="B506" s="20" t="s">
        <v>52</v>
      </c>
      <c r="C506" s="42">
        <v>2025</v>
      </c>
      <c r="D506" s="19" t="s">
        <v>462</v>
      </c>
      <c r="E506" s="3" t="s">
        <v>938</v>
      </c>
      <c r="F506" s="1">
        <v>0</v>
      </c>
      <c r="G506" s="32">
        <v>0</v>
      </c>
      <c r="H506" s="33">
        <f t="shared" si="116"/>
        <v>0</v>
      </c>
      <c r="I506" s="34"/>
      <c r="J506" s="35">
        <v>0</v>
      </c>
      <c r="K506" s="36">
        <v>0</v>
      </c>
      <c r="L506" s="35">
        <v>0</v>
      </c>
      <c r="M506" s="35">
        <v>0</v>
      </c>
      <c r="N506" s="35">
        <v>0</v>
      </c>
      <c r="O506" s="35">
        <v>-850000</v>
      </c>
      <c r="P506" s="35">
        <v>0</v>
      </c>
      <c r="R506" s="37">
        <f t="shared" si="129"/>
        <v>850000</v>
      </c>
      <c r="X506" s="28"/>
      <c r="Y506" s="28"/>
    </row>
    <row r="507" spans="1:25" s="4" customFormat="1">
      <c r="A507" s="41"/>
      <c r="B507" s="20" t="s">
        <v>52</v>
      </c>
      <c r="C507" s="42">
        <v>2025</v>
      </c>
      <c r="D507" s="19" t="s">
        <v>462</v>
      </c>
      <c r="E507" s="3" t="s">
        <v>939</v>
      </c>
      <c r="F507" s="1">
        <v>0</v>
      </c>
      <c r="G507" s="32">
        <v>0</v>
      </c>
      <c r="H507" s="33">
        <f t="shared" si="116"/>
        <v>0</v>
      </c>
      <c r="I507" s="34"/>
      <c r="J507" s="35">
        <v>0</v>
      </c>
      <c r="K507" s="36">
        <v>0</v>
      </c>
      <c r="L507" s="35">
        <v>0</v>
      </c>
      <c r="M507" s="35">
        <v>0</v>
      </c>
      <c r="N507" s="35">
        <v>0</v>
      </c>
      <c r="O507" s="35">
        <v>-1556947</v>
      </c>
      <c r="P507" s="35">
        <v>0</v>
      </c>
      <c r="R507" s="37">
        <f t="shared" si="129"/>
        <v>1556947</v>
      </c>
      <c r="X507" s="28"/>
      <c r="Y507" s="28"/>
    </row>
    <row r="508" spans="1:25" s="4" customFormat="1">
      <c r="A508" s="41"/>
      <c r="B508" s="20" t="s">
        <v>52</v>
      </c>
      <c r="C508" s="42">
        <v>2025</v>
      </c>
      <c r="D508" s="19" t="s">
        <v>201</v>
      </c>
      <c r="E508" s="3" t="s">
        <v>940</v>
      </c>
      <c r="F508" s="1">
        <v>0</v>
      </c>
      <c r="G508" s="32">
        <v>0</v>
      </c>
      <c r="H508" s="33">
        <f t="shared" si="116"/>
        <v>0</v>
      </c>
      <c r="I508" s="34"/>
      <c r="J508" s="35">
        <v>0</v>
      </c>
      <c r="K508" s="36">
        <v>0</v>
      </c>
      <c r="L508" s="35">
        <v>0</v>
      </c>
      <c r="M508" s="35">
        <v>0</v>
      </c>
      <c r="N508" s="35">
        <v>0</v>
      </c>
      <c r="O508" s="35">
        <v>-1635849</v>
      </c>
      <c r="P508" s="35">
        <v>0</v>
      </c>
      <c r="R508" s="37">
        <f t="shared" si="129"/>
        <v>1635849</v>
      </c>
      <c r="X508" s="28"/>
      <c r="Y508" s="28"/>
    </row>
    <row r="509" spans="1:25" s="4" customFormat="1">
      <c r="A509" s="41"/>
      <c r="B509" s="20" t="s">
        <v>52</v>
      </c>
      <c r="C509" s="42">
        <v>2025</v>
      </c>
      <c r="D509" s="19" t="s">
        <v>462</v>
      </c>
      <c r="E509" s="3" t="s">
        <v>941</v>
      </c>
      <c r="F509" s="1">
        <v>0</v>
      </c>
      <c r="G509" s="32">
        <v>0</v>
      </c>
      <c r="H509" s="33">
        <f t="shared" si="116"/>
        <v>0</v>
      </c>
      <c r="I509" s="34"/>
      <c r="J509" s="35">
        <v>0</v>
      </c>
      <c r="K509" s="36">
        <v>0</v>
      </c>
      <c r="L509" s="35">
        <v>0</v>
      </c>
      <c r="M509" s="35">
        <v>0</v>
      </c>
      <c r="N509" s="35">
        <v>0</v>
      </c>
      <c r="O509" s="35">
        <v>-5478720</v>
      </c>
      <c r="P509" s="35">
        <v>0</v>
      </c>
      <c r="R509" s="37">
        <f t="shared" si="129"/>
        <v>5478720</v>
      </c>
      <c r="X509" s="28"/>
      <c r="Y509" s="28"/>
    </row>
    <row r="510" spans="1:25" s="4" customFormat="1">
      <c r="A510" s="41"/>
      <c r="B510" s="20" t="s">
        <v>52</v>
      </c>
      <c r="C510" s="42">
        <v>2025</v>
      </c>
      <c r="D510" s="19" t="s">
        <v>462</v>
      </c>
      <c r="E510" s="3" t="s">
        <v>942</v>
      </c>
      <c r="F510" s="1">
        <v>0</v>
      </c>
      <c r="G510" s="32">
        <v>0</v>
      </c>
      <c r="H510" s="33">
        <f t="shared" si="116"/>
        <v>0</v>
      </c>
      <c r="I510" s="34"/>
      <c r="J510" s="35">
        <v>0</v>
      </c>
      <c r="K510" s="36">
        <v>0</v>
      </c>
      <c r="L510" s="35">
        <v>0</v>
      </c>
      <c r="M510" s="35">
        <v>0</v>
      </c>
      <c r="N510" s="35">
        <v>0</v>
      </c>
      <c r="O510" s="35">
        <v>-2836160</v>
      </c>
      <c r="P510" s="35">
        <v>0</v>
      </c>
      <c r="R510" s="37">
        <f t="shared" si="129"/>
        <v>2836160</v>
      </c>
      <c r="X510" s="28"/>
      <c r="Y510" s="28"/>
    </row>
    <row r="511" spans="1:25" s="4" customFormat="1">
      <c r="A511" s="41"/>
      <c r="B511" s="20" t="s">
        <v>52</v>
      </c>
      <c r="C511" s="42">
        <v>2025</v>
      </c>
      <c r="D511" s="19" t="s">
        <v>462</v>
      </c>
      <c r="E511" s="3" t="s">
        <v>943</v>
      </c>
      <c r="F511" s="1">
        <v>0</v>
      </c>
      <c r="G511" s="32">
        <v>0</v>
      </c>
      <c r="H511" s="33">
        <f t="shared" si="116"/>
        <v>0</v>
      </c>
      <c r="I511" s="34"/>
      <c r="J511" s="35">
        <v>0</v>
      </c>
      <c r="K511" s="36">
        <v>0</v>
      </c>
      <c r="L511" s="35">
        <v>0</v>
      </c>
      <c r="M511" s="35">
        <v>0</v>
      </c>
      <c r="N511" s="35">
        <v>0</v>
      </c>
      <c r="O511" s="35">
        <v>-2600000</v>
      </c>
      <c r="P511" s="35">
        <v>0</v>
      </c>
      <c r="R511" s="37">
        <f t="shared" si="129"/>
        <v>2600000</v>
      </c>
      <c r="X511" s="28"/>
      <c r="Y511" s="28"/>
    </row>
    <row r="512" spans="1:25" s="4" customFormat="1">
      <c r="A512" s="41"/>
      <c r="B512" s="20" t="s">
        <v>52</v>
      </c>
      <c r="C512" s="42">
        <v>2025</v>
      </c>
      <c r="D512" s="19" t="s">
        <v>505</v>
      </c>
      <c r="E512" s="3" t="s">
        <v>944</v>
      </c>
      <c r="F512" s="1">
        <v>0</v>
      </c>
      <c r="G512" s="32">
        <v>0</v>
      </c>
      <c r="H512" s="33">
        <f t="shared" si="116"/>
        <v>0</v>
      </c>
      <c r="I512" s="34"/>
      <c r="J512" s="35">
        <v>0</v>
      </c>
      <c r="K512" s="36">
        <v>0</v>
      </c>
      <c r="L512" s="35">
        <v>0</v>
      </c>
      <c r="M512" s="35">
        <v>0</v>
      </c>
      <c r="N512" s="35">
        <v>0</v>
      </c>
      <c r="O512" s="35">
        <v>-36662500</v>
      </c>
      <c r="P512" s="35">
        <v>0</v>
      </c>
      <c r="R512" s="37">
        <f t="shared" si="129"/>
        <v>36662500</v>
      </c>
      <c r="X512" s="28"/>
      <c r="Y512" s="28"/>
    </row>
    <row r="513" spans="1:25" s="4" customFormat="1">
      <c r="A513" s="41"/>
      <c r="B513" s="20" t="s">
        <v>52</v>
      </c>
      <c r="C513" s="42">
        <v>2025</v>
      </c>
      <c r="D513" s="19" t="s">
        <v>505</v>
      </c>
      <c r="E513" s="3" t="s">
        <v>945</v>
      </c>
      <c r="F513" s="1">
        <v>0</v>
      </c>
      <c r="G513" s="32">
        <v>0</v>
      </c>
      <c r="H513" s="33">
        <f t="shared" si="116"/>
        <v>0</v>
      </c>
      <c r="I513" s="34"/>
      <c r="J513" s="35">
        <v>0</v>
      </c>
      <c r="K513" s="36">
        <v>0</v>
      </c>
      <c r="L513" s="35">
        <v>0</v>
      </c>
      <c r="M513" s="35">
        <v>0</v>
      </c>
      <c r="N513" s="35">
        <v>0</v>
      </c>
      <c r="O513" s="35">
        <v>-284700</v>
      </c>
      <c r="P513" s="35">
        <v>0</v>
      </c>
      <c r="R513" s="37">
        <f t="shared" si="129"/>
        <v>284700</v>
      </c>
      <c r="X513" s="28"/>
      <c r="Y513" s="28"/>
    </row>
    <row r="514" spans="1:25" s="4" customFormat="1">
      <c r="A514" s="41"/>
      <c r="B514" s="20" t="s">
        <v>52</v>
      </c>
      <c r="C514" s="42">
        <v>2025</v>
      </c>
      <c r="D514" s="19" t="s">
        <v>505</v>
      </c>
      <c r="E514" s="3" t="s">
        <v>946</v>
      </c>
      <c r="F514" s="1">
        <v>0</v>
      </c>
      <c r="G514" s="32">
        <v>0</v>
      </c>
      <c r="H514" s="33">
        <f t="shared" si="116"/>
        <v>0</v>
      </c>
      <c r="I514" s="34"/>
      <c r="J514" s="35">
        <v>0</v>
      </c>
      <c r="K514" s="36">
        <v>0</v>
      </c>
      <c r="L514" s="35">
        <v>0</v>
      </c>
      <c r="M514" s="35">
        <v>0</v>
      </c>
      <c r="N514" s="35">
        <v>0</v>
      </c>
      <c r="O514" s="35">
        <v>-238600</v>
      </c>
      <c r="P514" s="35">
        <v>0</v>
      </c>
      <c r="R514" s="37">
        <f t="shared" si="129"/>
        <v>238600</v>
      </c>
      <c r="X514" s="28"/>
      <c r="Y514" s="28"/>
    </row>
    <row r="515" spans="1:25" s="4" customFormat="1">
      <c r="A515" s="41"/>
      <c r="B515" s="20" t="s">
        <v>52</v>
      </c>
      <c r="C515" s="42">
        <v>2025</v>
      </c>
      <c r="D515" s="19" t="s">
        <v>505</v>
      </c>
      <c r="E515" s="3" t="s">
        <v>947</v>
      </c>
      <c r="F515" s="1">
        <v>0</v>
      </c>
      <c r="G515" s="32">
        <v>0</v>
      </c>
      <c r="H515" s="33">
        <f t="shared" si="116"/>
        <v>0</v>
      </c>
      <c r="I515" s="34"/>
      <c r="J515" s="35">
        <v>0</v>
      </c>
      <c r="K515" s="36">
        <v>0</v>
      </c>
      <c r="L515" s="35">
        <v>0</v>
      </c>
      <c r="M515" s="35">
        <v>0</v>
      </c>
      <c r="N515" s="35">
        <v>0</v>
      </c>
      <c r="O515" s="35">
        <v>-184500</v>
      </c>
      <c r="P515" s="35">
        <v>0</v>
      </c>
      <c r="R515" s="37">
        <f t="shared" si="129"/>
        <v>184500</v>
      </c>
      <c r="X515" s="28"/>
      <c r="Y515" s="28"/>
    </row>
    <row r="516" spans="1:25" s="4" customFormat="1">
      <c r="A516" s="41"/>
      <c r="B516" s="20" t="s">
        <v>52</v>
      </c>
      <c r="C516" s="42">
        <v>2025</v>
      </c>
      <c r="D516" s="19" t="s">
        <v>505</v>
      </c>
      <c r="E516" s="3" t="s">
        <v>948</v>
      </c>
      <c r="F516" s="1">
        <v>0</v>
      </c>
      <c r="G516" s="32">
        <v>0</v>
      </c>
      <c r="H516" s="33">
        <f t="shared" si="116"/>
        <v>0</v>
      </c>
      <c r="I516" s="34"/>
      <c r="J516" s="35">
        <v>0</v>
      </c>
      <c r="K516" s="36">
        <v>0</v>
      </c>
      <c r="L516" s="35">
        <v>0</v>
      </c>
      <c r="M516" s="35">
        <v>0</v>
      </c>
      <c r="N516" s="35">
        <v>0</v>
      </c>
      <c r="O516" s="35">
        <v>-1674000</v>
      </c>
      <c r="P516" s="35">
        <v>0</v>
      </c>
      <c r="R516" s="37">
        <f t="shared" si="129"/>
        <v>1674000</v>
      </c>
      <c r="X516" s="28"/>
      <c r="Y516" s="28"/>
    </row>
    <row r="517" spans="1:25" s="4" customFormat="1">
      <c r="A517" s="41"/>
      <c r="B517" s="20" t="s">
        <v>52</v>
      </c>
      <c r="C517" s="42">
        <v>2025</v>
      </c>
      <c r="D517" s="19" t="s">
        <v>505</v>
      </c>
      <c r="E517" s="3" t="s">
        <v>949</v>
      </c>
      <c r="F517" s="1">
        <v>0</v>
      </c>
      <c r="G517" s="32">
        <v>0</v>
      </c>
      <c r="H517" s="33">
        <f t="shared" ref="H517:H580" si="132">G517*$H$4/$E$999</f>
        <v>0</v>
      </c>
      <c r="I517" s="34"/>
      <c r="J517" s="35">
        <v>0</v>
      </c>
      <c r="K517" s="36">
        <v>0</v>
      </c>
      <c r="L517" s="35">
        <v>0</v>
      </c>
      <c r="M517" s="35">
        <v>0</v>
      </c>
      <c r="N517" s="35">
        <v>0</v>
      </c>
      <c r="O517" s="35">
        <v>-15400</v>
      </c>
      <c r="P517" s="35">
        <v>0</v>
      </c>
      <c r="R517" s="37">
        <f t="shared" si="129"/>
        <v>15400</v>
      </c>
      <c r="X517" s="28"/>
      <c r="Y517" s="28"/>
    </row>
    <row r="518" spans="1:25" s="4" customFormat="1">
      <c r="A518" s="41"/>
      <c r="B518" s="20" t="s">
        <v>52</v>
      </c>
      <c r="C518" s="42">
        <v>2025</v>
      </c>
      <c r="D518" s="19" t="s">
        <v>505</v>
      </c>
      <c r="E518" s="3" t="s">
        <v>949</v>
      </c>
      <c r="F518" s="1">
        <v>0</v>
      </c>
      <c r="G518" s="32">
        <v>0</v>
      </c>
      <c r="H518" s="33">
        <f t="shared" si="132"/>
        <v>0</v>
      </c>
      <c r="I518" s="34"/>
      <c r="J518" s="35">
        <v>0</v>
      </c>
      <c r="K518" s="36">
        <v>0</v>
      </c>
      <c r="L518" s="35">
        <v>0</v>
      </c>
      <c r="M518" s="35">
        <v>0</v>
      </c>
      <c r="N518" s="35">
        <v>0</v>
      </c>
      <c r="O518" s="35">
        <v>-838200</v>
      </c>
      <c r="P518" s="35">
        <v>0</v>
      </c>
      <c r="R518" s="37">
        <f t="shared" si="129"/>
        <v>838200</v>
      </c>
      <c r="X518" s="28"/>
      <c r="Y518" s="28"/>
    </row>
    <row r="519" spans="1:25" s="4" customFormat="1">
      <c r="A519" s="41"/>
      <c r="B519" s="20" t="s">
        <v>52</v>
      </c>
      <c r="C519" s="42">
        <v>2025</v>
      </c>
      <c r="D519" s="19" t="s">
        <v>505</v>
      </c>
      <c r="E519" s="3" t="s">
        <v>914</v>
      </c>
      <c r="F519" s="1">
        <v>0</v>
      </c>
      <c r="G519" s="32">
        <v>0</v>
      </c>
      <c r="H519" s="33">
        <f t="shared" si="132"/>
        <v>0</v>
      </c>
      <c r="I519" s="34"/>
      <c r="J519" s="35">
        <v>0</v>
      </c>
      <c r="K519" s="36">
        <v>0</v>
      </c>
      <c r="L519" s="35">
        <v>0</v>
      </c>
      <c r="M519" s="35">
        <v>0</v>
      </c>
      <c r="N519" s="35">
        <v>0</v>
      </c>
      <c r="O519" s="35">
        <v>-19937010</v>
      </c>
      <c r="P519" s="35">
        <v>0</v>
      </c>
      <c r="R519" s="37">
        <f t="shared" si="129"/>
        <v>19937010</v>
      </c>
      <c r="X519" s="28"/>
      <c r="Y519" s="28"/>
    </row>
    <row r="520" spans="1:25" s="4" customFormat="1">
      <c r="A520" s="41"/>
      <c r="B520" s="20" t="s">
        <v>52</v>
      </c>
      <c r="C520" s="42">
        <v>2025</v>
      </c>
      <c r="D520" s="19" t="s">
        <v>203</v>
      </c>
      <c r="E520" s="3" t="s">
        <v>570</v>
      </c>
      <c r="F520" s="1">
        <v>0</v>
      </c>
      <c r="G520" s="32">
        <v>0</v>
      </c>
      <c r="H520" s="33">
        <f t="shared" si="132"/>
        <v>0</v>
      </c>
      <c r="I520" s="34"/>
      <c r="J520" s="35">
        <v>0</v>
      </c>
      <c r="K520" s="36">
        <v>0</v>
      </c>
      <c r="L520" s="35">
        <v>0</v>
      </c>
      <c r="M520" s="35">
        <v>0</v>
      </c>
      <c r="N520" s="35">
        <v>0</v>
      </c>
      <c r="O520" s="35">
        <v>-18000</v>
      </c>
      <c r="P520" s="35">
        <v>0</v>
      </c>
      <c r="R520" s="37">
        <f t="shared" ref="R520" si="133">F520-J520-K520-L520-M520-N520-O520</f>
        <v>18000</v>
      </c>
      <c r="X520" s="28"/>
      <c r="Y520" s="28"/>
    </row>
    <row r="521" spans="1:25" s="4" customFormat="1">
      <c r="A521" s="41"/>
      <c r="B521" s="20" t="s">
        <v>52</v>
      </c>
      <c r="C521" s="42">
        <v>2025</v>
      </c>
      <c r="D521" s="19" t="s">
        <v>203</v>
      </c>
      <c r="E521" s="3" t="s">
        <v>571</v>
      </c>
      <c r="F521" s="1">
        <v>0</v>
      </c>
      <c r="G521" s="32">
        <v>0</v>
      </c>
      <c r="H521" s="33">
        <f t="shared" si="132"/>
        <v>0</v>
      </c>
      <c r="I521" s="34"/>
      <c r="J521" s="35">
        <v>0</v>
      </c>
      <c r="K521" s="36">
        <v>0</v>
      </c>
      <c r="L521" s="35">
        <v>0</v>
      </c>
      <c r="M521" s="35">
        <v>0</v>
      </c>
      <c r="N521" s="35">
        <v>0</v>
      </c>
      <c r="O521" s="35">
        <v>-22500</v>
      </c>
      <c r="P521" s="35">
        <v>0</v>
      </c>
      <c r="R521" s="37">
        <f t="shared" ref="R521:R575" si="134">F521-J521-K521-L521-M521-N521-O521</f>
        <v>22500</v>
      </c>
      <c r="X521" s="28"/>
      <c r="Y521" s="28"/>
    </row>
    <row r="522" spans="1:25" s="4" customFormat="1">
      <c r="A522" s="41"/>
      <c r="B522" s="20" t="s">
        <v>52</v>
      </c>
      <c r="C522" s="42">
        <v>2025</v>
      </c>
      <c r="D522" s="19" t="s">
        <v>203</v>
      </c>
      <c r="E522" s="3" t="s">
        <v>572</v>
      </c>
      <c r="F522" s="1">
        <v>0</v>
      </c>
      <c r="G522" s="32">
        <v>0</v>
      </c>
      <c r="H522" s="33">
        <f t="shared" si="132"/>
        <v>0</v>
      </c>
      <c r="I522" s="34"/>
      <c r="J522" s="35">
        <v>0</v>
      </c>
      <c r="K522" s="36">
        <v>0</v>
      </c>
      <c r="L522" s="35">
        <v>0</v>
      </c>
      <c r="M522" s="35">
        <v>0</v>
      </c>
      <c r="N522" s="35">
        <v>0</v>
      </c>
      <c r="O522" s="35">
        <v>-25000</v>
      </c>
      <c r="P522" s="35">
        <v>0</v>
      </c>
      <c r="R522" s="37">
        <f t="shared" si="134"/>
        <v>25000</v>
      </c>
      <c r="X522" s="28"/>
      <c r="Y522" s="28"/>
    </row>
    <row r="523" spans="1:25" s="4" customFormat="1">
      <c r="A523" s="41"/>
      <c r="B523" s="20" t="s">
        <v>52</v>
      </c>
      <c r="C523" s="42">
        <v>2025</v>
      </c>
      <c r="D523" s="19" t="s">
        <v>203</v>
      </c>
      <c r="E523" s="3" t="s">
        <v>573</v>
      </c>
      <c r="F523" s="1">
        <v>0</v>
      </c>
      <c r="G523" s="32">
        <v>0</v>
      </c>
      <c r="H523" s="33">
        <f t="shared" si="132"/>
        <v>0</v>
      </c>
      <c r="I523" s="34"/>
      <c r="J523" s="35">
        <v>0</v>
      </c>
      <c r="K523" s="36">
        <v>0</v>
      </c>
      <c r="L523" s="35">
        <v>0</v>
      </c>
      <c r="M523" s="35">
        <v>0</v>
      </c>
      <c r="N523" s="35">
        <v>0</v>
      </c>
      <c r="O523" s="35">
        <v>-15500</v>
      </c>
      <c r="P523" s="35">
        <v>0</v>
      </c>
      <c r="R523" s="37">
        <f t="shared" si="134"/>
        <v>15500</v>
      </c>
      <c r="X523" s="28"/>
      <c r="Y523" s="28"/>
    </row>
    <row r="524" spans="1:25" s="4" customFormat="1">
      <c r="A524" s="41"/>
      <c r="B524" s="20" t="s">
        <v>52</v>
      </c>
      <c r="C524" s="42">
        <v>2025</v>
      </c>
      <c r="D524" s="19" t="s">
        <v>203</v>
      </c>
      <c r="E524" s="3" t="s">
        <v>574</v>
      </c>
      <c r="F524" s="1">
        <v>0</v>
      </c>
      <c r="G524" s="32">
        <v>0</v>
      </c>
      <c r="H524" s="33">
        <f t="shared" si="132"/>
        <v>0</v>
      </c>
      <c r="I524" s="34"/>
      <c r="J524" s="35">
        <v>0</v>
      </c>
      <c r="K524" s="36">
        <v>0</v>
      </c>
      <c r="L524" s="35">
        <v>0</v>
      </c>
      <c r="M524" s="35">
        <v>0</v>
      </c>
      <c r="N524" s="35">
        <v>0</v>
      </c>
      <c r="O524" s="35">
        <v>-12000</v>
      </c>
      <c r="P524" s="35">
        <v>0</v>
      </c>
      <c r="R524" s="37">
        <f t="shared" si="134"/>
        <v>12000</v>
      </c>
      <c r="X524" s="28"/>
      <c r="Y524" s="28"/>
    </row>
    <row r="525" spans="1:25" s="4" customFormat="1">
      <c r="A525" s="41"/>
      <c r="B525" s="20" t="s">
        <v>52</v>
      </c>
      <c r="C525" s="42">
        <v>2025</v>
      </c>
      <c r="D525" s="19" t="s">
        <v>203</v>
      </c>
      <c r="E525" s="3" t="s">
        <v>575</v>
      </c>
      <c r="F525" s="1">
        <v>0</v>
      </c>
      <c r="G525" s="32">
        <v>0</v>
      </c>
      <c r="H525" s="33">
        <f t="shared" si="132"/>
        <v>0</v>
      </c>
      <c r="I525" s="34"/>
      <c r="J525" s="35">
        <v>0</v>
      </c>
      <c r="K525" s="36">
        <v>0</v>
      </c>
      <c r="L525" s="35">
        <v>0</v>
      </c>
      <c r="M525" s="35">
        <v>0</v>
      </c>
      <c r="N525" s="35">
        <v>0</v>
      </c>
      <c r="O525" s="35">
        <v>-50000</v>
      </c>
      <c r="P525" s="35">
        <v>0</v>
      </c>
      <c r="R525" s="37">
        <f t="shared" si="134"/>
        <v>50000</v>
      </c>
      <c r="X525" s="28"/>
      <c r="Y525" s="28"/>
    </row>
    <row r="526" spans="1:25" s="4" customFormat="1">
      <c r="A526" s="41"/>
      <c r="B526" s="20" t="s">
        <v>52</v>
      </c>
      <c r="C526" s="42">
        <v>2025</v>
      </c>
      <c r="D526" s="19" t="s">
        <v>203</v>
      </c>
      <c r="E526" s="3" t="s">
        <v>576</v>
      </c>
      <c r="F526" s="1">
        <v>0</v>
      </c>
      <c r="G526" s="32">
        <v>0</v>
      </c>
      <c r="H526" s="33">
        <f t="shared" si="132"/>
        <v>0</v>
      </c>
      <c r="I526" s="34"/>
      <c r="J526" s="35">
        <v>0</v>
      </c>
      <c r="K526" s="36">
        <v>0</v>
      </c>
      <c r="L526" s="35">
        <v>0</v>
      </c>
      <c r="M526" s="35">
        <v>0</v>
      </c>
      <c r="N526" s="35">
        <v>0</v>
      </c>
      <c r="O526" s="35">
        <v>-15000</v>
      </c>
      <c r="P526" s="35">
        <v>0</v>
      </c>
      <c r="R526" s="37">
        <f t="shared" si="134"/>
        <v>15000</v>
      </c>
      <c r="X526" s="28"/>
      <c r="Y526" s="28"/>
    </row>
    <row r="527" spans="1:25" s="4" customFormat="1">
      <c r="A527" s="41"/>
      <c r="B527" s="20" t="s">
        <v>52</v>
      </c>
      <c r="C527" s="42">
        <v>2025</v>
      </c>
      <c r="D527" s="19" t="s">
        <v>203</v>
      </c>
      <c r="E527" s="3" t="s">
        <v>577</v>
      </c>
      <c r="F527" s="1">
        <v>0</v>
      </c>
      <c r="G527" s="32">
        <v>0</v>
      </c>
      <c r="H527" s="33">
        <f t="shared" si="132"/>
        <v>0</v>
      </c>
      <c r="I527" s="34"/>
      <c r="J527" s="35">
        <v>0</v>
      </c>
      <c r="K527" s="36">
        <v>0</v>
      </c>
      <c r="L527" s="35">
        <v>0</v>
      </c>
      <c r="M527" s="35">
        <v>0</v>
      </c>
      <c r="N527" s="35">
        <v>0</v>
      </c>
      <c r="O527" s="35">
        <v>-21500</v>
      </c>
      <c r="P527" s="35">
        <v>0</v>
      </c>
      <c r="R527" s="37">
        <f t="shared" si="134"/>
        <v>21500</v>
      </c>
      <c r="X527" s="28"/>
      <c r="Y527" s="28"/>
    </row>
    <row r="528" spans="1:25" s="4" customFormat="1">
      <c r="A528" s="41"/>
      <c r="B528" s="20" t="s">
        <v>52</v>
      </c>
      <c r="C528" s="42">
        <v>2025</v>
      </c>
      <c r="D528" s="19" t="s">
        <v>203</v>
      </c>
      <c r="E528" s="3" t="s">
        <v>578</v>
      </c>
      <c r="F528" s="1">
        <v>0</v>
      </c>
      <c r="G528" s="32">
        <v>0</v>
      </c>
      <c r="H528" s="33">
        <f t="shared" si="132"/>
        <v>0</v>
      </c>
      <c r="I528" s="34"/>
      <c r="J528" s="35">
        <v>0</v>
      </c>
      <c r="K528" s="36">
        <v>0</v>
      </c>
      <c r="L528" s="35">
        <v>0</v>
      </c>
      <c r="M528" s="35">
        <v>0</v>
      </c>
      <c r="N528" s="35">
        <v>0</v>
      </c>
      <c r="O528" s="35">
        <v>-20000</v>
      </c>
      <c r="P528" s="35">
        <v>0</v>
      </c>
      <c r="R528" s="37">
        <f t="shared" si="134"/>
        <v>20000</v>
      </c>
      <c r="X528" s="28"/>
      <c r="Y528" s="28"/>
    </row>
    <row r="529" spans="1:25" s="4" customFormat="1">
      <c r="A529" s="41"/>
      <c r="B529" s="20" t="s">
        <v>52</v>
      </c>
      <c r="C529" s="42">
        <v>2025</v>
      </c>
      <c r="D529" s="19" t="s">
        <v>203</v>
      </c>
      <c r="E529" s="3" t="s">
        <v>579</v>
      </c>
      <c r="F529" s="1">
        <v>0</v>
      </c>
      <c r="G529" s="32">
        <v>0</v>
      </c>
      <c r="H529" s="33">
        <f t="shared" si="132"/>
        <v>0</v>
      </c>
      <c r="I529" s="34"/>
      <c r="J529" s="35">
        <v>0</v>
      </c>
      <c r="K529" s="36">
        <v>0</v>
      </c>
      <c r="L529" s="35">
        <v>0</v>
      </c>
      <c r="M529" s="35">
        <v>0</v>
      </c>
      <c r="N529" s="35">
        <v>0</v>
      </c>
      <c r="O529" s="35">
        <v>-10000</v>
      </c>
      <c r="P529" s="35">
        <v>0</v>
      </c>
      <c r="R529" s="37">
        <f t="shared" si="134"/>
        <v>10000</v>
      </c>
      <c r="X529" s="28"/>
      <c r="Y529" s="28"/>
    </row>
    <row r="530" spans="1:25" s="4" customFormat="1">
      <c r="A530" s="41"/>
      <c r="B530" s="20" t="s">
        <v>52</v>
      </c>
      <c r="C530" s="42">
        <v>2025</v>
      </c>
      <c r="D530" s="19" t="s">
        <v>203</v>
      </c>
      <c r="E530" s="3" t="s">
        <v>580</v>
      </c>
      <c r="F530" s="1">
        <v>0</v>
      </c>
      <c r="G530" s="32">
        <v>0</v>
      </c>
      <c r="H530" s="33">
        <f t="shared" si="132"/>
        <v>0</v>
      </c>
      <c r="I530" s="34"/>
      <c r="J530" s="35">
        <v>0</v>
      </c>
      <c r="K530" s="36">
        <v>0</v>
      </c>
      <c r="L530" s="35">
        <v>0</v>
      </c>
      <c r="M530" s="35">
        <v>0</v>
      </c>
      <c r="N530" s="35">
        <v>0</v>
      </c>
      <c r="O530" s="35">
        <v>-180000</v>
      </c>
      <c r="P530" s="35">
        <v>0</v>
      </c>
      <c r="R530" s="37">
        <f t="shared" si="134"/>
        <v>180000</v>
      </c>
      <c r="X530" s="28"/>
      <c r="Y530" s="28"/>
    </row>
    <row r="531" spans="1:25" s="4" customFormat="1">
      <c r="A531" s="41"/>
      <c r="B531" s="20" t="s">
        <v>52</v>
      </c>
      <c r="C531" s="42">
        <v>2025</v>
      </c>
      <c r="D531" s="19" t="s">
        <v>203</v>
      </c>
      <c r="E531" s="3" t="s">
        <v>581</v>
      </c>
      <c r="F531" s="1">
        <v>0</v>
      </c>
      <c r="G531" s="32">
        <v>0</v>
      </c>
      <c r="H531" s="33">
        <f t="shared" si="132"/>
        <v>0</v>
      </c>
      <c r="I531" s="34"/>
      <c r="J531" s="35">
        <v>0</v>
      </c>
      <c r="K531" s="36">
        <v>0</v>
      </c>
      <c r="L531" s="35">
        <v>0</v>
      </c>
      <c r="M531" s="35">
        <v>0</v>
      </c>
      <c r="N531" s="35">
        <v>0</v>
      </c>
      <c r="O531" s="35">
        <v>-21000</v>
      </c>
      <c r="P531" s="35">
        <v>0</v>
      </c>
      <c r="R531" s="37">
        <f t="shared" si="134"/>
        <v>21000</v>
      </c>
      <c r="X531" s="28"/>
      <c r="Y531" s="28"/>
    </row>
    <row r="532" spans="1:25" s="4" customFormat="1">
      <c r="A532" s="41"/>
      <c r="B532" s="20" t="s">
        <v>52</v>
      </c>
      <c r="C532" s="42">
        <v>2025</v>
      </c>
      <c r="D532" s="19" t="s">
        <v>203</v>
      </c>
      <c r="E532" s="3" t="s">
        <v>582</v>
      </c>
      <c r="F532" s="1">
        <v>0</v>
      </c>
      <c r="G532" s="32">
        <v>0</v>
      </c>
      <c r="H532" s="33">
        <f t="shared" si="132"/>
        <v>0</v>
      </c>
      <c r="I532" s="34"/>
      <c r="J532" s="35">
        <v>0</v>
      </c>
      <c r="K532" s="36">
        <v>0</v>
      </c>
      <c r="L532" s="35">
        <v>0</v>
      </c>
      <c r="M532" s="35">
        <v>0</v>
      </c>
      <c r="N532" s="35">
        <v>0</v>
      </c>
      <c r="O532" s="35">
        <v>-100000</v>
      </c>
      <c r="P532" s="35">
        <v>0</v>
      </c>
      <c r="R532" s="37">
        <f t="shared" si="134"/>
        <v>100000</v>
      </c>
      <c r="X532" s="28"/>
      <c r="Y532" s="28"/>
    </row>
    <row r="533" spans="1:25" s="4" customFormat="1">
      <c r="A533" s="41"/>
      <c r="B533" s="20" t="s">
        <v>52</v>
      </c>
      <c r="C533" s="42">
        <v>2025</v>
      </c>
      <c r="D533" s="19" t="s">
        <v>203</v>
      </c>
      <c r="E533" s="3" t="s">
        <v>583</v>
      </c>
      <c r="F533" s="1">
        <v>0</v>
      </c>
      <c r="G533" s="32">
        <v>0</v>
      </c>
      <c r="H533" s="33">
        <f t="shared" si="132"/>
        <v>0</v>
      </c>
      <c r="I533" s="34"/>
      <c r="J533" s="35">
        <v>0</v>
      </c>
      <c r="K533" s="36">
        <v>0</v>
      </c>
      <c r="L533" s="35">
        <v>0</v>
      </c>
      <c r="M533" s="35">
        <v>0</v>
      </c>
      <c r="N533" s="35">
        <v>0</v>
      </c>
      <c r="O533" s="35">
        <v>-100000</v>
      </c>
      <c r="P533" s="35">
        <v>0</v>
      </c>
      <c r="R533" s="37">
        <f t="shared" si="134"/>
        <v>100000</v>
      </c>
      <c r="X533" s="28"/>
      <c r="Y533" s="28"/>
    </row>
    <row r="534" spans="1:25" s="4" customFormat="1">
      <c r="A534" s="41"/>
      <c r="B534" s="20" t="s">
        <v>52</v>
      </c>
      <c r="C534" s="42">
        <v>2025</v>
      </c>
      <c r="D534" s="19" t="s">
        <v>203</v>
      </c>
      <c r="E534" s="3" t="s">
        <v>584</v>
      </c>
      <c r="F534" s="1">
        <v>0</v>
      </c>
      <c r="G534" s="32">
        <v>0</v>
      </c>
      <c r="H534" s="33">
        <f t="shared" si="132"/>
        <v>0</v>
      </c>
      <c r="I534" s="34"/>
      <c r="J534" s="35">
        <v>0</v>
      </c>
      <c r="K534" s="36">
        <v>0</v>
      </c>
      <c r="L534" s="35">
        <v>0</v>
      </c>
      <c r="M534" s="35">
        <v>0</v>
      </c>
      <c r="N534" s="35">
        <v>0</v>
      </c>
      <c r="O534" s="35">
        <v>-17500</v>
      </c>
      <c r="P534" s="35">
        <v>0</v>
      </c>
      <c r="R534" s="37">
        <f t="shared" si="134"/>
        <v>17500</v>
      </c>
      <c r="X534" s="28"/>
      <c r="Y534" s="28"/>
    </row>
    <row r="535" spans="1:25" s="4" customFormat="1">
      <c r="A535" s="41"/>
      <c r="B535" s="20" t="s">
        <v>52</v>
      </c>
      <c r="C535" s="42">
        <v>2025</v>
      </c>
      <c r="D535" s="19" t="s">
        <v>203</v>
      </c>
      <c r="E535" s="3" t="s">
        <v>585</v>
      </c>
      <c r="F535" s="1">
        <v>0</v>
      </c>
      <c r="G535" s="32">
        <v>0</v>
      </c>
      <c r="H535" s="33">
        <f t="shared" si="132"/>
        <v>0</v>
      </c>
      <c r="I535" s="34"/>
      <c r="J535" s="35">
        <v>0</v>
      </c>
      <c r="K535" s="36">
        <v>0</v>
      </c>
      <c r="L535" s="35">
        <v>0</v>
      </c>
      <c r="M535" s="35">
        <v>0</v>
      </c>
      <c r="N535" s="35">
        <v>0</v>
      </c>
      <c r="O535" s="35">
        <v>-15000</v>
      </c>
      <c r="P535" s="35">
        <v>0</v>
      </c>
      <c r="R535" s="37">
        <f t="shared" si="134"/>
        <v>15000</v>
      </c>
      <c r="X535" s="28"/>
      <c r="Y535" s="28"/>
    </row>
    <row r="536" spans="1:25" s="4" customFormat="1">
      <c r="A536" s="41"/>
      <c r="B536" s="20" t="s">
        <v>52</v>
      </c>
      <c r="C536" s="42">
        <v>2025</v>
      </c>
      <c r="D536" s="19" t="s">
        <v>203</v>
      </c>
      <c r="E536" s="3" t="s">
        <v>586</v>
      </c>
      <c r="F536" s="1">
        <v>0</v>
      </c>
      <c r="G536" s="32">
        <v>0</v>
      </c>
      <c r="H536" s="33">
        <f t="shared" si="132"/>
        <v>0</v>
      </c>
      <c r="I536" s="34"/>
      <c r="J536" s="35">
        <v>0</v>
      </c>
      <c r="K536" s="36">
        <v>0</v>
      </c>
      <c r="L536" s="35">
        <v>0</v>
      </c>
      <c r="M536" s="35">
        <v>0</v>
      </c>
      <c r="N536" s="35">
        <v>0</v>
      </c>
      <c r="O536" s="35">
        <v>-16000</v>
      </c>
      <c r="P536" s="35">
        <v>0</v>
      </c>
      <c r="R536" s="37">
        <f t="shared" si="134"/>
        <v>16000</v>
      </c>
      <c r="X536" s="28"/>
      <c r="Y536" s="28"/>
    </row>
    <row r="537" spans="1:25" s="4" customFormat="1">
      <c r="A537" s="41"/>
      <c r="B537" s="20" t="s">
        <v>52</v>
      </c>
      <c r="C537" s="42">
        <v>2025</v>
      </c>
      <c r="D537" s="19" t="s">
        <v>203</v>
      </c>
      <c r="E537" s="3" t="s">
        <v>587</v>
      </c>
      <c r="F537" s="1">
        <v>0</v>
      </c>
      <c r="G537" s="32">
        <v>0</v>
      </c>
      <c r="H537" s="33">
        <f t="shared" si="132"/>
        <v>0</v>
      </c>
      <c r="I537" s="34"/>
      <c r="J537" s="35">
        <v>0</v>
      </c>
      <c r="K537" s="36">
        <v>0</v>
      </c>
      <c r="L537" s="35">
        <v>0</v>
      </c>
      <c r="M537" s="35">
        <v>0</v>
      </c>
      <c r="N537" s="35">
        <v>0</v>
      </c>
      <c r="O537" s="35">
        <v>-240000</v>
      </c>
      <c r="P537" s="35">
        <v>0</v>
      </c>
      <c r="R537" s="37">
        <f t="shared" si="134"/>
        <v>240000</v>
      </c>
      <c r="X537" s="28"/>
      <c r="Y537" s="28"/>
    </row>
    <row r="538" spans="1:25" s="4" customFormat="1">
      <c r="A538" s="41"/>
      <c r="B538" s="20" t="s">
        <v>52</v>
      </c>
      <c r="C538" s="42">
        <v>2025</v>
      </c>
      <c r="D538" s="19" t="s">
        <v>203</v>
      </c>
      <c r="E538" s="3" t="s">
        <v>588</v>
      </c>
      <c r="F538" s="1">
        <v>0</v>
      </c>
      <c r="G538" s="32">
        <v>0</v>
      </c>
      <c r="H538" s="33">
        <f t="shared" si="132"/>
        <v>0</v>
      </c>
      <c r="I538" s="34"/>
      <c r="J538" s="35">
        <v>0</v>
      </c>
      <c r="K538" s="36">
        <v>0</v>
      </c>
      <c r="L538" s="35">
        <v>0</v>
      </c>
      <c r="M538" s="35">
        <v>0</v>
      </c>
      <c r="N538" s="35">
        <v>0</v>
      </c>
      <c r="O538" s="35">
        <v>-150000</v>
      </c>
      <c r="P538" s="35">
        <v>0</v>
      </c>
      <c r="R538" s="37">
        <f t="shared" si="134"/>
        <v>150000</v>
      </c>
      <c r="X538" s="28"/>
      <c r="Y538" s="28"/>
    </row>
    <row r="539" spans="1:25" s="4" customFormat="1">
      <c r="A539" s="41"/>
      <c r="B539" s="20" t="s">
        <v>52</v>
      </c>
      <c r="C539" s="42">
        <v>2025</v>
      </c>
      <c r="D539" s="19" t="s">
        <v>203</v>
      </c>
      <c r="E539" s="3" t="s">
        <v>589</v>
      </c>
      <c r="F539" s="1">
        <v>0</v>
      </c>
      <c r="G539" s="32">
        <v>0</v>
      </c>
      <c r="H539" s="33">
        <f t="shared" si="132"/>
        <v>0</v>
      </c>
      <c r="I539" s="34"/>
      <c r="J539" s="35">
        <v>0</v>
      </c>
      <c r="K539" s="36">
        <v>0</v>
      </c>
      <c r="L539" s="35">
        <v>0</v>
      </c>
      <c r="M539" s="35">
        <v>0</v>
      </c>
      <c r="N539" s="35">
        <v>0</v>
      </c>
      <c r="O539" s="35">
        <v>-38500</v>
      </c>
      <c r="P539" s="35">
        <v>0</v>
      </c>
      <c r="R539" s="37">
        <f t="shared" si="134"/>
        <v>38500</v>
      </c>
      <c r="X539" s="28"/>
      <c r="Y539" s="28"/>
    </row>
    <row r="540" spans="1:25" s="4" customFormat="1">
      <c r="A540" s="41"/>
      <c r="B540" s="20" t="s">
        <v>52</v>
      </c>
      <c r="C540" s="42">
        <v>2025</v>
      </c>
      <c r="D540" s="19" t="s">
        <v>203</v>
      </c>
      <c r="E540" s="3" t="s">
        <v>590</v>
      </c>
      <c r="F540" s="1">
        <v>0</v>
      </c>
      <c r="G540" s="32">
        <v>0</v>
      </c>
      <c r="H540" s="33">
        <f t="shared" si="132"/>
        <v>0</v>
      </c>
      <c r="I540" s="34"/>
      <c r="J540" s="35">
        <v>0</v>
      </c>
      <c r="K540" s="36">
        <v>0</v>
      </c>
      <c r="L540" s="35">
        <v>0</v>
      </c>
      <c r="M540" s="35">
        <v>0</v>
      </c>
      <c r="N540" s="35">
        <v>0</v>
      </c>
      <c r="O540" s="35">
        <v>-1200000</v>
      </c>
      <c r="P540" s="35">
        <v>0</v>
      </c>
      <c r="R540" s="37">
        <f t="shared" si="134"/>
        <v>1200000</v>
      </c>
      <c r="X540" s="28"/>
      <c r="Y540" s="28"/>
    </row>
    <row r="541" spans="1:25" s="4" customFormat="1">
      <c r="A541" s="41"/>
      <c r="B541" s="20" t="s">
        <v>52</v>
      </c>
      <c r="C541" s="42">
        <v>2025</v>
      </c>
      <c r="D541" s="19" t="s">
        <v>203</v>
      </c>
      <c r="E541" s="3" t="s">
        <v>591</v>
      </c>
      <c r="F541" s="1">
        <v>0</v>
      </c>
      <c r="G541" s="32">
        <v>0</v>
      </c>
      <c r="H541" s="33">
        <f t="shared" si="132"/>
        <v>0</v>
      </c>
      <c r="I541" s="34"/>
      <c r="J541" s="35">
        <v>0</v>
      </c>
      <c r="K541" s="36">
        <v>0</v>
      </c>
      <c r="L541" s="35">
        <v>0</v>
      </c>
      <c r="M541" s="35">
        <v>0</v>
      </c>
      <c r="N541" s="35">
        <v>0</v>
      </c>
      <c r="O541" s="35">
        <v>-693000</v>
      </c>
      <c r="P541" s="35">
        <v>0</v>
      </c>
      <c r="R541" s="37">
        <f t="shared" si="134"/>
        <v>693000</v>
      </c>
      <c r="X541" s="28"/>
      <c r="Y541" s="28"/>
    </row>
    <row r="542" spans="1:25" s="4" customFormat="1">
      <c r="A542" s="41"/>
      <c r="B542" s="20" t="s">
        <v>52</v>
      </c>
      <c r="C542" s="42">
        <v>2025</v>
      </c>
      <c r="D542" s="19" t="s">
        <v>203</v>
      </c>
      <c r="E542" s="3" t="s">
        <v>592</v>
      </c>
      <c r="F542" s="1">
        <v>0</v>
      </c>
      <c r="G542" s="32">
        <v>0</v>
      </c>
      <c r="H542" s="33">
        <f t="shared" si="132"/>
        <v>0</v>
      </c>
      <c r="I542" s="34"/>
      <c r="J542" s="35">
        <v>0</v>
      </c>
      <c r="K542" s="36">
        <v>0</v>
      </c>
      <c r="L542" s="35">
        <v>0</v>
      </c>
      <c r="M542" s="35">
        <v>0</v>
      </c>
      <c r="N542" s="35">
        <v>0</v>
      </c>
      <c r="O542" s="35">
        <v>-360000</v>
      </c>
      <c r="P542" s="35">
        <v>0</v>
      </c>
      <c r="R542" s="37">
        <f t="shared" si="134"/>
        <v>360000</v>
      </c>
      <c r="X542" s="28"/>
      <c r="Y542" s="28"/>
    </row>
    <row r="543" spans="1:25" s="4" customFormat="1">
      <c r="A543" s="41"/>
      <c r="B543" s="20" t="s">
        <v>52</v>
      </c>
      <c r="C543" s="42">
        <v>2025</v>
      </c>
      <c r="D543" s="19" t="s">
        <v>203</v>
      </c>
      <c r="E543" s="3" t="s">
        <v>593</v>
      </c>
      <c r="F543" s="1">
        <v>0</v>
      </c>
      <c r="G543" s="32">
        <v>0</v>
      </c>
      <c r="H543" s="33">
        <f t="shared" si="132"/>
        <v>0</v>
      </c>
      <c r="I543" s="34"/>
      <c r="J543" s="35">
        <v>0</v>
      </c>
      <c r="K543" s="36">
        <v>0</v>
      </c>
      <c r="L543" s="35">
        <v>0</v>
      </c>
      <c r="M543" s="35">
        <v>0</v>
      </c>
      <c r="N543" s="35">
        <v>0</v>
      </c>
      <c r="O543" s="35">
        <v>-336000</v>
      </c>
      <c r="P543" s="35">
        <v>0</v>
      </c>
      <c r="R543" s="37">
        <f t="shared" si="134"/>
        <v>336000</v>
      </c>
      <c r="X543" s="28"/>
      <c r="Y543" s="28"/>
    </row>
    <row r="544" spans="1:25" s="4" customFormat="1">
      <c r="A544" s="41"/>
      <c r="B544" s="20" t="s">
        <v>52</v>
      </c>
      <c r="C544" s="42">
        <v>2025</v>
      </c>
      <c r="D544" s="19" t="s">
        <v>203</v>
      </c>
      <c r="E544" s="3" t="s">
        <v>594</v>
      </c>
      <c r="F544" s="1">
        <v>0</v>
      </c>
      <c r="G544" s="32">
        <v>0</v>
      </c>
      <c r="H544" s="33">
        <f t="shared" si="132"/>
        <v>0</v>
      </c>
      <c r="I544" s="34"/>
      <c r="J544" s="35">
        <v>0</v>
      </c>
      <c r="K544" s="36">
        <v>0</v>
      </c>
      <c r="L544" s="35">
        <v>0</v>
      </c>
      <c r="M544" s="35">
        <v>0</v>
      </c>
      <c r="N544" s="35">
        <v>0</v>
      </c>
      <c r="O544" s="35">
        <v>-1000</v>
      </c>
      <c r="P544" s="35">
        <v>0</v>
      </c>
      <c r="R544" s="37">
        <f t="shared" si="134"/>
        <v>1000</v>
      </c>
      <c r="X544" s="28"/>
      <c r="Y544" s="28"/>
    </row>
    <row r="545" spans="1:25" s="4" customFormat="1">
      <c r="A545" s="41"/>
      <c r="B545" s="20" t="s">
        <v>52</v>
      </c>
      <c r="C545" s="42">
        <v>2025</v>
      </c>
      <c r="D545" s="19" t="s">
        <v>203</v>
      </c>
      <c r="E545" s="3" t="s">
        <v>595</v>
      </c>
      <c r="F545" s="1">
        <v>0</v>
      </c>
      <c r="G545" s="32">
        <v>0</v>
      </c>
      <c r="H545" s="33">
        <f t="shared" si="132"/>
        <v>0</v>
      </c>
      <c r="I545" s="34"/>
      <c r="J545" s="35">
        <v>0</v>
      </c>
      <c r="K545" s="36">
        <v>0</v>
      </c>
      <c r="L545" s="35">
        <v>0</v>
      </c>
      <c r="M545" s="35">
        <v>0</v>
      </c>
      <c r="N545" s="35">
        <v>0</v>
      </c>
      <c r="O545" s="35">
        <v>-1450000</v>
      </c>
      <c r="P545" s="35">
        <v>0</v>
      </c>
      <c r="R545" s="37">
        <f t="shared" si="134"/>
        <v>1450000</v>
      </c>
      <c r="X545" s="28"/>
      <c r="Y545" s="28"/>
    </row>
    <row r="546" spans="1:25" s="4" customFormat="1">
      <c r="A546" s="41"/>
      <c r="B546" s="20" t="s">
        <v>52</v>
      </c>
      <c r="C546" s="42">
        <v>2025</v>
      </c>
      <c r="D546" s="19" t="s">
        <v>203</v>
      </c>
      <c r="E546" s="3" t="s">
        <v>596</v>
      </c>
      <c r="F546" s="1">
        <v>0</v>
      </c>
      <c r="G546" s="32">
        <v>0</v>
      </c>
      <c r="H546" s="33">
        <f t="shared" si="132"/>
        <v>0</v>
      </c>
      <c r="I546" s="34"/>
      <c r="J546" s="35">
        <v>0</v>
      </c>
      <c r="K546" s="36">
        <v>0</v>
      </c>
      <c r="L546" s="35">
        <v>0</v>
      </c>
      <c r="M546" s="35">
        <v>0</v>
      </c>
      <c r="N546" s="35">
        <v>0</v>
      </c>
      <c r="O546" s="35">
        <v>-2500</v>
      </c>
      <c r="P546" s="35">
        <v>0</v>
      </c>
      <c r="R546" s="37">
        <f t="shared" si="134"/>
        <v>2500</v>
      </c>
      <c r="X546" s="28"/>
      <c r="Y546" s="28"/>
    </row>
    <row r="547" spans="1:25" s="4" customFormat="1">
      <c r="A547" s="41"/>
      <c r="B547" s="20" t="s">
        <v>52</v>
      </c>
      <c r="C547" s="42">
        <v>2025</v>
      </c>
      <c r="D547" s="19" t="s">
        <v>203</v>
      </c>
      <c r="E547" s="3" t="s">
        <v>597</v>
      </c>
      <c r="F547" s="1">
        <v>0</v>
      </c>
      <c r="G547" s="32">
        <v>0</v>
      </c>
      <c r="H547" s="33">
        <f t="shared" si="132"/>
        <v>0</v>
      </c>
      <c r="I547" s="34"/>
      <c r="J547" s="35">
        <v>0</v>
      </c>
      <c r="K547" s="36">
        <v>0</v>
      </c>
      <c r="L547" s="35">
        <v>0</v>
      </c>
      <c r="M547" s="35">
        <v>0</v>
      </c>
      <c r="N547" s="35">
        <v>0</v>
      </c>
      <c r="O547" s="35">
        <v>-360000</v>
      </c>
      <c r="P547" s="35">
        <v>0</v>
      </c>
      <c r="R547" s="37">
        <f t="shared" si="134"/>
        <v>360000</v>
      </c>
      <c r="X547" s="28"/>
      <c r="Y547" s="28"/>
    </row>
    <row r="548" spans="1:25" s="4" customFormat="1">
      <c r="A548" s="41"/>
      <c r="B548" s="20" t="s">
        <v>52</v>
      </c>
      <c r="C548" s="42">
        <v>2025</v>
      </c>
      <c r="D548" s="19" t="s">
        <v>203</v>
      </c>
      <c r="E548" s="3" t="s">
        <v>598</v>
      </c>
      <c r="F548" s="1">
        <v>0</v>
      </c>
      <c r="G548" s="32">
        <v>0</v>
      </c>
      <c r="H548" s="33">
        <f t="shared" si="132"/>
        <v>0</v>
      </c>
      <c r="I548" s="34"/>
      <c r="J548" s="35">
        <v>0</v>
      </c>
      <c r="K548" s="36">
        <v>0</v>
      </c>
      <c r="L548" s="35">
        <v>0</v>
      </c>
      <c r="M548" s="35">
        <v>0</v>
      </c>
      <c r="N548" s="35">
        <v>0</v>
      </c>
      <c r="O548" s="35">
        <v>-100000</v>
      </c>
      <c r="P548" s="35">
        <v>0</v>
      </c>
      <c r="R548" s="37">
        <f t="shared" si="134"/>
        <v>100000</v>
      </c>
      <c r="X548" s="28"/>
      <c r="Y548" s="28"/>
    </row>
    <row r="549" spans="1:25" s="4" customFormat="1">
      <c r="A549" s="41"/>
      <c r="B549" s="20" t="s">
        <v>52</v>
      </c>
      <c r="C549" s="42">
        <v>2025</v>
      </c>
      <c r="D549" s="19" t="s">
        <v>203</v>
      </c>
      <c r="E549" s="3" t="s">
        <v>599</v>
      </c>
      <c r="F549" s="1">
        <v>0</v>
      </c>
      <c r="G549" s="32">
        <v>0</v>
      </c>
      <c r="H549" s="33">
        <f t="shared" si="132"/>
        <v>0</v>
      </c>
      <c r="I549" s="34"/>
      <c r="J549" s="35">
        <v>0</v>
      </c>
      <c r="K549" s="36">
        <v>0</v>
      </c>
      <c r="L549" s="35">
        <v>0</v>
      </c>
      <c r="M549" s="35">
        <v>0</v>
      </c>
      <c r="N549" s="35">
        <v>0</v>
      </c>
      <c r="O549" s="35">
        <v>-4900000</v>
      </c>
      <c r="P549" s="35">
        <v>0</v>
      </c>
      <c r="R549" s="37">
        <f t="shared" si="134"/>
        <v>4900000</v>
      </c>
      <c r="X549" s="28"/>
      <c r="Y549" s="28"/>
    </row>
    <row r="550" spans="1:25" s="4" customFormat="1">
      <c r="A550" s="41"/>
      <c r="B550" s="20" t="s">
        <v>52</v>
      </c>
      <c r="C550" s="42">
        <v>2025</v>
      </c>
      <c r="D550" s="19" t="s">
        <v>203</v>
      </c>
      <c r="E550" s="3" t="s">
        <v>600</v>
      </c>
      <c r="F550" s="1">
        <v>0</v>
      </c>
      <c r="G550" s="32">
        <v>0</v>
      </c>
      <c r="H550" s="33">
        <f t="shared" si="132"/>
        <v>0</v>
      </c>
      <c r="I550" s="34"/>
      <c r="J550" s="35">
        <v>0</v>
      </c>
      <c r="K550" s="36">
        <v>0</v>
      </c>
      <c r="L550" s="35">
        <v>0</v>
      </c>
      <c r="M550" s="35">
        <v>0</v>
      </c>
      <c r="N550" s="35">
        <v>0</v>
      </c>
      <c r="O550" s="35">
        <v>-525000</v>
      </c>
      <c r="P550" s="35">
        <v>0</v>
      </c>
      <c r="R550" s="37">
        <f t="shared" si="134"/>
        <v>525000</v>
      </c>
      <c r="X550" s="28"/>
      <c r="Y550" s="28"/>
    </row>
    <row r="551" spans="1:25" s="4" customFormat="1">
      <c r="A551" s="41"/>
      <c r="B551" s="20" t="s">
        <v>52</v>
      </c>
      <c r="C551" s="42">
        <v>2025</v>
      </c>
      <c r="D551" s="19" t="s">
        <v>203</v>
      </c>
      <c r="E551" s="3" t="s">
        <v>601</v>
      </c>
      <c r="F551" s="1">
        <v>0</v>
      </c>
      <c r="G551" s="32">
        <v>0</v>
      </c>
      <c r="H551" s="33">
        <f t="shared" si="132"/>
        <v>0</v>
      </c>
      <c r="I551" s="34"/>
      <c r="J551" s="35">
        <v>0</v>
      </c>
      <c r="K551" s="36">
        <v>0</v>
      </c>
      <c r="L551" s="35">
        <v>0</v>
      </c>
      <c r="M551" s="35">
        <v>0</v>
      </c>
      <c r="N551" s="35">
        <v>0</v>
      </c>
      <c r="O551" s="35">
        <v>-45500</v>
      </c>
      <c r="P551" s="35">
        <v>0</v>
      </c>
      <c r="R551" s="37">
        <f t="shared" si="134"/>
        <v>45500</v>
      </c>
      <c r="X551" s="28"/>
      <c r="Y551" s="28"/>
    </row>
    <row r="552" spans="1:25" s="4" customFormat="1">
      <c r="A552" s="41"/>
      <c r="B552" s="20" t="s">
        <v>52</v>
      </c>
      <c r="C552" s="42">
        <v>2025</v>
      </c>
      <c r="D552" s="19" t="s">
        <v>203</v>
      </c>
      <c r="E552" s="3" t="s">
        <v>602</v>
      </c>
      <c r="F552" s="1">
        <v>0</v>
      </c>
      <c r="G552" s="32">
        <v>0</v>
      </c>
      <c r="H552" s="33">
        <f t="shared" si="132"/>
        <v>0</v>
      </c>
      <c r="I552" s="34"/>
      <c r="J552" s="35">
        <v>0</v>
      </c>
      <c r="K552" s="36">
        <v>0</v>
      </c>
      <c r="L552" s="35">
        <v>0</v>
      </c>
      <c r="M552" s="35">
        <v>0</v>
      </c>
      <c r="N552" s="35">
        <v>0</v>
      </c>
      <c r="O552" s="35">
        <v>-19500</v>
      </c>
      <c r="P552" s="35">
        <v>0</v>
      </c>
      <c r="R552" s="37">
        <f t="shared" si="134"/>
        <v>19500</v>
      </c>
      <c r="X552" s="28"/>
      <c r="Y552" s="28"/>
    </row>
    <row r="553" spans="1:25" s="4" customFormat="1">
      <c r="A553" s="41"/>
      <c r="B553" s="20" t="s">
        <v>52</v>
      </c>
      <c r="C553" s="42">
        <v>2025</v>
      </c>
      <c r="D553" s="19" t="s">
        <v>203</v>
      </c>
      <c r="E553" s="3" t="s">
        <v>603</v>
      </c>
      <c r="F553" s="1">
        <v>0</v>
      </c>
      <c r="G553" s="32">
        <v>0</v>
      </c>
      <c r="H553" s="33">
        <f t="shared" si="132"/>
        <v>0</v>
      </c>
      <c r="I553" s="34"/>
      <c r="J553" s="35">
        <v>0</v>
      </c>
      <c r="K553" s="36">
        <v>0</v>
      </c>
      <c r="L553" s="35">
        <v>0</v>
      </c>
      <c r="M553" s="35">
        <v>0</v>
      </c>
      <c r="N553" s="35">
        <v>0</v>
      </c>
      <c r="O553" s="35">
        <v>-222709</v>
      </c>
      <c r="P553" s="35">
        <v>0</v>
      </c>
      <c r="R553" s="37">
        <f t="shared" si="134"/>
        <v>222709</v>
      </c>
      <c r="X553" s="28"/>
      <c r="Y553" s="28"/>
    </row>
    <row r="554" spans="1:25" s="4" customFormat="1">
      <c r="A554" s="41"/>
      <c r="B554" s="20" t="s">
        <v>52</v>
      </c>
      <c r="C554" s="42">
        <v>2025</v>
      </c>
      <c r="D554" s="19" t="s">
        <v>203</v>
      </c>
      <c r="E554" s="3" t="s">
        <v>604</v>
      </c>
      <c r="F554" s="1">
        <v>0</v>
      </c>
      <c r="G554" s="32">
        <v>0</v>
      </c>
      <c r="H554" s="33">
        <f t="shared" si="132"/>
        <v>0</v>
      </c>
      <c r="I554" s="34"/>
      <c r="J554" s="35">
        <v>0</v>
      </c>
      <c r="K554" s="36">
        <v>0</v>
      </c>
      <c r="L554" s="35">
        <v>0</v>
      </c>
      <c r="M554" s="35">
        <v>0</v>
      </c>
      <c r="N554" s="35">
        <v>0</v>
      </c>
      <c r="O554" s="35">
        <v>-240000</v>
      </c>
      <c r="P554" s="35">
        <v>0</v>
      </c>
      <c r="R554" s="37">
        <f t="shared" si="134"/>
        <v>240000</v>
      </c>
      <c r="X554" s="28"/>
      <c r="Y554" s="28"/>
    </row>
    <row r="555" spans="1:25" s="4" customFormat="1">
      <c r="A555" s="41"/>
      <c r="B555" s="20" t="s">
        <v>52</v>
      </c>
      <c r="C555" s="42">
        <v>2025</v>
      </c>
      <c r="D555" s="19" t="s">
        <v>203</v>
      </c>
      <c r="E555" s="3" t="s">
        <v>605</v>
      </c>
      <c r="F555" s="1">
        <v>0</v>
      </c>
      <c r="G555" s="32">
        <v>0</v>
      </c>
      <c r="H555" s="33">
        <f t="shared" si="132"/>
        <v>0</v>
      </c>
      <c r="I555" s="34"/>
      <c r="J555" s="35">
        <v>0</v>
      </c>
      <c r="K555" s="36">
        <v>0</v>
      </c>
      <c r="L555" s="35">
        <v>0</v>
      </c>
      <c r="M555" s="35">
        <v>0</v>
      </c>
      <c r="N555" s="35">
        <v>0</v>
      </c>
      <c r="O555" s="35">
        <v>-473000</v>
      </c>
      <c r="P555" s="35">
        <v>0</v>
      </c>
      <c r="R555" s="37">
        <f t="shared" si="134"/>
        <v>473000</v>
      </c>
      <c r="X555" s="28"/>
      <c r="Y555" s="28"/>
    </row>
    <row r="556" spans="1:25" s="4" customFormat="1">
      <c r="A556" s="41"/>
      <c r="B556" s="20" t="s">
        <v>52</v>
      </c>
      <c r="C556" s="42">
        <v>2025</v>
      </c>
      <c r="D556" s="19" t="s">
        <v>203</v>
      </c>
      <c r="E556" s="3" t="s">
        <v>606</v>
      </c>
      <c r="F556" s="1">
        <v>0</v>
      </c>
      <c r="G556" s="32">
        <v>0</v>
      </c>
      <c r="H556" s="33">
        <f t="shared" si="132"/>
        <v>0</v>
      </c>
      <c r="I556" s="34"/>
      <c r="J556" s="35">
        <v>0</v>
      </c>
      <c r="K556" s="36">
        <v>0</v>
      </c>
      <c r="L556" s="35">
        <v>0</v>
      </c>
      <c r="M556" s="35">
        <v>0</v>
      </c>
      <c r="N556" s="35">
        <v>0</v>
      </c>
      <c r="O556" s="35">
        <v>-286000</v>
      </c>
      <c r="P556" s="35">
        <v>0</v>
      </c>
      <c r="R556" s="37">
        <f t="shared" si="134"/>
        <v>286000</v>
      </c>
      <c r="X556" s="28"/>
      <c r="Y556" s="28"/>
    </row>
    <row r="557" spans="1:25" s="4" customFormat="1">
      <c r="A557" s="41"/>
      <c r="B557" s="20" t="s">
        <v>52</v>
      </c>
      <c r="C557" s="42">
        <v>2025</v>
      </c>
      <c r="D557" s="19" t="s">
        <v>203</v>
      </c>
      <c r="E557" s="3" t="s">
        <v>596</v>
      </c>
      <c r="F557" s="1">
        <v>0</v>
      </c>
      <c r="G557" s="32">
        <v>0</v>
      </c>
      <c r="H557" s="33">
        <f t="shared" si="132"/>
        <v>0</v>
      </c>
      <c r="I557" s="34"/>
      <c r="J557" s="35">
        <v>0</v>
      </c>
      <c r="K557" s="36">
        <v>0</v>
      </c>
      <c r="L557" s="35">
        <v>0</v>
      </c>
      <c r="M557" s="35">
        <v>0</v>
      </c>
      <c r="N557" s="35">
        <v>0</v>
      </c>
      <c r="O557" s="35">
        <v>-2500</v>
      </c>
      <c r="P557" s="35">
        <v>0</v>
      </c>
      <c r="R557" s="37">
        <f t="shared" si="134"/>
        <v>2500</v>
      </c>
      <c r="X557" s="28"/>
      <c r="Y557" s="28"/>
    </row>
    <row r="558" spans="1:25" s="4" customFormat="1">
      <c r="A558" s="41"/>
      <c r="B558" s="20" t="s">
        <v>52</v>
      </c>
      <c r="C558" s="42">
        <v>2025</v>
      </c>
      <c r="D558" s="19" t="s">
        <v>203</v>
      </c>
      <c r="E558" s="3" t="s">
        <v>607</v>
      </c>
      <c r="F558" s="1">
        <v>0</v>
      </c>
      <c r="G558" s="32">
        <v>0</v>
      </c>
      <c r="H558" s="33">
        <f t="shared" si="132"/>
        <v>0</v>
      </c>
      <c r="I558" s="34"/>
      <c r="J558" s="35">
        <v>0</v>
      </c>
      <c r="K558" s="36">
        <v>0</v>
      </c>
      <c r="L558" s="35">
        <v>0</v>
      </c>
      <c r="M558" s="35">
        <v>0</v>
      </c>
      <c r="N558" s="35">
        <v>0</v>
      </c>
      <c r="O558" s="35">
        <v>-300000</v>
      </c>
      <c r="P558" s="35">
        <v>0</v>
      </c>
      <c r="R558" s="37">
        <f t="shared" si="134"/>
        <v>300000</v>
      </c>
      <c r="X558" s="28"/>
      <c r="Y558" s="28"/>
    </row>
    <row r="559" spans="1:25" s="4" customFormat="1">
      <c r="A559" s="41"/>
      <c r="B559" s="20" t="s">
        <v>52</v>
      </c>
      <c r="C559" s="42">
        <v>2025</v>
      </c>
      <c r="D559" s="19" t="s">
        <v>203</v>
      </c>
      <c r="E559" s="3" t="s">
        <v>608</v>
      </c>
      <c r="F559" s="1">
        <v>0</v>
      </c>
      <c r="G559" s="32">
        <v>0</v>
      </c>
      <c r="H559" s="33">
        <f t="shared" si="132"/>
        <v>0</v>
      </c>
      <c r="I559" s="34"/>
      <c r="J559" s="35">
        <v>0</v>
      </c>
      <c r="K559" s="36">
        <v>0</v>
      </c>
      <c r="L559" s="35">
        <v>0</v>
      </c>
      <c r="M559" s="35">
        <v>0</v>
      </c>
      <c r="N559" s="35">
        <v>0</v>
      </c>
      <c r="O559" s="35">
        <v>-10000000</v>
      </c>
      <c r="P559" s="35">
        <v>0</v>
      </c>
      <c r="R559" s="37">
        <f t="shared" si="134"/>
        <v>10000000</v>
      </c>
      <c r="X559" s="28"/>
      <c r="Y559" s="28"/>
    </row>
    <row r="560" spans="1:25" s="4" customFormat="1">
      <c r="A560" s="41"/>
      <c r="B560" s="20" t="s">
        <v>52</v>
      </c>
      <c r="C560" s="42">
        <v>2025</v>
      </c>
      <c r="D560" s="19" t="s">
        <v>203</v>
      </c>
      <c r="E560" s="3" t="s">
        <v>596</v>
      </c>
      <c r="F560" s="1">
        <v>0</v>
      </c>
      <c r="G560" s="32">
        <v>0</v>
      </c>
      <c r="H560" s="33">
        <f t="shared" si="132"/>
        <v>0</v>
      </c>
      <c r="I560" s="34"/>
      <c r="J560" s="35">
        <v>0</v>
      </c>
      <c r="K560" s="36">
        <v>0</v>
      </c>
      <c r="L560" s="35">
        <v>0</v>
      </c>
      <c r="M560" s="35">
        <v>0</v>
      </c>
      <c r="N560" s="35">
        <v>0</v>
      </c>
      <c r="O560" s="35">
        <v>-2500</v>
      </c>
      <c r="P560" s="35">
        <v>0</v>
      </c>
      <c r="R560" s="37">
        <f t="shared" si="134"/>
        <v>2500</v>
      </c>
      <c r="X560" s="28"/>
      <c r="Y560" s="28"/>
    </row>
    <row r="561" spans="1:25" s="4" customFormat="1">
      <c r="A561" s="41"/>
      <c r="B561" s="20" t="s">
        <v>52</v>
      </c>
      <c r="C561" s="42">
        <v>2025</v>
      </c>
      <c r="D561" s="19" t="s">
        <v>203</v>
      </c>
      <c r="E561" s="3" t="s">
        <v>609</v>
      </c>
      <c r="F561" s="1">
        <v>0</v>
      </c>
      <c r="G561" s="32">
        <v>0</v>
      </c>
      <c r="H561" s="33">
        <f t="shared" si="132"/>
        <v>0</v>
      </c>
      <c r="I561" s="34"/>
      <c r="J561" s="35">
        <v>0</v>
      </c>
      <c r="K561" s="36">
        <v>0</v>
      </c>
      <c r="L561" s="35">
        <v>0</v>
      </c>
      <c r="M561" s="35">
        <v>0</v>
      </c>
      <c r="N561" s="35">
        <v>0</v>
      </c>
      <c r="O561" s="35">
        <v>-228000</v>
      </c>
      <c r="P561" s="35">
        <v>0</v>
      </c>
      <c r="R561" s="37">
        <f t="shared" si="134"/>
        <v>228000</v>
      </c>
      <c r="X561" s="28"/>
      <c r="Y561" s="28"/>
    </row>
    <row r="562" spans="1:25" s="4" customFormat="1">
      <c r="A562" s="41"/>
      <c r="B562" s="20" t="s">
        <v>52</v>
      </c>
      <c r="C562" s="42">
        <v>2025</v>
      </c>
      <c r="D562" s="19" t="s">
        <v>203</v>
      </c>
      <c r="E562" s="3" t="s">
        <v>596</v>
      </c>
      <c r="F562" s="1">
        <v>0</v>
      </c>
      <c r="G562" s="32">
        <v>0</v>
      </c>
      <c r="H562" s="33">
        <f t="shared" si="132"/>
        <v>0</v>
      </c>
      <c r="I562" s="34"/>
      <c r="J562" s="35">
        <v>0</v>
      </c>
      <c r="K562" s="36">
        <v>0</v>
      </c>
      <c r="L562" s="35">
        <v>0</v>
      </c>
      <c r="M562" s="35">
        <v>0</v>
      </c>
      <c r="N562" s="35">
        <v>0</v>
      </c>
      <c r="O562" s="35">
        <v>-2500</v>
      </c>
      <c r="P562" s="35">
        <v>0</v>
      </c>
      <c r="R562" s="37">
        <f t="shared" si="134"/>
        <v>2500</v>
      </c>
      <c r="X562" s="28"/>
      <c r="Y562" s="28"/>
    </row>
    <row r="563" spans="1:25" s="4" customFormat="1">
      <c r="A563" s="41"/>
      <c r="B563" s="20" t="s">
        <v>52</v>
      </c>
      <c r="C563" s="42">
        <v>2025</v>
      </c>
      <c r="D563" s="19" t="s">
        <v>203</v>
      </c>
      <c r="E563" s="3" t="s">
        <v>610</v>
      </c>
      <c r="F563" s="1">
        <v>0</v>
      </c>
      <c r="G563" s="32">
        <v>0</v>
      </c>
      <c r="H563" s="33">
        <f t="shared" si="132"/>
        <v>0</v>
      </c>
      <c r="I563" s="34"/>
      <c r="J563" s="35">
        <v>0</v>
      </c>
      <c r="K563" s="36">
        <v>0</v>
      </c>
      <c r="L563" s="35">
        <v>0</v>
      </c>
      <c r="M563" s="35">
        <v>0</v>
      </c>
      <c r="N563" s="35">
        <v>0</v>
      </c>
      <c r="O563" s="35">
        <v>-21000</v>
      </c>
      <c r="P563" s="35">
        <v>0</v>
      </c>
      <c r="R563" s="37">
        <f t="shared" si="134"/>
        <v>21000</v>
      </c>
      <c r="X563" s="28"/>
      <c r="Y563" s="28"/>
    </row>
    <row r="564" spans="1:25" s="4" customFormat="1">
      <c r="A564" s="41"/>
      <c r="B564" s="20" t="s">
        <v>52</v>
      </c>
      <c r="C564" s="42">
        <v>2025</v>
      </c>
      <c r="D564" s="19" t="s">
        <v>203</v>
      </c>
      <c r="E564" s="3" t="s">
        <v>611</v>
      </c>
      <c r="F564" s="1">
        <v>0</v>
      </c>
      <c r="G564" s="32">
        <v>0</v>
      </c>
      <c r="H564" s="33">
        <f t="shared" si="132"/>
        <v>0</v>
      </c>
      <c r="I564" s="34"/>
      <c r="J564" s="35">
        <v>0</v>
      </c>
      <c r="K564" s="36">
        <v>0</v>
      </c>
      <c r="L564" s="35">
        <v>0</v>
      </c>
      <c r="M564" s="35">
        <v>0</v>
      </c>
      <c r="N564" s="35">
        <v>0</v>
      </c>
      <c r="O564" s="35">
        <v>-140000</v>
      </c>
      <c r="P564" s="35">
        <v>0</v>
      </c>
      <c r="R564" s="37">
        <f t="shared" si="134"/>
        <v>140000</v>
      </c>
      <c r="X564" s="28"/>
      <c r="Y564" s="28"/>
    </row>
    <row r="565" spans="1:25" s="4" customFormat="1">
      <c r="A565" s="41"/>
      <c r="B565" s="20" t="s">
        <v>52</v>
      </c>
      <c r="C565" s="42">
        <v>2025</v>
      </c>
      <c r="D565" s="19" t="s">
        <v>203</v>
      </c>
      <c r="E565" s="3" t="s">
        <v>612</v>
      </c>
      <c r="F565" s="1">
        <v>0</v>
      </c>
      <c r="G565" s="32">
        <v>0</v>
      </c>
      <c r="H565" s="33">
        <f t="shared" si="132"/>
        <v>0</v>
      </c>
      <c r="I565" s="34"/>
      <c r="J565" s="35">
        <v>0</v>
      </c>
      <c r="K565" s="36">
        <v>0</v>
      </c>
      <c r="L565" s="35">
        <v>0</v>
      </c>
      <c r="M565" s="35">
        <v>0</v>
      </c>
      <c r="N565" s="35">
        <v>0</v>
      </c>
      <c r="O565" s="35">
        <v>-4500000</v>
      </c>
      <c r="P565" s="35">
        <v>0</v>
      </c>
      <c r="R565" s="37">
        <f t="shared" si="134"/>
        <v>4500000</v>
      </c>
      <c r="X565" s="28"/>
      <c r="Y565" s="28"/>
    </row>
    <row r="566" spans="1:25" s="4" customFormat="1">
      <c r="A566" s="41"/>
      <c r="B566" s="20" t="s">
        <v>52</v>
      </c>
      <c r="C566" s="42">
        <v>2025</v>
      </c>
      <c r="D566" s="19" t="s">
        <v>203</v>
      </c>
      <c r="E566" s="3" t="s">
        <v>613</v>
      </c>
      <c r="F566" s="1">
        <v>0</v>
      </c>
      <c r="G566" s="32">
        <v>0</v>
      </c>
      <c r="H566" s="33">
        <f t="shared" si="132"/>
        <v>0</v>
      </c>
      <c r="I566" s="34"/>
      <c r="J566" s="35">
        <v>0</v>
      </c>
      <c r="K566" s="36">
        <v>0</v>
      </c>
      <c r="L566" s="35">
        <v>0</v>
      </c>
      <c r="M566" s="35">
        <v>0</v>
      </c>
      <c r="N566" s="35">
        <v>0</v>
      </c>
      <c r="O566" s="35">
        <v>-1800000</v>
      </c>
      <c r="P566" s="35">
        <v>0</v>
      </c>
      <c r="R566" s="37">
        <f t="shared" si="134"/>
        <v>1800000</v>
      </c>
      <c r="X566" s="28"/>
      <c r="Y566" s="28"/>
    </row>
    <row r="567" spans="1:25" s="4" customFormat="1">
      <c r="A567" s="41"/>
      <c r="B567" s="20" t="s">
        <v>52</v>
      </c>
      <c r="C567" s="42">
        <v>2025</v>
      </c>
      <c r="D567" s="19" t="s">
        <v>203</v>
      </c>
      <c r="E567" s="3" t="s">
        <v>614</v>
      </c>
      <c r="F567" s="1">
        <v>0</v>
      </c>
      <c r="G567" s="32">
        <v>0</v>
      </c>
      <c r="H567" s="33">
        <f t="shared" si="132"/>
        <v>0</v>
      </c>
      <c r="I567" s="34"/>
      <c r="J567" s="35">
        <v>0</v>
      </c>
      <c r="K567" s="36">
        <v>0</v>
      </c>
      <c r="L567" s="35">
        <v>0</v>
      </c>
      <c r="M567" s="35">
        <v>0</v>
      </c>
      <c r="N567" s="35">
        <v>0</v>
      </c>
      <c r="O567" s="35">
        <v>-900000</v>
      </c>
      <c r="P567" s="35">
        <v>0</v>
      </c>
      <c r="R567" s="37">
        <f t="shared" si="134"/>
        <v>900000</v>
      </c>
      <c r="X567" s="28"/>
      <c r="Y567" s="28"/>
    </row>
    <row r="568" spans="1:25" s="4" customFormat="1">
      <c r="A568" s="41"/>
      <c r="B568" s="20" t="s">
        <v>52</v>
      </c>
      <c r="C568" s="42">
        <v>2025</v>
      </c>
      <c r="D568" s="19" t="s">
        <v>203</v>
      </c>
      <c r="E568" s="3" t="s">
        <v>615</v>
      </c>
      <c r="F568" s="1">
        <v>0</v>
      </c>
      <c r="G568" s="32">
        <v>0</v>
      </c>
      <c r="H568" s="33">
        <f t="shared" si="132"/>
        <v>0</v>
      </c>
      <c r="I568" s="34"/>
      <c r="J568" s="35">
        <v>0</v>
      </c>
      <c r="K568" s="36">
        <v>0</v>
      </c>
      <c r="L568" s="35">
        <v>0</v>
      </c>
      <c r="M568" s="35">
        <v>0</v>
      </c>
      <c r="N568" s="35">
        <v>0</v>
      </c>
      <c r="O568" s="35">
        <v>-2000000</v>
      </c>
      <c r="P568" s="35">
        <v>0</v>
      </c>
      <c r="R568" s="37">
        <f t="shared" si="134"/>
        <v>2000000</v>
      </c>
      <c r="X568" s="28"/>
      <c r="Y568" s="28"/>
    </row>
    <row r="569" spans="1:25" s="4" customFormat="1">
      <c r="A569" s="41"/>
      <c r="B569" s="20" t="s">
        <v>52</v>
      </c>
      <c r="C569" s="42">
        <v>2025</v>
      </c>
      <c r="D569" s="19" t="s">
        <v>203</v>
      </c>
      <c r="E569" s="3" t="s">
        <v>616</v>
      </c>
      <c r="F569" s="1">
        <v>0</v>
      </c>
      <c r="G569" s="32">
        <v>0</v>
      </c>
      <c r="H569" s="33">
        <f t="shared" si="132"/>
        <v>0</v>
      </c>
      <c r="I569" s="34"/>
      <c r="J569" s="35">
        <v>0</v>
      </c>
      <c r="K569" s="36">
        <v>0</v>
      </c>
      <c r="L569" s="35">
        <v>0</v>
      </c>
      <c r="M569" s="35">
        <v>0</v>
      </c>
      <c r="N569" s="35">
        <v>0</v>
      </c>
      <c r="O569" s="35">
        <v>-21000</v>
      </c>
      <c r="P569" s="35">
        <v>0</v>
      </c>
      <c r="R569" s="37">
        <f t="shared" si="134"/>
        <v>21000</v>
      </c>
      <c r="X569" s="28"/>
      <c r="Y569" s="28"/>
    </row>
    <row r="570" spans="1:25" s="4" customFormat="1">
      <c r="A570" s="41"/>
      <c r="B570" s="20" t="s">
        <v>52</v>
      </c>
      <c r="C570" s="42">
        <v>2025</v>
      </c>
      <c r="D570" s="19" t="s">
        <v>203</v>
      </c>
      <c r="E570" s="3" t="s">
        <v>617</v>
      </c>
      <c r="F570" s="1">
        <v>0</v>
      </c>
      <c r="G570" s="32">
        <v>0</v>
      </c>
      <c r="H570" s="33">
        <f t="shared" si="132"/>
        <v>0</v>
      </c>
      <c r="I570" s="34"/>
      <c r="J570" s="35">
        <v>0</v>
      </c>
      <c r="K570" s="36">
        <v>0</v>
      </c>
      <c r="L570" s="35">
        <v>0</v>
      </c>
      <c r="M570" s="35">
        <v>0</v>
      </c>
      <c r="N570" s="35">
        <v>0</v>
      </c>
      <c r="O570" s="35">
        <v>-1830000</v>
      </c>
      <c r="P570" s="35">
        <v>0</v>
      </c>
      <c r="R570" s="37">
        <f t="shared" si="134"/>
        <v>1830000</v>
      </c>
      <c r="X570" s="28"/>
      <c r="Y570" s="28"/>
    </row>
    <row r="571" spans="1:25" s="4" customFormat="1">
      <c r="A571" s="41"/>
      <c r="B571" s="20" t="s">
        <v>52</v>
      </c>
      <c r="C571" s="42">
        <v>2025</v>
      </c>
      <c r="D571" s="19" t="s">
        <v>203</v>
      </c>
      <c r="E571" s="3" t="s">
        <v>618</v>
      </c>
      <c r="F571" s="1">
        <v>0</v>
      </c>
      <c r="G571" s="32">
        <v>0</v>
      </c>
      <c r="H571" s="33">
        <f t="shared" si="132"/>
        <v>0</v>
      </c>
      <c r="I571" s="34"/>
      <c r="J571" s="35">
        <v>0</v>
      </c>
      <c r="K571" s="36">
        <v>0</v>
      </c>
      <c r="L571" s="35">
        <v>0</v>
      </c>
      <c r="M571" s="35">
        <v>0</v>
      </c>
      <c r="N571" s="35">
        <v>0</v>
      </c>
      <c r="O571" s="35">
        <v>-5000</v>
      </c>
      <c r="P571" s="35">
        <v>0</v>
      </c>
      <c r="R571" s="37">
        <f t="shared" si="134"/>
        <v>5000</v>
      </c>
      <c r="X571" s="28"/>
      <c r="Y571" s="28"/>
    </row>
    <row r="572" spans="1:25" s="4" customFormat="1">
      <c r="A572" s="41"/>
      <c r="B572" s="20" t="s">
        <v>52</v>
      </c>
      <c r="C572" s="42">
        <v>2025</v>
      </c>
      <c r="D572" s="19" t="s">
        <v>203</v>
      </c>
      <c r="E572" s="3" t="s">
        <v>619</v>
      </c>
      <c r="F572" s="1">
        <v>0</v>
      </c>
      <c r="G572" s="32">
        <v>0</v>
      </c>
      <c r="H572" s="33">
        <f t="shared" si="132"/>
        <v>0</v>
      </c>
      <c r="I572" s="34"/>
      <c r="J572" s="35">
        <v>0</v>
      </c>
      <c r="K572" s="36">
        <v>0</v>
      </c>
      <c r="L572" s="35">
        <v>0</v>
      </c>
      <c r="M572" s="35">
        <v>0</v>
      </c>
      <c r="N572" s="35">
        <v>0</v>
      </c>
      <c r="O572" s="35">
        <v>-980000</v>
      </c>
      <c r="P572" s="35">
        <v>0</v>
      </c>
      <c r="R572" s="37">
        <f t="shared" si="134"/>
        <v>980000</v>
      </c>
      <c r="X572" s="28"/>
      <c r="Y572" s="28"/>
    </row>
    <row r="573" spans="1:25" s="4" customFormat="1">
      <c r="A573" s="41"/>
      <c r="B573" s="20" t="s">
        <v>52</v>
      </c>
      <c r="C573" s="42">
        <v>2025</v>
      </c>
      <c r="D573" s="19" t="s">
        <v>203</v>
      </c>
      <c r="E573" s="3" t="s">
        <v>620</v>
      </c>
      <c r="F573" s="1">
        <v>0</v>
      </c>
      <c r="G573" s="32">
        <v>0</v>
      </c>
      <c r="H573" s="33">
        <f t="shared" si="132"/>
        <v>0</v>
      </c>
      <c r="I573" s="34"/>
      <c r="J573" s="35">
        <v>0</v>
      </c>
      <c r="K573" s="36">
        <v>0</v>
      </c>
      <c r="L573" s="35">
        <v>0</v>
      </c>
      <c r="M573" s="35">
        <v>0</v>
      </c>
      <c r="N573" s="35">
        <v>0</v>
      </c>
      <c r="O573" s="35">
        <v>-427130</v>
      </c>
      <c r="P573" s="35">
        <v>0</v>
      </c>
      <c r="R573" s="37">
        <f t="shared" si="134"/>
        <v>427130</v>
      </c>
      <c r="X573" s="28"/>
      <c r="Y573" s="28"/>
    </row>
    <row r="574" spans="1:25" s="4" customFormat="1">
      <c r="A574" s="41"/>
      <c r="B574" s="20" t="s">
        <v>52</v>
      </c>
      <c r="C574" s="42">
        <v>2025</v>
      </c>
      <c r="D574" s="19" t="s">
        <v>203</v>
      </c>
      <c r="E574" s="3" t="s">
        <v>621</v>
      </c>
      <c r="F574" s="1">
        <v>0</v>
      </c>
      <c r="G574" s="32">
        <v>0</v>
      </c>
      <c r="H574" s="33">
        <f t="shared" si="132"/>
        <v>0</v>
      </c>
      <c r="I574" s="34"/>
      <c r="J574" s="35">
        <v>0</v>
      </c>
      <c r="K574" s="36">
        <v>0</v>
      </c>
      <c r="L574" s="35">
        <v>0</v>
      </c>
      <c r="M574" s="35">
        <v>0</v>
      </c>
      <c r="N574" s="35">
        <v>0</v>
      </c>
      <c r="O574" s="35">
        <v>-600000</v>
      </c>
      <c r="P574" s="35">
        <v>0</v>
      </c>
      <c r="R574" s="37">
        <f t="shared" si="134"/>
        <v>600000</v>
      </c>
      <c r="X574" s="28"/>
      <c r="Y574" s="28"/>
    </row>
    <row r="575" spans="1:25" s="4" customFormat="1">
      <c r="A575" s="41"/>
      <c r="B575" s="20" t="s">
        <v>52</v>
      </c>
      <c r="C575" s="42">
        <v>2025</v>
      </c>
      <c r="D575" s="19" t="s">
        <v>203</v>
      </c>
      <c r="E575" s="3" t="s">
        <v>622</v>
      </c>
      <c r="F575" s="1">
        <v>0</v>
      </c>
      <c r="G575" s="32">
        <v>0</v>
      </c>
      <c r="H575" s="33">
        <f t="shared" si="132"/>
        <v>0</v>
      </c>
      <c r="I575" s="34"/>
      <c r="J575" s="35">
        <v>0</v>
      </c>
      <c r="K575" s="36">
        <v>0</v>
      </c>
      <c r="L575" s="35">
        <v>0</v>
      </c>
      <c r="M575" s="35">
        <v>0</v>
      </c>
      <c r="N575" s="35">
        <v>0</v>
      </c>
      <c r="O575" s="35">
        <v>-100000</v>
      </c>
      <c r="P575" s="35">
        <v>0</v>
      </c>
      <c r="R575" s="37">
        <f t="shared" si="134"/>
        <v>100000</v>
      </c>
      <c r="X575" s="28"/>
      <c r="Y575" s="28"/>
    </row>
    <row r="576" spans="1:25" s="4" customFormat="1">
      <c r="A576" s="41"/>
      <c r="B576" s="20" t="s">
        <v>52</v>
      </c>
      <c r="C576" s="42">
        <v>2025</v>
      </c>
      <c r="D576" s="19" t="s">
        <v>201</v>
      </c>
      <c r="E576" s="3" t="s">
        <v>627</v>
      </c>
      <c r="F576" s="1">
        <v>0</v>
      </c>
      <c r="G576" s="32">
        <v>0</v>
      </c>
      <c r="H576" s="33">
        <f t="shared" si="132"/>
        <v>0</v>
      </c>
      <c r="I576" s="34"/>
      <c r="J576" s="35">
        <v>0</v>
      </c>
      <c r="K576" s="36">
        <v>0</v>
      </c>
      <c r="L576" s="35">
        <v>0</v>
      </c>
      <c r="M576" s="35">
        <v>0</v>
      </c>
      <c r="N576" s="35">
        <v>0</v>
      </c>
      <c r="O576" s="35">
        <v>-407000</v>
      </c>
      <c r="P576" s="35">
        <v>0</v>
      </c>
      <c r="R576" s="37">
        <f t="shared" si="110"/>
        <v>407000</v>
      </c>
      <c r="X576" s="28"/>
      <c r="Y576" s="28"/>
    </row>
    <row r="577" spans="1:25" s="4" customFormat="1">
      <c r="A577" s="41"/>
      <c r="B577" s="20" t="s">
        <v>52</v>
      </c>
      <c r="C577" s="42">
        <v>2025</v>
      </c>
      <c r="D577" s="19" t="s">
        <v>201</v>
      </c>
      <c r="E577" s="3" t="s">
        <v>628</v>
      </c>
      <c r="F577" s="1">
        <v>0</v>
      </c>
      <c r="G577" s="32">
        <v>0</v>
      </c>
      <c r="H577" s="33">
        <f t="shared" si="132"/>
        <v>0</v>
      </c>
      <c r="I577" s="34"/>
      <c r="J577" s="35">
        <v>0</v>
      </c>
      <c r="K577" s="36">
        <v>0</v>
      </c>
      <c r="L577" s="35">
        <v>0</v>
      </c>
      <c r="M577" s="35">
        <v>0</v>
      </c>
      <c r="N577" s="35">
        <v>0</v>
      </c>
      <c r="O577" s="35">
        <v>-287700</v>
      </c>
      <c r="P577" s="35">
        <v>0</v>
      </c>
      <c r="R577" s="37">
        <f t="shared" si="110"/>
        <v>287700</v>
      </c>
      <c r="X577" s="28"/>
      <c r="Y577" s="28"/>
    </row>
    <row r="578" spans="1:25" s="4" customFormat="1">
      <c r="A578" s="41"/>
      <c r="B578" s="20" t="s">
        <v>52</v>
      </c>
      <c r="C578" s="42">
        <v>2025</v>
      </c>
      <c r="D578" s="19" t="s">
        <v>201</v>
      </c>
      <c r="E578" s="3" t="s">
        <v>629</v>
      </c>
      <c r="F578" s="1">
        <v>0</v>
      </c>
      <c r="G578" s="32">
        <v>0</v>
      </c>
      <c r="H578" s="33">
        <f t="shared" si="132"/>
        <v>0</v>
      </c>
      <c r="I578" s="34"/>
      <c r="J578" s="35">
        <v>0</v>
      </c>
      <c r="K578" s="36">
        <v>0</v>
      </c>
      <c r="L578" s="35">
        <v>0</v>
      </c>
      <c r="M578" s="35">
        <v>0</v>
      </c>
      <c r="N578" s="35">
        <v>0</v>
      </c>
      <c r="O578" s="35">
        <v>-141000</v>
      </c>
      <c r="P578" s="35">
        <v>0</v>
      </c>
      <c r="R578" s="37">
        <f t="shared" si="110"/>
        <v>141000</v>
      </c>
      <c r="X578" s="28"/>
      <c r="Y578" s="28"/>
    </row>
    <row r="579" spans="1:25" s="4" customFormat="1">
      <c r="A579" s="41"/>
      <c r="B579" s="20" t="s">
        <v>52</v>
      </c>
      <c r="C579" s="42">
        <v>2025</v>
      </c>
      <c r="D579" s="19" t="s">
        <v>201</v>
      </c>
      <c r="E579" s="3" t="s">
        <v>630</v>
      </c>
      <c r="F579" s="1">
        <v>0</v>
      </c>
      <c r="G579" s="32">
        <v>0</v>
      </c>
      <c r="H579" s="33">
        <f t="shared" si="132"/>
        <v>0</v>
      </c>
      <c r="I579" s="34"/>
      <c r="J579" s="35">
        <v>0</v>
      </c>
      <c r="K579" s="36">
        <v>0</v>
      </c>
      <c r="L579" s="35">
        <v>0</v>
      </c>
      <c r="M579" s="35">
        <v>0</v>
      </c>
      <c r="N579" s="35">
        <v>0</v>
      </c>
      <c r="O579" s="35">
        <v>-115500</v>
      </c>
      <c r="P579" s="35">
        <v>0</v>
      </c>
      <c r="R579" s="37">
        <f t="shared" si="110"/>
        <v>115500</v>
      </c>
      <c r="X579" s="28"/>
      <c r="Y579" s="28"/>
    </row>
    <row r="580" spans="1:25" s="4" customFormat="1">
      <c r="A580" s="41"/>
      <c r="B580" s="20" t="s">
        <v>52</v>
      </c>
      <c r="C580" s="42">
        <v>2025</v>
      </c>
      <c r="D580" s="19" t="s">
        <v>201</v>
      </c>
      <c r="E580" s="3" t="s">
        <v>631</v>
      </c>
      <c r="F580" s="1">
        <v>0</v>
      </c>
      <c r="G580" s="32">
        <v>0</v>
      </c>
      <c r="H580" s="33">
        <f t="shared" si="132"/>
        <v>0</v>
      </c>
      <c r="I580" s="34"/>
      <c r="J580" s="35">
        <v>0</v>
      </c>
      <c r="K580" s="36">
        <v>0</v>
      </c>
      <c r="L580" s="35">
        <v>0</v>
      </c>
      <c r="M580" s="35">
        <v>0</v>
      </c>
      <c r="N580" s="35">
        <v>0</v>
      </c>
      <c r="O580" s="35">
        <v>-194500</v>
      </c>
      <c r="P580" s="35">
        <v>0</v>
      </c>
      <c r="R580" s="37">
        <f t="shared" si="110"/>
        <v>194500</v>
      </c>
      <c r="X580" s="28"/>
      <c r="Y580" s="28"/>
    </row>
    <row r="581" spans="1:25" s="4" customFormat="1">
      <c r="A581" s="41"/>
      <c r="B581" s="20" t="s">
        <v>52</v>
      </c>
      <c r="C581" s="42">
        <v>2025</v>
      </c>
      <c r="D581" s="19" t="s">
        <v>201</v>
      </c>
      <c r="E581" s="3" t="s">
        <v>632</v>
      </c>
      <c r="F581" s="1">
        <v>0</v>
      </c>
      <c r="G581" s="32">
        <v>0</v>
      </c>
      <c r="H581" s="33">
        <f t="shared" ref="H581:H644" si="135">G581*$H$4/$E$999</f>
        <v>0</v>
      </c>
      <c r="I581" s="34"/>
      <c r="J581" s="35">
        <v>0</v>
      </c>
      <c r="K581" s="36">
        <v>0</v>
      </c>
      <c r="L581" s="35">
        <v>0</v>
      </c>
      <c r="M581" s="35">
        <v>0</v>
      </c>
      <c r="N581" s="35">
        <v>0</v>
      </c>
      <c r="O581" s="35">
        <v>-220000</v>
      </c>
      <c r="P581" s="35">
        <v>0</v>
      </c>
      <c r="R581" s="37">
        <f t="shared" si="110"/>
        <v>220000</v>
      </c>
      <c r="X581" s="28"/>
      <c r="Y581" s="28"/>
    </row>
    <row r="582" spans="1:25" s="4" customFormat="1">
      <c r="A582" s="41"/>
      <c r="B582" s="20" t="s">
        <v>52</v>
      </c>
      <c r="C582" s="42">
        <v>2025</v>
      </c>
      <c r="D582" s="19" t="s">
        <v>201</v>
      </c>
      <c r="E582" s="3" t="s">
        <v>633</v>
      </c>
      <c r="F582" s="1">
        <v>0</v>
      </c>
      <c r="G582" s="32">
        <v>0</v>
      </c>
      <c r="H582" s="33">
        <f t="shared" si="135"/>
        <v>0</v>
      </c>
      <c r="I582" s="34"/>
      <c r="J582" s="35">
        <v>0</v>
      </c>
      <c r="K582" s="36">
        <v>0</v>
      </c>
      <c r="L582" s="35">
        <v>0</v>
      </c>
      <c r="M582" s="35">
        <v>0</v>
      </c>
      <c r="N582" s="35">
        <v>0</v>
      </c>
      <c r="O582" s="35">
        <v>-177000</v>
      </c>
      <c r="P582" s="35">
        <v>0</v>
      </c>
      <c r="R582" s="37">
        <f t="shared" si="110"/>
        <v>177000</v>
      </c>
      <c r="X582" s="28"/>
      <c r="Y582" s="28"/>
    </row>
    <row r="583" spans="1:25" s="4" customFormat="1">
      <c r="A583" s="41"/>
      <c r="B583" s="20" t="s">
        <v>52</v>
      </c>
      <c r="C583" s="42">
        <v>2025</v>
      </c>
      <c r="D583" s="19" t="s">
        <v>201</v>
      </c>
      <c r="E583" s="3" t="s">
        <v>634</v>
      </c>
      <c r="F583" s="1">
        <v>0</v>
      </c>
      <c r="G583" s="32">
        <v>0</v>
      </c>
      <c r="H583" s="33">
        <f t="shared" si="135"/>
        <v>0</v>
      </c>
      <c r="I583" s="34"/>
      <c r="J583" s="35">
        <v>0</v>
      </c>
      <c r="K583" s="36">
        <v>0</v>
      </c>
      <c r="L583" s="35">
        <v>0</v>
      </c>
      <c r="M583" s="35">
        <v>0</v>
      </c>
      <c r="N583" s="35">
        <v>0</v>
      </c>
      <c r="O583" s="35">
        <v>-230000</v>
      </c>
      <c r="P583" s="35">
        <v>0</v>
      </c>
      <c r="R583" s="37">
        <f t="shared" si="110"/>
        <v>230000</v>
      </c>
      <c r="X583" s="28"/>
      <c r="Y583" s="28"/>
    </row>
    <row r="584" spans="1:25" s="4" customFormat="1">
      <c r="A584" s="41"/>
      <c r="B584" s="20" t="s">
        <v>52</v>
      </c>
      <c r="C584" s="42">
        <v>2025</v>
      </c>
      <c r="D584" s="19" t="s">
        <v>201</v>
      </c>
      <c r="E584" s="3" t="s">
        <v>628</v>
      </c>
      <c r="F584" s="1">
        <v>0</v>
      </c>
      <c r="G584" s="32">
        <v>0</v>
      </c>
      <c r="H584" s="33">
        <f t="shared" si="135"/>
        <v>0</v>
      </c>
      <c r="I584" s="34"/>
      <c r="J584" s="35">
        <v>0</v>
      </c>
      <c r="K584" s="36">
        <v>0</v>
      </c>
      <c r="L584" s="35">
        <v>0</v>
      </c>
      <c r="M584" s="35">
        <v>0</v>
      </c>
      <c r="N584" s="35">
        <v>0</v>
      </c>
      <c r="O584" s="35">
        <v>-198000</v>
      </c>
      <c r="P584" s="35">
        <v>0</v>
      </c>
      <c r="R584" s="37">
        <f t="shared" si="110"/>
        <v>198000</v>
      </c>
      <c r="X584" s="28"/>
      <c r="Y584" s="28"/>
    </row>
    <row r="585" spans="1:25" s="4" customFormat="1">
      <c r="A585" s="41"/>
      <c r="B585" s="20" t="s">
        <v>52</v>
      </c>
      <c r="C585" s="42">
        <v>2025</v>
      </c>
      <c r="D585" s="19" t="s">
        <v>201</v>
      </c>
      <c r="E585" s="3" t="s">
        <v>635</v>
      </c>
      <c r="F585" s="1">
        <v>0</v>
      </c>
      <c r="G585" s="32">
        <v>0</v>
      </c>
      <c r="H585" s="33">
        <f t="shared" si="135"/>
        <v>0</v>
      </c>
      <c r="I585" s="34"/>
      <c r="J585" s="35">
        <v>0</v>
      </c>
      <c r="K585" s="36">
        <v>0</v>
      </c>
      <c r="L585" s="35">
        <v>0</v>
      </c>
      <c r="M585" s="35">
        <v>0</v>
      </c>
      <c r="N585" s="35">
        <v>0</v>
      </c>
      <c r="O585" s="35">
        <v>-580000</v>
      </c>
      <c r="P585" s="35">
        <v>0</v>
      </c>
      <c r="R585" s="37">
        <f t="shared" si="110"/>
        <v>580000</v>
      </c>
      <c r="X585" s="28"/>
      <c r="Y585" s="28"/>
    </row>
    <row r="586" spans="1:25" s="4" customFormat="1">
      <c r="A586" s="41"/>
      <c r="B586" s="20" t="s">
        <v>52</v>
      </c>
      <c r="C586" s="42">
        <v>2025</v>
      </c>
      <c r="D586" s="19" t="s">
        <v>201</v>
      </c>
      <c r="E586" s="3" t="s">
        <v>636</v>
      </c>
      <c r="F586" s="1">
        <v>0</v>
      </c>
      <c r="G586" s="32">
        <v>0</v>
      </c>
      <c r="H586" s="33">
        <f t="shared" si="135"/>
        <v>0</v>
      </c>
      <c r="I586" s="34"/>
      <c r="J586" s="35">
        <v>0</v>
      </c>
      <c r="K586" s="36">
        <v>0</v>
      </c>
      <c r="L586" s="35">
        <v>0</v>
      </c>
      <c r="M586" s="35">
        <v>0</v>
      </c>
      <c r="N586" s="35">
        <v>0</v>
      </c>
      <c r="O586" s="35">
        <v>-522665</v>
      </c>
      <c r="P586" s="35">
        <v>0</v>
      </c>
      <c r="R586" s="37">
        <f t="shared" si="110"/>
        <v>522665</v>
      </c>
      <c r="X586" s="28"/>
      <c r="Y586" s="28"/>
    </row>
    <row r="587" spans="1:25" s="4" customFormat="1">
      <c r="A587" s="41"/>
      <c r="B587" s="20" t="s">
        <v>52</v>
      </c>
      <c r="C587" s="42">
        <v>2025</v>
      </c>
      <c r="D587" s="19" t="s">
        <v>201</v>
      </c>
      <c r="E587" s="3" t="s">
        <v>637</v>
      </c>
      <c r="F587" s="1">
        <v>0</v>
      </c>
      <c r="G587" s="32">
        <v>0</v>
      </c>
      <c r="H587" s="33">
        <f t="shared" si="135"/>
        <v>0</v>
      </c>
      <c r="I587" s="34"/>
      <c r="J587" s="35">
        <v>0</v>
      </c>
      <c r="K587" s="36">
        <v>0</v>
      </c>
      <c r="L587" s="35">
        <v>0</v>
      </c>
      <c r="M587" s="35">
        <v>0</v>
      </c>
      <c r="N587" s="35">
        <v>0</v>
      </c>
      <c r="O587" s="35">
        <v>-113000</v>
      </c>
      <c r="P587" s="35">
        <v>0</v>
      </c>
      <c r="R587" s="37">
        <f t="shared" si="110"/>
        <v>113000</v>
      </c>
      <c r="X587" s="28"/>
      <c r="Y587" s="28"/>
    </row>
    <row r="588" spans="1:25" s="4" customFormat="1">
      <c r="A588" s="41"/>
      <c r="B588" s="20" t="s">
        <v>52</v>
      </c>
      <c r="C588" s="42">
        <v>2025</v>
      </c>
      <c r="D588" s="19" t="s">
        <v>201</v>
      </c>
      <c r="E588" s="3" t="s">
        <v>634</v>
      </c>
      <c r="F588" s="1">
        <v>0</v>
      </c>
      <c r="G588" s="32">
        <v>0</v>
      </c>
      <c r="H588" s="33">
        <f t="shared" si="135"/>
        <v>0</v>
      </c>
      <c r="I588" s="34"/>
      <c r="J588" s="35">
        <v>0</v>
      </c>
      <c r="K588" s="36">
        <v>0</v>
      </c>
      <c r="L588" s="35">
        <v>0</v>
      </c>
      <c r="M588" s="35">
        <v>0</v>
      </c>
      <c r="N588" s="35">
        <v>0</v>
      </c>
      <c r="O588" s="35">
        <v>-510000</v>
      </c>
      <c r="P588" s="35">
        <v>0</v>
      </c>
      <c r="R588" s="37">
        <f t="shared" si="110"/>
        <v>510000</v>
      </c>
      <c r="X588" s="28"/>
      <c r="Y588" s="28"/>
    </row>
    <row r="589" spans="1:25" s="4" customFormat="1">
      <c r="A589" s="41"/>
      <c r="B589" s="20" t="s">
        <v>52</v>
      </c>
      <c r="C589" s="42">
        <v>2025</v>
      </c>
      <c r="D589" s="19" t="s">
        <v>201</v>
      </c>
      <c r="E589" s="3" t="s">
        <v>638</v>
      </c>
      <c r="F589" s="1">
        <v>0</v>
      </c>
      <c r="G589" s="32">
        <v>0</v>
      </c>
      <c r="H589" s="33">
        <f t="shared" si="135"/>
        <v>0</v>
      </c>
      <c r="I589" s="34"/>
      <c r="J589" s="35">
        <v>0</v>
      </c>
      <c r="K589" s="36">
        <v>0</v>
      </c>
      <c r="L589" s="35">
        <v>0</v>
      </c>
      <c r="M589" s="35">
        <v>0</v>
      </c>
      <c r="N589" s="35">
        <v>0</v>
      </c>
      <c r="O589" s="35">
        <v>-184800</v>
      </c>
      <c r="P589" s="35">
        <v>0</v>
      </c>
      <c r="R589" s="37">
        <f t="shared" si="110"/>
        <v>184800</v>
      </c>
      <c r="X589" s="28"/>
      <c r="Y589" s="28"/>
    </row>
    <row r="590" spans="1:25" s="4" customFormat="1">
      <c r="A590" s="41"/>
      <c r="B590" s="20" t="s">
        <v>52</v>
      </c>
      <c r="C590" s="42">
        <v>2025</v>
      </c>
      <c r="D590" s="19" t="s">
        <v>201</v>
      </c>
      <c r="E590" s="3" t="s">
        <v>632</v>
      </c>
      <c r="F590" s="1">
        <v>0</v>
      </c>
      <c r="G590" s="32">
        <v>0</v>
      </c>
      <c r="H590" s="33">
        <f t="shared" si="135"/>
        <v>0</v>
      </c>
      <c r="I590" s="34"/>
      <c r="J590" s="35">
        <v>0</v>
      </c>
      <c r="K590" s="36">
        <v>0</v>
      </c>
      <c r="L590" s="35">
        <v>0</v>
      </c>
      <c r="M590" s="35">
        <v>0</v>
      </c>
      <c r="N590" s="35">
        <v>0</v>
      </c>
      <c r="O590" s="35">
        <v>-172000</v>
      </c>
      <c r="P590" s="35">
        <v>0</v>
      </c>
      <c r="R590" s="37">
        <f t="shared" si="110"/>
        <v>172000</v>
      </c>
      <c r="X590" s="28"/>
      <c r="Y590" s="28"/>
    </row>
    <row r="591" spans="1:25" s="4" customFormat="1">
      <c r="A591" s="41"/>
      <c r="B591" s="20" t="s">
        <v>52</v>
      </c>
      <c r="C591" s="42">
        <v>2025</v>
      </c>
      <c r="D591" s="19" t="s">
        <v>201</v>
      </c>
      <c r="E591" s="3" t="s">
        <v>639</v>
      </c>
      <c r="F591" s="1">
        <v>0</v>
      </c>
      <c r="G591" s="32">
        <v>0</v>
      </c>
      <c r="H591" s="33">
        <f t="shared" si="135"/>
        <v>0</v>
      </c>
      <c r="I591" s="34"/>
      <c r="J591" s="35">
        <v>0</v>
      </c>
      <c r="K591" s="36">
        <v>0</v>
      </c>
      <c r="L591" s="35">
        <v>0</v>
      </c>
      <c r="M591" s="35">
        <v>0</v>
      </c>
      <c r="N591" s="35">
        <v>0</v>
      </c>
      <c r="O591" s="35">
        <v>-1073150</v>
      </c>
      <c r="P591" s="35">
        <v>0</v>
      </c>
      <c r="R591" s="37">
        <f t="shared" si="110"/>
        <v>1073150</v>
      </c>
      <c r="X591" s="28"/>
      <c r="Y591" s="28"/>
    </row>
    <row r="592" spans="1:25" s="4" customFormat="1">
      <c r="A592" s="41"/>
      <c r="B592" s="20" t="s">
        <v>52</v>
      </c>
      <c r="C592" s="42">
        <v>2025</v>
      </c>
      <c r="D592" s="19" t="s">
        <v>201</v>
      </c>
      <c r="E592" s="3" t="s">
        <v>640</v>
      </c>
      <c r="F592" s="1">
        <v>0</v>
      </c>
      <c r="G592" s="32">
        <v>0</v>
      </c>
      <c r="H592" s="33">
        <f t="shared" si="135"/>
        <v>0</v>
      </c>
      <c r="I592" s="34"/>
      <c r="J592" s="35">
        <v>0</v>
      </c>
      <c r="K592" s="36">
        <v>0</v>
      </c>
      <c r="L592" s="35">
        <v>0</v>
      </c>
      <c r="M592" s="35">
        <v>0</v>
      </c>
      <c r="N592" s="35">
        <v>0</v>
      </c>
      <c r="O592" s="35">
        <v>-161700</v>
      </c>
      <c r="P592" s="35">
        <v>0</v>
      </c>
      <c r="R592" s="37">
        <f t="shared" si="110"/>
        <v>161700</v>
      </c>
      <c r="X592" s="28"/>
      <c r="Y592" s="28"/>
    </row>
    <row r="593" spans="1:25" s="4" customFormat="1">
      <c r="A593" s="41"/>
      <c r="B593" s="20" t="s">
        <v>52</v>
      </c>
      <c r="C593" s="42">
        <v>2025</v>
      </c>
      <c r="D593" s="19" t="s">
        <v>201</v>
      </c>
      <c r="E593" s="3" t="s">
        <v>641</v>
      </c>
      <c r="F593" s="1">
        <v>0</v>
      </c>
      <c r="G593" s="32">
        <v>0</v>
      </c>
      <c r="H593" s="33">
        <f t="shared" si="135"/>
        <v>0</v>
      </c>
      <c r="I593" s="34"/>
      <c r="J593" s="35">
        <v>0</v>
      </c>
      <c r="K593" s="36">
        <v>0</v>
      </c>
      <c r="L593" s="35">
        <v>0</v>
      </c>
      <c r="M593" s="35">
        <v>0</v>
      </c>
      <c r="N593" s="35">
        <v>0</v>
      </c>
      <c r="O593" s="35">
        <v>-346190</v>
      </c>
      <c r="P593" s="35">
        <v>0</v>
      </c>
      <c r="R593" s="37">
        <f t="shared" si="110"/>
        <v>346190</v>
      </c>
      <c r="X593" s="28"/>
      <c r="Y593" s="28"/>
    </row>
    <row r="594" spans="1:25" s="4" customFormat="1">
      <c r="A594" s="41"/>
      <c r="B594" s="20" t="s">
        <v>52</v>
      </c>
      <c r="C594" s="42">
        <v>2025</v>
      </c>
      <c r="D594" s="19" t="s">
        <v>201</v>
      </c>
      <c r="E594" s="3" t="s">
        <v>642</v>
      </c>
      <c r="F594" s="1">
        <v>0</v>
      </c>
      <c r="G594" s="32">
        <v>0</v>
      </c>
      <c r="H594" s="33">
        <f t="shared" si="135"/>
        <v>0</v>
      </c>
      <c r="I594" s="34"/>
      <c r="J594" s="35">
        <v>0</v>
      </c>
      <c r="K594" s="36">
        <v>0</v>
      </c>
      <c r="L594" s="35">
        <v>0</v>
      </c>
      <c r="M594" s="35">
        <v>0</v>
      </c>
      <c r="N594" s="35">
        <v>0</v>
      </c>
      <c r="O594" s="35">
        <v>-149000</v>
      </c>
      <c r="P594" s="35">
        <v>0</v>
      </c>
      <c r="R594" s="37">
        <f t="shared" si="110"/>
        <v>149000</v>
      </c>
      <c r="X594" s="28"/>
      <c r="Y594" s="28"/>
    </row>
    <row r="595" spans="1:25" s="4" customFormat="1">
      <c r="A595" s="41"/>
      <c r="B595" s="20" t="s">
        <v>52</v>
      </c>
      <c r="C595" s="42">
        <v>2025</v>
      </c>
      <c r="D595" s="19" t="s">
        <v>201</v>
      </c>
      <c r="E595" s="3" t="s">
        <v>643</v>
      </c>
      <c r="F595" s="1">
        <v>0</v>
      </c>
      <c r="G595" s="32">
        <v>0</v>
      </c>
      <c r="H595" s="33">
        <f t="shared" si="135"/>
        <v>0</v>
      </c>
      <c r="I595" s="34"/>
      <c r="J595" s="35">
        <v>0</v>
      </c>
      <c r="K595" s="36">
        <v>0</v>
      </c>
      <c r="L595" s="35">
        <v>0</v>
      </c>
      <c r="M595" s="35">
        <v>0</v>
      </c>
      <c r="N595" s="35">
        <v>0</v>
      </c>
      <c r="O595" s="35">
        <v>-307000</v>
      </c>
      <c r="P595" s="35">
        <v>0</v>
      </c>
      <c r="R595" s="37">
        <f t="shared" si="110"/>
        <v>307000</v>
      </c>
      <c r="X595" s="28"/>
      <c r="Y595" s="28"/>
    </row>
    <row r="596" spans="1:25" s="4" customFormat="1">
      <c r="A596" s="41"/>
      <c r="B596" s="20" t="s">
        <v>52</v>
      </c>
      <c r="C596" s="42">
        <v>2025</v>
      </c>
      <c r="D596" s="19" t="s">
        <v>201</v>
      </c>
      <c r="E596" s="3" t="s">
        <v>644</v>
      </c>
      <c r="F596" s="1">
        <v>0</v>
      </c>
      <c r="G596" s="32">
        <v>0</v>
      </c>
      <c r="H596" s="33">
        <f t="shared" si="135"/>
        <v>0</v>
      </c>
      <c r="I596" s="34"/>
      <c r="J596" s="35">
        <v>0</v>
      </c>
      <c r="K596" s="36">
        <v>0</v>
      </c>
      <c r="L596" s="35">
        <v>0</v>
      </c>
      <c r="M596" s="35">
        <v>0</v>
      </c>
      <c r="N596" s="35">
        <v>0</v>
      </c>
      <c r="O596" s="35">
        <v>-235000</v>
      </c>
      <c r="P596" s="35">
        <v>0</v>
      </c>
      <c r="R596" s="37">
        <f t="shared" si="110"/>
        <v>235000</v>
      </c>
      <c r="X596" s="28"/>
      <c r="Y596" s="28"/>
    </row>
    <row r="597" spans="1:25" s="4" customFormat="1">
      <c r="A597" s="41"/>
      <c r="B597" s="20" t="s">
        <v>52</v>
      </c>
      <c r="C597" s="42">
        <v>2025</v>
      </c>
      <c r="D597" s="19" t="s">
        <v>201</v>
      </c>
      <c r="E597" s="3" t="s">
        <v>627</v>
      </c>
      <c r="F597" s="1">
        <v>0</v>
      </c>
      <c r="G597" s="32">
        <v>0</v>
      </c>
      <c r="H597" s="33">
        <f t="shared" si="135"/>
        <v>0</v>
      </c>
      <c r="I597" s="34"/>
      <c r="J597" s="35">
        <v>0</v>
      </c>
      <c r="K597" s="36">
        <v>0</v>
      </c>
      <c r="L597" s="35">
        <v>0</v>
      </c>
      <c r="M597" s="35">
        <v>0</v>
      </c>
      <c r="N597" s="35">
        <v>0</v>
      </c>
      <c r="O597" s="35">
        <v>-132000</v>
      </c>
      <c r="P597" s="35">
        <v>0</v>
      </c>
      <c r="R597" s="37">
        <f t="shared" si="110"/>
        <v>132000</v>
      </c>
      <c r="X597" s="28"/>
      <c r="Y597" s="28"/>
    </row>
    <row r="598" spans="1:25" s="4" customFormat="1">
      <c r="A598" s="41"/>
      <c r="B598" s="20" t="s">
        <v>52</v>
      </c>
      <c r="C598" s="42">
        <v>2025</v>
      </c>
      <c r="D598" s="19" t="s">
        <v>201</v>
      </c>
      <c r="E598" s="3" t="s">
        <v>627</v>
      </c>
      <c r="F598" s="1">
        <v>0</v>
      </c>
      <c r="G598" s="32">
        <v>0</v>
      </c>
      <c r="H598" s="33">
        <f t="shared" si="135"/>
        <v>0</v>
      </c>
      <c r="I598" s="34"/>
      <c r="J598" s="35">
        <v>0</v>
      </c>
      <c r="K598" s="36">
        <v>0</v>
      </c>
      <c r="L598" s="35">
        <v>0</v>
      </c>
      <c r="M598" s="35">
        <v>0</v>
      </c>
      <c r="N598" s="35">
        <v>0</v>
      </c>
      <c r="O598" s="35">
        <v>-44000</v>
      </c>
      <c r="P598" s="35">
        <v>0</v>
      </c>
      <c r="R598" s="37">
        <f t="shared" si="110"/>
        <v>44000</v>
      </c>
      <c r="X598" s="28"/>
      <c r="Y598" s="28"/>
    </row>
    <row r="599" spans="1:25" s="4" customFormat="1">
      <c r="A599" s="41"/>
      <c r="B599" s="20" t="s">
        <v>52</v>
      </c>
      <c r="C599" s="42">
        <v>2025</v>
      </c>
      <c r="D599" s="19" t="s">
        <v>201</v>
      </c>
      <c r="E599" s="3" t="s">
        <v>645</v>
      </c>
      <c r="F599" s="1">
        <v>0</v>
      </c>
      <c r="G599" s="32">
        <v>0</v>
      </c>
      <c r="H599" s="33">
        <f t="shared" si="135"/>
        <v>0</v>
      </c>
      <c r="I599" s="34"/>
      <c r="J599" s="35">
        <v>0</v>
      </c>
      <c r="K599" s="36">
        <v>0</v>
      </c>
      <c r="L599" s="35">
        <v>0</v>
      </c>
      <c r="M599" s="35">
        <v>0</v>
      </c>
      <c r="N599" s="35">
        <v>0</v>
      </c>
      <c r="O599" s="35">
        <v>-255000</v>
      </c>
      <c r="P599" s="35">
        <v>0</v>
      </c>
      <c r="R599" s="37">
        <f t="shared" si="110"/>
        <v>255000</v>
      </c>
      <c r="X599" s="28"/>
      <c r="Y599" s="28"/>
    </row>
    <row r="600" spans="1:25" s="4" customFormat="1">
      <c r="A600" s="41"/>
      <c r="B600" s="20" t="s">
        <v>52</v>
      </c>
      <c r="C600" s="42">
        <v>2025</v>
      </c>
      <c r="D600" s="19" t="s">
        <v>201</v>
      </c>
      <c r="E600" s="3" t="s">
        <v>646</v>
      </c>
      <c r="F600" s="1">
        <v>0</v>
      </c>
      <c r="G600" s="32">
        <v>0</v>
      </c>
      <c r="H600" s="33">
        <f t="shared" si="135"/>
        <v>0</v>
      </c>
      <c r="I600" s="34"/>
      <c r="J600" s="35">
        <v>0</v>
      </c>
      <c r="K600" s="36">
        <v>0</v>
      </c>
      <c r="L600" s="35">
        <v>0</v>
      </c>
      <c r="M600" s="35">
        <v>0</v>
      </c>
      <c r="N600" s="35">
        <v>0</v>
      </c>
      <c r="O600" s="35">
        <v>-761200</v>
      </c>
      <c r="P600" s="35">
        <v>0</v>
      </c>
      <c r="R600" s="37">
        <f t="shared" si="110"/>
        <v>761200</v>
      </c>
      <c r="X600" s="28"/>
      <c r="Y600" s="28"/>
    </row>
    <row r="601" spans="1:25" s="4" customFormat="1">
      <c r="A601" s="41"/>
      <c r="B601" s="20" t="s">
        <v>52</v>
      </c>
      <c r="C601" s="42">
        <v>2025</v>
      </c>
      <c r="D601" s="19" t="s">
        <v>201</v>
      </c>
      <c r="E601" s="3" t="s">
        <v>647</v>
      </c>
      <c r="F601" s="1">
        <v>0</v>
      </c>
      <c r="G601" s="32">
        <v>0</v>
      </c>
      <c r="H601" s="33">
        <f t="shared" si="135"/>
        <v>0</v>
      </c>
      <c r="I601" s="34"/>
      <c r="J601" s="35">
        <v>0</v>
      </c>
      <c r="K601" s="36">
        <v>0</v>
      </c>
      <c r="L601" s="35">
        <v>0</v>
      </c>
      <c r="M601" s="35">
        <v>0</v>
      </c>
      <c r="N601" s="35">
        <v>0</v>
      </c>
      <c r="O601" s="35">
        <v>-203400</v>
      </c>
      <c r="P601" s="35">
        <v>0</v>
      </c>
      <c r="R601" s="37">
        <f t="shared" si="110"/>
        <v>203400</v>
      </c>
      <c r="X601" s="28"/>
      <c r="Y601" s="28"/>
    </row>
    <row r="602" spans="1:25" s="4" customFormat="1">
      <c r="A602" s="41"/>
      <c r="B602" s="20" t="s">
        <v>52</v>
      </c>
      <c r="C602" s="42">
        <v>2025</v>
      </c>
      <c r="D602" s="19" t="s">
        <v>201</v>
      </c>
      <c r="E602" s="3" t="s">
        <v>648</v>
      </c>
      <c r="F602" s="1">
        <v>0</v>
      </c>
      <c r="G602" s="32">
        <v>0</v>
      </c>
      <c r="H602" s="33">
        <f t="shared" si="135"/>
        <v>0</v>
      </c>
      <c r="I602" s="34"/>
      <c r="J602" s="35">
        <v>0</v>
      </c>
      <c r="K602" s="36">
        <v>0</v>
      </c>
      <c r="L602" s="35">
        <v>0</v>
      </c>
      <c r="M602" s="35">
        <v>0</v>
      </c>
      <c r="N602" s="35">
        <v>0</v>
      </c>
      <c r="O602" s="35">
        <v>-524400</v>
      </c>
      <c r="P602" s="35">
        <v>0</v>
      </c>
      <c r="R602" s="37">
        <f t="shared" si="110"/>
        <v>524400</v>
      </c>
      <c r="X602" s="28"/>
      <c r="Y602" s="28"/>
    </row>
    <row r="603" spans="1:25" s="4" customFormat="1">
      <c r="A603" s="41"/>
      <c r="B603" s="20" t="s">
        <v>52</v>
      </c>
      <c r="C603" s="42">
        <v>2025</v>
      </c>
      <c r="D603" s="19" t="s">
        <v>201</v>
      </c>
      <c r="E603" s="3" t="s">
        <v>649</v>
      </c>
      <c r="F603" s="1">
        <v>0</v>
      </c>
      <c r="G603" s="32">
        <v>0</v>
      </c>
      <c r="H603" s="33">
        <f t="shared" si="135"/>
        <v>0</v>
      </c>
      <c r="I603" s="34"/>
      <c r="J603" s="35">
        <v>0</v>
      </c>
      <c r="K603" s="36">
        <v>0</v>
      </c>
      <c r="L603" s="35">
        <v>0</v>
      </c>
      <c r="M603" s="35">
        <v>0</v>
      </c>
      <c r="N603" s="35">
        <v>0</v>
      </c>
      <c r="O603" s="35">
        <v>-44000</v>
      </c>
      <c r="P603" s="35">
        <v>0</v>
      </c>
      <c r="R603" s="37">
        <f t="shared" si="110"/>
        <v>44000</v>
      </c>
      <c r="X603" s="28"/>
      <c r="Y603" s="28"/>
    </row>
    <row r="604" spans="1:25" s="4" customFormat="1">
      <c r="A604" s="41"/>
      <c r="B604" s="20" t="s">
        <v>52</v>
      </c>
      <c r="C604" s="42">
        <v>2025</v>
      </c>
      <c r="D604" s="19" t="s">
        <v>201</v>
      </c>
      <c r="E604" s="3" t="s">
        <v>650</v>
      </c>
      <c r="F604" s="1">
        <v>0</v>
      </c>
      <c r="G604" s="32">
        <v>0</v>
      </c>
      <c r="H604" s="33">
        <f t="shared" si="135"/>
        <v>0</v>
      </c>
      <c r="I604" s="34"/>
      <c r="J604" s="35">
        <v>0</v>
      </c>
      <c r="K604" s="36">
        <v>0</v>
      </c>
      <c r="L604" s="35">
        <v>0</v>
      </c>
      <c r="M604" s="35">
        <v>0</v>
      </c>
      <c r="N604" s="35">
        <v>0</v>
      </c>
      <c r="O604" s="35">
        <v>-408000</v>
      </c>
      <c r="P604" s="35">
        <v>0</v>
      </c>
      <c r="R604" s="37">
        <f t="shared" si="110"/>
        <v>408000</v>
      </c>
      <c r="X604" s="28"/>
      <c r="Y604" s="28"/>
    </row>
    <row r="605" spans="1:25" s="4" customFormat="1">
      <c r="A605" s="41"/>
      <c r="B605" s="20" t="s">
        <v>52</v>
      </c>
      <c r="C605" s="42">
        <v>2025</v>
      </c>
      <c r="D605" s="19" t="s">
        <v>201</v>
      </c>
      <c r="E605" s="3" t="s">
        <v>651</v>
      </c>
      <c r="F605" s="1">
        <v>0</v>
      </c>
      <c r="G605" s="32">
        <v>0</v>
      </c>
      <c r="H605" s="33">
        <f t="shared" si="135"/>
        <v>0</v>
      </c>
      <c r="I605" s="34"/>
      <c r="J605" s="35">
        <v>0</v>
      </c>
      <c r="K605" s="36">
        <v>0</v>
      </c>
      <c r="L605" s="35">
        <v>0</v>
      </c>
      <c r="M605" s="35">
        <v>0</v>
      </c>
      <c r="N605" s="35">
        <v>0</v>
      </c>
      <c r="O605" s="35">
        <v>-655600</v>
      </c>
      <c r="P605" s="35">
        <v>0</v>
      </c>
      <c r="R605" s="37">
        <f t="shared" si="110"/>
        <v>655600</v>
      </c>
      <c r="X605" s="28"/>
      <c r="Y605" s="28"/>
    </row>
    <row r="606" spans="1:25" s="4" customFormat="1">
      <c r="A606" s="41"/>
      <c r="B606" s="20" t="s">
        <v>52</v>
      </c>
      <c r="C606" s="42">
        <v>2025</v>
      </c>
      <c r="D606" s="19" t="s">
        <v>201</v>
      </c>
      <c r="E606" s="3" t="s">
        <v>652</v>
      </c>
      <c r="F606" s="1">
        <v>0</v>
      </c>
      <c r="G606" s="32">
        <v>0</v>
      </c>
      <c r="H606" s="33">
        <f t="shared" si="135"/>
        <v>0</v>
      </c>
      <c r="I606" s="34"/>
      <c r="J606" s="35">
        <v>0</v>
      </c>
      <c r="K606" s="36">
        <v>0</v>
      </c>
      <c r="L606" s="35">
        <v>0</v>
      </c>
      <c r="M606" s="35">
        <v>0</v>
      </c>
      <c r="N606" s="35">
        <v>0</v>
      </c>
      <c r="O606" s="35">
        <v>-193700</v>
      </c>
      <c r="P606" s="35">
        <v>0</v>
      </c>
      <c r="R606" s="37">
        <f t="shared" si="110"/>
        <v>193700</v>
      </c>
      <c r="X606" s="28"/>
      <c r="Y606" s="28"/>
    </row>
    <row r="607" spans="1:25" s="4" customFormat="1">
      <c r="A607" s="41"/>
      <c r="B607" s="20" t="s">
        <v>52</v>
      </c>
      <c r="C607" s="42">
        <v>2025</v>
      </c>
      <c r="D607" s="19" t="s">
        <v>201</v>
      </c>
      <c r="E607" s="3" t="s">
        <v>638</v>
      </c>
      <c r="F607" s="1">
        <v>0</v>
      </c>
      <c r="G607" s="32">
        <v>0</v>
      </c>
      <c r="H607" s="33">
        <f t="shared" si="135"/>
        <v>0</v>
      </c>
      <c r="I607" s="34"/>
      <c r="J607" s="35">
        <v>0</v>
      </c>
      <c r="K607" s="36">
        <v>0</v>
      </c>
      <c r="L607" s="35">
        <v>0</v>
      </c>
      <c r="M607" s="35">
        <v>0</v>
      </c>
      <c r="N607" s="35">
        <v>0</v>
      </c>
      <c r="O607" s="35">
        <v>-366135</v>
      </c>
      <c r="P607" s="35">
        <v>0</v>
      </c>
      <c r="R607" s="37">
        <f t="shared" si="110"/>
        <v>366135</v>
      </c>
      <c r="X607" s="28"/>
      <c r="Y607" s="28"/>
    </row>
    <row r="608" spans="1:25" s="4" customFormat="1">
      <c r="A608" s="41"/>
      <c r="B608" s="20" t="s">
        <v>52</v>
      </c>
      <c r="C608" s="42">
        <v>2025</v>
      </c>
      <c r="D608" s="19" t="s">
        <v>201</v>
      </c>
      <c r="E608" s="3" t="s">
        <v>653</v>
      </c>
      <c r="F608" s="1">
        <v>0</v>
      </c>
      <c r="G608" s="32">
        <v>0</v>
      </c>
      <c r="H608" s="33">
        <f t="shared" si="135"/>
        <v>0</v>
      </c>
      <c r="I608" s="34"/>
      <c r="J608" s="35">
        <v>0</v>
      </c>
      <c r="K608" s="36">
        <v>0</v>
      </c>
      <c r="L608" s="35">
        <v>0</v>
      </c>
      <c r="M608" s="35">
        <v>0</v>
      </c>
      <c r="N608" s="35">
        <v>0</v>
      </c>
      <c r="O608" s="35">
        <v>-330000</v>
      </c>
      <c r="P608" s="35">
        <v>0</v>
      </c>
      <c r="R608" s="37">
        <f t="shared" si="110"/>
        <v>330000</v>
      </c>
      <c r="X608" s="28"/>
      <c r="Y608" s="28"/>
    </row>
    <row r="609" spans="1:25" s="4" customFormat="1">
      <c r="A609" s="41"/>
      <c r="B609" s="20" t="s">
        <v>52</v>
      </c>
      <c r="C609" s="42">
        <v>2025</v>
      </c>
      <c r="D609" s="19" t="s">
        <v>201</v>
      </c>
      <c r="E609" s="3" t="s">
        <v>654</v>
      </c>
      <c r="F609" s="1">
        <v>0</v>
      </c>
      <c r="G609" s="32">
        <v>0</v>
      </c>
      <c r="H609" s="33">
        <f t="shared" si="135"/>
        <v>0</v>
      </c>
      <c r="I609" s="34"/>
      <c r="J609" s="35">
        <v>0</v>
      </c>
      <c r="K609" s="36">
        <v>0</v>
      </c>
      <c r="L609" s="35">
        <v>0</v>
      </c>
      <c r="M609" s="35">
        <v>0</v>
      </c>
      <c r="N609" s="35">
        <v>0</v>
      </c>
      <c r="O609" s="35">
        <v>-112700</v>
      </c>
      <c r="P609" s="35">
        <v>0</v>
      </c>
      <c r="R609" s="37">
        <f t="shared" si="110"/>
        <v>112700</v>
      </c>
      <c r="X609" s="28"/>
      <c r="Y609" s="28"/>
    </row>
    <row r="610" spans="1:25" s="4" customFormat="1">
      <c r="A610" s="41"/>
      <c r="B610" s="20" t="s">
        <v>52</v>
      </c>
      <c r="C610" s="42">
        <v>2025</v>
      </c>
      <c r="D610" s="19" t="s">
        <v>201</v>
      </c>
      <c r="E610" s="3" t="s">
        <v>655</v>
      </c>
      <c r="F610" s="1">
        <v>0</v>
      </c>
      <c r="G610" s="32">
        <v>0</v>
      </c>
      <c r="H610" s="33">
        <f t="shared" si="135"/>
        <v>0</v>
      </c>
      <c r="I610" s="34"/>
      <c r="J610" s="35">
        <v>0</v>
      </c>
      <c r="K610" s="36">
        <v>0</v>
      </c>
      <c r="L610" s="35">
        <v>0</v>
      </c>
      <c r="M610" s="35">
        <v>0</v>
      </c>
      <c r="N610" s="35">
        <v>0</v>
      </c>
      <c r="O610" s="35">
        <v>-112500</v>
      </c>
      <c r="P610" s="35">
        <v>0</v>
      </c>
      <c r="R610" s="37">
        <f t="shared" si="110"/>
        <v>112500</v>
      </c>
      <c r="X610" s="28"/>
      <c r="Y610" s="28"/>
    </row>
    <row r="611" spans="1:25" s="4" customFormat="1">
      <c r="A611" s="41"/>
      <c r="B611" s="20" t="s">
        <v>52</v>
      </c>
      <c r="C611" s="42">
        <v>2025</v>
      </c>
      <c r="D611" s="19" t="s">
        <v>201</v>
      </c>
      <c r="E611" s="3" t="s">
        <v>656</v>
      </c>
      <c r="F611" s="1">
        <v>0</v>
      </c>
      <c r="G611" s="32">
        <v>0</v>
      </c>
      <c r="H611" s="33">
        <f t="shared" si="135"/>
        <v>0</v>
      </c>
      <c r="I611" s="34"/>
      <c r="J611" s="35">
        <v>0</v>
      </c>
      <c r="K611" s="36">
        <v>0</v>
      </c>
      <c r="L611" s="35">
        <v>0</v>
      </c>
      <c r="M611" s="35">
        <v>0</v>
      </c>
      <c r="N611" s="35">
        <v>0</v>
      </c>
      <c r="O611" s="35">
        <v>-271500</v>
      </c>
      <c r="P611" s="35">
        <v>0</v>
      </c>
      <c r="R611" s="37">
        <f t="shared" si="110"/>
        <v>271500</v>
      </c>
      <c r="X611" s="28"/>
      <c r="Y611" s="28"/>
    </row>
    <row r="612" spans="1:25" s="4" customFormat="1">
      <c r="A612" s="41"/>
      <c r="B612" s="20" t="s">
        <v>52</v>
      </c>
      <c r="C612" s="42">
        <v>2025</v>
      </c>
      <c r="D612" s="19" t="s">
        <v>201</v>
      </c>
      <c r="E612" s="3" t="s">
        <v>657</v>
      </c>
      <c r="F612" s="1">
        <v>0</v>
      </c>
      <c r="G612" s="32">
        <v>0</v>
      </c>
      <c r="H612" s="33">
        <f t="shared" si="135"/>
        <v>0</v>
      </c>
      <c r="I612" s="34"/>
      <c r="J612" s="35">
        <v>0</v>
      </c>
      <c r="K612" s="36">
        <v>0</v>
      </c>
      <c r="L612" s="35">
        <v>0</v>
      </c>
      <c r="M612" s="35">
        <v>0</v>
      </c>
      <c r="N612" s="35">
        <v>0</v>
      </c>
      <c r="O612" s="35">
        <v>-139000</v>
      </c>
      <c r="P612" s="35">
        <v>0</v>
      </c>
      <c r="R612" s="37">
        <f t="shared" si="110"/>
        <v>139000</v>
      </c>
      <c r="X612" s="28"/>
      <c r="Y612" s="28"/>
    </row>
    <row r="613" spans="1:25" s="4" customFormat="1">
      <c r="A613" s="41"/>
      <c r="B613" s="20" t="s">
        <v>52</v>
      </c>
      <c r="C613" s="42">
        <v>2025</v>
      </c>
      <c r="D613" s="19" t="s">
        <v>201</v>
      </c>
      <c r="E613" s="3" t="s">
        <v>658</v>
      </c>
      <c r="F613" s="1">
        <v>0</v>
      </c>
      <c r="G613" s="32">
        <v>0</v>
      </c>
      <c r="H613" s="33">
        <f t="shared" si="135"/>
        <v>0</v>
      </c>
      <c r="I613" s="34"/>
      <c r="J613" s="35">
        <v>0</v>
      </c>
      <c r="K613" s="36">
        <v>0</v>
      </c>
      <c r="L613" s="35">
        <v>0</v>
      </c>
      <c r="M613" s="35">
        <v>0</v>
      </c>
      <c r="N613" s="35">
        <v>0</v>
      </c>
      <c r="O613" s="35">
        <v>-379000</v>
      </c>
      <c r="P613" s="35">
        <v>0</v>
      </c>
      <c r="R613" s="37">
        <f t="shared" si="110"/>
        <v>379000</v>
      </c>
      <c r="X613" s="28"/>
      <c r="Y613" s="28"/>
    </row>
    <row r="614" spans="1:25" s="4" customFormat="1">
      <c r="A614" s="41"/>
      <c r="B614" s="20" t="s">
        <v>52</v>
      </c>
      <c r="C614" s="42">
        <v>2025</v>
      </c>
      <c r="D614" s="19" t="s">
        <v>201</v>
      </c>
      <c r="E614" s="3" t="s">
        <v>659</v>
      </c>
      <c r="F614" s="1">
        <v>0</v>
      </c>
      <c r="G614" s="32">
        <v>0</v>
      </c>
      <c r="H614" s="33">
        <f t="shared" si="135"/>
        <v>0</v>
      </c>
      <c r="I614" s="34"/>
      <c r="J614" s="35">
        <v>0</v>
      </c>
      <c r="K614" s="36">
        <v>0</v>
      </c>
      <c r="L614" s="35">
        <v>0</v>
      </c>
      <c r="M614" s="35">
        <v>0</v>
      </c>
      <c r="N614" s="35">
        <v>0</v>
      </c>
      <c r="O614" s="35">
        <v>-488800</v>
      </c>
      <c r="P614" s="35">
        <v>0</v>
      </c>
      <c r="R614" s="37">
        <f t="shared" si="110"/>
        <v>488800</v>
      </c>
      <c r="X614" s="28"/>
      <c r="Y614" s="28"/>
    </row>
    <row r="615" spans="1:25" s="4" customFormat="1">
      <c r="A615" s="41"/>
      <c r="B615" s="20" t="s">
        <v>52</v>
      </c>
      <c r="C615" s="42">
        <v>2025</v>
      </c>
      <c r="D615" s="19" t="s">
        <v>201</v>
      </c>
      <c r="E615" s="3" t="s">
        <v>660</v>
      </c>
      <c r="F615" s="1">
        <v>0</v>
      </c>
      <c r="G615" s="32">
        <v>0</v>
      </c>
      <c r="H615" s="33">
        <f t="shared" si="135"/>
        <v>0</v>
      </c>
      <c r="I615" s="34"/>
      <c r="J615" s="35">
        <v>0</v>
      </c>
      <c r="K615" s="36">
        <v>0</v>
      </c>
      <c r="L615" s="35">
        <v>0</v>
      </c>
      <c r="M615" s="35">
        <v>0</v>
      </c>
      <c r="N615" s="35">
        <v>0</v>
      </c>
      <c r="O615" s="35">
        <v>-368500</v>
      </c>
      <c r="P615" s="35">
        <v>0</v>
      </c>
      <c r="R615" s="37">
        <f t="shared" si="110"/>
        <v>368500</v>
      </c>
      <c r="X615" s="28"/>
      <c r="Y615" s="28"/>
    </row>
    <row r="616" spans="1:25" s="4" customFormat="1">
      <c r="A616" s="41"/>
      <c r="B616" s="20" t="s">
        <v>52</v>
      </c>
      <c r="C616" s="42">
        <v>2025</v>
      </c>
      <c r="D616" s="19" t="s">
        <v>201</v>
      </c>
      <c r="E616" s="3" t="s">
        <v>661</v>
      </c>
      <c r="F616" s="1">
        <v>0</v>
      </c>
      <c r="G616" s="32">
        <v>0</v>
      </c>
      <c r="H616" s="33">
        <f t="shared" si="135"/>
        <v>0</v>
      </c>
      <c r="I616" s="34"/>
      <c r="J616" s="35">
        <v>0</v>
      </c>
      <c r="K616" s="36">
        <v>0</v>
      </c>
      <c r="L616" s="35">
        <v>0</v>
      </c>
      <c r="M616" s="35">
        <v>0</v>
      </c>
      <c r="N616" s="35">
        <v>0</v>
      </c>
      <c r="O616" s="35">
        <v>-162000</v>
      </c>
      <c r="P616" s="35">
        <v>0</v>
      </c>
      <c r="R616" s="37">
        <f t="shared" si="110"/>
        <v>162000</v>
      </c>
      <c r="X616" s="28"/>
      <c r="Y616" s="28"/>
    </row>
    <row r="617" spans="1:25" s="4" customFormat="1">
      <c r="A617" s="41"/>
      <c r="B617" s="20" t="s">
        <v>52</v>
      </c>
      <c r="C617" s="42">
        <v>2025</v>
      </c>
      <c r="D617" s="19" t="s">
        <v>201</v>
      </c>
      <c r="E617" s="3" t="s">
        <v>662</v>
      </c>
      <c r="F617" s="1">
        <v>0</v>
      </c>
      <c r="G617" s="32">
        <v>0</v>
      </c>
      <c r="H617" s="33">
        <f t="shared" si="135"/>
        <v>0</v>
      </c>
      <c r="I617" s="34"/>
      <c r="J617" s="35">
        <v>0</v>
      </c>
      <c r="K617" s="36">
        <v>0</v>
      </c>
      <c r="L617" s="35">
        <v>0</v>
      </c>
      <c r="M617" s="35">
        <v>0</v>
      </c>
      <c r="N617" s="35">
        <v>0</v>
      </c>
      <c r="O617" s="35">
        <v>-759000</v>
      </c>
      <c r="P617" s="35">
        <v>0</v>
      </c>
      <c r="R617" s="37">
        <f t="shared" ref="R617:R675" si="136">F617-J617-K617-L617-M617-N617-O617</f>
        <v>759000</v>
      </c>
      <c r="X617" s="28"/>
      <c r="Y617" s="28"/>
    </row>
    <row r="618" spans="1:25" s="4" customFormat="1">
      <c r="A618" s="41"/>
      <c r="B618" s="20" t="s">
        <v>52</v>
      </c>
      <c r="C618" s="42">
        <v>2025</v>
      </c>
      <c r="D618" s="19" t="s">
        <v>375</v>
      </c>
      <c r="E618" s="3" t="s">
        <v>663</v>
      </c>
      <c r="F618" s="1">
        <v>0</v>
      </c>
      <c r="G618" s="32">
        <v>0</v>
      </c>
      <c r="H618" s="33">
        <f t="shared" si="135"/>
        <v>0</v>
      </c>
      <c r="I618" s="34"/>
      <c r="J618" s="35">
        <v>0</v>
      </c>
      <c r="K618" s="36">
        <v>0</v>
      </c>
      <c r="L618" s="35">
        <v>0</v>
      </c>
      <c r="M618" s="35">
        <v>0</v>
      </c>
      <c r="N618" s="35">
        <v>0</v>
      </c>
      <c r="O618" s="35">
        <v>-92000</v>
      </c>
      <c r="P618" s="35">
        <v>0</v>
      </c>
      <c r="R618" s="37">
        <f t="shared" si="136"/>
        <v>92000</v>
      </c>
      <c r="X618" s="28"/>
      <c r="Y618" s="28"/>
    </row>
    <row r="619" spans="1:25" s="4" customFormat="1">
      <c r="A619" s="41"/>
      <c r="B619" s="20" t="s">
        <v>52</v>
      </c>
      <c r="C619" s="42">
        <v>2025</v>
      </c>
      <c r="D619" s="19" t="s">
        <v>375</v>
      </c>
      <c r="E619" s="3" t="s">
        <v>664</v>
      </c>
      <c r="F619" s="1">
        <v>0</v>
      </c>
      <c r="G619" s="32">
        <v>0</v>
      </c>
      <c r="H619" s="33">
        <f t="shared" si="135"/>
        <v>0</v>
      </c>
      <c r="I619" s="34"/>
      <c r="J619" s="35">
        <v>0</v>
      </c>
      <c r="K619" s="36">
        <v>0</v>
      </c>
      <c r="L619" s="35">
        <v>0</v>
      </c>
      <c r="M619" s="35">
        <v>0</v>
      </c>
      <c r="N619" s="35">
        <v>0</v>
      </c>
      <c r="O619" s="35">
        <v>-2705000</v>
      </c>
      <c r="P619" s="35">
        <v>0</v>
      </c>
      <c r="R619" s="37">
        <f t="shared" si="136"/>
        <v>2705000</v>
      </c>
      <c r="X619" s="28"/>
      <c r="Y619" s="28"/>
    </row>
    <row r="620" spans="1:25" s="4" customFormat="1">
      <c r="A620" s="41"/>
      <c r="B620" s="20" t="s">
        <v>52</v>
      </c>
      <c r="C620" s="42">
        <v>2025</v>
      </c>
      <c r="D620" s="19" t="s">
        <v>375</v>
      </c>
      <c r="E620" s="3" t="s">
        <v>665</v>
      </c>
      <c r="F620" s="1">
        <v>0</v>
      </c>
      <c r="G620" s="32">
        <v>0</v>
      </c>
      <c r="H620" s="33">
        <f t="shared" si="135"/>
        <v>0</v>
      </c>
      <c r="I620" s="34"/>
      <c r="J620" s="35">
        <v>0</v>
      </c>
      <c r="K620" s="36">
        <v>0</v>
      </c>
      <c r="L620" s="35">
        <v>0</v>
      </c>
      <c r="M620" s="35">
        <v>0</v>
      </c>
      <c r="N620" s="35">
        <v>0</v>
      </c>
      <c r="O620" s="35">
        <v>-250000</v>
      </c>
      <c r="P620" s="35">
        <v>0</v>
      </c>
      <c r="R620" s="37">
        <f t="shared" si="136"/>
        <v>250000</v>
      </c>
      <c r="X620" s="28"/>
      <c r="Y620" s="28"/>
    </row>
    <row r="621" spans="1:25" s="4" customFormat="1">
      <c r="A621" s="41"/>
      <c r="B621" s="20" t="s">
        <v>52</v>
      </c>
      <c r="C621" s="42">
        <v>2025</v>
      </c>
      <c r="D621" s="19" t="s">
        <v>375</v>
      </c>
      <c r="E621" s="3" t="s">
        <v>666</v>
      </c>
      <c r="F621" s="1">
        <v>0</v>
      </c>
      <c r="G621" s="32">
        <v>0</v>
      </c>
      <c r="H621" s="33">
        <f t="shared" si="135"/>
        <v>0</v>
      </c>
      <c r="I621" s="34"/>
      <c r="J621" s="35">
        <v>0</v>
      </c>
      <c r="K621" s="36">
        <v>0</v>
      </c>
      <c r="L621" s="35">
        <v>0</v>
      </c>
      <c r="M621" s="35">
        <v>0</v>
      </c>
      <c r="N621" s="35">
        <v>0</v>
      </c>
      <c r="O621" s="35">
        <v>-685000</v>
      </c>
      <c r="P621" s="35">
        <v>0</v>
      </c>
      <c r="R621" s="37">
        <f t="shared" si="136"/>
        <v>685000</v>
      </c>
      <c r="X621" s="28"/>
      <c r="Y621" s="28"/>
    </row>
    <row r="622" spans="1:25" s="4" customFormat="1">
      <c r="A622" s="41"/>
      <c r="B622" s="20" t="s">
        <v>52</v>
      </c>
      <c r="C622" s="42">
        <v>2025</v>
      </c>
      <c r="D622" s="19" t="s">
        <v>375</v>
      </c>
      <c r="E622" s="3" t="s">
        <v>667</v>
      </c>
      <c r="F622" s="1">
        <v>0</v>
      </c>
      <c r="G622" s="32">
        <v>0</v>
      </c>
      <c r="H622" s="33">
        <f t="shared" si="135"/>
        <v>0</v>
      </c>
      <c r="I622" s="34"/>
      <c r="J622" s="35">
        <v>0</v>
      </c>
      <c r="K622" s="36">
        <v>0</v>
      </c>
      <c r="L622" s="35">
        <v>0</v>
      </c>
      <c r="M622" s="35">
        <v>0</v>
      </c>
      <c r="N622" s="35">
        <v>0</v>
      </c>
      <c r="O622" s="35">
        <v>-300000</v>
      </c>
      <c r="P622" s="35">
        <v>0</v>
      </c>
      <c r="R622" s="37">
        <f t="shared" si="136"/>
        <v>300000</v>
      </c>
      <c r="X622" s="28"/>
      <c r="Y622" s="28"/>
    </row>
    <row r="623" spans="1:25" s="4" customFormat="1">
      <c r="A623" s="41"/>
      <c r="B623" s="20" t="s">
        <v>52</v>
      </c>
      <c r="C623" s="42">
        <v>2025</v>
      </c>
      <c r="D623" s="19" t="s">
        <v>375</v>
      </c>
      <c r="E623" s="3" t="s">
        <v>668</v>
      </c>
      <c r="F623" s="1">
        <v>0</v>
      </c>
      <c r="G623" s="32">
        <v>0</v>
      </c>
      <c r="H623" s="33">
        <f t="shared" si="135"/>
        <v>0</v>
      </c>
      <c r="I623" s="34"/>
      <c r="J623" s="35">
        <v>0</v>
      </c>
      <c r="K623" s="36">
        <v>0</v>
      </c>
      <c r="L623" s="35">
        <v>0</v>
      </c>
      <c r="M623" s="35">
        <v>0</v>
      </c>
      <c r="N623" s="35">
        <v>0</v>
      </c>
      <c r="O623" s="35">
        <v>-238970</v>
      </c>
      <c r="P623" s="35">
        <v>0</v>
      </c>
      <c r="R623" s="37">
        <f t="shared" si="136"/>
        <v>238970</v>
      </c>
      <c r="X623" s="28"/>
      <c r="Y623" s="28"/>
    </row>
    <row r="624" spans="1:25" s="4" customFormat="1">
      <c r="A624" s="41"/>
      <c r="B624" s="20" t="s">
        <v>52</v>
      </c>
      <c r="C624" s="42">
        <v>2025</v>
      </c>
      <c r="D624" s="19" t="s">
        <v>375</v>
      </c>
      <c r="E624" s="3" t="s">
        <v>669</v>
      </c>
      <c r="F624" s="1">
        <v>0</v>
      </c>
      <c r="G624" s="32">
        <v>0</v>
      </c>
      <c r="H624" s="33">
        <f t="shared" si="135"/>
        <v>0</v>
      </c>
      <c r="I624" s="34"/>
      <c r="J624" s="35">
        <v>0</v>
      </c>
      <c r="K624" s="36">
        <v>0</v>
      </c>
      <c r="L624" s="35">
        <v>0</v>
      </c>
      <c r="M624" s="35">
        <v>0</v>
      </c>
      <c r="N624" s="35">
        <v>0</v>
      </c>
      <c r="O624" s="35">
        <v>-16645037</v>
      </c>
      <c r="P624" s="35">
        <v>0</v>
      </c>
      <c r="R624" s="37">
        <f t="shared" si="136"/>
        <v>16645037</v>
      </c>
      <c r="X624" s="28"/>
      <c r="Y624" s="28"/>
    </row>
    <row r="625" spans="1:25" s="4" customFormat="1">
      <c r="A625" s="41"/>
      <c r="B625" s="20" t="s">
        <v>52</v>
      </c>
      <c r="C625" s="42">
        <v>2025</v>
      </c>
      <c r="D625" s="19" t="s">
        <v>375</v>
      </c>
      <c r="E625" s="3" t="s">
        <v>670</v>
      </c>
      <c r="F625" s="1">
        <v>0</v>
      </c>
      <c r="G625" s="32">
        <v>0</v>
      </c>
      <c r="H625" s="33">
        <f t="shared" si="135"/>
        <v>0</v>
      </c>
      <c r="I625" s="34"/>
      <c r="J625" s="35">
        <v>0</v>
      </c>
      <c r="K625" s="36">
        <v>0</v>
      </c>
      <c r="L625" s="35">
        <v>0</v>
      </c>
      <c r="M625" s="35">
        <v>0</v>
      </c>
      <c r="N625" s="35">
        <v>0</v>
      </c>
      <c r="O625" s="35">
        <v>-50000</v>
      </c>
      <c r="P625" s="35">
        <v>0</v>
      </c>
      <c r="R625" s="37">
        <f t="shared" si="136"/>
        <v>50000</v>
      </c>
      <c r="X625" s="28"/>
      <c r="Y625" s="28"/>
    </row>
    <row r="626" spans="1:25" s="4" customFormat="1">
      <c r="A626" s="41"/>
      <c r="B626" s="20" t="s">
        <v>52</v>
      </c>
      <c r="C626" s="42">
        <v>2025</v>
      </c>
      <c r="D626" s="19" t="s">
        <v>375</v>
      </c>
      <c r="E626" s="3" t="s">
        <v>671</v>
      </c>
      <c r="F626" s="1">
        <v>0</v>
      </c>
      <c r="G626" s="32">
        <v>0</v>
      </c>
      <c r="H626" s="33">
        <f t="shared" si="135"/>
        <v>0</v>
      </c>
      <c r="I626" s="34"/>
      <c r="J626" s="35">
        <v>0</v>
      </c>
      <c r="K626" s="36">
        <v>0</v>
      </c>
      <c r="L626" s="35">
        <v>0</v>
      </c>
      <c r="M626" s="35">
        <v>0</v>
      </c>
      <c r="N626" s="35">
        <v>0</v>
      </c>
      <c r="O626" s="35">
        <v>-80000</v>
      </c>
      <c r="P626" s="35">
        <v>0</v>
      </c>
      <c r="R626" s="37">
        <f t="shared" si="136"/>
        <v>80000</v>
      </c>
      <c r="X626" s="28"/>
      <c r="Y626" s="28"/>
    </row>
    <row r="627" spans="1:25" s="4" customFormat="1">
      <c r="A627" s="41"/>
      <c r="B627" s="20" t="s">
        <v>52</v>
      </c>
      <c r="C627" s="42">
        <v>2025</v>
      </c>
      <c r="D627" s="19" t="s">
        <v>375</v>
      </c>
      <c r="E627" s="3" t="s">
        <v>672</v>
      </c>
      <c r="F627" s="1">
        <v>0</v>
      </c>
      <c r="G627" s="32">
        <v>0</v>
      </c>
      <c r="H627" s="33">
        <f t="shared" si="135"/>
        <v>0</v>
      </c>
      <c r="I627" s="34"/>
      <c r="J627" s="35">
        <v>0</v>
      </c>
      <c r="K627" s="36">
        <v>0</v>
      </c>
      <c r="L627" s="35">
        <v>0</v>
      </c>
      <c r="M627" s="35">
        <v>0</v>
      </c>
      <c r="N627" s="35">
        <v>0</v>
      </c>
      <c r="O627" s="35">
        <v>-145000</v>
      </c>
      <c r="P627" s="35">
        <v>0</v>
      </c>
      <c r="R627" s="37">
        <f t="shared" si="136"/>
        <v>145000</v>
      </c>
      <c r="X627" s="28"/>
      <c r="Y627" s="28"/>
    </row>
    <row r="628" spans="1:25" s="4" customFormat="1">
      <c r="A628" s="41"/>
      <c r="B628" s="20" t="s">
        <v>52</v>
      </c>
      <c r="C628" s="42">
        <v>2025</v>
      </c>
      <c r="D628" s="19" t="s">
        <v>375</v>
      </c>
      <c r="E628" s="3" t="s">
        <v>623</v>
      </c>
      <c r="F628" s="1">
        <v>0</v>
      </c>
      <c r="G628" s="32">
        <v>0</v>
      </c>
      <c r="H628" s="33">
        <f t="shared" si="135"/>
        <v>0</v>
      </c>
      <c r="I628" s="34"/>
      <c r="J628" s="35">
        <v>0</v>
      </c>
      <c r="K628" s="36">
        <v>0</v>
      </c>
      <c r="L628" s="35">
        <v>0</v>
      </c>
      <c r="M628" s="35">
        <v>0</v>
      </c>
      <c r="N628" s="35">
        <v>0</v>
      </c>
      <c r="O628" s="35">
        <v>-172000</v>
      </c>
      <c r="P628" s="35">
        <v>0</v>
      </c>
      <c r="R628" s="37">
        <f t="shared" si="136"/>
        <v>172000</v>
      </c>
      <c r="X628" s="28"/>
      <c r="Y628" s="28"/>
    </row>
    <row r="629" spans="1:25" s="4" customFormat="1">
      <c r="A629" s="41"/>
      <c r="B629" s="20" t="s">
        <v>52</v>
      </c>
      <c r="C629" s="42">
        <v>2025</v>
      </c>
      <c r="D629" s="19" t="s">
        <v>375</v>
      </c>
      <c r="E629" s="3" t="s">
        <v>673</v>
      </c>
      <c r="F629" s="1">
        <v>0</v>
      </c>
      <c r="G629" s="32">
        <v>0</v>
      </c>
      <c r="H629" s="33">
        <f t="shared" si="135"/>
        <v>0</v>
      </c>
      <c r="I629" s="34"/>
      <c r="J629" s="35">
        <v>0</v>
      </c>
      <c r="K629" s="36">
        <v>0</v>
      </c>
      <c r="L629" s="35">
        <v>0</v>
      </c>
      <c r="M629" s="35">
        <v>0</v>
      </c>
      <c r="N629" s="35">
        <v>0</v>
      </c>
      <c r="O629" s="35">
        <v>-85000</v>
      </c>
      <c r="P629" s="35">
        <v>0</v>
      </c>
      <c r="R629" s="37">
        <f t="shared" si="136"/>
        <v>85000</v>
      </c>
      <c r="X629" s="28"/>
      <c r="Y629" s="28"/>
    </row>
    <row r="630" spans="1:25" s="4" customFormat="1">
      <c r="A630" s="41"/>
      <c r="B630" s="20" t="s">
        <v>52</v>
      </c>
      <c r="C630" s="42">
        <v>2025</v>
      </c>
      <c r="D630" s="19" t="s">
        <v>375</v>
      </c>
      <c r="E630" s="3" t="s">
        <v>569</v>
      </c>
      <c r="F630" s="1">
        <v>0</v>
      </c>
      <c r="G630" s="32">
        <v>0</v>
      </c>
      <c r="H630" s="33">
        <f t="shared" si="135"/>
        <v>0</v>
      </c>
      <c r="I630" s="34"/>
      <c r="J630" s="35">
        <v>0</v>
      </c>
      <c r="K630" s="36">
        <v>0</v>
      </c>
      <c r="L630" s="35">
        <v>0</v>
      </c>
      <c r="M630" s="35">
        <v>0</v>
      </c>
      <c r="N630" s="35">
        <v>0</v>
      </c>
      <c r="O630" s="35">
        <v>-20000</v>
      </c>
      <c r="P630" s="35">
        <v>0</v>
      </c>
      <c r="R630" s="37">
        <f t="shared" si="136"/>
        <v>20000</v>
      </c>
      <c r="X630" s="28"/>
      <c r="Y630" s="28"/>
    </row>
    <row r="631" spans="1:25" s="4" customFormat="1">
      <c r="A631" s="41"/>
      <c r="B631" s="20" t="s">
        <v>52</v>
      </c>
      <c r="C631" s="42">
        <v>2025</v>
      </c>
      <c r="D631" s="19" t="s">
        <v>375</v>
      </c>
      <c r="E631" s="3" t="s">
        <v>674</v>
      </c>
      <c r="F631" s="1">
        <v>0</v>
      </c>
      <c r="G631" s="32">
        <v>0</v>
      </c>
      <c r="H631" s="33">
        <f t="shared" si="135"/>
        <v>0</v>
      </c>
      <c r="I631" s="34"/>
      <c r="J631" s="35">
        <v>0</v>
      </c>
      <c r="K631" s="36">
        <v>0</v>
      </c>
      <c r="L631" s="35">
        <v>0</v>
      </c>
      <c r="M631" s="35">
        <v>0</v>
      </c>
      <c r="N631" s="35">
        <v>0</v>
      </c>
      <c r="O631" s="35">
        <v>-44000</v>
      </c>
      <c r="P631" s="35">
        <v>0</v>
      </c>
      <c r="R631" s="37">
        <f t="shared" si="136"/>
        <v>44000</v>
      </c>
      <c r="X631" s="28"/>
      <c r="Y631" s="28"/>
    </row>
    <row r="632" spans="1:25" s="4" customFormat="1">
      <c r="A632" s="41"/>
      <c r="B632" s="20" t="s">
        <v>52</v>
      </c>
      <c r="C632" s="42">
        <v>2025</v>
      </c>
      <c r="D632" s="19" t="s">
        <v>375</v>
      </c>
      <c r="E632" s="3" t="s">
        <v>675</v>
      </c>
      <c r="F632" s="1">
        <v>0</v>
      </c>
      <c r="G632" s="32">
        <v>0</v>
      </c>
      <c r="H632" s="33">
        <f t="shared" si="135"/>
        <v>0</v>
      </c>
      <c r="I632" s="34"/>
      <c r="J632" s="35">
        <v>0</v>
      </c>
      <c r="K632" s="36">
        <v>0</v>
      </c>
      <c r="L632" s="35">
        <v>0</v>
      </c>
      <c r="M632" s="35">
        <v>0</v>
      </c>
      <c r="N632" s="35">
        <v>0</v>
      </c>
      <c r="O632" s="35">
        <v>-8000</v>
      </c>
      <c r="P632" s="35">
        <v>0</v>
      </c>
      <c r="R632" s="37">
        <f t="shared" si="136"/>
        <v>8000</v>
      </c>
      <c r="X632" s="28"/>
      <c r="Y632" s="28"/>
    </row>
    <row r="633" spans="1:25" s="4" customFormat="1">
      <c r="A633" s="41"/>
      <c r="B633" s="20" t="s">
        <v>52</v>
      </c>
      <c r="C633" s="42">
        <v>2025</v>
      </c>
      <c r="D633" s="19" t="s">
        <v>375</v>
      </c>
      <c r="E633" s="3" t="s">
        <v>676</v>
      </c>
      <c r="F633" s="1">
        <v>0</v>
      </c>
      <c r="G633" s="32">
        <v>0</v>
      </c>
      <c r="H633" s="33">
        <f t="shared" si="135"/>
        <v>0</v>
      </c>
      <c r="I633" s="34"/>
      <c r="J633" s="35">
        <v>0</v>
      </c>
      <c r="K633" s="36">
        <v>0</v>
      </c>
      <c r="L633" s="35">
        <v>0</v>
      </c>
      <c r="M633" s="35">
        <v>0</v>
      </c>
      <c r="N633" s="35">
        <v>0</v>
      </c>
      <c r="O633" s="35">
        <v>-15500</v>
      </c>
      <c r="P633" s="35">
        <v>0</v>
      </c>
      <c r="R633" s="37">
        <f t="shared" si="136"/>
        <v>15500</v>
      </c>
      <c r="X633" s="28"/>
      <c r="Y633" s="28"/>
    </row>
    <row r="634" spans="1:25" s="4" customFormat="1">
      <c r="A634" s="41"/>
      <c r="B634" s="20" t="s">
        <v>52</v>
      </c>
      <c r="C634" s="42">
        <v>2025</v>
      </c>
      <c r="D634" s="19" t="s">
        <v>375</v>
      </c>
      <c r="E634" s="3" t="s">
        <v>677</v>
      </c>
      <c r="F634" s="1">
        <v>0</v>
      </c>
      <c r="G634" s="32">
        <v>0</v>
      </c>
      <c r="H634" s="33">
        <f t="shared" si="135"/>
        <v>0</v>
      </c>
      <c r="I634" s="34"/>
      <c r="J634" s="35">
        <v>0</v>
      </c>
      <c r="K634" s="36">
        <v>0</v>
      </c>
      <c r="L634" s="35">
        <v>0</v>
      </c>
      <c r="M634" s="35">
        <v>0</v>
      </c>
      <c r="N634" s="35">
        <v>0</v>
      </c>
      <c r="O634" s="35">
        <v>-204000</v>
      </c>
      <c r="P634" s="35">
        <v>0</v>
      </c>
      <c r="R634" s="37">
        <f t="shared" si="136"/>
        <v>204000</v>
      </c>
      <c r="X634" s="28"/>
      <c r="Y634" s="28"/>
    </row>
    <row r="635" spans="1:25" s="4" customFormat="1">
      <c r="A635" s="41"/>
      <c r="B635" s="20" t="s">
        <v>52</v>
      </c>
      <c r="C635" s="42">
        <v>2025</v>
      </c>
      <c r="D635" s="19" t="s">
        <v>375</v>
      </c>
      <c r="E635" s="3" t="s">
        <v>678</v>
      </c>
      <c r="F635" s="1">
        <v>0</v>
      </c>
      <c r="G635" s="32">
        <v>0</v>
      </c>
      <c r="H635" s="33">
        <f t="shared" si="135"/>
        <v>0</v>
      </c>
      <c r="I635" s="34"/>
      <c r="J635" s="35">
        <v>0</v>
      </c>
      <c r="K635" s="36">
        <v>0</v>
      </c>
      <c r="L635" s="35">
        <v>0</v>
      </c>
      <c r="M635" s="35">
        <v>0</v>
      </c>
      <c r="N635" s="35">
        <v>0</v>
      </c>
      <c r="O635" s="35">
        <v>-11500</v>
      </c>
      <c r="P635" s="35">
        <v>0</v>
      </c>
      <c r="R635" s="37">
        <f t="shared" si="136"/>
        <v>11500</v>
      </c>
      <c r="X635" s="28"/>
      <c r="Y635" s="28"/>
    </row>
    <row r="636" spans="1:25" s="4" customFormat="1">
      <c r="A636" s="41"/>
      <c r="B636" s="20" t="s">
        <v>52</v>
      </c>
      <c r="C636" s="42">
        <v>2025</v>
      </c>
      <c r="D636" s="19" t="s">
        <v>375</v>
      </c>
      <c r="E636" s="3" t="s">
        <v>679</v>
      </c>
      <c r="F636" s="1">
        <v>0</v>
      </c>
      <c r="G636" s="32">
        <v>0</v>
      </c>
      <c r="H636" s="33">
        <f t="shared" si="135"/>
        <v>0</v>
      </c>
      <c r="I636" s="34"/>
      <c r="J636" s="35">
        <v>0</v>
      </c>
      <c r="K636" s="36">
        <v>0</v>
      </c>
      <c r="L636" s="35">
        <v>0</v>
      </c>
      <c r="M636" s="35">
        <v>0</v>
      </c>
      <c r="N636" s="35">
        <v>0</v>
      </c>
      <c r="O636" s="35">
        <v>-621206</v>
      </c>
      <c r="P636" s="35">
        <v>0</v>
      </c>
      <c r="R636" s="37">
        <f t="shared" si="136"/>
        <v>621206</v>
      </c>
      <c r="X636" s="28"/>
      <c r="Y636" s="28"/>
    </row>
    <row r="637" spans="1:25" s="4" customFormat="1">
      <c r="A637" s="41"/>
      <c r="B637" s="20" t="s">
        <v>52</v>
      </c>
      <c r="C637" s="42">
        <v>2025</v>
      </c>
      <c r="D637" s="19" t="s">
        <v>375</v>
      </c>
      <c r="E637" s="3" t="s">
        <v>680</v>
      </c>
      <c r="F637" s="1">
        <v>0</v>
      </c>
      <c r="G637" s="32">
        <v>0</v>
      </c>
      <c r="H637" s="33">
        <f t="shared" si="135"/>
        <v>0</v>
      </c>
      <c r="I637" s="34"/>
      <c r="J637" s="35">
        <v>0</v>
      </c>
      <c r="K637" s="36">
        <v>0</v>
      </c>
      <c r="L637" s="35">
        <v>0</v>
      </c>
      <c r="M637" s="35">
        <v>0</v>
      </c>
      <c r="N637" s="35">
        <v>0</v>
      </c>
      <c r="O637" s="35">
        <v>-13500</v>
      </c>
      <c r="P637" s="35">
        <v>0</v>
      </c>
      <c r="R637" s="37">
        <f t="shared" si="136"/>
        <v>13500</v>
      </c>
      <c r="X637" s="28"/>
      <c r="Y637" s="28"/>
    </row>
    <row r="638" spans="1:25" s="4" customFormat="1">
      <c r="A638" s="41"/>
      <c r="B638" s="20" t="s">
        <v>52</v>
      </c>
      <c r="C638" s="42">
        <v>2025</v>
      </c>
      <c r="D638" s="19" t="s">
        <v>375</v>
      </c>
      <c r="E638" s="3" t="s">
        <v>681</v>
      </c>
      <c r="F638" s="1">
        <v>0</v>
      </c>
      <c r="G638" s="32">
        <v>0</v>
      </c>
      <c r="H638" s="33">
        <f t="shared" si="135"/>
        <v>0</v>
      </c>
      <c r="I638" s="34"/>
      <c r="J638" s="35">
        <v>0</v>
      </c>
      <c r="K638" s="36">
        <v>0</v>
      </c>
      <c r="L638" s="35">
        <v>0</v>
      </c>
      <c r="M638" s="35">
        <v>0</v>
      </c>
      <c r="N638" s="35">
        <v>0</v>
      </c>
      <c r="O638" s="35">
        <v>-200000</v>
      </c>
      <c r="P638" s="35">
        <v>0</v>
      </c>
      <c r="R638" s="37">
        <f t="shared" si="136"/>
        <v>200000</v>
      </c>
      <c r="X638" s="28"/>
      <c r="Y638" s="28"/>
    </row>
    <row r="639" spans="1:25" s="4" customFormat="1">
      <c r="A639" s="41"/>
      <c r="B639" s="20" t="s">
        <v>52</v>
      </c>
      <c r="C639" s="42">
        <v>2025</v>
      </c>
      <c r="D639" s="19" t="s">
        <v>375</v>
      </c>
      <c r="E639" s="3" t="s">
        <v>682</v>
      </c>
      <c r="F639" s="1">
        <v>0</v>
      </c>
      <c r="G639" s="32">
        <v>0</v>
      </c>
      <c r="H639" s="33">
        <f t="shared" si="135"/>
        <v>0</v>
      </c>
      <c r="I639" s="34"/>
      <c r="J639" s="35">
        <v>0</v>
      </c>
      <c r="K639" s="36">
        <v>0</v>
      </c>
      <c r="L639" s="35">
        <v>0</v>
      </c>
      <c r="M639" s="35">
        <v>0</v>
      </c>
      <c r="N639" s="35">
        <v>0</v>
      </c>
      <c r="O639" s="35">
        <v>-50000</v>
      </c>
      <c r="P639" s="35">
        <v>0</v>
      </c>
      <c r="R639" s="37">
        <f t="shared" si="136"/>
        <v>50000</v>
      </c>
      <c r="X639" s="28"/>
      <c r="Y639" s="28"/>
    </row>
    <row r="640" spans="1:25" s="4" customFormat="1">
      <c r="A640" s="41"/>
      <c r="B640" s="20" t="s">
        <v>52</v>
      </c>
      <c r="C640" s="42">
        <v>2025</v>
      </c>
      <c r="D640" s="19" t="s">
        <v>375</v>
      </c>
      <c r="E640" s="3" t="s">
        <v>683</v>
      </c>
      <c r="F640" s="1">
        <v>0</v>
      </c>
      <c r="G640" s="32">
        <v>0</v>
      </c>
      <c r="H640" s="33">
        <f t="shared" si="135"/>
        <v>0</v>
      </c>
      <c r="I640" s="34"/>
      <c r="J640" s="35">
        <v>0</v>
      </c>
      <c r="K640" s="36">
        <v>0</v>
      </c>
      <c r="L640" s="35">
        <v>0</v>
      </c>
      <c r="M640" s="35">
        <v>0</v>
      </c>
      <c r="N640" s="35">
        <v>0</v>
      </c>
      <c r="O640" s="35">
        <v>-200000</v>
      </c>
      <c r="P640" s="35">
        <v>0</v>
      </c>
      <c r="R640" s="37">
        <f t="shared" si="136"/>
        <v>200000</v>
      </c>
      <c r="X640" s="28"/>
      <c r="Y640" s="28"/>
    </row>
    <row r="641" spans="1:25" s="4" customFormat="1">
      <c r="A641" s="41"/>
      <c r="B641" s="20" t="s">
        <v>52</v>
      </c>
      <c r="C641" s="42">
        <v>2025</v>
      </c>
      <c r="D641" s="19" t="s">
        <v>375</v>
      </c>
      <c r="E641" s="3" t="s">
        <v>684</v>
      </c>
      <c r="F641" s="1">
        <v>0</v>
      </c>
      <c r="G641" s="32">
        <v>0</v>
      </c>
      <c r="H641" s="33">
        <f t="shared" si="135"/>
        <v>0</v>
      </c>
      <c r="I641" s="34"/>
      <c r="J641" s="35">
        <v>0</v>
      </c>
      <c r="K641" s="36">
        <v>0</v>
      </c>
      <c r="L641" s="35">
        <v>0</v>
      </c>
      <c r="M641" s="35">
        <v>0</v>
      </c>
      <c r="N641" s="35">
        <v>0</v>
      </c>
      <c r="O641" s="35">
        <v>-140000</v>
      </c>
      <c r="P641" s="35">
        <v>0</v>
      </c>
      <c r="R641" s="37">
        <f t="shared" si="136"/>
        <v>140000</v>
      </c>
      <c r="X641" s="28"/>
      <c r="Y641" s="28"/>
    </row>
    <row r="642" spans="1:25" s="4" customFormat="1">
      <c r="A642" s="41"/>
      <c r="B642" s="20" t="s">
        <v>52</v>
      </c>
      <c r="C642" s="42">
        <v>2025</v>
      </c>
      <c r="D642" s="19" t="s">
        <v>461</v>
      </c>
      <c r="E642" s="3" t="s">
        <v>685</v>
      </c>
      <c r="F642" s="1">
        <v>0</v>
      </c>
      <c r="G642" s="32">
        <v>0</v>
      </c>
      <c r="H642" s="33">
        <f t="shared" si="135"/>
        <v>0</v>
      </c>
      <c r="I642" s="34"/>
      <c r="J642" s="35">
        <v>0</v>
      </c>
      <c r="K642" s="36">
        <v>0</v>
      </c>
      <c r="L642" s="35">
        <v>0</v>
      </c>
      <c r="M642" s="35">
        <v>0</v>
      </c>
      <c r="N642" s="35">
        <v>0</v>
      </c>
      <c r="O642" s="35">
        <v>-67500</v>
      </c>
      <c r="P642" s="35">
        <v>0</v>
      </c>
      <c r="R642" s="37">
        <f t="shared" si="136"/>
        <v>67500</v>
      </c>
      <c r="X642" s="28"/>
      <c r="Y642" s="28"/>
    </row>
    <row r="643" spans="1:25" s="4" customFormat="1">
      <c r="A643" s="41"/>
      <c r="B643" s="20" t="s">
        <v>52</v>
      </c>
      <c r="C643" s="42">
        <v>2025</v>
      </c>
      <c r="D643" s="19" t="s">
        <v>461</v>
      </c>
      <c r="E643" s="3" t="s">
        <v>686</v>
      </c>
      <c r="F643" s="1">
        <v>0</v>
      </c>
      <c r="G643" s="32">
        <v>0</v>
      </c>
      <c r="H643" s="33">
        <f t="shared" si="135"/>
        <v>0</v>
      </c>
      <c r="I643" s="34"/>
      <c r="J643" s="35">
        <v>0</v>
      </c>
      <c r="K643" s="36">
        <v>0</v>
      </c>
      <c r="L643" s="35">
        <v>0</v>
      </c>
      <c r="M643" s="35">
        <v>0</v>
      </c>
      <c r="N643" s="35">
        <v>0</v>
      </c>
      <c r="O643" s="35">
        <v>-1000000</v>
      </c>
      <c r="P643" s="35">
        <v>0</v>
      </c>
      <c r="R643" s="37">
        <f t="shared" si="136"/>
        <v>1000000</v>
      </c>
      <c r="X643" s="28"/>
      <c r="Y643" s="28"/>
    </row>
    <row r="644" spans="1:25" s="4" customFormat="1">
      <c r="A644" s="41"/>
      <c r="B644" s="20" t="s">
        <v>52</v>
      </c>
      <c r="C644" s="42">
        <v>2025</v>
      </c>
      <c r="D644" s="19" t="s">
        <v>461</v>
      </c>
      <c r="E644" s="3" t="s">
        <v>687</v>
      </c>
      <c r="F644" s="1">
        <v>0</v>
      </c>
      <c r="G644" s="32">
        <v>0</v>
      </c>
      <c r="H644" s="33">
        <f t="shared" si="135"/>
        <v>0</v>
      </c>
      <c r="I644" s="34"/>
      <c r="J644" s="35">
        <v>0</v>
      </c>
      <c r="K644" s="36">
        <v>0</v>
      </c>
      <c r="L644" s="35">
        <v>0</v>
      </c>
      <c r="M644" s="35">
        <v>0</v>
      </c>
      <c r="N644" s="35">
        <v>0</v>
      </c>
      <c r="O644" s="35">
        <v>-300000</v>
      </c>
      <c r="P644" s="35">
        <v>0</v>
      </c>
      <c r="R644" s="37">
        <f t="shared" si="136"/>
        <v>300000</v>
      </c>
      <c r="X644" s="28"/>
      <c r="Y644" s="28"/>
    </row>
    <row r="645" spans="1:25" s="4" customFormat="1">
      <c r="A645" s="41"/>
      <c r="B645" s="20" t="s">
        <v>52</v>
      </c>
      <c r="C645" s="42">
        <v>2025</v>
      </c>
      <c r="D645" s="19" t="s">
        <v>461</v>
      </c>
      <c r="E645" s="3" t="s">
        <v>688</v>
      </c>
      <c r="F645" s="1">
        <v>0</v>
      </c>
      <c r="G645" s="32">
        <v>0</v>
      </c>
      <c r="H645" s="33">
        <f t="shared" ref="H645:H708" si="137">G645*$H$4/$E$999</f>
        <v>0</v>
      </c>
      <c r="I645" s="34"/>
      <c r="J645" s="35">
        <v>0</v>
      </c>
      <c r="K645" s="36">
        <v>0</v>
      </c>
      <c r="L645" s="35">
        <v>0</v>
      </c>
      <c r="M645" s="35">
        <v>0</v>
      </c>
      <c r="N645" s="35">
        <v>0</v>
      </c>
      <c r="O645" s="35">
        <v>-1900000</v>
      </c>
      <c r="P645" s="35">
        <v>0</v>
      </c>
      <c r="R645" s="37">
        <f t="shared" si="136"/>
        <v>1900000</v>
      </c>
      <c r="X645" s="28"/>
      <c r="Y645" s="28"/>
    </row>
    <row r="646" spans="1:25" s="4" customFormat="1">
      <c r="A646" s="41"/>
      <c r="B646" s="20" t="s">
        <v>52</v>
      </c>
      <c r="C646" s="42">
        <v>2025</v>
      </c>
      <c r="D646" s="19" t="s">
        <v>461</v>
      </c>
      <c r="E646" s="3" t="s">
        <v>689</v>
      </c>
      <c r="F646" s="1">
        <v>0</v>
      </c>
      <c r="G646" s="32">
        <v>0</v>
      </c>
      <c r="H646" s="33">
        <f t="shared" si="137"/>
        <v>0</v>
      </c>
      <c r="I646" s="34"/>
      <c r="J646" s="35">
        <v>0</v>
      </c>
      <c r="K646" s="36">
        <v>0</v>
      </c>
      <c r="L646" s="35">
        <v>0</v>
      </c>
      <c r="M646" s="35">
        <v>0</v>
      </c>
      <c r="N646" s="35">
        <v>0</v>
      </c>
      <c r="O646" s="35">
        <v>-87000</v>
      </c>
      <c r="P646" s="35">
        <v>0</v>
      </c>
      <c r="R646" s="37">
        <f t="shared" si="136"/>
        <v>87000</v>
      </c>
      <c r="X646" s="28"/>
      <c r="Y646" s="28"/>
    </row>
    <row r="647" spans="1:25" s="4" customFormat="1">
      <c r="A647" s="41"/>
      <c r="B647" s="20" t="s">
        <v>52</v>
      </c>
      <c r="C647" s="42">
        <v>2025</v>
      </c>
      <c r="D647" s="19" t="s">
        <v>461</v>
      </c>
      <c r="E647" s="3" t="s">
        <v>690</v>
      </c>
      <c r="F647" s="1">
        <v>0</v>
      </c>
      <c r="G647" s="32">
        <v>0</v>
      </c>
      <c r="H647" s="33">
        <f t="shared" si="137"/>
        <v>0</v>
      </c>
      <c r="I647" s="34"/>
      <c r="J647" s="35">
        <v>0</v>
      </c>
      <c r="K647" s="36">
        <v>0</v>
      </c>
      <c r="L647" s="35">
        <v>0</v>
      </c>
      <c r="M647" s="35">
        <v>0</v>
      </c>
      <c r="N647" s="35">
        <v>0</v>
      </c>
      <c r="O647" s="35">
        <v>-109901</v>
      </c>
      <c r="P647" s="35">
        <v>0</v>
      </c>
      <c r="R647" s="37">
        <f t="shared" si="136"/>
        <v>109901</v>
      </c>
      <c r="X647" s="28"/>
      <c r="Y647" s="28"/>
    </row>
    <row r="648" spans="1:25" s="4" customFormat="1">
      <c r="A648" s="41"/>
      <c r="B648" s="20" t="s">
        <v>52</v>
      </c>
      <c r="C648" s="42">
        <v>2025</v>
      </c>
      <c r="D648" s="19" t="s">
        <v>461</v>
      </c>
      <c r="E648" s="3" t="s">
        <v>691</v>
      </c>
      <c r="F648" s="1">
        <v>0</v>
      </c>
      <c r="G648" s="32">
        <v>0</v>
      </c>
      <c r="H648" s="33">
        <f t="shared" si="137"/>
        <v>0</v>
      </c>
      <c r="I648" s="34"/>
      <c r="J648" s="35">
        <v>0</v>
      </c>
      <c r="K648" s="36">
        <v>0</v>
      </c>
      <c r="L648" s="35">
        <v>0</v>
      </c>
      <c r="M648" s="35">
        <v>0</v>
      </c>
      <c r="N648" s="35">
        <v>0</v>
      </c>
      <c r="O648" s="35">
        <v>-5725000</v>
      </c>
      <c r="P648" s="35">
        <v>0</v>
      </c>
      <c r="R648" s="37">
        <f t="shared" si="136"/>
        <v>5725000</v>
      </c>
      <c r="X648" s="28"/>
      <c r="Y648" s="28"/>
    </row>
    <row r="649" spans="1:25" s="4" customFormat="1">
      <c r="A649" s="41"/>
      <c r="B649" s="20" t="s">
        <v>52</v>
      </c>
      <c r="C649" s="42">
        <v>2025</v>
      </c>
      <c r="D649" s="19" t="s">
        <v>461</v>
      </c>
      <c r="E649" s="3" t="s">
        <v>692</v>
      </c>
      <c r="F649" s="1">
        <v>0</v>
      </c>
      <c r="G649" s="32">
        <v>0</v>
      </c>
      <c r="H649" s="33">
        <f t="shared" si="137"/>
        <v>0</v>
      </c>
      <c r="I649" s="34"/>
      <c r="J649" s="35">
        <v>0</v>
      </c>
      <c r="K649" s="36">
        <v>0</v>
      </c>
      <c r="L649" s="35">
        <v>0</v>
      </c>
      <c r="M649" s="35">
        <v>0</v>
      </c>
      <c r="N649" s="35">
        <v>0</v>
      </c>
      <c r="O649" s="35">
        <v>-1200000</v>
      </c>
      <c r="P649" s="35">
        <v>0</v>
      </c>
      <c r="R649" s="37">
        <f t="shared" si="136"/>
        <v>1200000</v>
      </c>
      <c r="X649" s="28"/>
      <c r="Y649" s="28"/>
    </row>
    <row r="650" spans="1:25" s="4" customFormat="1">
      <c r="A650" s="41"/>
      <c r="B650" s="20" t="s">
        <v>52</v>
      </c>
      <c r="C650" s="42">
        <v>2025</v>
      </c>
      <c r="D650" s="19" t="s">
        <v>461</v>
      </c>
      <c r="E650" s="3" t="s">
        <v>693</v>
      </c>
      <c r="F650" s="1">
        <v>0</v>
      </c>
      <c r="G650" s="32">
        <v>0</v>
      </c>
      <c r="H650" s="33">
        <f t="shared" si="137"/>
        <v>0</v>
      </c>
      <c r="I650" s="34"/>
      <c r="J650" s="35">
        <v>0</v>
      </c>
      <c r="K650" s="36">
        <v>0</v>
      </c>
      <c r="L650" s="35">
        <v>0</v>
      </c>
      <c r="M650" s="35">
        <v>0</v>
      </c>
      <c r="N650" s="35">
        <v>0</v>
      </c>
      <c r="O650" s="35">
        <v>-67000</v>
      </c>
      <c r="P650" s="35">
        <v>0</v>
      </c>
      <c r="R650" s="37">
        <f t="shared" si="136"/>
        <v>67000</v>
      </c>
      <c r="X650" s="28"/>
      <c r="Y650" s="28"/>
    </row>
    <row r="651" spans="1:25" s="4" customFormat="1">
      <c r="A651" s="41"/>
      <c r="B651" s="20" t="s">
        <v>52</v>
      </c>
      <c r="C651" s="42">
        <v>2025</v>
      </c>
      <c r="D651" s="19" t="s">
        <v>461</v>
      </c>
      <c r="E651" s="3" t="s">
        <v>694</v>
      </c>
      <c r="F651" s="1">
        <v>0</v>
      </c>
      <c r="G651" s="32">
        <v>0</v>
      </c>
      <c r="H651" s="33">
        <f t="shared" si="137"/>
        <v>0</v>
      </c>
      <c r="I651" s="34"/>
      <c r="J651" s="35">
        <v>0</v>
      </c>
      <c r="K651" s="36">
        <v>0</v>
      </c>
      <c r="L651" s="35">
        <v>0</v>
      </c>
      <c r="M651" s="35">
        <v>0</v>
      </c>
      <c r="N651" s="35">
        <v>0</v>
      </c>
      <c r="O651" s="35">
        <v>-181000</v>
      </c>
      <c r="P651" s="35">
        <v>0</v>
      </c>
      <c r="R651" s="37">
        <f t="shared" si="136"/>
        <v>181000</v>
      </c>
      <c r="X651" s="28"/>
      <c r="Y651" s="28"/>
    </row>
    <row r="652" spans="1:25" s="4" customFormat="1">
      <c r="A652" s="41"/>
      <c r="B652" s="20" t="s">
        <v>52</v>
      </c>
      <c r="C652" s="42">
        <v>2025</v>
      </c>
      <c r="D652" s="19" t="s">
        <v>461</v>
      </c>
      <c r="E652" s="3" t="s">
        <v>695</v>
      </c>
      <c r="F652" s="1">
        <v>0</v>
      </c>
      <c r="G652" s="32">
        <v>0</v>
      </c>
      <c r="H652" s="33">
        <f t="shared" si="137"/>
        <v>0</v>
      </c>
      <c r="I652" s="34"/>
      <c r="J652" s="35">
        <v>0</v>
      </c>
      <c r="K652" s="36">
        <v>0</v>
      </c>
      <c r="L652" s="35">
        <v>0</v>
      </c>
      <c r="M652" s="35">
        <v>0</v>
      </c>
      <c r="N652" s="35">
        <v>0</v>
      </c>
      <c r="O652" s="35">
        <v>-450000</v>
      </c>
      <c r="P652" s="35">
        <v>0</v>
      </c>
      <c r="R652" s="37">
        <f t="shared" si="136"/>
        <v>450000</v>
      </c>
      <c r="X652" s="28"/>
      <c r="Y652" s="28"/>
    </row>
    <row r="653" spans="1:25" s="4" customFormat="1">
      <c r="A653" s="41"/>
      <c r="B653" s="20" t="s">
        <v>52</v>
      </c>
      <c r="C653" s="42">
        <v>2025</v>
      </c>
      <c r="D653" s="19" t="s">
        <v>461</v>
      </c>
      <c r="E653" s="3" t="s">
        <v>696</v>
      </c>
      <c r="F653" s="1">
        <v>0</v>
      </c>
      <c r="G653" s="32">
        <v>0</v>
      </c>
      <c r="H653" s="33">
        <f t="shared" si="137"/>
        <v>0</v>
      </c>
      <c r="I653" s="34"/>
      <c r="J653" s="35">
        <v>0</v>
      </c>
      <c r="K653" s="36">
        <v>0</v>
      </c>
      <c r="L653" s="35">
        <v>0</v>
      </c>
      <c r="M653" s="35">
        <v>0</v>
      </c>
      <c r="N653" s="35">
        <v>0</v>
      </c>
      <c r="O653" s="35">
        <v>-70000</v>
      </c>
      <c r="P653" s="35">
        <v>0</v>
      </c>
      <c r="R653" s="37">
        <f t="shared" si="136"/>
        <v>70000</v>
      </c>
      <c r="X653" s="28"/>
      <c r="Y653" s="28"/>
    </row>
    <row r="654" spans="1:25" s="4" customFormat="1">
      <c r="A654" s="41"/>
      <c r="B654" s="20" t="s">
        <v>52</v>
      </c>
      <c r="C654" s="42">
        <v>2025</v>
      </c>
      <c r="D654" s="19" t="s">
        <v>461</v>
      </c>
      <c r="E654" s="3" t="s">
        <v>697</v>
      </c>
      <c r="F654" s="1">
        <v>0</v>
      </c>
      <c r="G654" s="32">
        <v>0</v>
      </c>
      <c r="H654" s="33">
        <f t="shared" si="137"/>
        <v>0</v>
      </c>
      <c r="I654" s="34"/>
      <c r="J654" s="35">
        <v>0</v>
      </c>
      <c r="K654" s="36">
        <v>0</v>
      </c>
      <c r="L654" s="35">
        <v>0</v>
      </c>
      <c r="M654" s="35">
        <v>0</v>
      </c>
      <c r="N654" s="35">
        <v>0</v>
      </c>
      <c r="O654" s="35">
        <v>-160000</v>
      </c>
      <c r="P654" s="35">
        <v>0</v>
      </c>
      <c r="R654" s="37">
        <f t="shared" si="136"/>
        <v>160000</v>
      </c>
      <c r="X654" s="28"/>
      <c r="Y654" s="28"/>
    </row>
    <row r="655" spans="1:25" s="4" customFormat="1">
      <c r="A655" s="41"/>
      <c r="B655" s="20" t="s">
        <v>52</v>
      </c>
      <c r="C655" s="42">
        <v>2025</v>
      </c>
      <c r="D655" s="19" t="s">
        <v>461</v>
      </c>
      <c r="E655" s="3" t="s">
        <v>698</v>
      </c>
      <c r="F655" s="1">
        <v>0</v>
      </c>
      <c r="G655" s="32">
        <v>0</v>
      </c>
      <c r="H655" s="33">
        <f t="shared" si="137"/>
        <v>0</v>
      </c>
      <c r="I655" s="34"/>
      <c r="J655" s="35">
        <v>0</v>
      </c>
      <c r="K655" s="36">
        <v>0</v>
      </c>
      <c r="L655" s="35">
        <v>0</v>
      </c>
      <c r="M655" s="35">
        <v>0</v>
      </c>
      <c r="N655" s="35">
        <v>0</v>
      </c>
      <c r="O655" s="35">
        <v>-111800</v>
      </c>
      <c r="P655" s="35">
        <v>0</v>
      </c>
      <c r="R655" s="37">
        <f t="shared" si="136"/>
        <v>111800</v>
      </c>
      <c r="X655" s="28"/>
      <c r="Y655" s="28"/>
    </row>
    <row r="656" spans="1:25" s="4" customFormat="1">
      <c r="A656" s="41"/>
      <c r="B656" s="20" t="s">
        <v>52</v>
      </c>
      <c r="C656" s="42">
        <v>2025</v>
      </c>
      <c r="D656" s="19" t="s">
        <v>461</v>
      </c>
      <c r="E656" s="3" t="s">
        <v>699</v>
      </c>
      <c r="F656" s="1">
        <v>0</v>
      </c>
      <c r="G656" s="32">
        <v>0</v>
      </c>
      <c r="H656" s="33">
        <f t="shared" si="137"/>
        <v>0</v>
      </c>
      <c r="I656" s="34"/>
      <c r="J656" s="35">
        <v>0</v>
      </c>
      <c r="K656" s="36">
        <v>0</v>
      </c>
      <c r="L656" s="35">
        <v>0</v>
      </c>
      <c r="M656" s="35">
        <v>0</v>
      </c>
      <c r="N656" s="35">
        <v>0</v>
      </c>
      <c r="O656" s="35">
        <v>-1801000</v>
      </c>
      <c r="P656" s="35">
        <v>0</v>
      </c>
      <c r="R656" s="37">
        <f t="shared" si="136"/>
        <v>1801000</v>
      </c>
      <c r="X656" s="28"/>
      <c r="Y656" s="28"/>
    </row>
    <row r="657" spans="1:25" s="4" customFormat="1">
      <c r="A657" s="41"/>
      <c r="B657" s="20" t="s">
        <v>52</v>
      </c>
      <c r="C657" s="42">
        <v>2025</v>
      </c>
      <c r="D657" s="19" t="s">
        <v>461</v>
      </c>
      <c r="E657" s="3" t="s">
        <v>700</v>
      </c>
      <c r="F657" s="1">
        <v>0</v>
      </c>
      <c r="G657" s="32">
        <v>0</v>
      </c>
      <c r="H657" s="33">
        <f t="shared" si="137"/>
        <v>0</v>
      </c>
      <c r="I657" s="34"/>
      <c r="J657" s="35">
        <v>0</v>
      </c>
      <c r="K657" s="36">
        <v>0</v>
      </c>
      <c r="L657" s="35">
        <v>0</v>
      </c>
      <c r="M657" s="35">
        <v>0</v>
      </c>
      <c r="N657" s="35">
        <v>0</v>
      </c>
      <c r="O657" s="35">
        <v>-3301000</v>
      </c>
      <c r="P657" s="35">
        <v>0</v>
      </c>
      <c r="R657" s="37">
        <f t="shared" si="136"/>
        <v>3301000</v>
      </c>
      <c r="X657" s="28"/>
      <c r="Y657" s="28"/>
    </row>
    <row r="658" spans="1:25" s="4" customFormat="1">
      <c r="A658" s="41"/>
      <c r="B658" s="20" t="s">
        <v>52</v>
      </c>
      <c r="C658" s="42">
        <v>2025</v>
      </c>
      <c r="D658" s="19" t="s">
        <v>461</v>
      </c>
      <c r="E658" s="3" t="s">
        <v>701</v>
      </c>
      <c r="F658" s="1">
        <v>0</v>
      </c>
      <c r="G658" s="32">
        <v>0</v>
      </c>
      <c r="H658" s="33">
        <f t="shared" si="137"/>
        <v>0</v>
      </c>
      <c r="I658" s="34"/>
      <c r="J658" s="35">
        <v>0</v>
      </c>
      <c r="K658" s="36">
        <v>0</v>
      </c>
      <c r="L658" s="35">
        <v>0</v>
      </c>
      <c r="M658" s="35">
        <v>0</v>
      </c>
      <c r="N658" s="35">
        <v>0</v>
      </c>
      <c r="O658" s="35">
        <v>-3001000</v>
      </c>
      <c r="P658" s="35">
        <v>0</v>
      </c>
      <c r="R658" s="37">
        <f t="shared" si="136"/>
        <v>3001000</v>
      </c>
      <c r="X658" s="28"/>
      <c r="Y658" s="28"/>
    </row>
    <row r="659" spans="1:25" s="4" customFormat="1">
      <c r="A659" s="41"/>
      <c r="B659" s="20" t="s">
        <v>52</v>
      </c>
      <c r="C659" s="42">
        <v>2025</v>
      </c>
      <c r="D659" s="19" t="s">
        <v>461</v>
      </c>
      <c r="E659" s="3" t="s">
        <v>702</v>
      </c>
      <c r="F659" s="1">
        <v>0</v>
      </c>
      <c r="G659" s="32">
        <v>0</v>
      </c>
      <c r="H659" s="33">
        <f t="shared" si="137"/>
        <v>0</v>
      </c>
      <c r="I659" s="34"/>
      <c r="J659" s="35">
        <v>0</v>
      </c>
      <c r="K659" s="36">
        <v>0</v>
      </c>
      <c r="L659" s="35">
        <v>0</v>
      </c>
      <c r="M659" s="35">
        <v>0</v>
      </c>
      <c r="N659" s="35">
        <v>0</v>
      </c>
      <c r="O659" s="35">
        <v>-2701000</v>
      </c>
      <c r="P659" s="35">
        <v>0</v>
      </c>
      <c r="R659" s="37">
        <f t="shared" si="136"/>
        <v>2701000</v>
      </c>
      <c r="X659" s="28"/>
      <c r="Y659" s="28"/>
    </row>
    <row r="660" spans="1:25" s="4" customFormat="1">
      <c r="A660" s="41"/>
      <c r="B660" s="20" t="s">
        <v>52</v>
      </c>
      <c r="C660" s="42">
        <v>2025</v>
      </c>
      <c r="D660" s="19" t="s">
        <v>461</v>
      </c>
      <c r="E660" s="3" t="s">
        <v>703</v>
      </c>
      <c r="F660" s="1">
        <v>0</v>
      </c>
      <c r="G660" s="32">
        <v>0</v>
      </c>
      <c r="H660" s="33">
        <f t="shared" si="137"/>
        <v>0</v>
      </c>
      <c r="I660" s="34"/>
      <c r="J660" s="35">
        <v>0</v>
      </c>
      <c r="K660" s="36">
        <v>0</v>
      </c>
      <c r="L660" s="35">
        <v>0</v>
      </c>
      <c r="M660" s="35">
        <v>0</v>
      </c>
      <c r="N660" s="35">
        <v>0</v>
      </c>
      <c r="O660" s="35">
        <v>-3001000</v>
      </c>
      <c r="P660" s="35">
        <v>0</v>
      </c>
      <c r="R660" s="37">
        <f t="shared" si="136"/>
        <v>3001000</v>
      </c>
      <c r="X660" s="28"/>
      <c r="Y660" s="28"/>
    </row>
    <row r="661" spans="1:25" s="4" customFormat="1">
      <c r="A661" s="41"/>
      <c r="B661" s="20" t="s">
        <v>52</v>
      </c>
      <c r="C661" s="42">
        <v>2025</v>
      </c>
      <c r="D661" s="19" t="s">
        <v>461</v>
      </c>
      <c r="E661" s="3" t="s">
        <v>704</v>
      </c>
      <c r="F661" s="1">
        <v>0</v>
      </c>
      <c r="G661" s="32">
        <v>0</v>
      </c>
      <c r="H661" s="33">
        <f t="shared" si="137"/>
        <v>0</v>
      </c>
      <c r="I661" s="34"/>
      <c r="J661" s="35">
        <v>0</v>
      </c>
      <c r="K661" s="36">
        <v>0</v>
      </c>
      <c r="L661" s="35">
        <v>0</v>
      </c>
      <c r="M661" s="35">
        <v>0</v>
      </c>
      <c r="N661" s="35">
        <v>0</v>
      </c>
      <c r="O661" s="35">
        <v>-2701000</v>
      </c>
      <c r="P661" s="35">
        <v>0</v>
      </c>
      <c r="R661" s="37">
        <f t="shared" si="136"/>
        <v>2701000</v>
      </c>
      <c r="X661" s="28"/>
      <c r="Y661" s="28"/>
    </row>
    <row r="662" spans="1:25" s="4" customFormat="1">
      <c r="A662" s="41"/>
      <c r="B662" s="20" t="s">
        <v>52</v>
      </c>
      <c r="C662" s="42">
        <v>2025</v>
      </c>
      <c r="D662" s="19" t="s">
        <v>461</v>
      </c>
      <c r="E662" s="3" t="s">
        <v>705</v>
      </c>
      <c r="F662" s="1">
        <v>0</v>
      </c>
      <c r="G662" s="32">
        <v>0</v>
      </c>
      <c r="H662" s="33">
        <f t="shared" si="137"/>
        <v>0</v>
      </c>
      <c r="I662" s="34"/>
      <c r="J662" s="35">
        <v>0</v>
      </c>
      <c r="K662" s="36">
        <v>0</v>
      </c>
      <c r="L662" s="35">
        <v>0</v>
      </c>
      <c r="M662" s="35">
        <v>0</v>
      </c>
      <c r="N662" s="35">
        <v>0</v>
      </c>
      <c r="O662" s="35">
        <v>-2701000</v>
      </c>
      <c r="P662" s="35">
        <v>0</v>
      </c>
      <c r="R662" s="37">
        <f t="shared" si="136"/>
        <v>2701000</v>
      </c>
      <c r="X662" s="28"/>
      <c r="Y662" s="28"/>
    </row>
    <row r="663" spans="1:25" s="4" customFormat="1">
      <c r="A663" s="41"/>
      <c r="B663" s="20" t="s">
        <v>52</v>
      </c>
      <c r="C663" s="42">
        <v>2025</v>
      </c>
      <c r="D663" s="19" t="s">
        <v>461</v>
      </c>
      <c r="E663" s="3" t="s">
        <v>706</v>
      </c>
      <c r="F663" s="1">
        <v>0</v>
      </c>
      <c r="G663" s="32">
        <v>0</v>
      </c>
      <c r="H663" s="33">
        <f t="shared" si="137"/>
        <v>0</v>
      </c>
      <c r="I663" s="34"/>
      <c r="J663" s="35">
        <v>0</v>
      </c>
      <c r="K663" s="36">
        <v>0</v>
      </c>
      <c r="L663" s="35">
        <v>0</v>
      </c>
      <c r="M663" s="35">
        <v>0</v>
      </c>
      <c r="N663" s="35">
        <v>0</v>
      </c>
      <c r="O663" s="35">
        <v>-2701500</v>
      </c>
      <c r="P663" s="35">
        <v>0</v>
      </c>
      <c r="R663" s="37">
        <f t="shared" si="136"/>
        <v>2701500</v>
      </c>
      <c r="X663" s="28"/>
      <c r="Y663" s="28"/>
    </row>
    <row r="664" spans="1:25" s="4" customFormat="1">
      <c r="A664" s="41"/>
      <c r="B664" s="20" t="s">
        <v>52</v>
      </c>
      <c r="C664" s="42">
        <v>2025</v>
      </c>
      <c r="D664" s="19" t="s">
        <v>461</v>
      </c>
      <c r="E664" s="3" t="s">
        <v>707</v>
      </c>
      <c r="F664" s="1">
        <v>0</v>
      </c>
      <c r="G664" s="32">
        <v>0</v>
      </c>
      <c r="H664" s="33">
        <f t="shared" si="137"/>
        <v>0</v>
      </c>
      <c r="I664" s="34"/>
      <c r="J664" s="35">
        <v>0</v>
      </c>
      <c r="K664" s="36">
        <v>0</v>
      </c>
      <c r="L664" s="35">
        <v>0</v>
      </c>
      <c r="M664" s="35">
        <v>0</v>
      </c>
      <c r="N664" s="35">
        <v>0</v>
      </c>
      <c r="O664" s="35">
        <v>-1150000</v>
      </c>
      <c r="P664" s="35">
        <v>0</v>
      </c>
      <c r="R664" s="37">
        <f t="shared" si="136"/>
        <v>1150000</v>
      </c>
      <c r="X664" s="28"/>
      <c r="Y664" s="28"/>
    </row>
    <row r="665" spans="1:25" s="4" customFormat="1">
      <c r="A665" s="41"/>
      <c r="B665" s="20" t="s">
        <v>52</v>
      </c>
      <c r="C665" s="42">
        <v>2025</v>
      </c>
      <c r="D665" s="19" t="s">
        <v>461</v>
      </c>
      <c r="E665" s="3" t="s">
        <v>708</v>
      </c>
      <c r="F665" s="1">
        <v>0</v>
      </c>
      <c r="G665" s="32">
        <v>0</v>
      </c>
      <c r="H665" s="33">
        <f t="shared" si="137"/>
        <v>0</v>
      </c>
      <c r="I665" s="34"/>
      <c r="J665" s="35">
        <v>0</v>
      </c>
      <c r="K665" s="36">
        <v>0</v>
      </c>
      <c r="L665" s="35">
        <v>0</v>
      </c>
      <c r="M665" s="35">
        <v>0</v>
      </c>
      <c r="N665" s="35">
        <v>0</v>
      </c>
      <c r="O665" s="35">
        <v>-1400000</v>
      </c>
      <c r="P665" s="35">
        <v>0</v>
      </c>
      <c r="R665" s="37">
        <f t="shared" si="136"/>
        <v>1400000</v>
      </c>
      <c r="X665" s="28"/>
      <c r="Y665" s="28"/>
    </row>
    <row r="666" spans="1:25" s="4" customFormat="1">
      <c r="A666" s="41"/>
      <c r="B666" s="20" t="s">
        <v>52</v>
      </c>
      <c r="C666" s="42">
        <v>2025</v>
      </c>
      <c r="D666" s="19" t="s">
        <v>461</v>
      </c>
      <c r="E666" s="3" t="s">
        <v>709</v>
      </c>
      <c r="F666" s="1">
        <v>0</v>
      </c>
      <c r="G666" s="32">
        <v>0</v>
      </c>
      <c r="H666" s="33">
        <f t="shared" si="137"/>
        <v>0</v>
      </c>
      <c r="I666" s="34"/>
      <c r="J666" s="35">
        <v>0</v>
      </c>
      <c r="K666" s="36">
        <v>0</v>
      </c>
      <c r="L666" s="35">
        <v>0</v>
      </c>
      <c r="M666" s="35">
        <v>0</v>
      </c>
      <c r="N666" s="35">
        <v>0</v>
      </c>
      <c r="O666" s="35">
        <v>-440000</v>
      </c>
      <c r="P666" s="35">
        <v>0</v>
      </c>
      <c r="R666" s="37">
        <f t="shared" si="136"/>
        <v>440000</v>
      </c>
      <c r="X666" s="28"/>
      <c r="Y666" s="28"/>
    </row>
    <row r="667" spans="1:25" s="4" customFormat="1">
      <c r="A667" s="41"/>
      <c r="B667" s="20" t="s">
        <v>52</v>
      </c>
      <c r="C667" s="42">
        <v>2025</v>
      </c>
      <c r="D667" s="19" t="s">
        <v>461</v>
      </c>
      <c r="E667" s="3" t="s">
        <v>710</v>
      </c>
      <c r="F667" s="1">
        <v>0</v>
      </c>
      <c r="G667" s="32">
        <v>0</v>
      </c>
      <c r="H667" s="33">
        <f t="shared" si="137"/>
        <v>0</v>
      </c>
      <c r="I667" s="34"/>
      <c r="J667" s="35">
        <v>0</v>
      </c>
      <c r="K667" s="36">
        <v>0</v>
      </c>
      <c r="L667" s="35">
        <v>0</v>
      </c>
      <c r="M667" s="35">
        <v>0</v>
      </c>
      <c r="N667" s="35">
        <v>0</v>
      </c>
      <c r="O667" s="35">
        <v>-541750</v>
      </c>
      <c r="P667" s="35">
        <v>0</v>
      </c>
      <c r="R667" s="37">
        <f t="shared" si="136"/>
        <v>541750</v>
      </c>
      <c r="X667" s="28"/>
      <c r="Y667" s="28"/>
    </row>
    <row r="668" spans="1:25" s="4" customFormat="1">
      <c r="A668" s="41"/>
      <c r="B668" s="20" t="s">
        <v>52</v>
      </c>
      <c r="C668" s="42">
        <v>2025</v>
      </c>
      <c r="D668" s="19" t="s">
        <v>461</v>
      </c>
      <c r="E668" s="3" t="s">
        <v>711</v>
      </c>
      <c r="F668" s="1">
        <v>0</v>
      </c>
      <c r="G668" s="32">
        <v>0</v>
      </c>
      <c r="H668" s="33">
        <f t="shared" si="137"/>
        <v>0</v>
      </c>
      <c r="I668" s="34"/>
      <c r="J668" s="35">
        <v>0</v>
      </c>
      <c r="K668" s="36">
        <v>0</v>
      </c>
      <c r="L668" s="35">
        <v>0</v>
      </c>
      <c r="M668" s="35">
        <v>0</v>
      </c>
      <c r="N668" s="35">
        <v>0</v>
      </c>
      <c r="O668" s="35">
        <v>-400000</v>
      </c>
      <c r="P668" s="35">
        <v>0</v>
      </c>
      <c r="R668" s="37">
        <f t="shared" si="136"/>
        <v>400000</v>
      </c>
      <c r="X668" s="28"/>
      <c r="Y668" s="28"/>
    </row>
    <row r="669" spans="1:25" s="4" customFormat="1">
      <c r="A669" s="41"/>
      <c r="B669" s="20" t="s">
        <v>52</v>
      </c>
      <c r="C669" s="42">
        <v>2025</v>
      </c>
      <c r="D669" s="19" t="s">
        <v>461</v>
      </c>
      <c r="E669" s="3" t="s">
        <v>712</v>
      </c>
      <c r="F669" s="1">
        <v>0</v>
      </c>
      <c r="G669" s="32">
        <v>0</v>
      </c>
      <c r="H669" s="33">
        <f t="shared" si="137"/>
        <v>0</v>
      </c>
      <c r="I669" s="34"/>
      <c r="J669" s="35">
        <v>0</v>
      </c>
      <c r="K669" s="36">
        <v>0</v>
      </c>
      <c r="L669" s="35">
        <v>0</v>
      </c>
      <c r="M669" s="35">
        <v>0</v>
      </c>
      <c r="N669" s="35">
        <v>0</v>
      </c>
      <c r="O669" s="35">
        <v>-1952500</v>
      </c>
      <c r="P669" s="35">
        <v>0</v>
      </c>
      <c r="R669" s="37">
        <f t="shared" si="136"/>
        <v>1952500</v>
      </c>
      <c r="X669" s="28"/>
      <c r="Y669" s="28"/>
    </row>
    <row r="670" spans="1:25" s="4" customFormat="1">
      <c r="A670" s="41"/>
      <c r="B670" s="20" t="s">
        <v>52</v>
      </c>
      <c r="C670" s="42">
        <v>2025</v>
      </c>
      <c r="D670" s="19" t="s">
        <v>461</v>
      </c>
      <c r="E670" s="3" t="s">
        <v>713</v>
      </c>
      <c r="F670" s="1">
        <v>0</v>
      </c>
      <c r="G670" s="32">
        <v>0</v>
      </c>
      <c r="H670" s="33">
        <f t="shared" si="137"/>
        <v>0</v>
      </c>
      <c r="I670" s="34"/>
      <c r="J670" s="35">
        <v>0</v>
      </c>
      <c r="K670" s="36">
        <v>0</v>
      </c>
      <c r="L670" s="35">
        <v>0</v>
      </c>
      <c r="M670" s="35">
        <v>0</v>
      </c>
      <c r="N670" s="35">
        <v>0</v>
      </c>
      <c r="O670" s="35">
        <v>-1096800</v>
      </c>
      <c r="P670" s="35">
        <v>0</v>
      </c>
      <c r="R670" s="37">
        <f t="shared" si="136"/>
        <v>1096800</v>
      </c>
      <c r="X670" s="28"/>
      <c r="Y670" s="28"/>
    </row>
    <row r="671" spans="1:25" s="4" customFormat="1">
      <c r="A671" s="41"/>
      <c r="B671" s="20" t="s">
        <v>52</v>
      </c>
      <c r="C671" s="42">
        <v>2025</v>
      </c>
      <c r="D671" s="19" t="s">
        <v>461</v>
      </c>
      <c r="E671" s="3" t="s">
        <v>714</v>
      </c>
      <c r="F671" s="1">
        <v>0</v>
      </c>
      <c r="G671" s="32">
        <v>0</v>
      </c>
      <c r="H671" s="33">
        <f t="shared" si="137"/>
        <v>0</v>
      </c>
      <c r="I671" s="34"/>
      <c r="J671" s="35">
        <v>0</v>
      </c>
      <c r="K671" s="36">
        <v>0</v>
      </c>
      <c r="L671" s="35">
        <v>0</v>
      </c>
      <c r="M671" s="35">
        <v>0</v>
      </c>
      <c r="N671" s="35">
        <v>0</v>
      </c>
      <c r="O671" s="35">
        <v>-2600000</v>
      </c>
      <c r="P671" s="35">
        <v>0</v>
      </c>
      <c r="R671" s="37">
        <f t="shared" si="136"/>
        <v>2600000</v>
      </c>
      <c r="X671" s="28"/>
      <c r="Y671" s="28"/>
    </row>
    <row r="672" spans="1:25" s="4" customFormat="1">
      <c r="A672" s="41"/>
      <c r="B672" s="20" t="s">
        <v>52</v>
      </c>
      <c r="C672" s="42">
        <v>2025</v>
      </c>
      <c r="D672" s="19" t="s">
        <v>461</v>
      </c>
      <c r="E672" s="3" t="s">
        <v>715</v>
      </c>
      <c r="F672" s="1">
        <v>0</v>
      </c>
      <c r="G672" s="32">
        <v>0</v>
      </c>
      <c r="H672" s="33">
        <f t="shared" si="137"/>
        <v>0</v>
      </c>
      <c r="I672" s="34"/>
      <c r="J672" s="35">
        <v>0</v>
      </c>
      <c r="K672" s="36">
        <v>0</v>
      </c>
      <c r="L672" s="35">
        <v>0</v>
      </c>
      <c r="M672" s="35">
        <v>0</v>
      </c>
      <c r="N672" s="35">
        <v>0</v>
      </c>
      <c r="O672" s="35">
        <v>-95000</v>
      </c>
      <c r="P672" s="35">
        <v>0</v>
      </c>
      <c r="R672" s="37">
        <f t="shared" si="136"/>
        <v>95000</v>
      </c>
      <c r="X672" s="28"/>
      <c r="Y672" s="28"/>
    </row>
    <row r="673" spans="1:25" s="4" customFormat="1">
      <c r="A673" s="41"/>
      <c r="B673" s="20" t="s">
        <v>52</v>
      </c>
      <c r="C673" s="42">
        <v>2025</v>
      </c>
      <c r="D673" s="19" t="s">
        <v>461</v>
      </c>
      <c r="E673" s="3" t="s">
        <v>716</v>
      </c>
      <c r="F673" s="1">
        <v>0</v>
      </c>
      <c r="G673" s="32">
        <v>0</v>
      </c>
      <c r="H673" s="33">
        <f t="shared" si="137"/>
        <v>0</v>
      </c>
      <c r="I673" s="34"/>
      <c r="J673" s="35">
        <v>0</v>
      </c>
      <c r="K673" s="36">
        <v>0</v>
      </c>
      <c r="L673" s="35">
        <v>0</v>
      </c>
      <c r="M673" s="35">
        <v>0</v>
      </c>
      <c r="N673" s="35">
        <v>0</v>
      </c>
      <c r="O673" s="35">
        <v>-99900</v>
      </c>
      <c r="P673" s="35">
        <v>0</v>
      </c>
      <c r="R673" s="37">
        <f t="shared" si="136"/>
        <v>99900</v>
      </c>
      <c r="X673" s="28"/>
      <c r="Y673" s="28"/>
    </row>
    <row r="674" spans="1:25" s="4" customFormat="1">
      <c r="A674" s="41"/>
      <c r="B674" s="20" t="s">
        <v>52</v>
      </c>
      <c r="C674" s="42">
        <v>2025</v>
      </c>
      <c r="D674" s="19" t="s">
        <v>461</v>
      </c>
      <c r="E674" s="3" t="s">
        <v>717</v>
      </c>
      <c r="F674" s="1">
        <v>0</v>
      </c>
      <c r="G674" s="32">
        <v>0</v>
      </c>
      <c r="H674" s="33">
        <f t="shared" si="137"/>
        <v>0</v>
      </c>
      <c r="I674" s="34"/>
      <c r="J674" s="35">
        <v>0</v>
      </c>
      <c r="K674" s="36">
        <v>0</v>
      </c>
      <c r="L674" s="35">
        <v>0</v>
      </c>
      <c r="M674" s="35">
        <v>0</v>
      </c>
      <c r="N674" s="35">
        <v>0</v>
      </c>
      <c r="O674" s="35">
        <v>-1700000</v>
      </c>
      <c r="P674" s="35">
        <v>0</v>
      </c>
      <c r="R674" s="37">
        <f t="shared" si="136"/>
        <v>1700000</v>
      </c>
      <c r="X674" s="28"/>
      <c r="Y674" s="28"/>
    </row>
    <row r="675" spans="1:25" s="4" customFormat="1">
      <c r="A675" s="41"/>
      <c r="B675" s="20" t="s">
        <v>52</v>
      </c>
      <c r="C675" s="42">
        <v>2025</v>
      </c>
      <c r="D675" s="19" t="s">
        <v>461</v>
      </c>
      <c r="E675" s="3" t="s">
        <v>718</v>
      </c>
      <c r="F675" s="1">
        <v>0</v>
      </c>
      <c r="G675" s="32">
        <v>0</v>
      </c>
      <c r="H675" s="33">
        <f t="shared" si="137"/>
        <v>0</v>
      </c>
      <c r="I675" s="34"/>
      <c r="J675" s="35">
        <v>0</v>
      </c>
      <c r="K675" s="36">
        <v>0</v>
      </c>
      <c r="L675" s="35">
        <v>0</v>
      </c>
      <c r="M675" s="35">
        <v>0</v>
      </c>
      <c r="N675" s="35">
        <v>0</v>
      </c>
      <c r="O675" s="35">
        <v>-200000</v>
      </c>
      <c r="P675" s="35">
        <v>0</v>
      </c>
      <c r="R675" s="37">
        <f t="shared" si="136"/>
        <v>200000</v>
      </c>
      <c r="X675" s="28"/>
      <c r="Y675" s="28"/>
    </row>
    <row r="676" spans="1:25" s="4" customFormat="1">
      <c r="A676" s="41"/>
      <c r="B676" s="20" t="s">
        <v>52</v>
      </c>
      <c r="C676" s="42">
        <v>2025</v>
      </c>
      <c r="D676" s="19" t="s">
        <v>461</v>
      </c>
      <c r="E676" s="3" t="s">
        <v>719</v>
      </c>
      <c r="F676" s="1">
        <v>0</v>
      </c>
      <c r="G676" s="32">
        <v>0</v>
      </c>
      <c r="H676" s="33">
        <f t="shared" si="137"/>
        <v>0</v>
      </c>
      <c r="I676" s="34"/>
      <c r="J676" s="35">
        <v>0</v>
      </c>
      <c r="K676" s="36">
        <v>0</v>
      </c>
      <c r="L676" s="35">
        <v>0</v>
      </c>
      <c r="M676" s="35">
        <v>0</v>
      </c>
      <c r="N676" s="35">
        <v>0</v>
      </c>
      <c r="O676" s="35">
        <v>-400000</v>
      </c>
      <c r="P676" s="35">
        <v>0</v>
      </c>
      <c r="R676" s="37">
        <f t="shared" ref="R676:R726" si="138">F676-J676-K676-L676-M676-N676-O676</f>
        <v>400000</v>
      </c>
      <c r="X676" s="28"/>
      <c r="Y676" s="28"/>
    </row>
    <row r="677" spans="1:25" s="4" customFormat="1">
      <c r="A677" s="41"/>
      <c r="B677" s="20" t="s">
        <v>52</v>
      </c>
      <c r="C677" s="42">
        <v>2025</v>
      </c>
      <c r="D677" s="19" t="s">
        <v>505</v>
      </c>
      <c r="E677" s="3" t="s">
        <v>788</v>
      </c>
      <c r="F677" s="1">
        <v>0</v>
      </c>
      <c r="G677" s="32">
        <v>0</v>
      </c>
      <c r="H677" s="33">
        <f t="shared" si="137"/>
        <v>0</v>
      </c>
      <c r="I677" s="34"/>
      <c r="J677" s="35">
        <v>0</v>
      </c>
      <c r="K677" s="36">
        <v>0</v>
      </c>
      <c r="L677" s="35">
        <v>0</v>
      </c>
      <c r="M677" s="35">
        <v>0</v>
      </c>
      <c r="N677" s="35">
        <v>0</v>
      </c>
      <c r="O677" s="35">
        <v>-15000000</v>
      </c>
      <c r="P677" s="35">
        <v>0</v>
      </c>
      <c r="R677" s="37">
        <f t="shared" ref="R677" si="139">F677-J677-K677-L677-M677-N677-O677</f>
        <v>15000000</v>
      </c>
      <c r="X677" s="28"/>
      <c r="Y677" s="28"/>
    </row>
    <row r="678" spans="1:25" s="4" customFormat="1">
      <c r="A678" s="41"/>
      <c r="B678" s="20" t="s">
        <v>52</v>
      </c>
      <c r="C678" s="42">
        <v>2025</v>
      </c>
      <c r="D678" s="19" t="s">
        <v>505</v>
      </c>
      <c r="E678" s="3" t="s">
        <v>789</v>
      </c>
      <c r="F678" s="1">
        <v>0</v>
      </c>
      <c r="G678" s="32">
        <v>0</v>
      </c>
      <c r="H678" s="33">
        <f t="shared" si="137"/>
        <v>0</v>
      </c>
      <c r="I678" s="34"/>
      <c r="J678" s="35">
        <v>0</v>
      </c>
      <c r="K678" s="36">
        <v>0</v>
      </c>
      <c r="L678" s="35">
        <v>0</v>
      </c>
      <c r="M678" s="35">
        <v>0</v>
      </c>
      <c r="N678" s="35">
        <v>0</v>
      </c>
      <c r="O678" s="35">
        <v>-170000000</v>
      </c>
      <c r="P678" s="35">
        <v>0</v>
      </c>
      <c r="R678" s="37">
        <f t="shared" ref="R678:R707" si="140">F678-J678-K678-L678-M678-N678-O678</f>
        <v>170000000</v>
      </c>
      <c r="X678" s="28"/>
      <c r="Y678" s="28"/>
    </row>
    <row r="679" spans="1:25" s="4" customFormat="1">
      <c r="A679" s="41"/>
      <c r="B679" s="20" t="s">
        <v>52</v>
      </c>
      <c r="C679" s="42">
        <v>2025</v>
      </c>
      <c r="D679" s="19" t="s">
        <v>505</v>
      </c>
      <c r="E679" s="3" t="s">
        <v>790</v>
      </c>
      <c r="F679" s="1">
        <v>0</v>
      </c>
      <c r="G679" s="32">
        <v>0</v>
      </c>
      <c r="H679" s="33">
        <f t="shared" si="137"/>
        <v>0</v>
      </c>
      <c r="I679" s="34"/>
      <c r="J679" s="35">
        <v>0</v>
      </c>
      <c r="K679" s="36">
        <v>0</v>
      </c>
      <c r="L679" s="35">
        <v>0</v>
      </c>
      <c r="M679" s="35">
        <v>0</v>
      </c>
      <c r="N679" s="35">
        <v>0</v>
      </c>
      <c r="O679" s="35">
        <v>-5000000</v>
      </c>
      <c r="P679" s="35">
        <v>0</v>
      </c>
      <c r="R679" s="37">
        <f t="shared" si="140"/>
        <v>5000000</v>
      </c>
      <c r="X679" s="28"/>
      <c r="Y679" s="28"/>
    </row>
    <row r="680" spans="1:25" s="4" customFormat="1">
      <c r="A680" s="41"/>
      <c r="B680" s="20" t="s">
        <v>52</v>
      </c>
      <c r="C680" s="42">
        <v>2025</v>
      </c>
      <c r="D680" s="19" t="s">
        <v>505</v>
      </c>
      <c r="E680" s="3" t="s">
        <v>791</v>
      </c>
      <c r="F680" s="1">
        <v>0</v>
      </c>
      <c r="G680" s="32">
        <v>0</v>
      </c>
      <c r="H680" s="33">
        <f t="shared" si="137"/>
        <v>0</v>
      </c>
      <c r="I680" s="34"/>
      <c r="J680" s="35">
        <v>0</v>
      </c>
      <c r="K680" s="36">
        <v>0</v>
      </c>
      <c r="L680" s="35">
        <v>0</v>
      </c>
      <c r="M680" s="35">
        <v>0</v>
      </c>
      <c r="N680" s="35">
        <v>0</v>
      </c>
      <c r="O680" s="35">
        <v>-8000000</v>
      </c>
      <c r="P680" s="35">
        <v>0</v>
      </c>
      <c r="R680" s="37">
        <f t="shared" si="140"/>
        <v>8000000</v>
      </c>
      <c r="X680" s="28"/>
      <c r="Y680" s="28"/>
    </row>
    <row r="681" spans="1:25" s="4" customFormat="1">
      <c r="A681" s="41"/>
      <c r="B681" s="20" t="s">
        <v>52</v>
      </c>
      <c r="C681" s="42">
        <v>2025</v>
      </c>
      <c r="D681" s="19" t="s">
        <v>505</v>
      </c>
      <c r="E681" s="3" t="s">
        <v>792</v>
      </c>
      <c r="F681" s="1">
        <v>0</v>
      </c>
      <c r="G681" s="32">
        <v>0</v>
      </c>
      <c r="H681" s="33">
        <f t="shared" si="137"/>
        <v>0</v>
      </c>
      <c r="I681" s="34"/>
      <c r="J681" s="35">
        <v>0</v>
      </c>
      <c r="K681" s="36">
        <v>0</v>
      </c>
      <c r="L681" s="35">
        <v>0</v>
      </c>
      <c r="M681" s="35">
        <v>0</v>
      </c>
      <c r="N681" s="35">
        <v>0</v>
      </c>
      <c r="O681" s="35">
        <v>-9796250</v>
      </c>
      <c r="P681" s="35">
        <v>0</v>
      </c>
      <c r="R681" s="37">
        <f t="shared" si="140"/>
        <v>9796250</v>
      </c>
      <c r="X681" s="28"/>
      <c r="Y681" s="28"/>
    </row>
    <row r="682" spans="1:25" s="4" customFormat="1">
      <c r="A682" s="41"/>
      <c r="B682" s="20" t="s">
        <v>52</v>
      </c>
      <c r="C682" s="42">
        <v>2025</v>
      </c>
      <c r="D682" s="19" t="s">
        <v>505</v>
      </c>
      <c r="E682" s="3" t="s">
        <v>793</v>
      </c>
      <c r="F682" s="1">
        <v>0</v>
      </c>
      <c r="G682" s="32">
        <v>0</v>
      </c>
      <c r="H682" s="33">
        <f t="shared" si="137"/>
        <v>0</v>
      </c>
      <c r="I682" s="34"/>
      <c r="J682" s="35">
        <v>0</v>
      </c>
      <c r="K682" s="36">
        <v>0</v>
      </c>
      <c r="L682" s="35">
        <v>0</v>
      </c>
      <c r="M682" s="35">
        <v>0</v>
      </c>
      <c r="N682" s="35">
        <v>0</v>
      </c>
      <c r="O682" s="35">
        <v>-627500</v>
      </c>
      <c r="P682" s="35">
        <v>0</v>
      </c>
      <c r="R682" s="37">
        <f t="shared" si="140"/>
        <v>627500</v>
      </c>
      <c r="X682" s="28"/>
      <c r="Y682" s="28"/>
    </row>
    <row r="683" spans="1:25" s="4" customFormat="1">
      <c r="A683" s="41"/>
      <c r="B683" s="20" t="s">
        <v>52</v>
      </c>
      <c r="C683" s="42">
        <v>2025</v>
      </c>
      <c r="D683" s="19" t="s">
        <v>505</v>
      </c>
      <c r="E683" s="3" t="s">
        <v>794</v>
      </c>
      <c r="F683" s="1">
        <v>0</v>
      </c>
      <c r="G683" s="32">
        <v>0</v>
      </c>
      <c r="H683" s="33">
        <f t="shared" si="137"/>
        <v>0</v>
      </c>
      <c r="I683" s="34"/>
      <c r="J683" s="35">
        <v>0</v>
      </c>
      <c r="K683" s="36">
        <v>0</v>
      </c>
      <c r="L683" s="35">
        <v>0</v>
      </c>
      <c r="M683" s="35">
        <v>0</v>
      </c>
      <c r="N683" s="35">
        <v>0</v>
      </c>
      <c r="O683" s="35">
        <v>-101000</v>
      </c>
      <c r="P683" s="35">
        <v>0</v>
      </c>
      <c r="R683" s="37">
        <f t="shared" si="140"/>
        <v>101000</v>
      </c>
      <c r="X683" s="28"/>
      <c r="Y683" s="28"/>
    </row>
    <row r="684" spans="1:25" s="4" customFormat="1">
      <c r="A684" s="41"/>
      <c r="B684" s="20" t="s">
        <v>52</v>
      </c>
      <c r="C684" s="42">
        <v>2025</v>
      </c>
      <c r="D684" s="19" t="s">
        <v>505</v>
      </c>
      <c r="E684" s="3" t="s">
        <v>795</v>
      </c>
      <c r="F684" s="1">
        <v>0</v>
      </c>
      <c r="G684" s="32">
        <v>0</v>
      </c>
      <c r="H684" s="33">
        <f t="shared" si="137"/>
        <v>0</v>
      </c>
      <c r="I684" s="34"/>
      <c r="J684" s="35">
        <v>0</v>
      </c>
      <c r="K684" s="36">
        <v>0</v>
      </c>
      <c r="L684" s="35">
        <v>0</v>
      </c>
      <c r="M684" s="35">
        <v>0</v>
      </c>
      <c r="N684" s="35">
        <v>0</v>
      </c>
      <c r="O684" s="35">
        <v>-212500</v>
      </c>
      <c r="P684" s="35">
        <v>0</v>
      </c>
      <c r="R684" s="37">
        <f t="shared" si="140"/>
        <v>212500</v>
      </c>
      <c r="X684" s="28"/>
      <c r="Y684" s="28"/>
    </row>
    <row r="685" spans="1:25" s="4" customFormat="1">
      <c r="A685" s="41"/>
      <c r="B685" s="20" t="s">
        <v>52</v>
      </c>
      <c r="C685" s="42">
        <v>2025</v>
      </c>
      <c r="D685" s="19" t="s">
        <v>505</v>
      </c>
      <c r="E685" s="3" t="s">
        <v>796</v>
      </c>
      <c r="F685" s="1">
        <v>0</v>
      </c>
      <c r="G685" s="32">
        <v>0</v>
      </c>
      <c r="H685" s="33">
        <f t="shared" si="137"/>
        <v>0</v>
      </c>
      <c r="I685" s="34"/>
      <c r="J685" s="35">
        <v>0</v>
      </c>
      <c r="K685" s="36">
        <v>0</v>
      </c>
      <c r="L685" s="35">
        <v>0</v>
      </c>
      <c r="M685" s="35">
        <v>0</v>
      </c>
      <c r="N685" s="35">
        <v>0</v>
      </c>
      <c r="O685" s="35">
        <v>-118210</v>
      </c>
      <c r="P685" s="35">
        <v>0</v>
      </c>
      <c r="R685" s="37">
        <f t="shared" si="140"/>
        <v>118210</v>
      </c>
      <c r="X685" s="28"/>
      <c r="Y685" s="28"/>
    </row>
    <row r="686" spans="1:25" s="4" customFormat="1">
      <c r="A686" s="41"/>
      <c r="B686" s="20" t="s">
        <v>52</v>
      </c>
      <c r="C686" s="42">
        <v>2025</v>
      </c>
      <c r="D686" s="19" t="s">
        <v>505</v>
      </c>
      <c r="E686" s="3" t="s">
        <v>797</v>
      </c>
      <c r="F686" s="1">
        <v>0</v>
      </c>
      <c r="G686" s="32">
        <v>0</v>
      </c>
      <c r="H686" s="33">
        <f t="shared" si="137"/>
        <v>0</v>
      </c>
      <c r="I686" s="34"/>
      <c r="J686" s="35">
        <v>0</v>
      </c>
      <c r="K686" s="36">
        <v>0</v>
      </c>
      <c r="L686" s="35">
        <v>0</v>
      </c>
      <c r="M686" s="35">
        <v>0</v>
      </c>
      <c r="N686" s="35">
        <v>0</v>
      </c>
      <c r="O686" s="35">
        <v>-899500</v>
      </c>
      <c r="P686" s="35">
        <v>0</v>
      </c>
      <c r="R686" s="37">
        <f t="shared" si="140"/>
        <v>899500</v>
      </c>
      <c r="X686" s="28"/>
      <c r="Y686" s="28"/>
    </row>
    <row r="687" spans="1:25" s="4" customFormat="1">
      <c r="A687" s="41"/>
      <c r="B687" s="20" t="s">
        <v>52</v>
      </c>
      <c r="C687" s="42">
        <v>2025</v>
      </c>
      <c r="D687" s="19" t="s">
        <v>505</v>
      </c>
      <c r="E687" s="3" t="s">
        <v>798</v>
      </c>
      <c r="F687" s="1">
        <v>0</v>
      </c>
      <c r="G687" s="32">
        <v>0</v>
      </c>
      <c r="H687" s="33">
        <f t="shared" si="137"/>
        <v>0</v>
      </c>
      <c r="I687" s="34"/>
      <c r="J687" s="35">
        <v>0</v>
      </c>
      <c r="K687" s="36">
        <v>0</v>
      </c>
      <c r="L687" s="35">
        <v>0</v>
      </c>
      <c r="M687" s="35">
        <v>0</v>
      </c>
      <c r="N687" s="35">
        <v>0</v>
      </c>
      <c r="O687" s="35">
        <v>-77500</v>
      </c>
      <c r="P687" s="35">
        <v>0</v>
      </c>
      <c r="R687" s="37">
        <f t="shared" si="140"/>
        <v>77500</v>
      </c>
      <c r="X687" s="28"/>
      <c r="Y687" s="28"/>
    </row>
    <row r="688" spans="1:25" s="4" customFormat="1">
      <c r="A688" s="41"/>
      <c r="B688" s="20" t="s">
        <v>52</v>
      </c>
      <c r="C688" s="42">
        <v>2025</v>
      </c>
      <c r="D688" s="19" t="s">
        <v>505</v>
      </c>
      <c r="E688" s="3" t="s">
        <v>799</v>
      </c>
      <c r="F688" s="1">
        <v>0</v>
      </c>
      <c r="G688" s="32">
        <v>0</v>
      </c>
      <c r="H688" s="33">
        <f t="shared" si="137"/>
        <v>0</v>
      </c>
      <c r="I688" s="34"/>
      <c r="J688" s="35">
        <v>0</v>
      </c>
      <c r="K688" s="36">
        <v>0</v>
      </c>
      <c r="L688" s="35">
        <v>0</v>
      </c>
      <c r="M688" s="35">
        <v>0</v>
      </c>
      <c r="N688" s="35">
        <v>0</v>
      </c>
      <c r="O688" s="35">
        <v>-31800</v>
      </c>
      <c r="P688" s="35">
        <v>0</v>
      </c>
      <c r="R688" s="37">
        <f t="shared" si="140"/>
        <v>31800</v>
      </c>
      <c r="X688" s="28"/>
      <c r="Y688" s="28"/>
    </row>
    <row r="689" spans="1:25" s="4" customFormat="1">
      <c r="A689" s="41"/>
      <c r="B689" s="20" t="s">
        <v>52</v>
      </c>
      <c r="C689" s="42">
        <v>2025</v>
      </c>
      <c r="D689" s="19" t="s">
        <v>505</v>
      </c>
      <c r="E689" s="3" t="s">
        <v>800</v>
      </c>
      <c r="F689" s="1">
        <v>0</v>
      </c>
      <c r="G689" s="32">
        <v>0</v>
      </c>
      <c r="H689" s="33">
        <f t="shared" si="137"/>
        <v>0</v>
      </c>
      <c r="I689" s="34"/>
      <c r="J689" s="35">
        <v>0</v>
      </c>
      <c r="K689" s="36">
        <v>0</v>
      </c>
      <c r="L689" s="35">
        <v>0</v>
      </c>
      <c r="M689" s="35">
        <v>0</v>
      </c>
      <c r="N689" s="35">
        <v>0</v>
      </c>
      <c r="O689" s="35">
        <v>-93000</v>
      </c>
      <c r="P689" s="35">
        <v>0</v>
      </c>
      <c r="R689" s="37">
        <f t="shared" si="140"/>
        <v>93000</v>
      </c>
      <c r="X689" s="28"/>
      <c r="Y689" s="28"/>
    </row>
    <row r="690" spans="1:25" s="4" customFormat="1">
      <c r="A690" s="41"/>
      <c r="B690" s="20" t="s">
        <v>52</v>
      </c>
      <c r="C690" s="42">
        <v>2025</v>
      </c>
      <c r="D690" s="19" t="s">
        <v>505</v>
      </c>
      <c r="E690" s="3" t="s">
        <v>801</v>
      </c>
      <c r="F690" s="1">
        <v>0</v>
      </c>
      <c r="G690" s="32">
        <v>0</v>
      </c>
      <c r="H690" s="33">
        <f t="shared" si="137"/>
        <v>0</v>
      </c>
      <c r="I690" s="34"/>
      <c r="J690" s="35">
        <v>0</v>
      </c>
      <c r="K690" s="36">
        <v>0</v>
      </c>
      <c r="L690" s="35">
        <v>0</v>
      </c>
      <c r="M690" s="35">
        <v>0</v>
      </c>
      <c r="N690" s="35">
        <v>0</v>
      </c>
      <c r="O690" s="35">
        <v>-522500</v>
      </c>
      <c r="P690" s="35">
        <v>0</v>
      </c>
      <c r="R690" s="37">
        <f t="shared" si="140"/>
        <v>522500</v>
      </c>
      <c r="X690" s="28"/>
      <c r="Y690" s="28"/>
    </row>
    <row r="691" spans="1:25" s="4" customFormat="1">
      <c r="A691" s="41"/>
      <c r="B691" s="20" t="s">
        <v>52</v>
      </c>
      <c r="C691" s="42">
        <v>2025</v>
      </c>
      <c r="D691" s="19" t="s">
        <v>505</v>
      </c>
      <c r="E691" s="3" t="s">
        <v>802</v>
      </c>
      <c r="F691" s="1">
        <v>0</v>
      </c>
      <c r="G691" s="32">
        <v>0</v>
      </c>
      <c r="H691" s="33">
        <f t="shared" si="137"/>
        <v>0</v>
      </c>
      <c r="I691" s="34"/>
      <c r="J691" s="35">
        <v>0</v>
      </c>
      <c r="K691" s="36">
        <v>0</v>
      </c>
      <c r="L691" s="35">
        <v>0</v>
      </c>
      <c r="M691" s="35">
        <v>0</v>
      </c>
      <c r="N691" s="35">
        <v>0</v>
      </c>
      <c r="O691" s="35">
        <f>-1032500</f>
        <v>-1032500</v>
      </c>
      <c r="P691" s="35">
        <v>0</v>
      </c>
      <c r="R691" s="37">
        <f t="shared" si="140"/>
        <v>1032500</v>
      </c>
      <c r="X691" s="28"/>
      <c r="Y691" s="28"/>
    </row>
    <row r="692" spans="1:25" s="4" customFormat="1">
      <c r="A692" s="41"/>
      <c r="B692" s="20" t="s">
        <v>52</v>
      </c>
      <c r="C692" s="42">
        <v>2025</v>
      </c>
      <c r="D692" s="19" t="s">
        <v>505</v>
      </c>
      <c r="E692" s="3" t="s">
        <v>803</v>
      </c>
      <c r="F692" s="1">
        <v>0</v>
      </c>
      <c r="G692" s="32">
        <v>0</v>
      </c>
      <c r="H692" s="33">
        <f t="shared" si="137"/>
        <v>0</v>
      </c>
      <c r="I692" s="34"/>
      <c r="J692" s="35">
        <v>0</v>
      </c>
      <c r="K692" s="36">
        <v>0</v>
      </c>
      <c r="L692" s="35">
        <v>0</v>
      </c>
      <c r="M692" s="35">
        <v>0</v>
      </c>
      <c r="N692" s="35">
        <v>0</v>
      </c>
      <c r="O692" s="35">
        <v>-742500</v>
      </c>
      <c r="P692" s="35">
        <v>0</v>
      </c>
      <c r="R692" s="37">
        <f t="shared" si="140"/>
        <v>742500</v>
      </c>
      <c r="X692" s="28"/>
      <c r="Y692" s="28"/>
    </row>
    <row r="693" spans="1:25" s="4" customFormat="1">
      <c r="A693" s="41"/>
      <c r="B693" s="20" t="s">
        <v>52</v>
      </c>
      <c r="C693" s="42">
        <v>2025</v>
      </c>
      <c r="D693" s="19" t="s">
        <v>505</v>
      </c>
      <c r="E693" s="3" t="s">
        <v>804</v>
      </c>
      <c r="F693" s="1">
        <v>0</v>
      </c>
      <c r="G693" s="32">
        <v>0</v>
      </c>
      <c r="H693" s="33">
        <f t="shared" si="137"/>
        <v>0</v>
      </c>
      <c r="I693" s="34"/>
      <c r="J693" s="35">
        <v>0</v>
      </c>
      <c r="K693" s="36">
        <v>0</v>
      </c>
      <c r="L693" s="35">
        <v>0</v>
      </c>
      <c r="M693" s="35">
        <v>0</v>
      </c>
      <c r="N693" s="35">
        <v>0</v>
      </c>
      <c r="O693" s="35">
        <v>-392500</v>
      </c>
      <c r="P693" s="35">
        <v>0</v>
      </c>
      <c r="R693" s="37">
        <f t="shared" si="140"/>
        <v>392500</v>
      </c>
      <c r="X693" s="28"/>
      <c r="Y693" s="28"/>
    </row>
    <row r="694" spans="1:25" s="4" customFormat="1">
      <c r="A694" s="41"/>
      <c r="B694" s="20" t="s">
        <v>52</v>
      </c>
      <c r="C694" s="42">
        <v>2025</v>
      </c>
      <c r="D694" s="19" t="s">
        <v>505</v>
      </c>
      <c r="E694" s="3" t="s">
        <v>805</v>
      </c>
      <c r="F694" s="1">
        <v>0</v>
      </c>
      <c r="G694" s="32">
        <v>0</v>
      </c>
      <c r="H694" s="33">
        <f t="shared" si="137"/>
        <v>0</v>
      </c>
      <c r="I694" s="34"/>
      <c r="J694" s="35">
        <v>0</v>
      </c>
      <c r="K694" s="36">
        <v>0</v>
      </c>
      <c r="L694" s="35">
        <v>0</v>
      </c>
      <c r="M694" s="35">
        <v>0</v>
      </c>
      <c r="N694" s="35">
        <v>0</v>
      </c>
      <c r="O694" s="35">
        <v>-6100523</v>
      </c>
      <c r="P694" s="35">
        <v>0</v>
      </c>
      <c r="R694" s="37">
        <f t="shared" si="140"/>
        <v>6100523</v>
      </c>
      <c r="X694" s="28"/>
      <c r="Y694" s="28"/>
    </row>
    <row r="695" spans="1:25" s="4" customFormat="1">
      <c r="A695" s="41"/>
      <c r="B695" s="20" t="s">
        <v>52</v>
      </c>
      <c r="C695" s="42">
        <v>2025</v>
      </c>
      <c r="D695" s="19" t="s">
        <v>505</v>
      </c>
      <c r="E695" s="3" t="s">
        <v>806</v>
      </c>
      <c r="F695" s="1">
        <v>0</v>
      </c>
      <c r="G695" s="32">
        <v>0</v>
      </c>
      <c r="H695" s="33">
        <f t="shared" si="137"/>
        <v>0</v>
      </c>
      <c r="I695" s="34"/>
      <c r="J695" s="35">
        <v>0</v>
      </c>
      <c r="K695" s="36">
        <v>0</v>
      </c>
      <c r="L695" s="35">
        <v>0</v>
      </c>
      <c r="M695" s="35">
        <v>0</v>
      </c>
      <c r="N695" s="35">
        <v>0</v>
      </c>
      <c r="O695" s="35">
        <v>-273540</v>
      </c>
      <c r="P695" s="35">
        <v>0</v>
      </c>
      <c r="R695" s="37">
        <f t="shared" si="140"/>
        <v>273540</v>
      </c>
      <c r="X695" s="28"/>
      <c r="Y695" s="28"/>
    </row>
    <row r="696" spans="1:25" s="4" customFormat="1">
      <c r="A696" s="41"/>
      <c r="B696" s="20" t="s">
        <v>52</v>
      </c>
      <c r="C696" s="42">
        <v>2025</v>
      </c>
      <c r="D696" s="19" t="s">
        <v>505</v>
      </c>
      <c r="E696" s="3" t="s">
        <v>807</v>
      </c>
      <c r="F696" s="1">
        <v>0</v>
      </c>
      <c r="G696" s="32">
        <v>0</v>
      </c>
      <c r="H696" s="33">
        <f t="shared" si="137"/>
        <v>0</v>
      </c>
      <c r="I696" s="34"/>
      <c r="J696" s="35">
        <v>0</v>
      </c>
      <c r="K696" s="36">
        <v>0</v>
      </c>
      <c r="L696" s="35">
        <v>0</v>
      </c>
      <c r="M696" s="35">
        <v>0</v>
      </c>
      <c r="N696" s="35">
        <v>0</v>
      </c>
      <c r="O696" s="35">
        <v>-2130000</v>
      </c>
      <c r="P696" s="35">
        <v>0</v>
      </c>
      <c r="R696" s="37">
        <f t="shared" si="140"/>
        <v>2130000</v>
      </c>
      <c r="X696" s="28"/>
      <c r="Y696" s="28"/>
    </row>
    <row r="697" spans="1:25" s="4" customFormat="1">
      <c r="A697" s="41"/>
      <c r="B697" s="20" t="s">
        <v>52</v>
      </c>
      <c r="C697" s="42">
        <v>2025</v>
      </c>
      <c r="D697" s="19" t="s">
        <v>505</v>
      </c>
      <c r="E697" s="3" t="s">
        <v>808</v>
      </c>
      <c r="F697" s="1">
        <v>0</v>
      </c>
      <c r="G697" s="32">
        <v>0</v>
      </c>
      <c r="H697" s="33">
        <f t="shared" si="137"/>
        <v>0</v>
      </c>
      <c r="I697" s="34"/>
      <c r="J697" s="35">
        <v>0</v>
      </c>
      <c r="K697" s="36">
        <v>0</v>
      </c>
      <c r="L697" s="35">
        <v>0</v>
      </c>
      <c r="M697" s="35">
        <v>0</v>
      </c>
      <c r="N697" s="35">
        <v>0</v>
      </c>
      <c r="O697" s="35">
        <v>-2280000</v>
      </c>
      <c r="P697" s="35">
        <v>0</v>
      </c>
      <c r="R697" s="37">
        <f t="shared" si="140"/>
        <v>2280000</v>
      </c>
      <c r="X697" s="28"/>
      <c r="Y697" s="28"/>
    </row>
    <row r="698" spans="1:25" s="4" customFormat="1">
      <c r="A698" s="41"/>
      <c r="B698" s="20" t="s">
        <v>52</v>
      </c>
      <c r="C698" s="42">
        <v>2025</v>
      </c>
      <c r="D698" s="19" t="s">
        <v>505</v>
      </c>
      <c r="E698" s="3" t="s">
        <v>809</v>
      </c>
      <c r="F698" s="1">
        <v>0</v>
      </c>
      <c r="G698" s="32">
        <v>0</v>
      </c>
      <c r="H698" s="33">
        <f t="shared" si="137"/>
        <v>0</v>
      </c>
      <c r="I698" s="34"/>
      <c r="J698" s="35">
        <v>0</v>
      </c>
      <c r="K698" s="36">
        <v>0</v>
      </c>
      <c r="L698" s="35">
        <v>0</v>
      </c>
      <c r="M698" s="35">
        <v>0</v>
      </c>
      <c r="N698" s="35">
        <v>0</v>
      </c>
      <c r="O698" s="35">
        <v>-3050000</v>
      </c>
      <c r="P698" s="35">
        <v>0</v>
      </c>
      <c r="R698" s="37">
        <f t="shared" si="140"/>
        <v>3050000</v>
      </c>
      <c r="X698" s="28"/>
      <c r="Y698" s="28"/>
    </row>
    <row r="699" spans="1:25" s="4" customFormat="1">
      <c r="A699" s="41"/>
      <c r="B699" s="20" t="s">
        <v>52</v>
      </c>
      <c r="C699" s="42">
        <v>2025</v>
      </c>
      <c r="D699" s="19" t="s">
        <v>505</v>
      </c>
      <c r="E699" s="3" t="s">
        <v>810</v>
      </c>
      <c r="F699" s="1">
        <v>0</v>
      </c>
      <c r="G699" s="32">
        <v>0</v>
      </c>
      <c r="H699" s="33">
        <f t="shared" si="137"/>
        <v>0</v>
      </c>
      <c r="I699" s="34"/>
      <c r="J699" s="35">
        <v>0</v>
      </c>
      <c r="K699" s="36">
        <v>0</v>
      </c>
      <c r="L699" s="35">
        <v>0</v>
      </c>
      <c r="M699" s="35">
        <v>0</v>
      </c>
      <c r="N699" s="35">
        <v>0</v>
      </c>
      <c r="O699" s="35">
        <v>-8102500</v>
      </c>
      <c r="P699" s="35">
        <v>0</v>
      </c>
      <c r="R699" s="37">
        <f t="shared" si="140"/>
        <v>8102500</v>
      </c>
      <c r="X699" s="28"/>
      <c r="Y699" s="28"/>
    </row>
    <row r="700" spans="1:25" s="4" customFormat="1">
      <c r="A700" s="41"/>
      <c r="B700" s="20" t="s">
        <v>52</v>
      </c>
      <c r="C700" s="42">
        <v>2025</v>
      </c>
      <c r="D700" s="19" t="s">
        <v>505</v>
      </c>
      <c r="E700" s="3" t="s">
        <v>811</v>
      </c>
      <c r="F700" s="1">
        <v>0</v>
      </c>
      <c r="G700" s="32">
        <v>0</v>
      </c>
      <c r="H700" s="33">
        <f t="shared" si="137"/>
        <v>0</v>
      </c>
      <c r="I700" s="34"/>
      <c r="J700" s="35">
        <v>0</v>
      </c>
      <c r="K700" s="36">
        <v>0</v>
      </c>
      <c r="L700" s="35">
        <v>0</v>
      </c>
      <c r="M700" s="35">
        <v>0</v>
      </c>
      <c r="N700" s="35">
        <v>0</v>
      </c>
      <c r="O700" s="35">
        <v>-6348600</v>
      </c>
      <c r="P700" s="35">
        <v>0</v>
      </c>
      <c r="R700" s="37">
        <f t="shared" si="140"/>
        <v>6348600</v>
      </c>
      <c r="X700" s="28"/>
      <c r="Y700" s="28"/>
    </row>
    <row r="701" spans="1:25" s="4" customFormat="1">
      <c r="A701" s="41"/>
      <c r="B701" s="20" t="s">
        <v>52</v>
      </c>
      <c r="C701" s="42">
        <v>2025</v>
      </c>
      <c r="D701" s="19" t="s">
        <v>505</v>
      </c>
      <c r="E701" s="3" t="s">
        <v>812</v>
      </c>
      <c r="F701" s="1">
        <v>0</v>
      </c>
      <c r="G701" s="32">
        <v>0</v>
      </c>
      <c r="H701" s="33">
        <f t="shared" si="137"/>
        <v>0</v>
      </c>
      <c r="I701" s="34"/>
      <c r="J701" s="35">
        <v>0</v>
      </c>
      <c r="K701" s="36">
        <v>0</v>
      </c>
      <c r="L701" s="35">
        <v>0</v>
      </c>
      <c r="M701" s="35">
        <v>0</v>
      </c>
      <c r="N701" s="35">
        <v>0</v>
      </c>
      <c r="O701" s="35">
        <v>-300000</v>
      </c>
      <c r="P701" s="35">
        <v>0</v>
      </c>
      <c r="R701" s="37">
        <f t="shared" si="140"/>
        <v>300000</v>
      </c>
      <c r="X701" s="28"/>
      <c r="Y701" s="28"/>
    </row>
    <row r="702" spans="1:25" s="4" customFormat="1">
      <c r="A702" s="41"/>
      <c r="B702" s="20" t="s">
        <v>52</v>
      </c>
      <c r="C702" s="42">
        <v>2025</v>
      </c>
      <c r="D702" s="19" t="s">
        <v>505</v>
      </c>
      <c r="E702" s="3" t="s">
        <v>813</v>
      </c>
      <c r="F702" s="1">
        <v>0</v>
      </c>
      <c r="G702" s="32">
        <v>0</v>
      </c>
      <c r="H702" s="33">
        <f t="shared" si="137"/>
        <v>0</v>
      </c>
      <c r="I702" s="34"/>
      <c r="J702" s="35">
        <v>0</v>
      </c>
      <c r="K702" s="36">
        <v>0</v>
      </c>
      <c r="L702" s="35">
        <v>0</v>
      </c>
      <c r="M702" s="35">
        <v>0</v>
      </c>
      <c r="N702" s="35">
        <v>0</v>
      </c>
      <c r="O702" s="35">
        <v>-100000000</v>
      </c>
      <c r="P702" s="35">
        <v>0</v>
      </c>
      <c r="R702" s="37">
        <f t="shared" si="140"/>
        <v>100000000</v>
      </c>
      <c r="X702" s="28"/>
      <c r="Y702" s="28"/>
    </row>
    <row r="703" spans="1:25" s="4" customFormat="1">
      <c r="A703" s="41"/>
      <c r="B703" s="20" t="s">
        <v>52</v>
      </c>
      <c r="C703" s="42">
        <v>2025</v>
      </c>
      <c r="D703" s="19" t="s">
        <v>905</v>
      </c>
      <c r="E703" s="3" t="s">
        <v>851</v>
      </c>
      <c r="F703" s="1">
        <v>0</v>
      </c>
      <c r="G703" s="32">
        <v>0</v>
      </c>
      <c r="H703" s="33">
        <f t="shared" si="137"/>
        <v>0</v>
      </c>
      <c r="I703" s="34"/>
      <c r="J703" s="35">
        <v>0</v>
      </c>
      <c r="K703" s="36">
        <v>0</v>
      </c>
      <c r="L703" s="35">
        <v>0</v>
      </c>
      <c r="M703" s="35">
        <v>0</v>
      </c>
      <c r="N703" s="35">
        <v>0</v>
      </c>
      <c r="O703" s="35">
        <v>-136000000</v>
      </c>
      <c r="P703" s="35">
        <v>0</v>
      </c>
      <c r="R703" s="37">
        <f>F703-J703-K703-L703-M703-N703-O703</f>
        <v>136000000</v>
      </c>
      <c r="X703" s="28"/>
      <c r="Y703" s="28"/>
    </row>
    <row r="704" spans="1:25" s="4" customFormat="1">
      <c r="A704" s="41"/>
      <c r="B704" s="20" t="s">
        <v>52</v>
      </c>
      <c r="C704" s="42">
        <v>2025</v>
      </c>
      <c r="D704" s="19" t="s">
        <v>905</v>
      </c>
      <c r="E704" s="3" t="s">
        <v>852</v>
      </c>
      <c r="F704" s="1">
        <v>0</v>
      </c>
      <c r="G704" s="32">
        <v>0</v>
      </c>
      <c r="H704" s="33">
        <f t="shared" si="137"/>
        <v>0</v>
      </c>
      <c r="I704" s="34"/>
      <c r="J704" s="35">
        <v>0</v>
      </c>
      <c r="K704" s="36">
        <v>0</v>
      </c>
      <c r="L704" s="35">
        <v>0</v>
      </c>
      <c r="M704" s="35">
        <v>0</v>
      </c>
      <c r="N704" s="35">
        <v>0</v>
      </c>
      <c r="O704" s="35">
        <v>-150000</v>
      </c>
      <c r="P704" s="35">
        <v>0</v>
      </c>
      <c r="R704" s="37">
        <f>F704-J704-K704-L704-M704-N704-O704</f>
        <v>150000</v>
      </c>
      <c r="X704" s="28"/>
      <c r="Y704" s="28"/>
    </row>
    <row r="705" spans="1:25" s="4" customFormat="1">
      <c r="A705" s="41"/>
      <c r="B705" s="20" t="s">
        <v>52</v>
      </c>
      <c r="C705" s="42">
        <v>2025</v>
      </c>
      <c r="D705" s="19" t="s">
        <v>752</v>
      </c>
      <c r="E705" s="3" t="s">
        <v>894</v>
      </c>
      <c r="F705" s="1">
        <v>0</v>
      </c>
      <c r="G705" s="32">
        <v>0</v>
      </c>
      <c r="H705" s="33">
        <f t="shared" si="137"/>
        <v>0</v>
      </c>
      <c r="I705" s="34"/>
      <c r="J705" s="35">
        <v>0</v>
      </c>
      <c r="K705" s="36">
        <v>0</v>
      </c>
      <c r="L705" s="35">
        <v>0</v>
      </c>
      <c r="M705" s="35">
        <v>0</v>
      </c>
      <c r="N705" s="35">
        <v>0</v>
      </c>
      <c r="O705" s="35">
        <v>-15000000</v>
      </c>
      <c r="P705" s="35">
        <v>0</v>
      </c>
      <c r="R705" s="37">
        <f t="shared" si="140"/>
        <v>15000000</v>
      </c>
      <c r="X705" s="28"/>
      <c r="Y705" s="28"/>
    </row>
    <row r="706" spans="1:25" s="4" customFormat="1">
      <c r="A706" s="41"/>
      <c r="B706" s="20" t="s">
        <v>52</v>
      </c>
      <c r="C706" s="42">
        <v>2025</v>
      </c>
      <c r="D706" s="19" t="s">
        <v>752</v>
      </c>
      <c r="E706" s="3" t="s">
        <v>895</v>
      </c>
      <c r="F706" s="1">
        <v>0</v>
      </c>
      <c r="G706" s="32">
        <v>0</v>
      </c>
      <c r="H706" s="33">
        <f t="shared" si="137"/>
        <v>0</v>
      </c>
      <c r="I706" s="34"/>
      <c r="J706" s="35">
        <v>0</v>
      </c>
      <c r="K706" s="36">
        <v>0</v>
      </c>
      <c r="L706" s="35">
        <v>0</v>
      </c>
      <c r="M706" s="35">
        <v>0</v>
      </c>
      <c r="N706" s="35">
        <v>0</v>
      </c>
      <c r="O706" s="35">
        <v>-50000000</v>
      </c>
      <c r="P706" s="35">
        <v>0</v>
      </c>
      <c r="R706" s="37">
        <f t="shared" si="140"/>
        <v>50000000</v>
      </c>
      <c r="X706" s="28"/>
      <c r="Y706" s="28"/>
    </row>
    <row r="707" spans="1:25" s="4" customFormat="1">
      <c r="A707" s="41"/>
      <c r="B707" s="20" t="s">
        <v>52</v>
      </c>
      <c r="C707" s="42">
        <v>2025</v>
      </c>
      <c r="D707" s="19" t="s">
        <v>752</v>
      </c>
      <c r="E707" s="3" t="s">
        <v>896</v>
      </c>
      <c r="F707" s="1">
        <v>0</v>
      </c>
      <c r="G707" s="32">
        <v>0</v>
      </c>
      <c r="H707" s="33">
        <f t="shared" si="137"/>
        <v>0</v>
      </c>
      <c r="I707" s="34"/>
      <c r="J707" s="35">
        <v>0</v>
      </c>
      <c r="K707" s="36">
        <v>0</v>
      </c>
      <c r="L707" s="35">
        <v>0</v>
      </c>
      <c r="M707" s="35">
        <v>0</v>
      </c>
      <c r="N707" s="35">
        <v>0</v>
      </c>
      <c r="O707" s="35">
        <v>-5000000</v>
      </c>
      <c r="P707" s="35">
        <v>0</v>
      </c>
      <c r="R707" s="37">
        <f t="shared" si="140"/>
        <v>5000000</v>
      </c>
      <c r="X707" s="28"/>
      <c r="Y707" s="28"/>
    </row>
    <row r="708" spans="1:25" s="4" customFormat="1">
      <c r="A708" s="41"/>
      <c r="B708" s="20" t="s">
        <v>52</v>
      </c>
      <c r="C708" s="42">
        <v>2025</v>
      </c>
      <c r="D708" s="19" t="s">
        <v>752</v>
      </c>
      <c r="E708" s="3" t="s">
        <v>817</v>
      </c>
      <c r="F708" s="1">
        <v>0</v>
      </c>
      <c r="G708" s="32">
        <v>0</v>
      </c>
      <c r="H708" s="33">
        <f t="shared" si="137"/>
        <v>0</v>
      </c>
      <c r="I708" s="34"/>
      <c r="J708" s="35">
        <v>0</v>
      </c>
      <c r="K708" s="36">
        <v>0</v>
      </c>
      <c r="L708" s="35">
        <v>0</v>
      </c>
      <c r="M708" s="35">
        <v>0</v>
      </c>
      <c r="N708" s="35">
        <v>0</v>
      </c>
      <c r="O708" s="35">
        <v>-300000</v>
      </c>
      <c r="P708" s="35">
        <v>0</v>
      </c>
      <c r="R708" s="37">
        <f t="shared" ref="R708:R725" si="141">F708-J708-K708-L708-M708-N708-O708</f>
        <v>300000</v>
      </c>
      <c r="X708" s="28"/>
      <c r="Y708" s="28"/>
    </row>
    <row r="709" spans="1:25" s="4" customFormat="1">
      <c r="A709" s="41"/>
      <c r="B709" s="20" t="s">
        <v>52</v>
      </c>
      <c r="C709" s="42">
        <v>2025</v>
      </c>
      <c r="D709" s="19" t="s">
        <v>752</v>
      </c>
      <c r="E709" s="3" t="s">
        <v>897</v>
      </c>
      <c r="F709" s="1">
        <v>0</v>
      </c>
      <c r="G709" s="32">
        <v>0</v>
      </c>
      <c r="H709" s="33">
        <f t="shared" ref="H709:H772" si="142">G709*$H$4/$E$999</f>
        <v>0</v>
      </c>
      <c r="I709" s="34"/>
      <c r="J709" s="35">
        <v>0</v>
      </c>
      <c r="K709" s="36">
        <v>0</v>
      </c>
      <c r="L709" s="35">
        <v>0</v>
      </c>
      <c r="M709" s="35">
        <v>0</v>
      </c>
      <c r="N709" s="35">
        <v>0</v>
      </c>
      <c r="O709" s="35">
        <v>-100000</v>
      </c>
      <c r="P709" s="35">
        <v>0</v>
      </c>
      <c r="R709" s="37">
        <f t="shared" si="141"/>
        <v>100000</v>
      </c>
      <c r="X709" s="28"/>
      <c r="Y709" s="28"/>
    </row>
    <row r="710" spans="1:25" s="4" customFormat="1">
      <c r="A710" s="41"/>
      <c r="B710" s="20" t="s">
        <v>52</v>
      </c>
      <c r="C710" s="42">
        <v>2025</v>
      </c>
      <c r="D710" s="19" t="s">
        <v>752</v>
      </c>
      <c r="E710" s="3" t="s">
        <v>816</v>
      </c>
      <c r="F710" s="1">
        <v>0</v>
      </c>
      <c r="G710" s="32">
        <v>0</v>
      </c>
      <c r="H710" s="33">
        <f t="shared" si="142"/>
        <v>0</v>
      </c>
      <c r="I710" s="34"/>
      <c r="J710" s="35">
        <v>0</v>
      </c>
      <c r="K710" s="36">
        <v>0</v>
      </c>
      <c r="L710" s="35">
        <v>0</v>
      </c>
      <c r="M710" s="35">
        <v>0</v>
      </c>
      <c r="N710" s="35">
        <v>0</v>
      </c>
      <c r="O710" s="35">
        <v>-1000000</v>
      </c>
      <c r="P710" s="35">
        <v>0</v>
      </c>
      <c r="R710" s="37">
        <f t="shared" si="141"/>
        <v>1000000</v>
      </c>
      <c r="X710" s="28"/>
      <c r="Y710" s="28"/>
    </row>
    <row r="711" spans="1:25" s="4" customFormat="1">
      <c r="A711" s="41"/>
      <c r="B711" s="20" t="s">
        <v>52</v>
      </c>
      <c r="C711" s="42">
        <v>2025</v>
      </c>
      <c r="D711" s="19" t="s">
        <v>752</v>
      </c>
      <c r="E711" s="3" t="s">
        <v>898</v>
      </c>
      <c r="F711" s="1">
        <v>0</v>
      </c>
      <c r="G711" s="32">
        <v>0</v>
      </c>
      <c r="H711" s="33">
        <f t="shared" si="142"/>
        <v>0</v>
      </c>
      <c r="I711" s="34"/>
      <c r="J711" s="35">
        <v>0</v>
      </c>
      <c r="K711" s="36">
        <v>0</v>
      </c>
      <c r="L711" s="35">
        <v>0</v>
      </c>
      <c r="M711" s="35">
        <v>0</v>
      </c>
      <c r="N711" s="35">
        <v>0</v>
      </c>
      <c r="O711" s="35">
        <v>-500000</v>
      </c>
      <c r="P711" s="35">
        <v>0</v>
      </c>
      <c r="R711" s="37">
        <f t="shared" si="141"/>
        <v>500000</v>
      </c>
      <c r="X711" s="28"/>
      <c r="Y711" s="28"/>
    </row>
    <row r="712" spans="1:25" s="4" customFormat="1">
      <c r="A712" s="41"/>
      <c r="B712" s="20" t="s">
        <v>52</v>
      </c>
      <c r="C712" s="42">
        <v>2025</v>
      </c>
      <c r="D712" s="19" t="s">
        <v>752</v>
      </c>
      <c r="E712" s="3" t="s">
        <v>899</v>
      </c>
      <c r="F712" s="1">
        <v>0</v>
      </c>
      <c r="G712" s="32">
        <v>0</v>
      </c>
      <c r="H712" s="33">
        <f t="shared" si="142"/>
        <v>0</v>
      </c>
      <c r="I712" s="34"/>
      <c r="J712" s="35">
        <v>0</v>
      </c>
      <c r="K712" s="36">
        <v>0</v>
      </c>
      <c r="L712" s="35">
        <v>0</v>
      </c>
      <c r="M712" s="35">
        <v>0</v>
      </c>
      <c r="N712" s="35">
        <v>0</v>
      </c>
      <c r="O712" s="35">
        <v>-3000000</v>
      </c>
      <c r="P712" s="35">
        <v>0</v>
      </c>
      <c r="R712" s="37">
        <f t="shared" si="141"/>
        <v>3000000</v>
      </c>
      <c r="X712" s="28"/>
      <c r="Y712" s="28"/>
    </row>
    <row r="713" spans="1:25" s="4" customFormat="1">
      <c r="A713" s="41"/>
      <c r="B713" s="20" t="s">
        <v>52</v>
      </c>
      <c r="C713" s="42">
        <v>2025</v>
      </c>
      <c r="D713" s="19" t="s">
        <v>752</v>
      </c>
      <c r="E713" s="3" t="s">
        <v>900</v>
      </c>
      <c r="F713" s="1">
        <v>0</v>
      </c>
      <c r="G713" s="32">
        <v>0</v>
      </c>
      <c r="H713" s="33">
        <f t="shared" si="142"/>
        <v>0</v>
      </c>
      <c r="I713" s="34"/>
      <c r="J713" s="35">
        <v>0</v>
      </c>
      <c r="K713" s="36">
        <v>0</v>
      </c>
      <c r="L713" s="35">
        <v>0</v>
      </c>
      <c r="M713" s="35">
        <v>0</v>
      </c>
      <c r="N713" s="35">
        <v>0</v>
      </c>
      <c r="O713" s="35">
        <v>-90000</v>
      </c>
      <c r="P713" s="35">
        <v>0</v>
      </c>
      <c r="R713" s="37">
        <f t="shared" si="141"/>
        <v>90000</v>
      </c>
      <c r="X713" s="28"/>
      <c r="Y713" s="28"/>
    </row>
    <row r="714" spans="1:25" s="4" customFormat="1">
      <c r="A714" s="41"/>
      <c r="B714" s="20" t="s">
        <v>52</v>
      </c>
      <c r="C714" s="42">
        <v>2025</v>
      </c>
      <c r="D714" s="19" t="s">
        <v>752</v>
      </c>
      <c r="E714" s="3" t="s">
        <v>901</v>
      </c>
      <c r="F714" s="1">
        <v>0</v>
      </c>
      <c r="G714" s="32">
        <v>0</v>
      </c>
      <c r="H714" s="33">
        <f t="shared" si="142"/>
        <v>0</v>
      </c>
      <c r="I714" s="34"/>
      <c r="J714" s="35">
        <v>0</v>
      </c>
      <c r="K714" s="36">
        <v>0</v>
      </c>
      <c r="L714" s="35">
        <v>0</v>
      </c>
      <c r="M714" s="35">
        <v>0</v>
      </c>
      <c r="N714" s="35">
        <v>0</v>
      </c>
      <c r="O714" s="35">
        <v>-5277700</v>
      </c>
      <c r="P714" s="35">
        <v>0</v>
      </c>
      <c r="R714" s="37">
        <f t="shared" si="141"/>
        <v>5277700</v>
      </c>
      <c r="X714" s="28"/>
      <c r="Y714" s="28"/>
    </row>
    <row r="715" spans="1:25" s="4" customFormat="1">
      <c r="A715" s="41"/>
      <c r="B715" s="20" t="s">
        <v>52</v>
      </c>
      <c r="C715" s="42">
        <v>2025</v>
      </c>
      <c r="D715" s="19" t="s">
        <v>752</v>
      </c>
      <c r="E715" s="3" t="s">
        <v>902</v>
      </c>
      <c r="F715" s="1">
        <v>0</v>
      </c>
      <c r="G715" s="32">
        <v>0</v>
      </c>
      <c r="H715" s="33">
        <f t="shared" si="142"/>
        <v>0</v>
      </c>
      <c r="I715" s="34"/>
      <c r="J715" s="35">
        <v>0</v>
      </c>
      <c r="K715" s="36">
        <v>0</v>
      </c>
      <c r="L715" s="35">
        <v>0</v>
      </c>
      <c r="M715" s="35">
        <v>0</v>
      </c>
      <c r="N715" s="35">
        <v>0</v>
      </c>
      <c r="O715" s="35">
        <v>-502500</v>
      </c>
      <c r="P715" s="35">
        <v>0</v>
      </c>
      <c r="R715" s="37">
        <f t="shared" si="141"/>
        <v>502500</v>
      </c>
      <c r="X715" s="28"/>
      <c r="Y715" s="28"/>
    </row>
    <row r="716" spans="1:25" s="4" customFormat="1">
      <c r="A716" s="41"/>
      <c r="B716" s="20" t="s">
        <v>52</v>
      </c>
      <c r="C716" s="42">
        <v>2025</v>
      </c>
      <c r="D716" s="19" t="s">
        <v>752</v>
      </c>
      <c r="E716" s="3" t="s">
        <v>903</v>
      </c>
      <c r="F716" s="1">
        <v>0</v>
      </c>
      <c r="G716" s="32">
        <v>0</v>
      </c>
      <c r="H716" s="33">
        <f t="shared" si="142"/>
        <v>0</v>
      </c>
      <c r="I716" s="34"/>
      <c r="J716" s="35">
        <v>0</v>
      </c>
      <c r="K716" s="36">
        <v>0</v>
      </c>
      <c r="L716" s="35">
        <v>0</v>
      </c>
      <c r="M716" s="35">
        <v>0</v>
      </c>
      <c r="N716" s="35">
        <v>0</v>
      </c>
      <c r="O716" s="35">
        <v>-562500</v>
      </c>
      <c r="P716" s="35">
        <v>0</v>
      </c>
      <c r="R716" s="37">
        <f t="shared" si="141"/>
        <v>562500</v>
      </c>
      <c r="X716" s="28"/>
      <c r="Y716" s="28"/>
    </row>
    <row r="717" spans="1:25" s="4" customFormat="1">
      <c r="A717" s="41"/>
      <c r="B717" s="20" t="s">
        <v>52</v>
      </c>
      <c r="C717" s="42">
        <v>2025</v>
      </c>
      <c r="D717" s="19" t="s">
        <v>752</v>
      </c>
      <c r="E717" s="3" t="s">
        <v>904</v>
      </c>
      <c r="F717" s="1">
        <v>0</v>
      </c>
      <c r="G717" s="32">
        <v>0</v>
      </c>
      <c r="H717" s="33">
        <f t="shared" si="142"/>
        <v>0</v>
      </c>
      <c r="I717" s="34"/>
      <c r="J717" s="35">
        <v>0</v>
      </c>
      <c r="K717" s="36">
        <v>0</v>
      </c>
      <c r="L717" s="35">
        <v>0</v>
      </c>
      <c r="M717" s="35">
        <v>0</v>
      </c>
      <c r="N717" s="35">
        <v>0</v>
      </c>
      <c r="O717" s="35">
        <v>-32340000</v>
      </c>
      <c r="P717" s="35">
        <v>0</v>
      </c>
      <c r="R717" s="37">
        <f t="shared" si="141"/>
        <v>32340000</v>
      </c>
      <c r="X717" s="28"/>
      <c r="Y717" s="28"/>
    </row>
    <row r="718" spans="1:25" s="4" customFormat="1">
      <c r="A718" s="41"/>
      <c r="B718" s="20" t="s">
        <v>52</v>
      </c>
      <c r="C718" s="42">
        <v>2025</v>
      </c>
      <c r="D718" s="19" t="s">
        <v>724</v>
      </c>
      <c r="E718" s="3" t="s">
        <v>818</v>
      </c>
      <c r="F718" s="1">
        <v>0</v>
      </c>
      <c r="G718" s="32">
        <v>0</v>
      </c>
      <c r="H718" s="33">
        <f t="shared" si="142"/>
        <v>0</v>
      </c>
      <c r="I718" s="34"/>
      <c r="J718" s="35">
        <v>0</v>
      </c>
      <c r="K718" s="36">
        <v>0</v>
      </c>
      <c r="L718" s="35">
        <v>0</v>
      </c>
      <c r="M718" s="35">
        <v>0</v>
      </c>
      <c r="N718" s="35">
        <v>0</v>
      </c>
      <c r="O718" s="35">
        <v>-20000000</v>
      </c>
      <c r="P718" s="35">
        <v>0</v>
      </c>
      <c r="R718" s="37">
        <f t="shared" si="141"/>
        <v>20000000</v>
      </c>
      <c r="X718" s="28"/>
      <c r="Y718" s="28"/>
    </row>
    <row r="719" spans="1:25" s="4" customFormat="1">
      <c r="A719" s="41"/>
      <c r="B719" s="20" t="s">
        <v>52</v>
      </c>
      <c r="C719" s="42">
        <v>2025</v>
      </c>
      <c r="D719" s="19" t="s">
        <v>724</v>
      </c>
      <c r="E719" s="3" t="s">
        <v>789</v>
      </c>
      <c r="F719" s="1">
        <v>0</v>
      </c>
      <c r="G719" s="32">
        <v>0</v>
      </c>
      <c r="H719" s="33">
        <f t="shared" si="142"/>
        <v>0</v>
      </c>
      <c r="I719" s="34"/>
      <c r="J719" s="35">
        <v>0</v>
      </c>
      <c r="K719" s="36">
        <v>0</v>
      </c>
      <c r="L719" s="35">
        <v>0</v>
      </c>
      <c r="M719" s="35">
        <v>0</v>
      </c>
      <c r="N719" s="35">
        <v>0</v>
      </c>
      <c r="O719" s="35">
        <v>-170000000</v>
      </c>
      <c r="P719" s="35">
        <v>0</v>
      </c>
      <c r="R719" s="37">
        <f t="shared" si="141"/>
        <v>170000000</v>
      </c>
      <c r="X719" s="28"/>
      <c r="Y719" s="28"/>
    </row>
    <row r="720" spans="1:25" s="4" customFormat="1">
      <c r="A720" s="41"/>
      <c r="B720" s="20" t="s">
        <v>52</v>
      </c>
      <c r="C720" s="42">
        <v>2025</v>
      </c>
      <c r="D720" s="19" t="s">
        <v>724</v>
      </c>
      <c r="E720" s="3" t="s">
        <v>814</v>
      </c>
      <c r="F720" s="1">
        <v>0</v>
      </c>
      <c r="G720" s="32">
        <v>0</v>
      </c>
      <c r="H720" s="33">
        <f t="shared" si="142"/>
        <v>0</v>
      </c>
      <c r="I720" s="34"/>
      <c r="J720" s="35">
        <v>0</v>
      </c>
      <c r="K720" s="36">
        <v>0</v>
      </c>
      <c r="L720" s="35">
        <v>0</v>
      </c>
      <c r="M720" s="35">
        <v>0</v>
      </c>
      <c r="N720" s="35">
        <v>0</v>
      </c>
      <c r="O720" s="35">
        <v>-3000000</v>
      </c>
      <c r="P720" s="35">
        <v>0</v>
      </c>
      <c r="R720" s="37">
        <f t="shared" si="141"/>
        <v>3000000</v>
      </c>
      <c r="X720" s="28"/>
      <c r="Y720" s="28"/>
    </row>
    <row r="721" spans="1:25" s="4" customFormat="1">
      <c r="A721" s="41"/>
      <c r="B721" s="20" t="s">
        <v>52</v>
      </c>
      <c r="C721" s="42">
        <v>2025</v>
      </c>
      <c r="D721" s="19" t="s">
        <v>724</v>
      </c>
      <c r="E721" s="3" t="s">
        <v>815</v>
      </c>
      <c r="F721" s="1">
        <v>0</v>
      </c>
      <c r="G721" s="32">
        <v>0</v>
      </c>
      <c r="H721" s="33">
        <f t="shared" si="142"/>
        <v>0</v>
      </c>
      <c r="I721" s="34"/>
      <c r="J721" s="35">
        <v>0</v>
      </c>
      <c r="K721" s="36">
        <v>0</v>
      </c>
      <c r="L721" s="35">
        <v>0</v>
      </c>
      <c r="M721" s="35">
        <v>0</v>
      </c>
      <c r="N721" s="35">
        <v>0</v>
      </c>
      <c r="O721" s="35">
        <v>-8000000</v>
      </c>
      <c r="P721" s="35">
        <v>0</v>
      </c>
      <c r="R721" s="37">
        <f t="shared" si="141"/>
        <v>8000000</v>
      </c>
      <c r="X721" s="28"/>
      <c r="Y721" s="28"/>
    </row>
    <row r="722" spans="1:25" s="4" customFormat="1">
      <c r="A722" s="41"/>
      <c r="B722" s="20" t="s">
        <v>52</v>
      </c>
      <c r="C722" s="42">
        <v>2025</v>
      </c>
      <c r="D722" s="19" t="s">
        <v>724</v>
      </c>
      <c r="E722" s="3" t="s">
        <v>819</v>
      </c>
      <c r="F722" s="1">
        <v>0</v>
      </c>
      <c r="G722" s="32">
        <v>0</v>
      </c>
      <c r="H722" s="33">
        <f t="shared" si="142"/>
        <v>0</v>
      </c>
      <c r="I722" s="34"/>
      <c r="J722" s="35">
        <v>0</v>
      </c>
      <c r="K722" s="36">
        <v>0</v>
      </c>
      <c r="L722" s="35">
        <v>0</v>
      </c>
      <c r="M722" s="35">
        <v>0</v>
      </c>
      <c r="N722" s="35">
        <v>0</v>
      </c>
      <c r="O722" s="35">
        <v>-50000000</v>
      </c>
      <c r="P722" s="35">
        <v>0</v>
      </c>
      <c r="R722" s="37">
        <f t="shared" si="141"/>
        <v>50000000</v>
      </c>
      <c r="X722" s="28"/>
      <c r="Y722" s="28"/>
    </row>
    <row r="723" spans="1:25" s="4" customFormat="1">
      <c r="A723" s="41"/>
      <c r="B723" s="20" t="s">
        <v>52</v>
      </c>
      <c r="C723" s="42">
        <v>2025</v>
      </c>
      <c r="D723" s="19" t="s">
        <v>724</v>
      </c>
      <c r="E723" s="3" t="s">
        <v>816</v>
      </c>
      <c r="F723" s="1">
        <v>0</v>
      </c>
      <c r="G723" s="32">
        <v>0</v>
      </c>
      <c r="H723" s="33">
        <f t="shared" si="142"/>
        <v>0</v>
      </c>
      <c r="I723" s="34"/>
      <c r="J723" s="35">
        <v>0</v>
      </c>
      <c r="K723" s="36">
        <v>0</v>
      </c>
      <c r="L723" s="35">
        <v>0</v>
      </c>
      <c r="M723" s="35">
        <v>0</v>
      </c>
      <c r="N723" s="35">
        <v>0</v>
      </c>
      <c r="O723" s="35">
        <v>-2000000</v>
      </c>
      <c r="P723" s="35">
        <v>0</v>
      </c>
      <c r="R723" s="37">
        <f t="shared" si="141"/>
        <v>2000000</v>
      </c>
      <c r="X723" s="28"/>
      <c r="Y723" s="28"/>
    </row>
    <row r="724" spans="1:25" s="4" customFormat="1">
      <c r="A724" s="41"/>
      <c r="B724" s="20" t="s">
        <v>52</v>
      </c>
      <c r="C724" s="42">
        <v>2025</v>
      </c>
      <c r="D724" s="19" t="s">
        <v>724</v>
      </c>
      <c r="E724" s="3" t="s">
        <v>820</v>
      </c>
      <c r="F724" s="1">
        <v>0</v>
      </c>
      <c r="G724" s="32">
        <v>0</v>
      </c>
      <c r="H724" s="33">
        <f t="shared" si="142"/>
        <v>0</v>
      </c>
      <c r="I724" s="34"/>
      <c r="J724" s="35">
        <v>0</v>
      </c>
      <c r="K724" s="36">
        <v>0</v>
      </c>
      <c r="L724" s="35">
        <v>0</v>
      </c>
      <c r="M724" s="35">
        <v>0</v>
      </c>
      <c r="N724" s="35">
        <v>0</v>
      </c>
      <c r="O724" s="35">
        <v>-12278000</v>
      </c>
      <c r="P724" s="35">
        <v>0</v>
      </c>
      <c r="R724" s="37">
        <f t="shared" si="141"/>
        <v>12278000</v>
      </c>
      <c r="X724" s="28"/>
      <c r="Y724" s="28"/>
    </row>
    <row r="725" spans="1:25" s="4" customFormat="1">
      <c r="A725" s="41"/>
      <c r="B725" s="20" t="s">
        <v>52</v>
      </c>
      <c r="C725" s="42">
        <v>2025</v>
      </c>
      <c r="D725" s="19" t="s">
        <v>724</v>
      </c>
      <c r="E725" s="3" t="s">
        <v>821</v>
      </c>
      <c r="F725" s="1">
        <v>0</v>
      </c>
      <c r="G725" s="32">
        <v>0</v>
      </c>
      <c r="H725" s="33">
        <f t="shared" si="142"/>
        <v>0</v>
      </c>
      <c r="I725" s="34"/>
      <c r="J725" s="35">
        <v>0</v>
      </c>
      <c r="K725" s="36">
        <v>0</v>
      </c>
      <c r="L725" s="35">
        <v>0</v>
      </c>
      <c r="M725" s="35">
        <v>0</v>
      </c>
      <c r="N725" s="35">
        <v>0</v>
      </c>
      <c r="O725" s="35">
        <v>-1020650</v>
      </c>
      <c r="P725" s="35">
        <v>0</v>
      </c>
      <c r="R725" s="37">
        <f t="shared" si="141"/>
        <v>1020650</v>
      </c>
      <c r="X725" s="28"/>
      <c r="Y725" s="28"/>
    </row>
    <row r="726" spans="1:25" s="4" customFormat="1">
      <c r="A726" s="41"/>
      <c r="B726" s="20" t="s">
        <v>52</v>
      </c>
      <c r="C726" s="42">
        <v>2025</v>
      </c>
      <c r="D726" s="19" t="s">
        <v>462</v>
      </c>
      <c r="E726" s="3" t="s">
        <v>884</v>
      </c>
      <c r="F726" s="1">
        <v>0</v>
      </c>
      <c r="G726" s="32">
        <v>0</v>
      </c>
      <c r="H726" s="33">
        <f t="shared" si="142"/>
        <v>0</v>
      </c>
      <c r="I726" s="34"/>
      <c r="J726" s="35">
        <v>0</v>
      </c>
      <c r="K726" s="36">
        <v>0</v>
      </c>
      <c r="L726" s="35">
        <v>0</v>
      </c>
      <c r="M726" s="35">
        <v>0</v>
      </c>
      <c r="N726" s="35">
        <v>0</v>
      </c>
      <c r="O726" s="35">
        <v>-980000</v>
      </c>
      <c r="P726" s="35">
        <v>0</v>
      </c>
      <c r="R726" s="37">
        <f t="shared" si="138"/>
        <v>980000</v>
      </c>
      <c r="X726" s="28"/>
      <c r="Y726" s="28"/>
    </row>
    <row r="727" spans="1:25" s="4" customFormat="1">
      <c r="A727" s="41"/>
      <c r="B727" s="20" t="s">
        <v>52</v>
      </c>
      <c r="C727" s="42">
        <v>2025</v>
      </c>
      <c r="D727" s="19" t="s">
        <v>462</v>
      </c>
      <c r="E727" s="3" t="s">
        <v>885</v>
      </c>
      <c r="F727" s="1">
        <v>0</v>
      </c>
      <c r="G727" s="32">
        <v>0</v>
      </c>
      <c r="H727" s="33">
        <f t="shared" si="142"/>
        <v>0</v>
      </c>
      <c r="I727" s="34"/>
      <c r="J727" s="35">
        <v>0</v>
      </c>
      <c r="K727" s="36">
        <v>0</v>
      </c>
      <c r="L727" s="35">
        <v>0</v>
      </c>
      <c r="M727" s="35">
        <v>0</v>
      </c>
      <c r="N727" s="35">
        <v>0</v>
      </c>
      <c r="O727" s="35">
        <v>-135000</v>
      </c>
      <c r="P727" s="35">
        <v>0</v>
      </c>
      <c r="R727" s="37">
        <f t="shared" ref="R727:R735" si="143">F727-J727-K727-L727-M727-N727-O727</f>
        <v>135000</v>
      </c>
      <c r="X727" s="28"/>
      <c r="Y727" s="28"/>
    </row>
    <row r="728" spans="1:25" s="4" customFormat="1">
      <c r="A728" s="41"/>
      <c r="B728" s="20" t="s">
        <v>52</v>
      </c>
      <c r="C728" s="42">
        <v>2025</v>
      </c>
      <c r="D728" s="19" t="s">
        <v>462</v>
      </c>
      <c r="E728" s="3" t="s">
        <v>886</v>
      </c>
      <c r="F728" s="1">
        <v>0</v>
      </c>
      <c r="G728" s="32">
        <v>0</v>
      </c>
      <c r="H728" s="33">
        <f t="shared" si="142"/>
        <v>0</v>
      </c>
      <c r="I728" s="34"/>
      <c r="J728" s="35">
        <v>0</v>
      </c>
      <c r="K728" s="36">
        <v>0</v>
      </c>
      <c r="L728" s="35">
        <v>0</v>
      </c>
      <c r="M728" s="35">
        <v>0</v>
      </c>
      <c r="N728" s="35">
        <v>0</v>
      </c>
      <c r="O728" s="35">
        <v>-331200</v>
      </c>
      <c r="P728" s="35">
        <v>0</v>
      </c>
      <c r="R728" s="37">
        <f t="shared" si="143"/>
        <v>331200</v>
      </c>
      <c r="X728" s="28"/>
      <c r="Y728" s="28"/>
    </row>
    <row r="729" spans="1:25" s="4" customFormat="1">
      <c r="A729" s="41"/>
      <c r="B729" s="20" t="s">
        <v>52</v>
      </c>
      <c r="C729" s="42">
        <v>2025</v>
      </c>
      <c r="D729" s="19" t="s">
        <v>462</v>
      </c>
      <c r="E729" s="3" t="s">
        <v>884</v>
      </c>
      <c r="F729" s="1">
        <v>0</v>
      </c>
      <c r="G729" s="32">
        <v>0</v>
      </c>
      <c r="H729" s="33">
        <f t="shared" si="142"/>
        <v>0</v>
      </c>
      <c r="I729" s="34"/>
      <c r="J729" s="35">
        <v>0</v>
      </c>
      <c r="K729" s="36">
        <v>0</v>
      </c>
      <c r="L729" s="35">
        <v>0</v>
      </c>
      <c r="M729" s="35">
        <v>0</v>
      </c>
      <c r="N729" s="35">
        <v>0</v>
      </c>
      <c r="O729" s="35">
        <v>-1470000</v>
      </c>
      <c r="P729" s="35">
        <v>0</v>
      </c>
      <c r="R729" s="37">
        <f t="shared" si="143"/>
        <v>1470000</v>
      </c>
      <c r="X729" s="28"/>
      <c r="Y729" s="28"/>
    </row>
    <row r="730" spans="1:25" s="4" customFormat="1">
      <c r="A730" s="41"/>
      <c r="B730" s="20" t="s">
        <v>52</v>
      </c>
      <c r="C730" s="42">
        <v>2025</v>
      </c>
      <c r="D730" s="19" t="s">
        <v>462</v>
      </c>
      <c r="E730" s="3" t="s">
        <v>887</v>
      </c>
      <c r="F730" s="1">
        <v>0</v>
      </c>
      <c r="G730" s="32">
        <v>0</v>
      </c>
      <c r="H730" s="33">
        <f t="shared" si="142"/>
        <v>0</v>
      </c>
      <c r="I730" s="34"/>
      <c r="J730" s="35">
        <v>0</v>
      </c>
      <c r="K730" s="36">
        <v>0</v>
      </c>
      <c r="L730" s="35">
        <v>0</v>
      </c>
      <c r="M730" s="35">
        <v>0</v>
      </c>
      <c r="N730" s="35">
        <v>0</v>
      </c>
      <c r="O730" s="35">
        <v>-245000</v>
      </c>
      <c r="P730" s="35">
        <v>0</v>
      </c>
      <c r="R730" s="37">
        <f t="shared" si="143"/>
        <v>245000</v>
      </c>
      <c r="X730" s="28"/>
      <c r="Y730" s="28"/>
    </row>
    <row r="731" spans="1:25" s="4" customFormat="1">
      <c r="A731" s="41"/>
      <c r="B731" s="20" t="s">
        <v>52</v>
      </c>
      <c r="C731" s="42">
        <v>2025</v>
      </c>
      <c r="D731" s="19" t="s">
        <v>462</v>
      </c>
      <c r="E731" s="3" t="s">
        <v>888</v>
      </c>
      <c r="F731" s="1">
        <v>0</v>
      </c>
      <c r="G731" s="32">
        <v>0</v>
      </c>
      <c r="H731" s="33">
        <f t="shared" si="142"/>
        <v>0</v>
      </c>
      <c r="I731" s="34"/>
      <c r="J731" s="35">
        <v>0</v>
      </c>
      <c r="K731" s="36">
        <v>0</v>
      </c>
      <c r="L731" s="35">
        <v>0</v>
      </c>
      <c r="M731" s="35">
        <v>0</v>
      </c>
      <c r="N731" s="35">
        <v>0</v>
      </c>
      <c r="O731" s="35">
        <v>-71370</v>
      </c>
      <c r="P731" s="35">
        <v>0</v>
      </c>
      <c r="R731" s="37">
        <f t="shared" si="143"/>
        <v>71370</v>
      </c>
      <c r="X731" s="28"/>
      <c r="Y731" s="28"/>
    </row>
    <row r="732" spans="1:25" s="4" customFormat="1">
      <c r="A732" s="41"/>
      <c r="B732" s="20" t="s">
        <v>52</v>
      </c>
      <c r="C732" s="42">
        <v>2025</v>
      </c>
      <c r="D732" s="19" t="s">
        <v>462</v>
      </c>
      <c r="E732" s="3" t="s">
        <v>889</v>
      </c>
      <c r="F732" s="1">
        <v>0</v>
      </c>
      <c r="G732" s="32">
        <v>0</v>
      </c>
      <c r="H732" s="33">
        <f t="shared" si="142"/>
        <v>0</v>
      </c>
      <c r="I732" s="34"/>
      <c r="J732" s="35">
        <v>0</v>
      </c>
      <c r="K732" s="36">
        <v>0</v>
      </c>
      <c r="L732" s="35">
        <v>0</v>
      </c>
      <c r="M732" s="35">
        <v>0</v>
      </c>
      <c r="N732" s="35">
        <v>0</v>
      </c>
      <c r="O732" s="35">
        <v>-265000</v>
      </c>
      <c r="P732" s="35">
        <v>0</v>
      </c>
      <c r="R732" s="37">
        <f t="shared" si="143"/>
        <v>265000</v>
      </c>
      <c r="X732" s="28"/>
      <c r="Y732" s="28"/>
    </row>
    <row r="733" spans="1:25" s="4" customFormat="1">
      <c r="A733" s="41"/>
      <c r="B733" s="20" t="s">
        <v>52</v>
      </c>
      <c r="C733" s="42">
        <v>2025</v>
      </c>
      <c r="D733" s="19" t="s">
        <v>462</v>
      </c>
      <c r="E733" s="3" t="s">
        <v>890</v>
      </c>
      <c r="F733" s="1">
        <v>0</v>
      </c>
      <c r="G733" s="32">
        <v>0</v>
      </c>
      <c r="H733" s="33">
        <f t="shared" si="142"/>
        <v>0</v>
      </c>
      <c r="I733" s="34"/>
      <c r="J733" s="35">
        <v>0</v>
      </c>
      <c r="K733" s="36">
        <v>0</v>
      </c>
      <c r="L733" s="35">
        <v>0</v>
      </c>
      <c r="M733" s="35">
        <v>0</v>
      </c>
      <c r="N733" s="35">
        <v>0</v>
      </c>
      <c r="O733" s="35">
        <v>-175500</v>
      </c>
      <c r="P733" s="35">
        <v>0</v>
      </c>
      <c r="R733" s="37">
        <f t="shared" si="143"/>
        <v>175500</v>
      </c>
      <c r="X733" s="28"/>
      <c r="Y733" s="28"/>
    </row>
    <row r="734" spans="1:25" s="4" customFormat="1">
      <c r="A734" s="41"/>
      <c r="B734" s="20" t="s">
        <v>52</v>
      </c>
      <c r="C734" s="42">
        <v>2025</v>
      </c>
      <c r="D734" s="19" t="s">
        <v>462</v>
      </c>
      <c r="E734" s="3" t="s">
        <v>891</v>
      </c>
      <c r="F734" s="1">
        <v>0</v>
      </c>
      <c r="G734" s="32">
        <v>0</v>
      </c>
      <c r="H734" s="33">
        <f t="shared" si="142"/>
        <v>0</v>
      </c>
      <c r="I734" s="34"/>
      <c r="J734" s="35">
        <v>0</v>
      </c>
      <c r="K734" s="36">
        <v>0</v>
      </c>
      <c r="L734" s="35">
        <v>0</v>
      </c>
      <c r="M734" s="35">
        <v>0</v>
      </c>
      <c r="N734" s="35">
        <v>0</v>
      </c>
      <c r="O734" s="35">
        <v>-1009000</v>
      </c>
      <c r="P734" s="35">
        <v>0</v>
      </c>
      <c r="R734" s="37">
        <f t="shared" si="143"/>
        <v>1009000</v>
      </c>
      <c r="X734" s="28"/>
      <c r="Y734" s="28"/>
    </row>
    <row r="735" spans="1:25" s="4" customFormat="1">
      <c r="A735" s="41"/>
      <c r="B735" s="20" t="s">
        <v>52</v>
      </c>
      <c r="C735" s="42">
        <v>2025</v>
      </c>
      <c r="D735" s="19" t="s">
        <v>462</v>
      </c>
      <c r="E735" s="3" t="s">
        <v>892</v>
      </c>
      <c r="F735" s="1">
        <v>0</v>
      </c>
      <c r="G735" s="32">
        <v>0</v>
      </c>
      <c r="H735" s="33">
        <f t="shared" si="142"/>
        <v>0</v>
      </c>
      <c r="I735" s="34"/>
      <c r="J735" s="35">
        <v>0</v>
      </c>
      <c r="K735" s="36">
        <v>0</v>
      </c>
      <c r="L735" s="35">
        <v>0</v>
      </c>
      <c r="M735" s="35">
        <v>0</v>
      </c>
      <c r="N735" s="35">
        <v>0</v>
      </c>
      <c r="O735" s="35">
        <v>-213675</v>
      </c>
      <c r="P735" s="35">
        <v>0</v>
      </c>
      <c r="R735" s="37">
        <f t="shared" si="143"/>
        <v>213675</v>
      </c>
      <c r="X735" s="28"/>
      <c r="Y735" s="28"/>
    </row>
    <row r="736" spans="1:25" s="4" customFormat="1">
      <c r="A736" s="41"/>
      <c r="B736" s="20" t="s">
        <v>52</v>
      </c>
      <c r="C736" s="42">
        <v>2025</v>
      </c>
      <c r="D736" s="19" t="s">
        <v>462</v>
      </c>
      <c r="E736" s="3" t="s">
        <v>893</v>
      </c>
      <c r="F736" s="1">
        <v>0</v>
      </c>
      <c r="G736" s="32">
        <v>0</v>
      </c>
      <c r="H736" s="33">
        <f t="shared" si="142"/>
        <v>0</v>
      </c>
      <c r="I736" s="34"/>
      <c r="J736" s="35">
        <v>0</v>
      </c>
      <c r="K736" s="36">
        <v>0</v>
      </c>
      <c r="L736" s="35">
        <v>0</v>
      </c>
      <c r="M736" s="35">
        <v>0</v>
      </c>
      <c r="N736" s="35">
        <v>0</v>
      </c>
      <c r="O736" s="35">
        <v>-2500</v>
      </c>
      <c r="P736" s="35">
        <v>0</v>
      </c>
      <c r="R736" s="37">
        <f t="shared" ref="R736:R737" si="144">F736-J736-K736-L736-M736-N736-O736</f>
        <v>2500</v>
      </c>
      <c r="X736" s="28"/>
      <c r="Y736" s="28"/>
    </row>
    <row r="737" spans="1:25" s="4" customFormat="1">
      <c r="A737" s="41"/>
      <c r="B737" s="20" t="s">
        <v>52</v>
      </c>
      <c r="C737" s="42">
        <v>2025</v>
      </c>
      <c r="D737" s="19" t="s">
        <v>753</v>
      </c>
      <c r="E737" s="3" t="s">
        <v>847</v>
      </c>
      <c r="F737" s="1">
        <v>0</v>
      </c>
      <c r="G737" s="32">
        <v>0</v>
      </c>
      <c r="H737" s="33">
        <f t="shared" si="142"/>
        <v>0</v>
      </c>
      <c r="I737" s="34"/>
      <c r="J737" s="35">
        <v>0</v>
      </c>
      <c r="K737" s="36">
        <v>0</v>
      </c>
      <c r="L737" s="35">
        <v>0</v>
      </c>
      <c r="M737" s="35">
        <v>0</v>
      </c>
      <c r="N737" s="35">
        <v>0</v>
      </c>
      <c r="O737" s="35">
        <v>-90000000</v>
      </c>
      <c r="P737" s="35">
        <v>0</v>
      </c>
      <c r="R737" s="37">
        <f t="shared" si="144"/>
        <v>90000000</v>
      </c>
      <c r="X737" s="28"/>
      <c r="Y737" s="28"/>
    </row>
    <row r="738" spans="1:25" s="4" customFormat="1">
      <c r="A738" s="41"/>
      <c r="B738" s="20" t="s">
        <v>52</v>
      </c>
      <c r="C738" s="42">
        <v>2025</v>
      </c>
      <c r="D738" s="19" t="s">
        <v>753</v>
      </c>
      <c r="E738" s="3" t="s">
        <v>848</v>
      </c>
      <c r="F738" s="1">
        <v>0</v>
      </c>
      <c r="G738" s="32">
        <v>0</v>
      </c>
      <c r="H738" s="33">
        <f t="shared" si="142"/>
        <v>0</v>
      </c>
      <c r="I738" s="34"/>
      <c r="J738" s="35">
        <v>0</v>
      </c>
      <c r="K738" s="36">
        <v>0</v>
      </c>
      <c r="L738" s="35">
        <v>0</v>
      </c>
      <c r="M738" s="35">
        <v>0</v>
      </c>
      <c r="N738" s="35">
        <v>0</v>
      </c>
      <c r="O738" s="35">
        <v>-340000000</v>
      </c>
      <c r="P738" s="35">
        <v>0</v>
      </c>
      <c r="R738" s="37">
        <f t="shared" ref="R738:R749" si="145">F738-J738-K738-L738-M738-N738-O738</f>
        <v>340000000</v>
      </c>
      <c r="X738" s="28"/>
      <c r="Y738" s="28"/>
    </row>
    <row r="739" spans="1:25" s="4" customFormat="1">
      <c r="A739" s="41"/>
      <c r="B739" s="20" t="s">
        <v>52</v>
      </c>
      <c r="C739" s="42">
        <v>2025</v>
      </c>
      <c r="D739" s="19" t="s">
        <v>753</v>
      </c>
      <c r="E739" s="3" t="s">
        <v>849</v>
      </c>
      <c r="F739" s="1">
        <v>0</v>
      </c>
      <c r="G739" s="32">
        <v>0</v>
      </c>
      <c r="H739" s="33">
        <f t="shared" si="142"/>
        <v>0</v>
      </c>
      <c r="I739" s="34"/>
      <c r="J739" s="35">
        <v>0</v>
      </c>
      <c r="K739" s="36">
        <v>0</v>
      </c>
      <c r="L739" s="35">
        <v>0</v>
      </c>
      <c r="M739" s="35">
        <v>0</v>
      </c>
      <c r="N739" s="35">
        <v>0</v>
      </c>
      <c r="O739" s="35">
        <v>-3000000</v>
      </c>
      <c r="P739" s="35">
        <v>0</v>
      </c>
      <c r="R739" s="37">
        <f t="shared" si="145"/>
        <v>3000000</v>
      </c>
      <c r="X739" s="28"/>
      <c r="Y739" s="28"/>
    </row>
    <row r="740" spans="1:25" s="4" customFormat="1">
      <c r="A740" s="41"/>
      <c r="B740" s="20" t="s">
        <v>52</v>
      </c>
      <c r="C740" s="42">
        <v>2025</v>
      </c>
      <c r="D740" s="19" t="s">
        <v>753</v>
      </c>
      <c r="E740" s="3" t="s">
        <v>850</v>
      </c>
      <c r="F740" s="1">
        <v>0</v>
      </c>
      <c r="G740" s="32">
        <v>0</v>
      </c>
      <c r="H740" s="33">
        <f t="shared" si="142"/>
        <v>0</v>
      </c>
      <c r="I740" s="34"/>
      <c r="J740" s="35">
        <v>0</v>
      </c>
      <c r="K740" s="36">
        <v>0</v>
      </c>
      <c r="L740" s="35">
        <v>0</v>
      </c>
      <c r="M740" s="35">
        <v>0</v>
      </c>
      <c r="N740" s="35">
        <v>0</v>
      </c>
      <c r="O740" s="35">
        <v>-8000000</v>
      </c>
      <c r="P740" s="35">
        <v>0</v>
      </c>
      <c r="R740" s="37">
        <f t="shared" si="145"/>
        <v>8000000</v>
      </c>
      <c r="X740" s="28"/>
      <c r="Y740" s="28"/>
    </row>
    <row r="741" spans="1:25" s="4" customFormat="1">
      <c r="A741" s="41"/>
      <c r="B741" s="20" t="s">
        <v>52</v>
      </c>
      <c r="C741" s="42">
        <v>2025</v>
      </c>
      <c r="D741" s="19" t="s">
        <v>753</v>
      </c>
      <c r="E741" s="3" t="s">
        <v>837</v>
      </c>
      <c r="F741" s="1">
        <v>0</v>
      </c>
      <c r="G741" s="32">
        <v>0</v>
      </c>
      <c r="H741" s="33">
        <f t="shared" si="142"/>
        <v>0</v>
      </c>
      <c r="I741" s="34"/>
      <c r="J741" s="35">
        <v>0</v>
      </c>
      <c r="K741" s="36">
        <v>0</v>
      </c>
      <c r="L741" s="35">
        <v>0</v>
      </c>
      <c r="M741" s="35">
        <v>0</v>
      </c>
      <c r="N741" s="35">
        <v>0</v>
      </c>
      <c r="O741" s="35">
        <v>-1500000</v>
      </c>
      <c r="P741" s="35">
        <v>0</v>
      </c>
      <c r="R741" s="37">
        <f t="shared" si="145"/>
        <v>1500000</v>
      </c>
      <c r="X741" s="28"/>
      <c r="Y741" s="28"/>
    </row>
    <row r="742" spans="1:25" s="4" customFormat="1">
      <c r="A742" s="41"/>
      <c r="B742" s="20" t="s">
        <v>52</v>
      </c>
      <c r="C742" s="42">
        <v>2025</v>
      </c>
      <c r="D742" s="19" t="s">
        <v>753</v>
      </c>
      <c r="E742" s="3" t="s">
        <v>838</v>
      </c>
      <c r="F742" s="1">
        <v>0</v>
      </c>
      <c r="G742" s="32">
        <v>0</v>
      </c>
      <c r="H742" s="33">
        <f t="shared" si="142"/>
        <v>0</v>
      </c>
      <c r="I742" s="34"/>
      <c r="J742" s="35">
        <v>0</v>
      </c>
      <c r="K742" s="36">
        <v>0</v>
      </c>
      <c r="L742" s="35">
        <v>0</v>
      </c>
      <c r="M742" s="35">
        <v>0</v>
      </c>
      <c r="N742" s="35">
        <v>0</v>
      </c>
      <c r="O742" s="35">
        <v>-45000</v>
      </c>
      <c r="P742" s="35">
        <v>0</v>
      </c>
      <c r="R742" s="37">
        <f t="shared" si="145"/>
        <v>45000</v>
      </c>
      <c r="X742" s="28"/>
      <c r="Y742" s="28"/>
    </row>
    <row r="743" spans="1:25" s="4" customFormat="1">
      <c r="A743" s="41"/>
      <c r="B743" s="20" t="s">
        <v>52</v>
      </c>
      <c r="C743" s="42">
        <v>2025</v>
      </c>
      <c r="D743" s="19" t="s">
        <v>753</v>
      </c>
      <c r="E743" s="3" t="s">
        <v>839</v>
      </c>
      <c r="F743" s="1">
        <v>0</v>
      </c>
      <c r="G743" s="32">
        <v>0</v>
      </c>
      <c r="H743" s="33">
        <f t="shared" si="142"/>
        <v>0</v>
      </c>
      <c r="I743" s="34"/>
      <c r="J743" s="35">
        <v>0</v>
      </c>
      <c r="K743" s="36">
        <v>0</v>
      </c>
      <c r="L743" s="35">
        <v>0</v>
      </c>
      <c r="M743" s="35">
        <v>0</v>
      </c>
      <c r="N743" s="35">
        <v>0</v>
      </c>
      <c r="O743" s="35">
        <v>-3402500</v>
      </c>
      <c r="P743" s="35">
        <v>0</v>
      </c>
      <c r="R743" s="37">
        <f t="shared" si="145"/>
        <v>3402500</v>
      </c>
      <c r="X743" s="28"/>
      <c r="Y743" s="28"/>
    </row>
    <row r="744" spans="1:25" s="4" customFormat="1">
      <c r="A744" s="41"/>
      <c r="B744" s="20" t="s">
        <v>52</v>
      </c>
      <c r="C744" s="42">
        <v>2025</v>
      </c>
      <c r="D744" s="19" t="s">
        <v>753</v>
      </c>
      <c r="E744" s="3" t="s">
        <v>840</v>
      </c>
      <c r="F744" s="1">
        <v>0</v>
      </c>
      <c r="G744" s="32">
        <v>0</v>
      </c>
      <c r="H744" s="33">
        <f t="shared" si="142"/>
        <v>0</v>
      </c>
      <c r="I744" s="34"/>
      <c r="J744" s="35">
        <v>0</v>
      </c>
      <c r="K744" s="36">
        <v>0</v>
      </c>
      <c r="L744" s="35">
        <v>0</v>
      </c>
      <c r="M744" s="35">
        <v>0</v>
      </c>
      <c r="N744" s="35">
        <v>0</v>
      </c>
      <c r="O744" s="35">
        <v>-940000</v>
      </c>
      <c r="P744" s="35">
        <v>0</v>
      </c>
      <c r="R744" s="37">
        <f t="shared" si="145"/>
        <v>940000</v>
      </c>
      <c r="X744" s="28"/>
      <c r="Y744" s="28"/>
    </row>
    <row r="745" spans="1:25" s="4" customFormat="1">
      <c r="A745" s="41"/>
      <c r="B745" s="20" t="s">
        <v>52</v>
      </c>
      <c r="C745" s="42">
        <v>2025</v>
      </c>
      <c r="D745" s="19" t="s">
        <v>753</v>
      </c>
      <c r="E745" s="3" t="s">
        <v>841</v>
      </c>
      <c r="F745" s="1">
        <v>0</v>
      </c>
      <c r="G745" s="32">
        <v>0</v>
      </c>
      <c r="H745" s="33">
        <f t="shared" si="142"/>
        <v>0</v>
      </c>
      <c r="I745" s="34"/>
      <c r="J745" s="35">
        <v>0</v>
      </c>
      <c r="K745" s="36">
        <v>0</v>
      </c>
      <c r="L745" s="35">
        <v>0</v>
      </c>
      <c r="M745" s="35">
        <v>0</v>
      </c>
      <c r="N745" s="35">
        <v>0</v>
      </c>
      <c r="O745" s="35">
        <v>-80000</v>
      </c>
      <c r="P745" s="35">
        <v>0</v>
      </c>
      <c r="R745" s="37">
        <f t="shared" si="145"/>
        <v>80000</v>
      </c>
      <c r="X745" s="28"/>
      <c r="Y745" s="28"/>
    </row>
    <row r="746" spans="1:25" s="4" customFormat="1">
      <c r="A746" s="41"/>
      <c r="B746" s="20" t="s">
        <v>52</v>
      </c>
      <c r="C746" s="42">
        <v>2025</v>
      </c>
      <c r="D746" s="19" t="s">
        <v>753</v>
      </c>
      <c r="E746" s="3" t="s">
        <v>842</v>
      </c>
      <c r="F746" s="1">
        <v>0</v>
      </c>
      <c r="G746" s="32">
        <v>0</v>
      </c>
      <c r="H746" s="33">
        <f t="shared" si="142"/>
        <v>0</v>
      </c>
      <c r="I746" s="34"/>
      <c r="J746" s="35">
        <v>0</v>
      </c>
      <c r="K746" s="36">
        <v>0</v>
      </c>
      <c r="L746" s="35">
        <v>0</v>
      </c>
      <c r="M746" s="35">
        <v>0</v>
      </c>
      <c r="N746" s="35">
        <v>0</v>
      </c>
      <c r="O746" s="35">
        <v>-120000</v>
      </c>
      <c r="P746" s="35">
        <v>0</v>
      </c>
      <c r="R746" s="37">
        <f t="shared" si="145"/>
        <v>120000</v>
      </c>
      <c r="X746" s="28"/>
      <c r="Y746" s="28"/>
    </row>
    <row r="747" spans="1:25" s="4" customFormat="1">
      <c r="A747" s="41"/>
      <c r="B747" s="20" t="s">
        <v>52</v>
      </c>
      <c r="C747" s="42">
        <v>2025</v>
      </c>
      <c r="D747" s="19" t="s">
        <v>753</v>
      </c>
      <c r="E747" s="3" t="s">
        <v>843</v>
      </c>
      <c r="F747" s="1">
        <v>0</v>
      </c>
      <c r="G747" s="32">
        <v>0</v>
      </c>
      <c r="H747" s="33">
        <f t="shared" si="142"/>
        <v>0</v>
      </c>
      <c r="I747" s="34"/>
      <c r="J747" s="35">
        <v>0</v>
      </c>
      <c r="K747" s="36">
        <v>0</v>
      </c>
      <c r="L747" s="35">
        <v>0</v>
      </c>
      <c r="M747" s="35">
        <v>0</v>
      </c>
      <c r="N747" s="35">
        <v>0</v>
      </c>
      <c r="O747" s="35">
        <v>-200000</v>
      </c>
      <c r="P747" s="35">
        <v>0</v>
      </c>
      <c r="R747" s="37">
        <f t="shared" si="145"/>
        <v>200000</v>
      </c>
      <c r="X747" s="28"/>
      <c r="Y747" s="28"/>
    </row>
    <row r="748" spans="1:25" s="4" customFormat="1">
      <c r="A748" s="41"/>
      <c r="B748" s="20" t="s">
        <v>52</v>
      </c>
      <c r="C748" s="42">
        <v>2025</v>
      </c>
      <c r="D748" s="19" t="s">
        <v>753</v>
      </c>
      <c r="E748" s="3" t="s">
        <v>844</v>
      </c>
      <c r="F748" s="1">
        <v>0</v>
      </c>
      <c r="G748" s="32">
        <v>0</v>
      </c>
      <c r="H748" s="33">
        <f t="shared" si="142"/>
        <v>0</v>
      </c>
      <c r="I748" s="34"/>
      <c r="J748" s="35">
        <v>0</v>
      </c>
      <c r="K748" s="36">
        <v>0</v>
      </c>
      <c r="L748" s="35">
        <v>0</v>
      </c>
      <c r="M748" s="35">
        <v>0</v>
      </c>
      <c r="N748" s="35">
        <v>0</v>
      </c>
      <c r="O748" s="35">
        <v>-200000</v>
      </c>
      <c r="P748" s="35">
        <v>0</v>
      </c>
      <c r="R748" s="37">
        <f t="shared" si="145"/>
        <v>200000</v>
      </c>
      <c r="X748" s="28"/>
      <c r="Y748" s="28"/>
    </row>
    <row r="749" spans="1:25" s="4" customFormat="1">
      <c r="A749" s="41"/>
      <c r="B749" s="20" t="s">
        <v>52</v>
      </c>
      <c r="C749" s="42">
        <v>2025</v>
      </c>
      <c r="D749" s="19" t="s">
        <v>753</v>
      </c>
      <c r="E749" s="3" t="s">
        <v>845</v>
      </c>
      <c r="F749" s="1">
        <v>0</v>
      </c>
      <c r="G749" s="32">
        <v>0</v>
      </c>
      <c r="H749" s="33">
        <f t="shared" si="142"/>
        <v>0</v>
      </c>
      <c r="I749" s="34"/>
      <c r="J749" s="35">
        <v>0</v>
      </c>
      <c r="K749" s="36">
        <v>0</v>
      </c>
      <c r="L749" s="35">
        <v>0</v>
      </c>
      <c r="M749" s="35">
        <v>0</v>
      </c>
      <c r="N749" s="35">
        <v>0</v>
      </c>
      <c r="O749" s="35">
        <v>-3000000</v>
      </c>
      <c r="P749" s="35">
        <v>0</v>
      </c>
      <c r="R749" s="37">
        <f t="shared" si="145"/>
        <v>3000000</v>
      </c>
      <c r="X749" s="28"/>
      <c r="Y749" s="28"/>
    </row>
    <row r="750" spans="1:25" s="4" customFormat="1">
      <c r="A750" s="41"/>
      <c r="B750" s="20" t="s">
        <v>52</v>
      </c>
      <c r="C750" s="42">
        <v>2025</v>
      </c>
      <c r="D750" s="19" t="s">
        <v>753</v>
      </c>
      <c r="E750" s="3" t="s">
        <v>846</v>
      </c>
      <c r="F750" s="1">
        <v>0</v>
      </c>
      <c r="G750" s="32">
        <v>0</v>
      </c>
      <c r="H750" s="33">
        <f t="shared" si="142"/>
        <v>0</v>
      </c>
      <c r="I750" s="34"/>
      <c r="J750" s="35">
        <v>0</v>
      </c>
      <c r="K750" s="36">
        <v>0</v>
      </c>
      <c r="L750" s="35">
        <v>0</v>
      </c>
      <c r="M750" s="35">
        <v>0</v>
      </c>
      <c r="N750" s="35">
        <v>0</v>
      </c>
      <c r="O750" s="35">
        <v>-20000000</v>
      </c>
      <c r="P750" s="35">
        <v>0</v>
      </c>
      <c r="R750" s="37">
        <f t="shared" ref="R750:R751" si="146">F750-J750-K750-L750-M750-N750-O750</f>
        <v>20000000</v>
      </c>
      <c r="X750" s="28"/>
      <c r="Y750" s="28"/>
    </row>
    <row r="751" spans="1:25" s="4" customFormat="1">
      <c r="A751" s="41"/>
      <c r="B751" s="20" t="s">
        <v>52</v>
      </c>
      <c r="C751" s="42">
        <v>2025</v>
      </c>
      <c r="D751" s="19" t="s">
        <v>905</v>
      </c>
      <c r="E751" s="3" t="s">
        <v>959</v>
      </c>
      <c r="F751" s="1">
        <v>0</v>
      </c>
      <c r="G751" s="32">
        <v>0</v>
      </c>
      <c r="H751" s="33">
        <f t="shared" si="142"/>
        <v>0</v>
      </c>
      <c r="I751" s="34"/>
      <c r="J751" s="35">
        <v>0</v>
      </c>
      <c r="K751" s="36">
        <v>0</v>
      </c>
      <c r="L751" s="35">
        <v>0</v>
      </c>
      <c r="M751" s="35">
        <v>0</v>
      </c>
      <c r="N751" s="35">
        <v>0</v>
      </c>
      <c r="O751" s="35">
        <v>-1896800</v>
      </c>
      <c r="P751" s="35">
        <v>0</v>
      </c>
      <c r="R751" s="37">
        <f t="shared" si="146"/>
        <v>1896800</v>
      </c>
      <c r="X751" s="28"/>
      <c r="Y751" s="28"/>
    </row>
    <row r="752" spans="1:25" s="4" customFormat="1">
      <c r="A752" s="41"/>
      <c r="B752" s="20" t="s">
        <v>52</v>
      </c>
      <c r="C752" s="42">
        <v>2025</v>
      </c>
      <c r="D752" s="19" t="s">
        <v>905</v>
      </c>
      <c r="E752" s="3" t="s">
        <v>960</v>
      </c>
      <c r="F752" s="1">
        <v>0</v>
      </c>
      <c r="G752" s="32">
        <v>0</v>
      </c>
      <c r="H752" s="33">
        <f t="shared" si="142"/>
        <v>0</v>
      </c>
      <c r="I752" s="34"/>
      <c r="J752" s="35">
        <v>0</v>
      </c>
      <c r="K752" s="36">
        <v>0</v>
      </c>
      <c r="L752" s="35">
        <v>0</v>
      </c>
      <c r="M752" s="35">
        <v>0</v>
      </c>
      <c r="N752" s="35">
        <v>0</v>
      </c>
      <c r="O752" s="35">
        <v>-1998000</v>
      </c>
      <c r="P752" s="35">
        <v>0</v>
      </c>
      <c r="R752" s="37">
        <f t="shared" ref="R752:R799" si="147">F752-J752-K752-L752-M752-N752-O752</f>
        <v>1998000</v>
      </c>
      <c r="X752" s="28"/>
      <c r="Y752" s="28"/>
    </row>
    <row r="753" spans="1:25" s="4" customFormat="1">
      <c r="A753" s="41"/>
      <c r="B753" s="20" t="s">
        <v>52</v>
      </c>
      <c r="C753" s="42">
        <v>2025</v>
      </c>
      <c r="D753" s="19" t="s">
        <v>462</v>
      </c>
      <c r="E753" s="3" t="s">
        <v>961</v>
      </c>
      <c r="F753" s="1">
        <v>0</v>
      </c>
      <c r="G753" s="32">
        <v>0</v>
      </c>
      <c r="H753" s="33">
        <f t="shared" si="142"/>
        <v>0</v>
      </c>
      <c r="I753" s="34"/>
      <c r="J753" s="35">
        <v>0</v>
      </c>
      <c r="K753" s="36">
        <v>0</v>
      </c>
      <c r="L753" s="35">
        <v>0</v>
      </c>
      <c r="M753" s="35">
        <v>0</v>
      </c>
      <c r="N753" s="35">
        <v>0</v>
      </c>
      <c r="O753" s="35">
        <v>-1300000</v>
      </c>
      <c r="P753" s="35">
        <v>0</v>
      </c>
      <c r="R753" s="37">
        <f t="shared" si="147"/>
        <v>1300000</v>
      </c>
      <c r="X753" s="28"/>
      <c r="Y753" s="28"/>
    </row>
    <row r="754" spans="1:25" s="4" customFormat="1">
      <c r="A754" s="41"/>
      <c r="B754" s="20" t="s">
        <v>52</v>
      </c>
      <c r="C754" s="42">
        <v>2025</v>
      </c>
      <c r="D754" s="19" t="s">
        <v>462</v>
      </c>
      <c r="E754" s="3" t="s">
        <v>962</v>
      </c>
      <c r="F754" s="1">
        <v>0</v>
      </c>
      <c r="G754" s="32">
        <v>0</v>
      </c>
      <c r="H754" s="33">
        <f t="shared" si="142"/>
        <v>0</v>
      </c>
      <c r="I754" s="34"/>
      <c r="J754" s="35">
        <v>0</v>
      </c>
      <c r="K754" s="36">
        <v>0</v>
      </c>
      <c r="L754" s="35">
        <v>0</v>
      </c>
      <c r="M754" s="35">
        <v>0</v>
      </c>
      <c r="N754" s="35">
        <v>0</v>
      </c>
      <c r="O754" s="35">
        <v>-1300000</v>
      </c>
      <c r="P754" s="35">
        <v>0</v>
      </c>
      <c r="R754" s="37">
        <f t="shared" si="147"/>
        <v>1300000</v>
      </c>
      <c r="X754" s="28"/>
      <c r="Y754" s="28"/>
    </row>
    <row r="755" spans="1:25" s="4" customFormat="1">
      <c r="A755" s="41"/>
      <c r="B755" s="20" t="s">
        <v>52</v>
      </c>
      <c r="C755" s="42">
        <v>2025</v>
      </c>
      <c r="D755" s="19" t="s">
        <v>462</v>
      </c>
      <c r="E755" s="3" t="s">
        <v>963</v>
      </c>
      <c r="F755" s="1">
        <v>0</v>
      </c>
      <c r="G755" s="32">
        <v>0</v>
      </c>
      <c r="H755" s="33">
        <f t="shared" si="142"/>
        <v>0</v>
      </c>
      <c r="I755" s="34"/>
      <c r="J755" s="35">
        <v>0</v>
      </c>
      <c r="K755" s="36">
        <v>0</v>
      </c>
      <c r="L755" s="35">
        <v>0</v>
      </c>
      <c r="M755" s="35">
        <v>0</v>
      </c>
      <c r="N755" s="35">
        <v>0</v>
      </c>
      <c r="O755" s="35">
        <v>-1002964</v>
      </c>
      <c r="P755" s="35">
        <v>0</v>
      </c>
      <c r="R755" s="37">
        <f t="shared" si="147"/>
        <v>1002964</v>
      </c>
      <c r="X755" s="28"/>
      <c r="Y755" s="28"/>
    </row>
    <row r="756" spans="1:25" s="4" customFormat="1">
      <c r="A756" s="41"/>
      <c r="B756" s="20" t="s">
        <v>52</v>
      </c>
      <c r="C756" s="42">
        <v>2025</v>
      </c>
      <c r="D756" s="19" t="s">
        <v>462</v>
      </c>
      <c r="E756" s="3" t="s">
        <v>964</v>
      </c>
      <c r="F756" s="1">
        <v>0</v>
      </c>
      <c r="G756" s="32">
        <v>0</v>
      </c>
      <c r="H756" s="33">
        <f t="shared" si="142"/>
        <v>0</v>
      </c>
      <c r="I756" s="34"/>
      <c r="J756" s="35">
        <v>0</v>
      </c>
      <c r="K756" s="36">
        <v>0</v>
      </c>
      <c r="L756" s="35">
        <v>0</v>
      </c>
      <c r="M756" s="35">
        <v>0</v>
      </c>
      <c r="N756" s="35">
        <v>0</v>
      </c>
      <c r="O756" s="35">
        <v>-1300000</v>
      </c>
      <c r="P756" s="35">
        <v>0</v>
      </c>
      <c r="R756" s="37">
        <f t="shared" si="147"/>
        <v>1300000</v>
      </c>
      <c r="X756" s="28"/>
      <c r="Y756" s="28"/>
    </row>
    <row r="757" spans="1:25" s="4" customFormat="1">
      <c r="A757" s="41"/>
      <c r="B757" s="20" t="s">
        <v>52</v>
      </c>
      <c r="C757" s="42">
        <v>2025</v>
      </c>
      <c r="D757" s="19" t="s">
        <v>462</v>
      </c>
      <c r="E757" s="3" t="s">
        <v>965</v>
      </c>
      <c r="F757" s="1">
        <v>0</v>
      </c>
      <c r="G757" s="32">
        <v>0</v>
      </c>
      <c r="H757" s="33">
        <f t="shared" si="142"/>
        <v>0</v>
      </c>
      <c r="I757" s="34"/>
      <c r="J757" s="35">
        <v>0</v>
      </c>
      <c r="K757" s="36">
        <v>0</v>
      </c>
      <c r="L757" s="35">
        <v>0</v>
      </c>
      <c r="M757" s="35">
        <v>0</v>
      </c>
      <c r="N757" s="35">
        <v>0</v>
      </c>
      <c r="O757" s="35">
        <v>-1795236</v>
      </c>
      <c r="P757" s="35">
        <v>0</v>
      </c>
      <c r="R757" s="37">
        <f t="shared" si="147"/>
        <v>1795236</v>
      </c>
      <c r="X757" s="28"/>
      <c r="Y757" s="28"/>
    </row>
    <row r="758" spans="1:25" s="4" customFormat="1">
      <c r="A758" s="41"/>
      <c r="B758" s="20" t="s">
        <v>52</v>
      </c>
      <c r="C758" s="42">
        <v>2025</v>
      </c>
      <c r="D758" s="19" t="s">
        <v>776</v>
      </c>
      <c r="E758" s="3" t="s">
        <v>966</v>
      </c>
      <c r="F758" s="1">
        <v>0</v>
      </c>
      <c r="G758" s="32">
        <v>0</v>
      </c>
      <c r="H758" s="33">
        <f t="shared" si="142"/>
        <v>0</v>
      </c>
      <c r="I758" s="34"/>
      <c r="J758" s="35">
        <v>0</v>
      </c>
      <c r="K758" s="36">
        <v>0</v>
      </c>
      <c r="L758" s="35">
        <v>0</v>
      </c>
      <c r="M758" s="35">
        <v>0</v>
      </c>
      <c r="N758" s="35">
        <v>0</v>
      </c>
      <c r="O758" s="35">
        <v>-2671000</v>
      </c>
      <c r="P758" s="35">
        <v>0</v>
      </c>
      <c r="R758" s="37">
        <f t="shared" si="147"/>
        <v>2671000</v>
      </c>
      <c r="X758" s="28"/>
      <c r="Y758" s="28"/>
    </row>
    <row r="759" spans="1:25" s="4" customFormat="1">
      <c r="A759" s="41"/>
      <c r="B759" s="20" t="s">
        <v>52</v>
      </c>
      <c r="C759" s="42">
        <v>2025</v>
      </c>
      <c r="D759" s="19" t="s">
        <v>462</v>
      </c>
      <c r="E759" s="3" t="s">
        <v>967</v>
      </c>
      <c r="F759" s="1">
        <v>0</v>
      </c>
      <c r="G759" s="32">
        <v>0</v>
      </c>
      <c r="H759" s="33">
        <f t="shared" si="142"/>
        <v>0</v>
      </c>
      <c r="I759" s="34"/>
      <c r="J759" s="35">
        <v>0</v>
      </c>
      <c r="K759" s="36">
        <v>0</v>
      </c>
      <c r="L759" s="35">
        <v>0</v>
      </c>
      <c r="M759" s="35">
        <v>0</v>
      </c>
      <c r="N759" s="35">
        <v>0</v>
      </c>
      <c r="O759" s="35">
        <v>-143609</v>
      </c>
      <c r="P759" s="35">
        <v>0</v>
      </c>
      <c r="R759" s="37">
        <f t="shared" si="147"/>
        <v>143609</v>
      </c>
      <c r="X759" s="28"/>
      <c r="Y759" s="28"/>
    </row>
    <row r="760" spans="1:25" s="4" customFormat="1">
      <c r="A760" s="41"/>
      <c r="B760" s="20" t="s">
        <v>52</v>
      </c>
      <c r="C760" s="42">
        <v>2025</v>
      </c>
      <c r="D760" s="19" t="s">
        <v>462</v>
      </c>
      <c r="E760" s="3" t="s">
        <v>968</v>
      </c>
      <c r="F760" s="1">
        <v>0</v>
      </c>
      <c r="G760" s="32">
        <v>0</v>
      </c>
      <c r="H760" s="33">
        <f t="shared" si="142"/>
        <v>0</v>
      </c>
      <c r="I760" s="34"/>
      <c r="J760" s="35">
        <v>0</v>
      </c>
      <c r="K760" s="36">
        <v>0</v>
      </c>
      <c r="L760" s="35">
        <v>0</v>
      </c>
      <c r="M760" s="35">
        <v>0</v>
      </c>
      <c r="N760" s="35">
        <v>0</v>
      </c>
      <c r="O760" s="35">
        <v>-1203033</v>
      </c>
      <c r="P760" s="35">
        <v>0</v>
      </c>
      <c r="R760" s="37">
        <f t="shared" si="147"/>
        <v>1203033</v>
      </c>
      <c r="X760" s="28"/>
      <c r="Y760" s="28"/>
    </row>
    <row r="761" spans="1:25" s="4" customFormat="1">
      <c r="A761" s="41"/>
      <c r="B761" s="20" t="s">
        <v>52</v>
      </c>
      <c r="C761" s="42">
        <v>2025</v>
      </c>
      <c r="D761" s="19" t="s">
        <v>724</v>
      </c>
      <c r="E761" s="3" t="s">
        <v>969</v>
      </c>
      <c r="F761" s="1">
        <v>0</v>
      </c>
      <c r="G761" s="32">
        <v>0</v>
      </c>
      <c r="H761" s="33">
        <f t="shared" si="142"/>
        <v>0</v>
      </c>
      <c r="I761" s="34"/>
      <c r="J761" s="35">
        <v>0</v>
      </c>
      <c r="K761" s="36">
        <v>0</v>
      </c>
      <c r="L761" s="35">
        <v>0</v>
      </c>
      <c r="M761" s="35">
        <v>0</v>
      </c>
      <c r="N761" s="35">
        <v>0</v>
      </c>
      <c r="O761" s="35">
        <v>-984500</v>
      </c>
      <c r="P761" s="35">
        <v>0</v>
      </c>
      <c r="R761" s="37">
        <f t="shared" si="147"/>
        <v>984500</v>
      </c>
      <c r="X761" s="28"/>
      <c r="Y761" s="28"/>
    </row>
    <row r="762" spans="1:25" s="4" customFormat="1">
      <c r="A762" s="41"/>
      <c r="B762" s="20" t="s">
        <v>52</v>
      </c>
      <c r="C762" s="42">
        <v>2025</v>
      </c>
      <c r="D762" s="19" t="s">
        <v>724</v>
      </c>
      <c r="E762" s="3" t="s">
        <v>970</v>
      </c>
      <c r="F762" s="1">
        <v>0</v>
      </c>
      <c r="G762" s="32">
        <v>0</v>
      </c>
      <c r="H762" s="33">
        <f t="shared" si="142"/>
        <v>0</v>
      </c>
      <c r="I762" s="34"/>
      <c r="J762" s="35">
        <v>0</v>
      </c>
      <c r="K762" s="36">
        <v>0</v>
      </c>
      <c r="L762" s="35">
        <v>0</v>
      </c>
      <c r="M762" s="35">
        <v>0</v>
      </c>
      <c r="N762" s="35">
        <v>0</v>
      </c>
      <c r="O762" s="35">
        <v>-608400</v>
      </c>
      <c r="P762" s="35">
        <v>0</v>
      </c>
      <c r="R762" s="37">
        <f t="shared" si="147"/>
        <v>608400</v>
      </c>
      <c r="X762" s="28"/>
      <c r="Y762" s="28"/>
    </row>
    <row r="763" spans="1:25" s="4" customFormat="1">
      <c r="A763" s="41"/>
      <c r="B763" s="20" t="s">
        <v>52</v>
      </c>
      <c r="C763" s="42">
        <v>2025</v>
      </c>
      <c r="D763" s="19" t="s">
        <v>462</v>
      </c>
      <c r="E763" s="3" t="s">
        <v>971</v>
      </c>
      <c r="F763" s="1">
        <v>0</v>
      </c>
      <c r="G763" s="32">
        <v>0</v>
      </c>
      <c r="H763" s="33">
        <f t="shared" si="142"/>
        <v>0</v>
      </c>
      <c r="I763" s="34"/>
      <c r="J763" s="35">
        <v>0</v>
      </c>
      <c r="K763" s="36">
        <v>0</v>
      </c>
      <c r="L763" s="35">
        <v>0</v>
      </c>
      <c r="M763" s="35">
        <v>0</v>
      </c>
      <c r="N763" s="35">
        <v>0</v>
      </c>
      <c r="O763" s="35">
        <v>-1203033</v>
      </c>
      <c r="P763" s="35">
        <v>0</v>
      </c>
      <c r="R763" s="37">
        <f t="shared" si="147"/>
        <v>1203033</v>
      </c>
      <c r="X763" s="28"/>
      <c r="Y763" s="28"/>
    </row>
    <row r="764" spans="1:25" s="4" customFormat="1">
      <c r="A764" s="41"/>
      <c r="B764" s="20" t="s">
        <v>52</v>
      </c>
      <c r="C764" s="42">
        <v>2025</v>
      </c>
      <c r="D764" s="19" t="s">
        <v>723</v>
      </c>
      <c r="E764" s="3" t="s">
        <v>972</v>
      </c>
      <c r="F764" s="1">
        <v>0</v>
      </c>
      <c r="G764" s="32">
        <v>0</v>
      </c>
      <c r="H764" s="33">
        <f t="shared" si="142"/>
        <v>0</v>
      </c>
      <c r="I764" s="34"/>
      <c r="J764" s="35">
        <v>0</v>
      </c>
      <c r="K764" s="36">
        <v>0</v>
      </c>
      <c r="L764" s="35">
        <v>0</v>
      </c>
      <c r="M764" s="35">
        <v>0</v>
      </c>
      <c r="N764" s="35">
        <v>0</v>
      </c>
      <c r="O764" s="35">
        <v>-995001</v>
      </c>
      <c r="P764" s="35">
        <v>0</v>
      </c>
      <c r="R764" s="37">
        <f t="shared" si="147"/>
        <v>995001</v>
      </c>
      <c r="X764" s="28"/>
      <c r="Y764" s="28"/>
    </row>
    <row r="765" spans="1:25" s="4" customFormat="1">
      <c r="A765" s="41"/>
      <c r="B765" s="20" t="s">
        <v>52</v>
      </c>
      <c r="C765" s="42">
        <v>2025</v>
      </c>
      <c r="D765" s="19" t="s">
        <v>462</v>
      </c>
      <c r="E765" s="3" t="s">
        <v>973</v>
      </c>
      <c r="F765" s="1">
        <v>0</v>
      </c>
      <c r="G765" s="32">
        <v>0</v>
      </c>
      <c r="H765" s="33">
        <f t="shared" si="142"/>
        <v>0</v>
      </c>
      <c r="I765" s="34"/>
      <c r="J765" s="35">
        <v>0</v>
      </c>
      <c r="K765" s="36">
        <v>0</v>
      </c>
      <c r="L765" s="35">
        <v>0</v>
      </c>
      <c r="M765" s="35">
        <v>0</v>
      </c>
      <c r="N765" s="35">
        <v>0</v>
      </c>
      <c r="O765" s="35">
        <v>-3600000</v>
      </c>
      <c r="P765" s="35">
        <v>0</v>
      </c>
      <c r="R765" s="37">
        <f t="shared" si="147"/>
        <v>3600000</v>
      </c>
      <c r="X765" s="28"/>
      <c r="Y765" s="28"/>
    </row>
    <row r="766" spans="1:25" s="4" customFormat="1">
      <c r="A766" s="41"/>
      <c r="B766" s="20" t="s">
        <v>52</v>
      </c>
      <c r="C766" s="42">
        <v>2025</v>
      </c>
      <c r="D766" s="19" t="s">
        <v>724</v>
      </c>
      <c r="E766" s="3" t="s">
        <v>974</v>
      </c>
      <c r="F766" s="1">
        <v>0</v>
      </c>
      <c r="G766" s="32">
        <v>0</v>
      </c>
      <c r="H766" s="33">
        <f t="shared" si="142"/>
        <v>0</v>
      </c>
      <c r="I766" s="34"/>
      <c r="J766" s="35">
        <v>0</v>
      </c>
      <c r="K766" s="36">
        <v>0</v>
      </c>
      <c r="L766" s="35">
        <v>0</v>
      </c>
      <c r="M766" s="35">
        <v>0</v>
      </c>
      <c r="N766" s="35">
        <v>0</v>
      </c>
      <c r="O766" s="35">
        <v>-413400</v>
      </c>
      <c r="P766" s="35">
        <v>0</v>
      </c>
      <c r="R766" s="37">
        <f t="shared" si="147"/>
        <v>413400</v>
      </c>
      <c r="X766" s="28"/>
      <c r="Y766" s="28"/>
    </row>
    <row r="767" spans="1:25" s="4" customFormat="1">
      <c r="A767" s="41"/>
      <c r="B767" s="20" t="s">
        <v>52</v>
      </c>
      <c r="C767" s="42">
        <v>2025</v>
      </c>
      <c r="D767" s="19" t="s">
        <v>462</v>
      </c>
      <c r="E767" s="3" t="s">
        <v>975</v>
      </c>
      <c r="F767" s="1">
        <v>0</v>
      </c>
      <c r="G767" s="32">
        <v>0</v>
      </c>
      <c r="H767" s="33">
        <f t="shared" si="142"/>
        <v>0</v>
      </c>
      <c r="I767" s="34"/>
      <c r="J767" s="35">
        <v>0</v>
      </c>
      <c r="K767" s="36">
        <v>0</v>
      </c>
      <c r="L767" s="35">
        <v>0</v>
      </c>
      <c r="M767" s="35">
        <v>0</v>
      </c>
      <c r="N767" s="35">
        <v>0</v>
      </c>
      <c r="O767" s="35">
        <v>-1350233</v>
      </c>
      <c r="P767" s="35">
        <v>0</v>
      </c>
      <c r="R767" s="37">
        <f t="shared" si="147"/>
        <v>1350233</v>
      </c>
      <c r="X767" s="28"/>
      <c r="Y767" s="28"/>
    </row>
    <row r="768" spans="1:25" s="4" customFormat="1">
      <c r="A768" s="41"/>
      <c r="B768" s="20" t="s">
        <v>52</v>
      </c>
      <c r="C768" s="42">
        <v>2025</v>
      </c>
      <c r="D768" s="19" t="s">
        <v>462</v>
      </c>
      <c r="E768" s="3" t="s">
        <v>976</v>
      </c>
      <c r="F768" s="1">
        <v>0</v>
      </c>
      <c r="G768" s="32">
        <v>0</v>
      </c>
      <c r="H768" s="33">
        <f t="shared" si="142"/>
        <v>0</v>
      </c>
      <c r="I768" s="34"/>
      <c r="J768" s="35">
        <v>0</v>
      </c>
      <c r="K768" s="36">
        <v>0</v>
      </c>
      <c r="L768" s="35">
        <v>0</v>
      </c>
      <c r="M768" s="35">
        <v>0</v>
      </c>
      <c r="N768" s="35">
        <v>0</v>
      </c>
      <c r="O768" s="35">
        <v>-483702</v>
      </c>
      <c r="P768" s="35">
        <v>0</v>
      </c>
      <c r="R768" s="37">
        <f t="shared" si="147"/>
        <v>483702</v>
      </c>
      <c r="X768" s="28"/>
      <c r="Y768" s="28"/>
    </row>
    <row r="769" spans="1:25" s="4" customFormat="1">
      <c r="A769" s="41"/>
      <c r="B769" s="20" t="s">
        <v>52</v>
      </c>
      <c r="C769" s="42">
        <v>2025</v>
      </c>
      <c r="D769" s="19" t="s">
        <v>462</v>
      </c>
      <c r="E769" s="3" t="s">
        <v>977</v>
      </c>
      <c r="F769" s="1">
        <v>0</v>
      </c>
      <c r="G769" s="32">
        <v>0</v>
      </c>
      <c r="H769" s="33">
        <f t="shared" si="142"/>
        <v>0</v>
      </c>
      <c r="I769" s="34"/>
      <c r="J769" s="35">
        <v>0</v>
      </c>
      <c r="K769" s="36">
        <v>0</v>
      </c>
      <c r="L769" s="35">
        <v>0</v>
      </c>
      <c r="M769" s="35">
        <v>0</v>
      </c>
      <c r="N769" s="35">
        <v>0</v>
      </c>
      <c r="O769" s="35">
        <v>-1250000</v>
      </c>
      <c r="P769" s="35">
        <v>0</v>
      </c>
      <c r="R769" s="37">
        <f t="shared" si="147"/>
        <v>1250000</v>
      </c>
      <c r="X769" s="28"/>
      <c r="Y769" s="28"/>
    </row>
    <row r="770" spans="1:25" s="4" customFormat="1">
      <c r="A770" s="41"/>
      <c r="B770" s="20" t="s">
        <v>52</v>
      </c>
      <c r="C770" s="42">
        <v>2025</v>
      </c>
      <c r="D770" s="19" t="s">
        <v>883</v>
      </c>
      <c r="E770" s="3" t="s">
        <v>978</v>
      </c>
      <c r="F770" s="1">
        <v>0</v>
      </c>
      <c r="G770" s="32">
        <v>0</v>
      </c>
      <c r="H770" s="33">
        <f t="shared" si="142"/>
        <v>0</v>
      </c>
      <c r="I770" s="34"/>
      <c r="J770" s="35">
        <v>0</v>
      </c>
      <c r="K770" s="36">
        <v>0</v>
      </c>
      <c r="L770" s="35">
        <v>0</v>
      </c>
      <c r="M770" s="35">
        <v>0</v>
      </c>
      <c r="N770" s="35">
        <v>0</v>
      </c>
      <c r="O770" s="35">
        <v>-50000</v>
      </c>
      <c r="P770" s="35">
        <v>0</v>
      </c>
      <c r="R770" s="37">
        <f t="shared" si="147"/>
        <v>50000</v>
      </c>
      <c r="X770" s="28"/>
      <c r="Y770" s="28"/>
    </row>
    <row r="771" spans="1:25" s="4" customFormat="1">
      <c r="A771" s="41"/>
      <c r="B771" s="20" t="s">
        <v>52</v>
      </c>
      <c r="C771" s="42">
        <v>2025</v>
      </c>
      <c r="D771" s="19" t="s">
        <v>883</v>
      </c>
      <c r="E771" s="3" t="s">
        <v>979</v>
      </c>
      <c r="F771" s="1">
        <v>0</v>
      </c>
      <c r="G771" s="32">
        <v>0</v>
      </c>
      <c r="H771" s="33">
        <f t="shared" si="142"/>
        <v>0</v>
      </c>
      <c r="I771" s="34"/>
      <c r="J771" s="35">
        <v>0</v>
      </c>
      <c r="K771" s="36">
        <v>0</v>
      </c>
      <c r="L771" s="35">
        <v>0</v>
      </c>
      <c r="M771" s="35">
        <v>0</v>
      </c>
      <c r="N771" s="35">
        <v>0</v>
      </c>
      <c r="O771" s="35">
        <v>-20000</v>
      </c>
      <c r="P771" s="35">
        <v>0</v>
      </c>
      <c r="R771" s="37">
        <f t="shared" si="147"/>
        <v>20000</v>
      </c>
      <c r="X771" s="28"/>
      <c r="Y771" s="28"/>
    </row>
    <row r="772" spans="1:25" s="4" customFormat="1">
      <c r="A772" s="41"/>
      <c r="B772" s="20" t="s">
        <v>52</v>
      </c>
      <c r="C772" s="42">
        <v>2025</v>
      </c>
      <c r="D772" s="19" t="s">
        <v>753</v>
      </c>
      <c r="E772" s="3" t="s">
        <v>980</v>
      </c>
      <c r="F772" s="1">
        <v>0</v>
      </c>
      <c r="G772" s="32">
        <v>0</v>
      </c>
      <c r="H772" s="33">
        <f t="shared" si="142"/>
        <v>0</v>
      </c>
      <c r="I772" s="34"/>
      <c r="J772" s="35">
        <v>0</v>
      </c>
      <c r="K772" s="36">
        <v>0</v>
      </c>
      <c r="L772" s="35">
        <v>0</v>
      </c>
      <c r="M772" s="35">
        <v>0</v>
      </c>
      <c r="N772" s="35">
        <v>0</v>
      </c>
      <c r="O772" s="35">
        <v>-4100000</v>
      </c>
      <c r="P772" s="35">
        <v>0</v>
      </c>
      <c r="R772" s="37">
        <f t="shared" si="147"/>
        <v>4100000</v>
      </c>
      <c r="X772" s="28"/>
      <c r="Y772" s="28"/>
    </row>
    <row r="773" spans="1:25" s="4" customFormat="1">
      <c r="A773" s="41"/>
      <c r="B773" s="20" t="s">
        <v>52</v>
      </c>
      <c r="C773" s="42">
        <v>2025</v>
      </c>
      <c r="D773" s="19" t="s">
        <v>776</v>
      </c>
      <c r="E773" s="3" t="s">
        <v>981</v>
      </c>
      <c r="F773" s="1">
        <v>0</v>
      </c>
      <c r="G773" s="32">
        <v>0</v>
      </c>
      <c r="H773" s="33">
        <f t="shared" ref="H773:H836" si="148">G773*$H$4/$E$999</f>
        <v>0</v>
      </c>
      <c r="I773" s="34"/>
      <c r="J773" s="35">
        <v>0</v>
      </c>
      <c r="K773" s="36">
        <v>0</v>
      </c>
      <c r="L773" s="35">
        <v>0</v>
      </c>
      <c r="M773" s="35">
        <v>0</v>
      </c>
      <c r="N773" s="35">
        <v>0</v>
      </c>
      <c r="O773" s="35">
        <v>-4032000</v>
      </c>
      <c r="P773" s="35">
        <v>0</v>
      </c>
      <c r="R773" s="37">
        <f t="shared" si="147"/>
        <v>4032000</v>
      </c>
      <c r="X773" s="28"/>
      <c r="Y773" s="28"/>
    </row>
    <row r="774" spans="1:25" s="4" customFormat="1">
      <c r="A774" s="41"/>
      <c r="B774" s="20" t="s">
        <v>52</v>
      </c>
      <c r="C774" s="42">
        <v>2025</v>
      </c>
      <c r="D774" s="19" t="s">
        <v>883</v>
      </c>
      <c r="E774" s="3" t="s">
        <v>982</v>
      </c>
      <c r="F774" s="1">
        <v>0</v>
      </c>
      <c r="G774" s="32">
        <v>0</v>
      </c>
      <c r="H774" s="33">
        <f t="shared" si="148"/>
        <v>0</v>
      </c>
      <c r="I774" s="34"/>
      <c r="J774" s="35">
        <v>0</v>
      </c>
      <c r="K774" s="36">
        <v>0</v>
      </c>
      <c r="L774" s="35">
        <v>0</v>
      </c>
      <c r="M774" s="35">
        <v>0</v>
      </c>
      <c r="N774" s="35">
        <v>0</v>
      </c>
      <c r="O774" s="35">
        <v>-1583484</v>
      </c>
      <c r="P774" s="35">
        <v>0</v>
      </c>
      <c r="R774" s="37">
        <f t="shared" si="147"/>
        <v>1583484</v>
      </c>
      <c r="X774" s="28"/>
      <c r="Y774" s="28"/>
    </row>
    <row r="775" spans="1:25" s="4" customFormat="1">
      <c r="A775" s="41"/>
      <c r="B775" s="20" t="s">
        <v>52</v>
      </c>
      <c r="C775" s="42">
        <v>2025</v>
      </c>
      <c r="D775" s="19" t="s">
        <v>776</v>
      </c>
      <c r="E775" s="3" t="s">
        <v>983</v>
      </c>
      <c r="F775" s="1">
        <v>0</v>
      </c>
      <c r="G775" s="32">
        <v>0</v>
      </c>
      <c r="H775" s="33">
        <f t="shared" si="148"/>
        <v>0</v>
      </c>
      <c r="I775" s="34"/>
      <c r="J775" s="35">
        <v>0</v>
      </c>
      <c r="K775" s="36">
        <v>0</v>
      </c>
      <c r="L775" s="35">
        <v>0</v>
      </c>
      <c r="M775" s="35">
        <v>0</v>
      </c>
      <c r="N775" s="35">
        <v>0</v>
      </c>
      <c r="O775" s="35">
        <v>-2531200</v>
      </c>
      <c r="P775" s="35">
        <v>0</v>
      </c>
      <c r="R775" s="37">
        <f t="shared" si="147"/>
        <v>2531200</v>
      </c>
      <c r="X775" s="28"/>
      <c r="Y775" s="28"/>
    </row>
    <row r="776" spans="1:25" s="4" customFormat="1">
      <c r="A776" s="41"/>
      <c r="B776" s="20" t="s">
        <v>52</v>
      </c>
      <c r="C776" s="42">
        <v>2025</v>
      </c>
      <c r="D776" s="19" t="s">
        <v>883</v>
      </c>
      <c r="E776" s="3" t="s">
        <v>984</v>
      </c>
      <c r="F776" s="1">
        <v>0</v>
      </c>
      <c r="G776" s="32">
        <v>0</v>
      </c>
      <c r="H776" s="33">
        <f t="shared" si="148"/>
        <v>0</v>
      </c>
      <c r="I776" s="34"/>
      <c r="J776" s="35">
        <v>0</v>
      </c>
      <c r="K776" s="36">
        <v>0</v>
      </c>
      <c r="L776" s="35">
        <v>0</v>
      </c>
      <c r="M776" s="35">
        <v>0</v>
      </c>
      <c r="N776" s="35">
        <v>0</v>
      </c>
      <c r="O776" s="35">
        <v>-2662000</v>
      </c>
      <c r="P776" s="35">
        <v>0</v>
      </c>
      <c r="R776" s="37">
        <f t="shared" si="147"/>
        <v>2662000</v>
      </c>
      <c r="X776" s="28"/>
      <c r="Y776" s="28"/>
    </row>
    <row r="777" spans="1:25" s="4" customFormat="1">
      <c r="A777" s="41"/>
      <c r="B777" s="20" t="s">
        <v>52</v>
      </c>
      <c r="C777" s="42">
        <v>2025</v>
      </c>
      <c r="D777" s="19" t="s">
        <v>883</v>
      </c>
      <c r="E777" s="3" t="s">
        <v>985</v>
      </c>
      <c r="F777" s="1">
        <v>0</v>
      </c>
      <c r="G777" s="32">
        <v>0</v>
      </c>
      <c r="H777" s="33">
        <f t="shared" si="148"/>
        <v>0</v>
      </c>
      <c r="I777" s="34"/>
      <c r="J777" s="35">
        <v>0</v>
      </c>
      <c r="K777" s="36">
        <v>0</v>
      </c>
      <c r="L777" s="35">
        <v>0</v>
      </c>
      <c r="M777" s="35">
        <v>0</v>
      </c>
      <c r="N777" s="35">
        <v>0</v>
      </c>
      <c r="O777" s="35">
        <v>-18000000</v>
      </c>
      <c r="P777" s="35">
        <v>0</v>
      </c>
      <c r="R777" s="37">
        <f t="shared" si="147"/>
        <v>18000000</v>
      </c>
      <c r="X777" s="28"/>
      <c r="Y777" s="28"/>
    </row>
    <row r="778" spans="1:25" s="4" customFormat="1">
      <c r="A778" s="41"/>
      <c r="B778" s="20" t="s">
        <v>52</v>
      </c>
      <c r="C778" s="42">
        <v>2025</v>
      </c>
      <c r="D778" s="19" t="s">
        <v>883</v>
      </c>
      <c r="E778" s="3" t="s">
        <v>986</v>
      </c>
      <c r="F778" s="1">
        <v>0</v>
      </c>
      <c r="G778" s="32">
        <v>0</v>
      </c>
      <c r="H778" s="33">
        <f t="shared" si="148"/>
        <v>0</v>
      </c>
      <c r="I778" s="34"/>
      <c r="J778" s="35">
        <v>0</v>
      </c>
      <c r="K778" s="36">
        <v>0</v>
      </c>
      <c r="L778" s="35">
        <v>0</v>
      </c>
      <c r="M778" s="35">
        <v>0</v>
      </c>
      <c r="N778" s="35">
        <v>0</v>
      </c>
      <c r="O778" s="35">
        <v>-12000000</v>
      </c>
      <c r="P778" s="35">
        <v>0</v>
      </c>
      <c r="R778" s="37">
        <f t="shared" si="147"/>
        <v>12000000</v>
      </c>
      <c r="X778" s="28"/>
      <c r="Y778" s="28"/>
    </row>
    <row r="779" spans="1:25" s="4" customFormat="1">
      <c r="A779" s="41"/>
      <c r="B779" s="20" t="s">
        <v>52</v>
      </c>
      <c r="C779" s="42">
        <v>2025</v>
      </c>
      <c r="D779" s="19" t="s">
        <v>883</v>
      </c>
      <c r="E779" s="3" t="s">
        <v>987</v>
      </c>
      <c r="F779" s="1">
        <v>0</v>
      </c>
      <c r="G779" s="32">
        <v>0</v>
      </c>
      <c r="H779" s="33">
        <f t="shared" si="148"/>
        <v>0</v>
      </c>
      <c r="I779" s="34"/>
      <c r="J779" s="35">
        <v>0</v>
      </c>
      <c r="K779" s="36">
        <v>0</v>
      </c>
      <c r="L779" s="35">
        <v>0</v>
      </c>
      <c r="M779" s="35">
        <v>0</v>
      </c>
      <c r="N779" s="35">
        <v>0</v>
      </c>
      <c r="O779" s="35">
        <v>-1400000</v>
      </c>
      <c r="P779" s="35">
        <v>0</v>
      </c>
      <c r="R779" s="37">
        <f t="shared" si="147"/>
        <v>1400000</v>
      </c>
      <c r="X779" s="28"/>
      <c r="Y779" s="28"/>
    </row>
    <row r="780" spans="1:25" s="4" customFormat="1">
      <c r="A780" s="41"/>
      <c r="B780" s="20" t="s">
        <v>52</v>
      </c>
      <c r="C780" s="42">
        <v>2025</v>
      </c>
      <c r="D780" s="19" t="s">
        <v>455</v>
      </c>
      <c r="E780" s="3" t="s">
        <v>988</v>
      </c>
      <c r="F780" s="1">
        <v>0</v>
      </c>
      <c r="G780" s="32">
        <v>0</v>
      </c>
      <c r="H780" s="33">
        <f t="shared" si="148"/>
        <v>0</v>
      </c>
      <c r="I780" s="34"/>
      <c r="J780" s="35">
        <v>0</v>
      </c>
      <c r="K780" s="36">
        <v>0</v>
      </c>
      <c r="L780" s="35">
        <v>0</v>
      </c>
      <c r="M780" s="35">
        <v>0</v>
      </c>
      <c r="N780" s="35">
        <v>0</v>
      </c>
      <c r="O780" s="35">
        <v>-1393991</v>
      </c>
      <c r="P780" s="35">
        <v>0</v>
      </c>
      <c r="R780" s="37">
        <f t="shared" si="147"/>
        <v>1393991</v>
      </c>
      <c r="X780" s="28"/>
      <c r="Y780" s="28"/>
    </row>
    <row r="781" spans="1:25" s="4" customFormat="1">
      <c r="A781" s="41"/>
      <c r="B781" s="20" t="s">
        <v>52</v>
      </c>
      <c r="C781" s="42">
        <v>2025</v>
      </c>
      <c r="D781" s="19" t="s">
        <v>455</v>
      </c>
      <c r="E781" s="3" t="s">
        <v>989</v>
      </c>
      <c r="F781" s="1">
        <v>0</v>
      </c>
      <c r="G781" s="32">
        <v>0</v>
      </c>
      <c r="H781" s="33">
        <f t="shared" si="148"/>
        <v>0</v>
      </c>
      <c r="I781" s="34"/>
      <c r="J781" s="35">
        <v>0</v>
      </c>
      <c r="K781" s="36">
        <v>0</v>
      </c>
      <c r="L781" s="35">
        <v>0</v>
      </c>
      <c r="M781" s="35">
        <v>0</v>
      </c>
      <c r="N781" s="35">
        <v>0</v>
      </c>
      <c r="O781" s="35">
        <v>-1086337</v>
      </c>
      <c r="P781" s="35">
        <v>0</v>
      </c>
      <c r="R781" s="37">
        <f t="shared" si="147"/>
        <v>1086337</v>
      </c>
      <c r="X781" s="28"/>
      <c r="Y781" s="28"/>
    </row>
    <row r="782" spans="1:25" s="4" customFormat="1">
      <c r="A782" s="41"/>
      <c r="B782" s="20" t="s">
        <v>52</v>
      </c>
      <c r="C782" s="42">
        <v>2025</v>
      </c>
      <c r="D782" s="19" t="s">
        <v>883</v>
      </c>
      <c r="E782" s="3" t="s">
        <v>990</v>
      </c>
      <c r="F782" s="1">
        <v>0</v>
      </c>
      <c r="G782" s="32">
        <v>0</v>
      </c>
      <c r="H782" s="33">
        <f t="shared" si="148"/>
        <v>0</v>
      </c>
      <c r="I782" s="34"/>
      <c r="J782" s="35">
        <v>0</v>
      </c>
      <c r="K782" s="36">
        <v>0</v>
      </c>
      <c r="L782" s="35">
        <v>0</v>
      </c>
      <c r="M782" s="35">
        <v>0</v>
      </c>
      <c r="N782" s="35">
        <v>0</v>
      </c>
      <c r="O782" s="35">
        <v>-1630178</v>
      </c>
      <c r="P782" s="35">
        <v>0</v>
      </c>
      <c r="R782" s="37">
        <f t="shared" si="147"/>
        <v>1630178</v>
      </c>
      <c r="X782" s="28"/>
      <c r="Y782" s="28"/>
    </row>
    <row r="783" spans="1:25" s="4" customFormat="1">
      <c r="A783" s="41"/>
      <c r="B783" s="20" t="s">
        <v>52</v>
      </c>
      <c r="C783" s="42">
        <v>2025</v>
      </c>
      <c r="D783" s="19" t="s">
        <v>455</v>
      </c>
      <c r="E783" s="3" t="s">
        <v>991</v>
      </c>
      <c r="F783" s="1">
        <v>0</v>
      </c>
      <c r="G783" s="32">
        <v>0</v>
      </c>
      <c r="H783" s="33">
        <f t="shared" si="148"/>
        <v>0</v>
      </c>
      <c r="I783" s="34"/>
      <c r="J783" s="35">
        <v>0</v>
      </c>
      <c r="K783" s="36">
        <v>0</v>
      </c>
      <c r="L783" s="35">
        <v>0</v>
      </c>
      <c r="M783" s="35">
        <v>0</v>
      </c>
      <c r="N783" s="35">
        <v>0</v>
      </c>
      <c r="O783" s="35">
        <v>-1397717</v>
      </c>
      <c r="P783" s="35">
        <v>0</v>
      </c>
      <c r="R783" s="37">
        <f t="shared" si="147"/>
        <v>1397717</v>
      </c>
      <c r="X783" s="28"/>
      <c r="Y783" s="28"/>
    </row>
    <row r="784" spans="1:25" s="4" customFormat="1">
      <c r="A784" s="41"/>
      <c r="B784" s="20" t="s">
        <v>52</v>
      </c>
      <c r="C784" s="42">
        <v>2025</v>
      </c>
      <c r="D784" s="19" t="s">
        <v>883</v>
      </c>
      <c r="E784" s="3" t="s">
        <v>992</v>
      </c>
      <c r="F784" s="1">
        <v>0</v>
      </c>
      <c r="G784" s="32">
        <v>0</v>
      </c>
      <c r="H784" s="33">
        <f t="shared" si="148"/>
        <v>0</v>
      </c>
      <c r="I784" s="34"/>
      <c r="J784" s="35">
        <v>0</v>
      </c>
      <c r="K784" s="36">
        <v>0</v>
      </c>
      <c r="L784" s="35">
        <v>0</v>
      </c>
      <c r="M784" s="35">
        <v>0</v>
      </c>
      <c r="N784" s="35">
        <v>0</v>
      </c>
      <c r="O784" s="35">
        <v>-300000</v>
      </c>
      <c r="P784" s="35">
        <v>0</v>
      </c>
      <c r="R784" s="37">
        <f t="shared" si="147"/>
        <v>300000</v>
      </c>
      <c r="X784" s="28"/>
      <c r="Y784" s="28"/>
    </row>
    <row r="785" spans="1:25" s="4" customFormat="1">
      <c r="A785" s="41"/>
      <c r="B785" s="20" t="s">
        <v>52</v>
      </c>
      <c r="C785" s="42">
        <v>2025</v>
      </c>
      <c r="D785" s="19" t="s">
        <v>378</v>
      </c>
      <c r="E785" s="3" t="s">
        <v>993</v>
      </c>
      <c r="F785" s="1">
        <v>0</v>
      </c>
      <c r="G785" s="32">
        <v>0</v>
      </c>
      <c r="H785" s="33">
        <f t="shared" si="148"/>
        <v>0</v>
      </c>
      <c r="I785" s="34"/>
      <c r="J785" s="35">
        <v>0</v>
      </c>
      <c r="K785" s="36">
        <v>0</v>
      </c>
      <c r="L785" s="35">
        <v>0</v>
      </c>
      <c r="M785" s="35">
        <v>0</v>
      </c>
      <c r="N785" s="35">
        <v>0</v>
      </c>
      <c r="O785" s="35">
        <v>-1496257</v>
      </c>
      <c r="P785" s="35">
        <v>0</v>
      </c>
      <c r="R785" s="37">
        <f t="shared" si="147"/>
        <v>1496257</v>
      </c>
      <c r="X785" s="28"/>
      <c r="Y785" s="28"/>
    </row>
    <row r="786" spans="1:25" s="4" customFormat="1">
      <c r="A786" s="41"/>
      <c r="B786" s="20" t="s">
        <v>52</v>
      </c>
      <c r="C786" s="42">
        <v>2025</v>
      </c>
      <c r="D786" s="19" t="s">
        <v>723</v>
      </c>
      <c r="E786" s="3" t="s">
        <v>996</v>
      </c>
      <c r="F786" s="1">
        <v>0</v>
      </c>
      <c r="G786" s="32">
        <v>0</v>
      </c>
      <c r="H786" s="33">
        <f t="shared" si="148"/>
        <v>0</v>
      </c>
      <c r="I786" s="34"/>
      <c r="J786" s="35">
        <v>0</v>
      </c>
      <c r="K786" s="36">
        <v>0</v>
      </c>
      <c r="L786" s="35">
        <v>0</v>
      </c>
      <c r="M786" s="35">
        <v>0</v>
      </c>
      <c r="N786" s="35">
        <v>0</v>
      </c>
      <c r="O786" s="35">
        <v>-5324000</v>
      </c>
      <c r="P786" s="35">
        <v>0</v>
      </c>
      <c r="R786" s="37">
        <f t="shared" si="147"/>
        <v>5324000</v>
      </c>
      <c r="X786" s="28"/>
      <c r="Y786" s="28"/>
    </row>
    <row r="787" spans="1:25" s="4" customFormat="1">
      <c r="A787" s="41"/>
      <c r="B787" s="20" t="s">
        <v>52</v>
      </c>
      <c r="C787" s="42">
        <v>2025</v>
      </c>
      <c r="D787" s="19" t="s">
        <v>723</v>
      </c>
      <c r="E787" s="3" t="s">
        <v>997</v>
      </c>
      <c r="F787" s="1">
        <v>0</v>
      </c>
      <c r="G787" s="32">
        <v>0</v>
      </c>
      <c r="H787" s="33">
        <f t="shared" si="148"/>
        <v>0</v>
      </c>
      <c r="I787" s="34"/>
      <c r="J787" s="35">
        <v>0</v>
      </c>
      <c r="K787" s="36">
        <v>0</v>
      </c>
      <c r="L787" s="35">
        <v>0</v>
      </c>
      <c r="M787" s="35">
        <v>0</v>
      </c>
      <c r="N787" s="35">
        <v>0</v>
      </c>
      <c r="O787" s="35">
        <v>-18495000</v>
      </c>
      <c r="P787" s="35">
        <v>0</v>
      </c>
      <c r="R787" s="37">
        <f t="shared" si="147"/>
        <v>18495000</v>
      </c>
      <c r="X787" s="28"/>
      <c r="Y787" s="28"/>
    </row>
    <row r="788" spans="1:25" s="4" customFormat="1">
      <c r="A788" s="41"/>
      <c r="B788" s="20" t="s">
        <v>52</v>
      </c>
      <c r="C788" s="42">
        <v>2025</v>
      </c>
      <c r="D788" s="19" t="s">
        <v>723</v>
      </c>
      <c r="E788" s="3" t="s">
        <v>997</v>
      </c>
      <c r="F788" s="1">
        <v>0</v>
      </c>
      <c r="G788" s="32">
        <v>0</v>
      </c>
      <c r="H788" s="33">
        <f t="shared" si="148"/>
        <v>0</v>
      </c>
      <c r="I788" s="34"/>
      <c r="J788" s="35">
        <v>0</v>
      </c>
      <c r="K788" s="36">
        <v>0</v>
      </c>
      <c r="L788" s="35">
        <v>0</v>
      </c>
      <c r="M788" s="35">
        <v>0</v>
      </c>
      <c r="N788" s="35">
        <v>0</v>
      </c>
      <c r="O788" s="35">
        <v>-18495000</v>
      </c>
      <c r="P788" s="35">
        <v>0</v>
      </c>
      <c r="R788" s="37">
        <f t="shared" si="147"/>
        <v>18495000</v>
      </c>
      <c r="X788" s="28"/>
      <c r="Y788" s="28"/>
    </row>
    <row r="789" spans="1:25" s="4" customFormat="1">
      <c r="A789" s="41"/>
      <c r="B789" s="20" t="s">
        <v>52</v>
      </c>
      <c r="C789" s="42">
        <v>2025</v>
      </c>
      <c r="D789" s="19" t="s">
        <v>723</v>
      </c>
      <c r="E789" s="3" t="s">
        <v>997</v>
      </c>
      <c r="F789" s="1">
        <v>0</v>
      </c>
      <c r="G789" s="32">
        <v>0</v>
      </c>
      <c r="H789" s="33">
        <f t="shared" si="148"/>
        <v>0</v>
      </c>
      <c r="I789" s="34"/>
      <c r="J789" s="35">
        <v>0</v>
      </c>
      <c r="K789" s="36">
        <v>0</v>
      </c>
      <c r="L789" s="35">
        <v>0</v>
      </c>
      <c r="M789" s="35">
        <v>0</v>
      </c>
      <c r="N789" s="35">
        <v>0</v>
      </c>
      <c r="O789" s="35">
        <v>-18495000</v>
      </c>
      <c r="P789" s="35">
        <v>0</v>
      </c>
      <c r="R789" s="37">
        <f t="shared" si="147"/>
        <v>18495000</v>
      </c>
      <c r="X789" s="28"/>
      <c r="Y789" s="28"/>
    </row>
    <row r="790" spans="1:25" s="4" customFormat="1">
      <c r="A790" s="41"/>
      <c r="B790" s="20" t="s">
        <v>52</v>
      </c>
      <c r="C790" s="42">
        <v>2025</v>
      </c>
      <c r="D790" s="19" t="s">
        <v>723</v>
      </c>
      <c r="E790" s="3" t="s">
        <v>997</v>
      </c>
      <c r="F790" s="1">
        <v>0</v>
      </c>
      <c r="G790" s="32">
        <v>0</v>
      </c>
      <c r="H790" s="33">
        <f t="shared" si="148"/>
        <v>0</v>
      </c>
      <c r="I790" s="34"/>
      <c r="J790" s="35">
        <v>0</v>
      </c>
      <c r="K790" s="36">
        <v>0</v>
      </c>
      <c r="L790" s="35">
        <v>0</v>
      </c>
      <c r="M790" s="35">
        <v>0</v>
      </c>
      <c r="N790" s="35">
        <v>0</v>
      </c>
      <c r="O790" s="35">
        <v>-18495000</v>
      </c>
      <c r="P790" s="35">
        <v>0</v>
      </c>
      <c r="R790" s="37">
        <f t="shared" si="147"/>
        <v>18495000</v>
      </c>
      <c r="X790" s="28"/>
      <c r="Y790" s="28"/>
    </row>
    <row r="791" spans="1:25" s="4" customFormat="1">
      <c r="A791" s="41"/>
      <c r="B791" s="20" t="s">
        <v>52</v>
      </c>
      <c r="C791" s="42">
        <v>2025</v>
      </c>
      <c r="D791" s="19" t="s">
        <v>723</v>
      </c>
      <c r="E791" s="3" t="s">
        <v>998</v>
      </c>
      <c r="F791" s="1">
        <v>0</v>
      </c>
      <c r="G791" s="32">
        <v>0</v>
      </c>
      <c r="H791" s="33">
        <f t="shared" si="148"/>
        <v>0</v>
      </c>
      <c r="I791" s="34"/>
      <c r="J791" s="35">
        <v>0</v>
      </c>
      <c r="K791" s="36">
        <v>0</v>
      </c>
      <c r="L791" s="35">
        <v>0</v>
      </c>
      <c r="M791" s="35">
        <v>0</v>
      </c>
      <c r="N791" s="35">
        <v>0</v>
      </c>
      <c r="O791" s="35">
        <v>-2000000</v>
      </c>
      <c r="P791" s="35">
        <v>0</v>
      </c>
      <c r="R791" s="37">
        <f t="shared" si="147"/>
        <v>2000000</v>
      </c>
      <c r="X791" s="28"/>
      <c r="Y791" s="28"/>
    </row>
    <row r="792" spans="1:25" s="4" customFormat="1">
      <c r="A792" s="41"/>
      <c r="B792" s="20" t="s">
        <v>52</v>
      </c>
      <c r="C792" s="42">
        <v>2025</v>
      </c>
      <c r="D792" s="19" t="s">
        <v>753</v>
      </c>
      <c r="E792" s="3" t="s">
        <v>999</v>
      </c>
      <c r="F792" s="1">
        <v>0</v>
      </c>
      <c r="G792" s="32">
        <v>0</v>
      </c>
      <c r="H792" s="33">
        <f t="shared" si="148"/>
        <v>0</v>
      </c>
      <c r="I792" s="34"/>
      <c r="J792" s="35">
        <v>0</v>
      </c>
      <c r="K792" s="36">
        <v>0</v>
      </c>
      <c r="L792" s="35">
        <v>0</v>
      </c>
      <c r="M792" s="35">
        <v>0</v>
      </c>
      <c r="N792" s="35">
        <v>0</v>
      </c>
      <c r="O792" s="35">
        <v>-62750000</v>
      </c>
      <c r="P792" s="35">
        <v>0</v>
      </c>
      <c r="R792" s="37">
        <f t="shared" si="147"/>
        <v>62750000</v>
      </c>
      <c r="X792" s="28"/>
      <c r="Y792" s="28"/>
    </row>
    <row r="793" spans="1:25" s="4" customFormat="1">
      <c r="A793" s="41"/>
      <c r="B793" s="20" t="s">
        <v>52</v>
      </c>
      <c r="C793" s="42">
        <v>2025</v>
      </c>
      <c r="D793" s="19" t="s">
        <v>753</v>
      </c>
      <c r="E793" s="3" t="s">
        <v>1000</v>
      </c>
      <c r="F793" s="1">
        <v>0</v>
      </c>
      <c r="G793" s="32">
        <v>0</v>
      </c>
      <c r="H793" s="33">
        <f t="shared" si="148"/>
        <v>0</v>
      </c>
      <c r="I793" s="34"/>
      <c r="J793" s="35">
        <v>0</v>
      </c>
      <c r="K793" s="36">
        <v>0</v>
      </c>
      <c r="L793" s="35">
        <v>0</v>
      </c>
      <c r="M793" s="35">
        <v>0</v>
      </c>
      <c r="N793" s="35">
        <v>0</v>
      </c>
      <c r="O793" s="35">
        <v>-6872500</v>
      </c>
      <c r="P793" s="35">
        <v>0</v>
      </c>
      <c r="R793" s="37">
        <f t="shared" si="147"/>
        <v>6872500</v>
      </c>
      <c r="X793" s="28"/>
      <c r="Y793" s="28"/>
    </row>
    <row r="794" spans="1:25" s="4" customFormat="1">
      <c r="A794" s="41"/>
      <c r="B794" s="20" t="s">
        <v>52</v>
      </c>
      <c r="C794" s="42">
        <v>2025</v>
      </c>
      <c r="D794" s="19" t="s">
        <v>753</v>
      </c>
      <c r="E794" s="3" t="s">
        <v>1001</v>
      </c>
      <c r="F794" s="1">
        <v>0</v>
      </c>
      <c r="G794" s="32">
        <v>0</v>
      </c>
      <c r="H794" s="33">
        <f t="shared" si="148"/>
        <v>0</v>
      </c>
      <c r="I794" s="34"/>
      <c r="J794" s="35">
        <v>0</v>
      </c>
      <c r="K794" s="36">
        <v>0</v>
      </c>
      <c r="L794" s="35">
        <v>0</v>
      </c>
      <c r="M794" s="35">
        <v>0</v>
      </c>
      <c r="N794" s="35">
        <v>0</v>
      </c>
      <c r="O794" s="35">
        <v>-628500</v>
      </c>
      <c r="P794" s="35">
        <v>0</v>
      </c>
      <c r="R794" s="37">
        <f t="shared" si="147"/>
        <v>628500</v>
      </c>
      <c r="X794" s="28"/>
      <c r="Y794" s="28"/>
    </row>
    <row r="795" spans="1:25" s="4" customFormat="1">
      <c r="A795" s="41"/>
      <c r="B795" s="20" t="s">
        <v>52</v>
      </c>
      <c r="C795" s="42">
        <v>2025</v>
      </c>
      <c r="D795" s="19" t="s">
        <v>753</v>
      </c>
      <c r="E795" s="3" t="s">
        <v>999</v>
      </c>
      <c r="F795" s="1">
        <v>0</v>
      </c>
      <c r="G795" s="32">
        <v>0</v>
      </c>
      <c r="H795" s="33">
        <f t="shared" si="148"/>
        <v>0</v>
      </c>
      <c r="I795" s="34"/>
      <c r="J795" s="35">
        <v>0</v>
      </c>
      <c r="K795" s="36">
        <v>0</v>
      </c>
      <c r="L795" s="35">
        <v>0</v>
      </c>
      <c r="M795" s="35">
        <v>0</v>
      </c>
      <c r="N795" s="35">
        <v>0</v>
      </c>
      <c r="O795" s="35">
        <v>-26400000</v>
      </c>
      <c r="P795" s="35">
        <v>0</v>
      </c>
      <c r="R795" s="37">
        <f t="shared" si="147"/>
        <v>26400000</v>
      </c>
      <c r="X795" s="28"/>
      <c r="Y795" s="28"/>
    </row>
    <row r="796" spans="1:25" s="4" customFormat="1">
      <c r="A796" s="41"/>
      <c r="B796" s="20" t="s">
        <v>52</v>
      </c>
      <c r="C796" s="42">
        <v>2025</v>
      </c>
      <c r="D796" s="19" t="s">
        <v>752</v>
      </c>
      <c r="E796" s="3" t="s">
        <v>994</v>
      </c>
      <c r="F796" s="1">
        <v>0</v>
      </c>
      <c r="G796" s="32">
        <v>0</v>
      </c>
      <c r="H796" s="33">
        <f t="shared" si="148"/>
        <v>0</v>
      </c>
      <c r="I796" s="34"/>
      <c r="J796" s="35">
        <v>0</v>
      </c>
      <c r="K796" s="36">
        <v>0</v>
      </c>
      <c r="L796" s="35">
        <v>0</v>
      </c>
      <c r="M796" s="35">
        <v>0</v>
      </c>
      <c r="N796" s="35">
        <v>0</v>
      </c>
      <c r="O796" s="35">
        <v>-1995500</v>
      </c>
      <c r="P796" s="35">
        <v>0</v>
      </c>
      <c r="R796" s="37">
        <f t="shared" si="147"/>
        <v>1995500</v>
      </c>
      <c r="X796" s="28"/>
      <c r="Y796" s="28"/>
    </row>
    <row r="797" spans="1:25" s="4" customFormat="1">
      <c r="A797" s="41"/>
      <c r="B797" s="20" t="s">
        <v>52</v>
      </c>
      <c r="C797" s="42">
        <v>2025</v>
      </c>
      <c r="D797" s="19" t="s">
        <v>752</v>
      </c>
      <c r="E797" s="3" t="s">
        <v>995</v>
      </c>
      <c r="F797" s="1">
        <v>0</v>
      </c>
      <c r="G797" s="32">
        <v>0</v>
      </c>
      <c r="H797" s="33">
        <f t="shared" si="148"/>
        <v>0</v>
      </c>
      <c r="I797" s="34"/>
      <c r="J797" s="35">
        <v>0</v>
      </c>
      <c r="K797" s="36">
        <v>0</v>
      </c>
      <c r="L797" s="35">
        <v>0</v>
      </c>
      <c r="M797" s="35">
        <v>0</v>
      </c>
      <c r="N797" s="35">
        <v>0</v>
      </c>
      <c r="O797" s="35">
        <v>-17880000</v>
      </c>
      <c r="P797" s="35">
        <v>0</v>
      </c>
      <c r="R797" s="37">
        <f t="shared" si="147"/>
        <v>17880000</v>
      </c>
      <c r="X797" s="28"/>
      <c r="Y797" s="28"/>
    </row>
    <row r="798" spans="1:25" s="4" customFormat="1">
      <c r="A798" s="41"/>
      <c r="B798" s="20" t="s">
        <v>52</v>
      </c>
      <c r="C798" s="42">
        <v>2025</v>
      </c>
      <c r="D798" s="19" t="s">
        <v>724</v>
      </c>
      <c r="E798" s="3" t="s">
        <v>1002</v>
      </c>
      <c r="F798" s="1">
        <v>0</v>
      </c>
      <c r="G798" s="32">
        <v>0</v>
      </c>
      <c r="H798" s="33">
        <f t="shared" si="148"/>
        <v>0</v>
      </c>
      <c r="I798" s="34"/>
      <c r="J798" s="35">
        <v>0</v>
      </c>
      <c r="K798" s="36">
        <v>0</v>
      </c>
      <c r="L798" s="35">
        <v>0</v>
      </c>
      <c r="M798" s="35">
        <v>0</v>
      </c>
      <c r="N798" s="35">
        <v>0</v>
      </c>
      <c r="O798" s="35">
        <v>-34630000</v>
      </c>
      <c r="P798" s="35">
        <v>0</v>
      </c>
      <c r="R798" s="37">
        <f t="shared" si="147"/>
        <v>34630000</v>
      </c>
      <c r="X798" s="28"/>
      <c r="Y798" s="28"/>
    </row>
    <row r="799" spans="1:25" s="4" customFormat="1">
      <c r="A799" s="41"/>
      <c r="B799" s="20" t="s">
        <v>52</v>
      </c>
      <c r="C799" s="42">
        <v>2025</v>
      </c>
      <c r="D799" s="19" t="s">
        <v>724</v>
      </c>
      <c r="E799" s="3" t="s">
        <v>1003</v>
      </c>
      <c r="F799" s="1">
        <v>0</v>
      </c>
      <c r="G799" s="32">
        <v>0</v>
      </c>
      <c r="H799" s="33">
        <f t="shared" si="148"/>
        <v>0</v>
      </c>
      <c r="I799" s="34"/>
      <c r="J799" s="35">
        <v>0</v>
      </c>
      <c r="K799" s="36">
        <v>0</v>
      </c>
      <c r="L799" s="35">
        <v>0</v>
      </c>
      <c r="M799" s="35">
        <v>0</v>
      </c>
      <c r="N799" s="35">
        <v>0</v>
      </c>
      <c r="O799" s="35">
        <v>-13555000</v>
      </c>
      <c r="P799" s="35">
        <v>0</v>
      </c>
      <c r="R799" s="37">
        <f t="shared" si="147"/>
        <v>13555000</v>
      </c>
      <c r="X799" s="28"/>
      <c r="Y799" s="28"/>
    </row>
    <row r="800" spans="1:25" s="4" customFormat="1">
      <c r="A800" s="41"/>
      <c r="B800" s="20" t="s">
        <v>52</v>
      </c>
      <c r="C800" s="42">
        <v>2025</v>
      </c>
      <c r="D800" s="19" t="s">
        <v>204</v>
      </c>
      <c r="E800" s="3" t="s">
        <v>1004</v>
      </c>
      <c r="F800" s="1">
        <v>0</v>
      </c>
      <c r="G800" s="32">
        <v>0</v>
      </c>
      <c r="H800" s="33">
        <f t="shared" si="148"/>
        <v>0</v>
      </c>
      <c r="I800" s="34"/>
      <c r="J800" s="35">
        <v>0</v>
      </c>
      <c r="K800" s="36">
        <v>0</v>
      </c>
      <c r="L800" s="35">
        <v>0</v>
      </c>
      <c r="M800" s="35">
        <v>0</v>
      </c>
      <c r="N800" s="35">
        <v>0</v>
      </c>
      <c r="O800" s="35">
        <v>1102505</v>
      </c>
      <c r="P800" s="35">
        <v>0</v>
      </c>
      <c r="R800" s="37">
        <f t="shared" ref="R800" si="149">F800-J800-K800-L800-M800-N800-O800</f>
        <v>-1102505</v>
      </c>
      <c r="X800" s="28"/>
      <c r="Y800" s="28"/>
    </row>
    <row r="801" spans="1:25" s="4" customFormat="1">
      <c r="A801" s="41"/>
      <c r="B801" s="20" t="s">
        <v>52</v>
      </c>
      <c r="C801" s="42">
        <v>2025</v>
      </c>
      <c r="D801" s="19" t="s">
        <v>202</v>
      </c>
      <c r="E801" s="3" t="s">
        <v>1005</v>
      </c>
      <c r="F801" s="1">
        <v>0</v>
      </c>
      <c r="G801" s="32">
        <v>0</v>
      </c>
      <c r="H801" s="33">
        <f t="shared" si="148"/>
        <v>0</v>
      </c>
      <c r="I801" s="34"/>
      <c r="J801" s="35">
        <v>0</v>
      </c>
      <c r="K801" s="36">
        <v>0</v>
      </c>
      <c r="L801" s="35">
        <v>0</v>
      </c>
      <c r="M801" s="35">
        <v>0</v>
      </c>
      <c r="N801" s="35">
        <v>0</v>
      </c>
      <c r="O801" s="35">
        <v>560205</v>
      </c>
      <c r="P801" s="35">
        <v>0</v>
      </c>
      <c r="R801" s="37">
        <f t="shared" ref="R801:R803" si="150">F801-J801-K801-L801-M801-N801-O801</f>
        <v>-560205</v>
      </c>
      <c r="X801" s="28"/>
      <c r="Y801" s="28"/>
    </row>
    <row r="802" spans="1:25" s="4" customFormat="1">
      <c r="A802" s="41"/>
      <c r="B802" s="20" t="s">
        <v>52</v>
      </c>
      <c r="C802" s="42">
        <v>2025</v>
      </c>
      <c r="D802" s="19" t="s">
        <v>202</v>
      </c>
      <c r="E802" s="3" t="s">
        <v>1006</v>
      </c>
      <c r="F802" s="1">
        <v>0</v>
      </c>
      <c r="G802" s="32">
        <v>0</v>
      </c>
      <c r="H802" s="33">
        <f t="shared" si="148"/>
        <v>0</v>
      </c>
      <c r="I802" s="34"/>
      <c r="J802" s="35">
        <v>0</v>
      </c>
      <c r="K802" s="36">
        <v>0</v>
      </c>
      <c r="L802" s="35">
        <v>0</v>
      </c>
      <c r="M802" s="35">
        <v>0</v>
      </c>
      <c r="N802" s="35">
        <v>0</v>
      </c>
      <c r="O802" s="35">
        <v>560205</v>
      </c>
      <c r="P802" s="35">
        <v>0</v>
      </c>
      <c r="R802" s="37">
        <f t="shared" si="150"/>
        <v>-560205</v>
      </c>
      <c r="X802" s="28"/>
      <c r="Y802" s="28"/>
    </row>
    <row r="803" spans="1:25" s="4" customFormat="1">
      <c r="A803" s="41"/>
      <c r="B803" s="20" t="s">
        <v>52</v>
      </c>
      <c r="C803" s="42">
        <v>2025</v>
      </c>
      <c r="D803" s="19" t="s">
        <v>202</v>
      </c>
      <c r="E803" s="3" t="s">
        <v>1007</v>
      </c>
      <c r="F803" s="1">
        <v>0</v>
      </c>
      <c r="G803" s="32">
        <v>0</v>
      </c>
      <c r="H803" s="33">
        <f t="shared" si="148"/>
        <v>0</v>
      </c>
      <c r="I803" s="34"/>
      <c r="J803" s="35">
        <v>0</v>
      </c>
      <c r="K803" s="36">
        <v>0</v>
      </c>
      <c r="L803" s="35">
        <v>0</v>
      </c>
      <c r="M803" s="35">
        <v>0</v>
      </c>
      <c r="N803" s="35">
        <v>0</v>
      </c>
      <c r="O803" s="35">
        <v>560205</v>
      </c>
      <c r="P803" s="35">
        <v>0</v>
      </c>
      <c r="R803" s="37">
        <f t="shared" si="150"/>
        <v>-560205</v>
      </c>
      <c r="X803" s="28"/>
      <c r="Y803" s="28"/>
    </row>
    <row r="804" spans="1:25" s="4" customFormat="1">
      <c r="A804" s="41"/>
      <c r="B804" s="20" t="s">
        <v>52</v>
      </c>
      <c r="C804" s="42">
        <v>2025</v>
      </c>
      <c r="D804" s="19" t="s">
        <v>202</v>
      </c>
      <c r="E804" s="3" t="s">
        <v>1008</v>
      </c>
      <c r="F804" s="1">
        <v>0</v>
      </c>
      <c r="G804" s="32">
        <v>0</v>
      </c>
      <c r="H804" s="33">
        <f t="shared" si="148"/>
        <v>0</v>
      </c>
      <c r="I804" s="34"/>
      <c r="J804" s="35">
        <v>0</v>
      </c>
      <c r="K804" s="36">
        <v>0</v>
      </c>
      <c r="L804" s="35">
        <v>0</v>
      </c>
      <c r="M804" s="35">
        <v>0</v>
      </c>
      <c r="N804" s="35">
        <v>0</v>
      </c>
      <c r="O804" s="35">
        <v>560205</v>
      </c>
      <c r="P804" s="35">
        <v>0</v>
      </c>
      <c r="R804" s="37">
        <f t="shared" ref="R804:R810" si="151">F804-J804-K804-L804-M804-N804-O804</f>
        <v>-560205</v>
      </c>
      <c r="X804" s="28"/>
      <c r="Y804" s="28"/>
    </row>
    <row r="805" spans="1:25" s="4" customFormat="1">
      <c r="A805" s="41"/>
      <c r="B805" s="20" t="s">
        <v>52</v>
      </c>
      <c r="C805" s="42">
        <v>2025</v>
      </c>
      <c r="D805" s="19" t="s">
        <v>202</v>
      </c>
      <c r="E805" s="3" t="s">
        <v>1009</v>
      </c>
      <c r="F805" s="1">
        <v>0</v>
      </c>
      <c r="G805" s="32">
        <v>0</v>
      </c>
      <c r="H805" s="33">
        <f t="shared" si="148"/>
        <v>0</v>
      </c>
      <c r="I805" s="34"/>
      <c r="J805" s="35">
        <v>0</v>
      </c>
      <c r="K805" s="36">
        <v>0</v>
      </c>
      <c r="L805" s="35">
        <v>0</v>
      </c>
      <c r="M805" s="35">
        <v>0</v>
      </c>
      <c r="N805" s="35">
        <v>0</v>
      </c>
      <c r="O805" s="35">
        <v>1069100</v>
      </c>
      <c r="P805" s="35">
        <v>0</v>
      </c>
      <c r="R805" s="37">
        <f t="shared" si="151"/>
        <v>-1069100</v>
      </c>
      <c r="X805" s="28"/>
      <c r="Y805" s="28"/>
    </row>
    <row r="806" spans="1:25" s="4" customFormat="1">
      <c r="A806" s="41"/>
      <c r="B806" s="20" t="s">
        <v>52</v>
      </c>
      <c r="C806" s="42">
        <v>2025</v>
      </c>
      <c r="D806" s="19" t="s">
        <v>85</v>
      </c>
      <c r="E806" s="3" t="s">
        <v>1010</v>
      </c>
      <c r="F806" s="1">
        <v>0</v>
      </c>
      <c r="G806" s="32">
        <v>0</v>
      </c>
      <c r="H806" s="33">
        <f t="shared" si="148"/>
        <v>0</v>
      </c>
      <c r="I806" s="34"/>
      <c r="J806" s="35">
        <v>0</v>
      </c>
      <c r="K806" s="36">
        <v>0</v>
      </c>
      <c r="L806" s="35">
        <v>0</v>
      </c>
      <c r="M806" s="35">
        <v>0</v>
      </c>
      <c r="N806" s="35">
        <v>0</v>
      </c>
      <c r="O806" s="35">
        <v>845485</v>
      </c>
      <c r="P806" s="35">
        <v>0</v>
      </c>
      <c r="R806" s="37">
        <f t="shared" si="151"/>
        <v>-845485</v>
      </c>
      <c r="X806" s="28"/>
      <c r="Y806" s="28"/>
    </row>
    <row r="807" spans="1:25" s="4" customFormat="1">
      <c r="A807" s="41"/>
      <c r="B807" s="20" t="s">
        <v>52</v>
      </c>
      <c r="C807" s="42">
        <v>2025</v>
      </c>
      <c r="D807" s="19" t="s">
        <v>373</v>
      </c>
      <c r="E807" s="3" t="s">
        <v>1011</v>
      </c>
      <c r="F807" s="1">
        <v>0</v>
      </c>
      <c r="G807" s="32">
        <v>0</v>
      </c>
      <c r="H807" s="33">
        <f t="shared" si="148"/>
        <v>0</v>
      </c>
      <c r="I807" s="34"/>
      <c r="J807" s="35">
        <v>0</v>
      </c>
      <c r="K807" s="36">
        <v>0</v>
      </c>
      <c r="L807" s="35">
        <v>0</v>
      </c>
      <c r="M807" s="35">
        <v>0</v>
      </c>
      <c r="N807" s="35">
        <v>0</v>
      </c>
      <c r="O807" s="35">
        <v>1191450</v>
      </c>
      <c r="P807" s="35">
        <v>0</v>
      </c>
      <c r="R807" s="37">
        <f t="shared" si="151"/>
        <v>-1191450</v>
      </c>
      <c r="X807" s="28"/>
      <c r="Y807" s="28"/>
    </row>
    <row r="808" spans="1:25" s="4" customFormat="1">
      <c r="A808" s="41"/>
      <c r="B808" s="20" t="s">
        <v>52</v>
      </c>
      <c r="C808" s="42">
        <v>2025</v>
      </c>
      <c r="D808" s="19" t="s">
        <v>379</v>
      </c>
      <c r="E808" s="3" t="s">
        <v>1012</v>
      </c>
      <c r="F808" s="1">
        <v>0</v>
      </c>
      <c r="G808" s="32">
        <v>0</v>
      </c>
      <c r="H808" s="33">
        <f t="shared" si="148"/>
        <v>0</v>
      </c>
      <c r="I808" s="34"/>
      <c r="J808" s="35">
        <v>0</v>
      </c>
      <c r="K808" s="36">
        <v>0</v>
      </c>
      <c r="L808" s="35">
        <v>0</v>
      </c>
      <c r="M808" s="35">
        <v>0</v>
      </c>
      <c r="N808" s="35">
        <v>0</v>
      </c>
      <c r="O808" s="35">
        <v>791900</v>
      </c>
      <c r="P808" s="35">
        <v>0</v>
      </c>
      <c r="R808" s="37">
        <f t="shared" si="151"/>
        <v>-791900</v>
      </c>
      <c r="X808" s="28"/>
      <c r="Y808" s="28"/>
    </row>
    <row r="809" spans="1:25" s="4" customFormat="1">
      <c r="A809" s="41"/>
      <c r="B809" s="20" t="s">
        <v>52</v>
      </c>
      <c r="C809" s="42">
        <v>2025</v>
      </c>
      <c r="D809" s="19" t="s">
        <v>373</v>
      </c>
      <c r="E809" s="3" t="s">
        <v>1013</v>
      </c>
      <c r="F809" s="1">
        <v>0</v>
      </c>
      <c r="G809" s="32">
        <v>0</v>
      </c>
      <c r="H809" s="33">
        <f t="shared" si="148"/>
        <v>0</v>
      </c>
      <c r="I809" s="34"/>
      <c r="J809" s="35">
        <v>0</v>
      </c>
      <c r="K809" s="36">
        <v>0</v>
      </c>
      <c r="L809" s="35">
        <v>0</v>
      </c>
      <c r="M809" s="35">
        <v>0</v>
      </c>
      <c r="N809" s="35">
        <v>0</v>
      </c>
      <c r="O809" s="35">
        <v>1776200</v>
      </c>
      <c r="P809" s="35">
        <v>0</v>
      </c>
      <c r="R809" s="37">
        <f t="shared" si="151"/>
        <v>-1776200</v>
      </c>
      <c r="X809" s="28"/>
      <c r="Y809" s="28"/>
    </row>
    <row r="810" spans="1:25" s="4" customFormat="1">
      <c r="A810" s="41"/>
      <c r="B810" s="20" t="s">
        <v>52</v>
      </c>
      <c r="C810" s="42">
        <v>2025</v>
      </c>
      <c r="D810" s="19" t="s">
        <v>373</v>
      </c>
      <c r="E810" s="3" t="s">
        <v>1014</v>
      </c>
      <c r="F810" s="1">
        <v>0</v>
      </c>
      <c r="G810" s="32">
        <v>0</v>
      </c>
      <c r="H810" s="33">
        <f t="shared" si="148"/>
        <v>0</v>
      </c>
      <c r="I810" s="34"/>
      <c r="J810" s="35">
        <v>0</v>
      </c>
      <c r="K810" s="36">
        <v>0</v>
      </c>
      <c r="L810" s="35">
        <v>0</v>
      </c>
      <c r="M810" s="35">
        <v>0</v>
      </c>
      <c r="N810" s="35">
        <v>0</v>
      </c>
      <c r="O810" s="35">
        <v>1354250</v>
      </c>
      <c r="P810" s="35">
        <v>0</v>
      </c>
      <c r="R810" s="37">
        <f t="shared" si="151"/>
        <v>-1354250</v>
      </c>
      <c r="X810" s="28"/>
      <c r="Y810" s="28"/>
    </row>
    <row r="811" spans="1:25" s="4" customFormat="1">
      <c r="A811" s="41"/>
      <c r="B811" s="20" t="s">
        <v>52</v>
      </c>
      <c r="C811" s="42">
        <v>2025</v>
      </c>
      <c r="D811" s="19" t="s">
        <v>373</v>
      </c>
      <c r="E811" s="3" t="s">
        <v>1015</v>
      </c>
      <c r="F811" s="1">
        <v>0</v>
      </c>
      <c r="G811" s="32">
        <v>0</v>
      </c>
      <c r="H811" s="33">
        <f t="shared" si="148"/>
        <v>0</v>
      </c>
      <c r="I811" s="34"/>
      <c r="J811" s="35">
        <v>0</v>
      </c>
      <c r="K811" s="36">
        <v>0</v>
      </c>
      <c r="L811" s="35">
        <v>0</v>
      </c>
      <c r="M811" s="35">
        <v>0</v>
      </c>
      <c r="N811" s="35">
        <v>0</v>
      </c>
      <c r="O811" s="35">
        <v>1004509</v>
      </c>
      <c r="P811" s="35">
        <v>0</v>
      </c>
      <c r="R811" s="37">
        <f t="shared" ref="R811:R822" si="152">F811-J811-K811-L811-M811-N811-O811</f>
        <v>-1004509</v>
      </c>
      <c r="X811" s="28"/>
      <c r="Y811" s="28"/>
    </row>
    <row r="812" spans="1:25" s="4" customFormat="1">
      <c r="A812" s="41"/>
      <c r="B812" s="20" t="s">
        <v>52</v>
      </c>
      <c r="C812" s="42">
        <v>2025</v>
      </c>
      <c r="D812" s="19" t="s">
        <v>373</v>
      </c>
      <c r="E812" s="3" t="s">
        <v>1016</v>
      </c>
      <c r="F812" s="1">
        <v>0</v>
      </c>
      <c r="G812" s="32">
        <v>0</v>
      </c>
      <c r="H812" s="33">
        <f t="shared" si="148"/>
        <v>0</v>
      </c>
      <c r="I812" s="34"/>
      <c r="J812" s="35">
        <v>0</v>
      </c>
      <c r="K812" s="36">
        <v>0</v>
      </c>
      <c r="L812" s="35">
        <v>0</v>
      </c>
      <c r="M812" s="35">
        <v>0</v>
      </c>
      <c r="N812" s="35">
        <v>0</v>
      </c>
      <c r="O812" s="35">
        <v>664005</v>
      </c>
      <c r="P812" s="35">
        <v>0</v>
      </c>
      <c r="R812" s="37">
        <f t="shared" si="152"/>
        <v>-664005</v>
      </c>
      <c r="X812" s="28"/>
      <c r="Y812" s="28"/>
    </row>
    <row r="813" spans="1:25" s="4" customFormat="1">
      <c r="A813" s="41"/>
      <c r="B813" s="20" t="s">
        <v>52</v>
      </c>
      <c r="C813" s="42">
        <v>2025</v>
      </c>
      <c r="D813" s="19" t="s">
        <v>373</v>
      </c>
      <c r="E813" s="3" t="s">
        <v>1017</v>
      </c>
      <c r="F813" s="1">
        <v>0</v>
      </c>
      <c r="G813" s="32">
        <v>0</v>
      </c>
      <c r="H813" s="33">
        <f t="shared" si="148"/>
        <v>0</v>
      </c>
      <c r="I813" s="34"/>
      <c r="J813" s="35">
        <v>0</v>
      </c>
      <c r="K813" s="36">
        <v>0</v>
      </c>
      <c r="L813" s="35">
        <v>0</v>
      </c>
      <c r="M813" s="35">
        <v>0</v>
      </c>
      <c r="N813" s="35">
        <v>0</v>
      </c>
      <c r="O813" s="35">
        <v>976600</v>
      </c>
      <c r="P813" s="35">
        <v>0</v>
      </c>
      <c r="R813" s="37">
        <f t="shared" si="152"/>
        <v>-976600</v>
      </c>
      <c r="X813" s="28"/>
      <c r="Y813" s="28"/>
    </row>
    <row r="814" spans="1:25" s="4" customFormat="1">
      <c r="A814" s="41"/>
      <c r="B814" s="20" t="s">
        <v>52</v>
      </c>
      <c r="C814" s="42">
        <v>2025</v>
      </c>
      <c r="D814" s="19" t="s">
        <v>373</v>
      </c>
      <c r="E814" s="3" t="s">
        <v>1018</v>
      </c>
      <c r="F814" s="1">
        <v>0</v>
      </c>
      <c r="G814" s="32">
        <v>0</v>
      </c>
      <c r="H814" s="33">
        <f t="shared" si="148"/>
        <v>0</v>
      </c>
      <c r="I814" s="34"/>
      <c r="J814" s="35">
        <v>0</v>
      </c>
      <c r="K814" s="36">
        <v>0</v>
      </c>
      <c r="L814" s="35">
        <v>0</v>
      </c>
      <c r="M814" s="35">
        <v>0</v>
      </c>
      <c r="N814" s="35">
        <v>0</v>
      </c>
      <c r="O814" s="35">
        <v>590100</v>
      </c>
      <c r="P814" s="35">
        <v>0</v>
      </c>
      <c r="R814" s="37">
        <f t="shared" si="152"/>
        <v>-590100</v>
      </c>
      <c r="X814" s="28"/>
      <c r="Y814" s="28"/>
    </row>
    <row r="815" spans="1:25" s="4" customFormat="1">
      <c r="A815" s="41"/>
      <c r="B815" s="20" t="s">
        <v>52</v>
      </c>
      <c r="C815" s="42">
        <v>2025</v>
      </c>
      <c r="D815" s="19" t="s">
        <v>373</v>
      </c>
      <c r="E815" s="3" t="s">
        <v>1019</v>
      </c>
      <c r="F815" s="1">
        <v>0</v>
      </c>
      <c r="G815" s="32">
        <v>0</v>
      </c>
      <c r="H815" s="33">
        <f t="shared" si="148"/>
        <v>0</v>
      </c>
      <c r="I815" s="34"/>
      <c r="J815" s="35">
        <v>0</v>
      </c>
      <c r="K815" s="36">
        <v>0</v>
      </c>
      <c r="L815" s="35">
        <v>0</v>
      </c>
      <c r="M815" s="35">
        <v>0</v>
      </c>
      <c r="N815" s="35">
        <v>0</v>
      </c>
      <c r="O815" s="35">
        <v>1015781</v>
      </c>
      <c r="P815" s="35">
        <v>0</v>
      </c>
      <c r="R815" s="37">
        <f t="shared" si="152"/>
        <v>-1015781</v>
      </c>
      <c r="X815" s="28"/>
      <c r="Y815" s="28"/>
    </row>
    <row r="816" spans="1:25" s="4" customFormat="1">
      <c r="A816" s="41"/>
      <c r="B816" s="20" t="s">
        <v>52</v>
      </c>
      <c r="C816" s="42">
        <v>2025</v>
      </c>
      <c r="D816" s="19" t="s">
        <v>373</v>
      </c>
      <c r="E816" s="3" t="s">
        <v>1020</v>
      </c>
      <c r="F816" s="1">
        <v>0</v>
      </c>
      <c r="G816" s="32">
        <v>0</v>
      </c>
      <c r="H816" s="33">
        <f t="shared" si="148"/>
        <v>0</v>
      </c>
      <c r="I816" s="34"/>
      <c r="J816" s="35">
        <v>0</v>
      </c>
      <c r="K816" s="36">
        <v>0</v>
      </c>
      <c r="L816" s="35">
        <v>0</v>
      </c>
      <c r="M816" s="35">
        <v>0</v>
      </c>
      <c r="N816" s="35">
        <v>0</v>
      </c>
      <c r="O816" s="35">
        <v>1525850</v>
      </c>
      <c r="P816" s="35">
        <v>0</v>
      </c>
      <c r="R816" s="37">
        <f t="shared" si="152"/>
        <v>-1525850</v>
      </c>
      <c r="X816" s="28"/>
      <c r="Y816" s="28"/>
    </row>
    <row r="817" spans="1:25" s="4" customFormat="1">
      <c r="A817" s="41"/>
      <c r="B817" s="20" t="s">
        <v>52</v>
      </c>
      <c r="C817" s="42">
        <v>2025</v>
      </c>
      <c r="D817" s="19" t="s">
        <v>373</v>
      </c>
      <c r="E817" s="3" t="s">
        <v>1021</v>
      </c>
      <c r="F817" s="1">
        <v>0</v>
      </c>
      <c r="G817" s="32">
        <v>0</v>
      </c>
      <c r="H817" s="33">
        <f t="shared" si="148"/>
        <v>0</v>
      </c>
      <c r="I817" s="34"/>
      <c r="J817" s="35">
        <v>0</v>
      </c>
      <c r="K817" s="36">
        <v>0</v>
      </c>
      <c r="L817" s="35">
        <v>0</v>
      </c>
      <c r="M817" s="35">
        <v>0</v>
      </c>
      <c r="N817" s="35">
        <v>0</v>
      </c>
      <c r="O817" s="35">
        <v>1267980</v>
      </c>
      <c r="P817" s="35">
        <v>0</v>
      </c>
      <c r="R817" s="37">
        <f t="shared" si="152"/>
        <v>-1267980</v>
      </c>
      <c r="X817" s="28"/>
      <c r="Y817" s="28"/>
    </row>
    <row r="818" spans="1:25" s="4" customFormat="1">
      <c r="A818" s="41"/>
      <c r="B818" s="20" t="s">
        <v>52</v>
      </c>
      <c r="C818" s="42">
        <v>2025</v>
      </c>
      <c r="D818" s="19" t="s">
        <v>373</v>
      </c>
      <c r="E818" s="3" t="s">
        <v>1022</v>
      </c>
      <c r="F818" s="1">
        <v>0</v>
      </c>
      <c r="G818" s="32">
        <v>0</v>
      </c>
      <c r="H818" s="33">
        <f t="shared" si="148"/>
        <v>0</v>
      </c>
      <c r="I818" s="34"/>
      <c r="J818" s="35">
        <v>0</v>
      </c>
      <c r="K818" s="36">
        <v>0</v>
      </c>
      <c r="L818" s="35">
        <v>0</v>
      </c>
      <c r="M818" s="35">
        <v>0</v>
      </c>
      <c r="N818" s="35">
        <v>0</v>
      </c>
      <c r="O818" s="35">
        <v>590100</v>
      </c>
      <c r="P818" s="35">
        <v>0</v>
      </c>
      <c r="R818" s="37">
        <f t="shared" si="152"/>
        <v>-590100</v>
      </c>
      <c r="X818" s="28"/>
      <c r="Y818" s="28"/>
    </row>
    <row r="819" spans="1:25" s="4" customFormat="1">
      <c r="A819" s="41"/>
      <c r="B819" s="20" t="s">
        <v>52</v>
      </c>
      <c r="C819" s="42">
        <v>2025</v>
      </c>
      <c r="D819" s="19" t="s">
        <v>373</v>
      </c>
      <c r="E819" s="3" t="s">
        <v>1023</v>
      </c>
      <c r="F819" s="1">
        <v>0</v>
      </c>
      <c r="G819" s="32">
        <v>0</v>
      </c>
      <c r="H819" s="33">
        <f t="shared" si="148"/>
        <v>0</v>
      </c>
      <c r="I819" s="34"/>
      <c r="J819" s="35">
        <v>0</v>
      </c>
      <c r="K819" s="36">
        <v>0</v>
      </c>
      <c r="L819" s="35">
        <v>0</v>
      </c>
      <c r="M819" s="35">
        <v>0</v>
      </c>
      <c r="N819" s="35">
        <v>0</v>
      </c>
      <c r="O819" s="35">
        <v>146300</v>
      </c>
      <c r="P819" s="35">
        <v>0</v>
      </c>
      <c r="R819" s="37">
        <f t="shared" si="152"/>
        <v>-146300</v>
      </c>
      <c r="X819" s="28"/>
      <c r="Y819" s="28"/>
    </row>
    <row r="820" spans="1:25" s="4" customFormat="1">
      <c r="A820" s="41"/>
      <c r="B820" s="20" t="s">
        <v>52</v>
      </c>
      <c r="C820" s="42">
        <v>2025</v>
      </c>
      <c r="D820" s="19" t="s">
        <v>373</v>
      </c>
      <c r="E820" s="3" t="s">
        <v>1024</v>
      </c>
      <c r="F820" s="1">
        <v>0</v>
      </c>
      <c r="G820" s="32">
        <v>0</v>
      </c>
      <c r="H820" s="33">
        <f t="shared" si="148"/>
        <v>0</v>
      </c>
      <c r="I820" s="34"/>
      <c r="J820" s="35">
        <v>0</v>
      </c>
      <c r="K820" s="36">
        <v>0</v>
      </c>
      <c r="L820" s="35">
        <v>0</v>
      </c>
      <c r="M820" s="35">
        <v>0</v>
      </c>
      <c r="N820" s="35">
        <v>0</v>
      </c>
      <c r="O820" s="35">
        <v>2214620</v>
      </c>
      <c r="P820" s="35">
        <v>0</v>
      </c>
      <c r="R820" s="37">
        <f t="shared" si="152"/>
        <v>-2214620</v>
      </c>
      <c r="X820" s="28"/>
      <c r="Y820" s="28"/>
    </row>
    <row r="821" spans="1:25" s="4" customFormat="1">
      <c r="A821" s="41"/>
      <c r="B821" s="20" t="s">
        <v>52</v>
      </c>
      <c r="C821" s="42">
        <v>2025</v>
      </c>
      <c r="D821" s="19" t="s">
        <v>373</v>
      </c>
      <c r="E821" s="3" t="s">
        <v>1025</v>
      </c>
      <c r="F821" s="1">
        <v>0</v>
      </c>
      <c r="G821" s="32">
        <v>0</v>
      </c>
      <c r="H821" s="33">
        <f t="shared" si="148"/>
        <v>0</v>
      </c>
      <c r="I821" s="34"/>
      <c r="J821" s="35">
        <v>0</v>
      </c>
      <c r="K821" s="36">
        <v>0</v>
      </c>
      <c r="L821" s="35">
        <v>0</v>
      </c>
      <c r="M821" s="35">
        <v>0</v>
      </c>
      <c r="N821" s="35">
        <v>0</v>
      </c>
      <c r="O821" s="35">
        <v>2214620</v>
      </c>
      <c r="P821" s="35">
        <v>0</v>
      </c>
      <c r="R821" s="37">
        <f t="shared" si="152"/>
        <v>-2214620</v>
      </c>
      <c r="X821" s="28"/>
      <c r="Y821" s="28"/>
    </row>
    <row r="822" spans="1:25" s="4" customFormat="1">
      <c r="A822" s="41"/>
      <c r="B822" s="20" t="s">
        <v>52</v>
      </c>
      <c r="C822" s="42">
        <v>2025</v>
      </c>
      <c r="D822" s="19" t="s">
        <v>373</v>
      </c>
      <c r="E822" s="3" t="s">
        <v>1026</v>
      </c>
      <c r="F822" s="1">
        <v>0</v>
      </c>
      <c r="G822" s="32">
        <v>0</v>
      </c>
      <c r="H822" s="33">
        <f t="shared" si="148"/>
        <v>0</v>
      </c>
      <c r="I822" s="34"/>
      <c r="J822" s="35">
        <v>0</v>
      </c>
      <c r="K822" s="36">
        <v>0</v>
      </c>
      <c r="L822" s="35">
        <v>0</v>
      </c>
      <c r="M822" s="35">
        <v>0</v>
      </c>
      <c r="N822" s="35">
        <v>0</v>
      </c>
      <c r="O822" s="35">
        <v>2621818</v>
      </c>
      <c r="P822" s="35">
        <v>0</v>
      </c>
      <c r="R822" s="37">
        <f t="shared" si="152"/>
        <v>-2621818</v>
      </c>
      <c r="X822" s="28"/>
      <c r="Y822" s="28"/>
    </row>
    <row r="823" spans="1:25" s="4" customFormat="1">
      <c r="A823" s="41"/>
      <c r="B823" s="20" t="s">
        <v>52</v>
      </c>
      <c r="C823" s="42">
        <v>2025</v>
      </c>
      <c r="D823" s="19" t="s">
        <v>373</v>
      </c>
      <c r="E823" s="3" t="s">
        <v>1027</v>
      </c>
      <c r="F823" s="1">
        <v>0</v>
      </c>
      <c r="G823" s="32">
        <v>0</v>
      </c>
      <c r="H823" s="33">
        <f t="shared" si="148"/>
        <v>0</v>
      </c>
      <c r="I823" s="34"/>
      <c r="J823" s="35">
        <v>0</v>
      </c>
      <c r="K823" s="36">
        <v>0</v>
      </c>
      <c r="L823" s="35">
        <v>0</v>
      </c>
      <c r="M823" s="35">
        <v>0</v>
      </c>
      <c r="N823" s="35">
        <v>0</v>
      </c>
      <c r="O823" s="35">
        <v>4036650</v>
      </c>
      <c r="P823" s="35">
        <v>0</v>
      </c>
      <c r="R823" s="37">
        <f t="shared" ref="R823:R875" si="153">F823-J823-K823-L823-M823-N823-O823</f>
        <v>-4036650</v>
      </c>
      <c r="X823" s="28"/>
      <c r="Y823" s="28"/>
    </row>
    <row r="824" spans="1:25" s="4" customFormat="1">
      <c r="A824" s="41"/>
      <c r="B824" s="20" t="s">
        <v>52</v>
      </c>
      <c r="C824" s="42">
        <v>2025</v>
      </c>
      <c r="D824" s="19" t="s">
        <v>373</v>
      </c>
      <c r="E824" s="3" t="s">
        <v>1028</v>
      </c>
      <c r="F824" s="1">
        <v>0</v>
      </c>
      <c r="G824" s="32">
        <v>0</v>
      </c>
      <c r="H824" s="33">
        <f t="shared" si="148"/>
        <v>0</v>
      </c>
      <c r="I824" s="34"/>
      <c r="J824" s="35">
        <v>0</v>
      </c>
      <c r="K824" s="36">
        <v>0</v>
      </c>
      <c r="L824" s="35">
        <v>0</v>
      </c>
      <c r="M824" s="35">
        <v>0</v>
      </c>
      <c r="N824" s="35">
        <v>0</v>
      </c>
      <c r="O824" s="35">
        <v>1776200</v>
      </c>
      <c r="P824" s="35">
        <v>0</v>
      </c>
      <c r="R824" s="37">
        <f t="shared" si="153"/>
        <v>-1776200</v>
      </c>
      <c r="X824" s="28"/>
      <c r="Y824" s="28"/>
    </row>
    <row r="825" spans="1:25" s="4" customFormat="1">
      <c r="A825" s="41"/>
      <c r="B825" s="20" t="s">
        <v>52</v>
      </c>
      <c r="C825" s="42">
        <v>2025</v>
      </c>
      <c r="D825" s="19" t="s">
        <v>373</v>
      </c>
      <c r="E825" s="3" t="s">
        <v>1029</v>
      </c>
      <c r="F825" s="1">
        <v>0</v>
      </c>
      <c r="G825" s="32">
        <v>0</v>
      </c>
      <c r="H825" s="33">
        <f t="shared" si="148"/>
        <v>0</v>
      </c>
      <c r="I825" s="34"/>
      <c r="J825" s="35">
        <v>0</v>
      </c>
      <c r="K825" s="36">
        <v>0</v>
      </c>
      <c r="L825" s="35">
        <v>0</v>
      </c>
      <c r="M825" s="35">
        <v>0</v>
      </c>
      <c r="N825" s="35">
        <v>0</v>
      </c>
      <c r="O825" s="35">
        <v>1004509</v>
      </c>
      <c r="P825" s="35">
        <v>0</v>
      </c>
      <c r="R825" s="37">
        <f t="shared" si="153"/>
        <v>-1004509</v>
      </c>
      <c r="X825" s="28"/>
      <c r="Y825" s="28"/>
    </row>
    <row r="826" spans="1:25" s="4" customFormat="1">
      <c r="A826" s="41"/>
      <c r="B826" s="20" t="s">
        <v>52</v>
      </c>
      <c r="C826" s="42">
        <v>2025</v>
      </c>
      <c r="D826" s="19" t="s">
        <v>373</v>
      </c>
      <c r="E826" s="3" t="s">
        <v>1030</v>
      </c>
      <c r="F826" s="1">
        <v>0</v>
      </c>
      <c r="G826" s="32">
        <v>0</v>
      </c>
      <c r="H826" s="33">
        <f t="shared" si="148"/>
        <v>0</v>
      </c>
      <c r="I826" s="34"/>
      <c r="J826" s="35">
        <v>0</v>
      </c>
      <c r="K826" s="36">
        <v>0</v>
      </c>
      <c r="L826" s="35">
        <v>0</v>
      </c>
      <c r="M826" s="35">
        <v>0</v>
      </c>
      <c r="N826" s="35">
        <v>0</v>
      </c>
      <c r="O826" s="35">
        <v>2214620</v>
      </c>
      <c r="P826" s="35">
        <v>0</v>
      </c>
      <c r="R826" s="37">
        <f t="shared" si="153"/>
        <v>-2214620</v>
      </c>
      <c r="X826" s="28"/>
      <c r="Y826" s="28"/>
    </row>
    <row r="827" spans="1:25" s="4" customFormat="1">
      <c r="A827" s="41"/>
      <c r="B827" s="20" t="s">
        <v>52</v>
      </c>
      <c r="C827" s="42">
        <v>2025</v>
      </c>
      <c r="D827" s="19" t="s">
        <v>375</v>
      </c>
      <c r="E827" s="3" t="s">
        <v>1031</v>
      </c>
      <c r="F827" s="1">
        <v>0</v>
      </c>
      <c r="G827" s="32">
        <v>0</v>
      </c>
      <c r="H827" s="33">
        <f t="shared" si="148"/>
        <v>0</v>
      </c>
      <c r="I827" s="34"/>
      <c r="J827" s="35">
        <v>0</v>
      </c>
      <c r="K827" s="36">
        <v>0</v>
      </c>
      <c r="L827" s="35">
        <v>0</v>
      </c>
      <c r="M827" s="35">
        <v>0</v>
      </c>
      <c r="N827" s="35">
        <v>0</v>
      </c>
      <c r="O827" s="35">
        <v>2492798</v>
      </c>
      <c r="P827" s="35">
        <v>0</v>
      </c>
      <c r="R827" s="37">
        <f t="shared" si="153"/>
        <v>-2492798</v>
      </c>
      <c r="X827" s="28"/>
      <c r="Y827" s="28"/>
    </row>
    <row r="828" spans="1:25" s="4" customFormat="1">
      <c r="A828" s="41"/>
      <c r="B828" s="20" t="s">
        <v>52</v>
      </c>
      <c r="C828" s="42">
        <v>2025</v>
      </c>
      <c r="D828" s="19" t="s">
        <v>375</v>
      </c>
      <c r="E828" s="3" t="s">
        <v>1032</v>
      </c>
      <c r="F828" s="1">
        <v>0</v>
      </c>
      <c r="G828" s="32">
        <v>0</v>
      </c>
      <c r="H828" s="33">
        <f t="shared" si="148"/>
        <v>0</v>
      </c>
      <c r="I828" s="34"/>
      <c r="J828" s="35">
        <v>0</v>
      </c>
      <c r="K828" s="36">
        <v>0</v>
      </c>
      <c r="L828" s="35">
        <v>0</v>
      </c>
      <c r="M828" s="35">
        <v>0</v>
      </c>
      <c r="N828" s="35">
        <v>0</v>
      </c>
      <c r="O828" s="35">
        <v>2492798</v>
      </c>
      <c r="P828" s="35">
        <v>0</v>
      </c>
      <c r="R828" s="37">
        <f t="shared" si="153"/>
        <v>-2492798</v>
      </c>
      <c r="X828" s="28"/>
      <c r="Y828" s="28"/>
    </row>
    <row r="829" spans="1:25" s="4" customFormat="1">
      <c r="A829" s="41"/>
      <c r="B829" s="20" t="s">
        <v>52</v>
      </c>
      <c r="C829" s="42">
        <v>2025</v>
      </c>
      <c r="D829" s="19" t="s">
        <v>375</v>
      </c>
      <c r="E829" s="3" t="s">
        <v>1075</v>
      </c>
      <c r="F829" s="1">
        <v>0</v>
      </c>
      <c r="G829" s="32">
        <v>0</v>
      </c>
      <c r="H829" s="33">
        <f t="shared" si="148"/>
        <v>0</v>
      </c>
      <c r="I829" s="34"/>
      <c r="J829" s="35">
        <v>0</v>
      </c>
      <c r="K829" s="36">
        <v>0</v>
      </c>
      <c r="L829" s="35">
        <v>0</v>
      </c>
      <c r="M829" s="35">
        <v>0</v>
      </c>
      <c r="N829" s="35">
        <v>0</v>
      </c>
      <c r="O829" s="35">
        <v>762769</v>
      </c>
      <c r="P829" s="35">
        <v>0</v>
      </c>
      <c r="R829" s="37">
        <f t="shared" si="153"/>
        <v>-762769</v>
      </c>
      <c r="X829" s="28"/>
      <c r="Y829" s="28"/>
    </row>
    <row r="830" spans="1:25" s="4" customFormat="1">
      <c r="A830" s="41"/>
      <c r="B830" s="20" t="s">
        <v>52</v>
      </c>
      <c r="C830" s="42">
        <v>2025</v>
      </c>
      <c r="D830" s="19" t="s">
        <v>373</v>
      </c>
      <c r="E830" s="3" t="s">
        <v>1033</v>
      </c>
      <c r="F830" s="1">
        <v>0</v>
      </c>
      <c r="G830" s="32">
        <v>0</v>
      </c>
      <c r="H830" s="33">
        <f t="shared" si="148"/>
        <v>0</v>
      </c>
      <c r="I830" s="34"/>
      <c r="J830" s="35">
        <v>0</v>
      </c>
      <c r="K830" s="36">
        <v>0</v>
      </c>
      <c r="L830" s="35">
        <v>0</v>
      </c>
      <c r="M830" s="35">
        <v>0</v>
      </c>
      <c r="N830" s="35">
        <v>0</v>
      </c>
      <c r="O830" s="35">
        <v>594517</v>
      </c>
      <c r="P830" s="35">
        <v>0</v>
      </c>
      <c r="R830" s="37">
        <f t="shared" si="153"/>
        <v>-594517</v>
      </c>
      <c r="X830" s="28"/>
      <c r="Y830" s="28"/>
    </row>
    <row r="831" spans="1:25" s="4" customFormat="1">
      <c r="A831" s="41"/>
      <c r="B831" s="20" t="s">
        <v>52</v>
      </c>
      <c r="C831" s="42">
        <v>2025</v>
      </c>
      <c r="D831" s="19" t="s">
        <v>375</v>
      </c>
      <c r="E831" s="3" t="s">
        <v>1028</v>
      </c>
      <c r="F831" s="1">
        <v>0</v>
      </c>
      <c r="G831" s="32">
        <v>0</v>
      </c>
      <c r="H831" s="33">
        <f t="shared" si="148"/>
        <v>0</v>
      </c>
      <c r="I831" s="34"/>
      <c r="J831" s="35">
        <v>0</v>
      </c>
      <c r="K831" s="36">
        <v>0</v>
      </c>
      <c r="L831" s="35">
        <v>0</v>
      </c>
      <c r="M831" s="35">
        <v>0</v>
      </c>
      <c r="N831" s="35">
        <v>0</v>
      </c>
      <c r="O831" s="35">
        <v>1185059</v>
      </c>
      <c r="P831" s="35">
        <v>0</v>
      </c>
      <c r="R831" s="37">
        <f t="shared" si="153"/>
        <v>-1185059</v>
      </c>
      <c r="X831" s="28"/>
      <c r="Y831" s="28"/>
    </row>
    <row r="832" spans="1:25" s="4" customFormat="1">
      <c r="A832" s="41"/>
      <c r="B832" s="20" t="s">
        <v>52</v>
      </c>
      <c r="C832" s="42">
        <v>2025</v>
      </c>
      <c r="D832" s="19" t="s">
        <v>452</v>
      </c>
      <c r="E832" s="3" t="s">
        <v>1034</v>
      </c>
      <c r="F832" s="1">
        <v>0</v>
      </c>
      <c r="G832" s="32">
        <v>0</v>
      </c>
      <c r="H832" s="33">
        <f t="shared" si="148"/>
        <v>0</v>
      </c>
      <c r="I832" s="34"/>
      <c r="J832" s="35">
        <v>0</v>
      </c>
      <c r="K832" s="36">
        <v>0</v>
      </c>
      <c r="L832" s="35">
        <v>0</v>
      </c>
      <c r="M832" s="35">
        <v>0</v>
      </c>
      <c r="N832" s="35">
        <v>0</v>
      </c>
      <c r="O832" s="35">
        <v>837025</v>
      </c>
      <c r="P832" s="35">
        <v>0</v>
      </c>
      <c r="R832" s="37">
        <f t="shared" si="153"/>
        <v>-837025</v>
      </c>
      <c r="X832" s="28"/>
      <c r="Y832" s="28"/>
    </row>
    <row r="833" spans="1:25" s="4" customFormat="1">
      <c r="A833" s="41"/>
      <c r="B833" s="20" t="s">
        <v>52</v>
      </c>
      <c r="C833" s="42">
        <v>2025</v>
      </c>
      <c r="D833" s="19" t="s">
        <v>461</v>
      </c>
      <c r="E833" s="3" t="s">
        <v>1035</v>
      </c>
      <c r="F833" s="1">
        <v>0</v>
      </c>
      <c r="G833" s="32">
        <v>0</v>
      </c>
      <c r="H833" s="33">
        <f t="shared" si="148"/>
        <v>0</v>
      </c>
      <c r="I833" s="34"/>
      <c r="J833" s="35">
        <v>0</v>
      </c>
      <c r="K833" s="36">
        <v>0</v>
      </c>
      <c r="L833" s="35">
        <v>0</v>
      </c>
      <c r="M833" s="35">
        <v>0</v>
      </c>
      <c r="N833" s="35">
        <v>0</v>
      </c>
      <c r="O833" s="35">
        <v>1297195</v>
      </c>
      <c r="P833" s="35">
        <v>0</v>
      </c>
      <c r="R833" s="37">
        <f t="shared" si="153"/>
        <v>-1297195</v>
      </c>
      <c r="X833" s="28"/>
      <c r="Y833" s="28"/>
    </row>
    <row r="834" spans="1:25" s="4" customFormat="1">
      <c r="A834" s="41"/>
      <c r="B834" s="20" t="s">
        <v>52</v>
      </c>
      <c r="C834" s="42">
        <v>2025</v>
      </c>
      <c r="D834" s="19" t="s">
        <v>461</v>
      </c>
      <c r="E834" s="3" t="s">
        <v>1036</v>
      </c>
      <c r="F834" s="1">
        <v>0</v>
      </c>
      <c r="G834" s="32">
        <v>0</v>
      </c>
      <c r="H834" s="33">
        <f t="shared" si="148"/>
        <v>0</v>
      </c>
      <c r="I834" s="34"/>
      <c r="J834" s="35">
        <v>0</v>
      </c>
      <c r="K834" s="36">
        <v>0</v>
      </c>
      <c r="L834" s="35">
        <v>0</v>
      </c>
      <c r="M834" s="35">
        <v>0</v>
      </c>
      <c r="N834" s="35">
        <v>0</v>
      </c>
      <c r="O834" s="35">
        <v>1236580</v>
      </c>
      <c r="P834" s="35">
        <v>0</v>
      </c>
      <c r="R834" s="37">
        <f t="shared" si="153"/>
        <v>-1236580</v>
      </c>
      <c r="X834" s="28"/>
      <c r="Y834" s="28"/>
    </row>
    <row r="835" spans="1:25" s="4" customFormat="1">
      <c r="A835" s="41"/>
      <c r="B835" s="20" t="s">
        <v>52</v>
      </c>
      <c r="C835" s="42">
        <v>2025</v>
      </c>
      <c r="D835" s="19" t="s">
        <v>461</v>
      </c>
      <c r="E835" s="3" t="s">
        <v>1037</v>
      </c>
      <c r="F835" s="1">
        <v>0</v>
      </c>
      <c r="G835" s="32">
        <v>0</v>
      </c>
      <c r="H835" s="33">
        <f t="shared" si="148"/>
        <v>0</v>
      </c>
      <c r="I835" s="34"/>
      <c r="J835" s="35">
        <v>0</v>
      </c>
      <c r="K835" s="36">
        <v>0</v>
      </c>
      <c r="L835" s="35">
        <v>0</v>
      </c>
      <c r="M835" s="35">
        <v>0</v>
      </c>
      <c r="N835" s="35">
        <v>0</v>
      </c>
      <c r="O835" s="35">
        <v>1307172</v>
      </c>
      <c r="P835" s="35">
        <v>0</v>
      </c>
      <c r="R835" s="37">
        <f t="shared" si="153"/>
        <v>-1307172</v>
      </c>
      <c r="X835" s="28"/>
      <c r="Y835" s="28"/>
    </row>
    <row r="836" spans="1:25" s="4" customFormat="1">
      <c r="A836" s="41"/>
      <c r="B836" s="20" t="s">
        <v>52</v>
      </c>
      <c r="C836" s="42">
        <v>2025</v>
      </c>
      <c r="D836" s="19" t="s">
        <v>461</v>
      </c>
      <c r="E836" s="3" t="s">
        <v>1038</v>
      </c>
      <c r="F836" s="1">
        <v>0</v>
      </c>
      <c r="G836" s="32">
        <v>0</v>
      </c>
      <c r="H836" s="33">
        <f t="shared" si="148"/>
        <v>0</v>
      </c>
      <c r="I836" s="34"/>
      <c r="J836" s="35">
        <v>0</v>
      </c>
      <c r="K836" s="36">
        <v>0</v>
      </c>
      <c r="L836" s="35">
        <v>0</v>
      </c>
      <c r="M836" s="35">
        <v>0</v>
      </c>
      <c r="N836" s="35">
        <v>0</v>
      </c>
      <c r="O836" s="35">
        <v>1554514</v>
      </c>
      <c r="P836" s="35">
        <v>0</v>
      </c>
      <c r="R836" s="37">
        <f t="shared" si="153"/>
        <v>-1554514</v>
      </c>
      <c r="X836" s="28"/>
      <c r="Y836" s="28"/>
    </row>
    <row r="837" spans="1:25" s="4" customFormat="1">
      <c r="A837" s="41"/>
      <c r="B837" s="20" t="s">
        <v>52</v>
      </c>
      <c r="C837" s="42">
        <v>2025</v>
      </c>
      <c r="D837" s="19" t="s">
        <v>461</v>
      </c>
      <c r="E837" s="3" t="s">
        <v>1039</v>
      </c>
      <c r="F837" s="1">
        <v>0</v>
      </c>
      <c r="G837" s="32">
        <v>0</v>
      </c>
      <c r="H837" s="33">
        <f t="shared" ref="H837:H900" si="154">G837*$H$4/$E$999</f>
        <v>0</v>
      </c>
      <c r="I837" s="34"/>
      <c r="J837" s="35">
        <v>0</v>
      </c>
      <c r="K837" s="36">
        <v>0</v>
      </c>
      <c r="L837" s="35">
        <v>0</v>
      </c>
      <c r="M837" s="35">
        <v>0</v>
      </c>
      <c r="N837" s="35">
        <v>0</v>
      </c>
      <c r="O837" s="35">
        <v>1567309</v>
      </c>
      <c r="P837" s="35">
        <v>0</v>
      </c>
      <c r="R837" s="37">
        <f t="shared" si="153"/>
        <v>-1567309</v>
      </c>
      <c r="X837" s="28"/>
      <c r="Y837" s="28"/>
    </row>
    <row r="838" spans="1:25" s="4" customFormat="1">
      <c r="A838" s="41"/>
      <c r="B838" s="20" t="s">
        <v>52</v>
      </c>
      <c r="C838" s="42">
        <v>2025</v>
      </c>
      <c r="D838" s="19" t="s">
        <v>461</v>
      </c>
      <c r="E838" s="3" t="s">
        <v>1040</v>
      </c>
      <c r="F838" s="1">
        <v>0</v>
      </c>
      <c r="G838" s="32">
        <v>0</v>
      </c>
      <c r="H838" s="33">
        <f t="shared" si="154"/>
        <v>0</v>
      </c>
      <c r="I838" s="34"/>
      <c r="J838" s="35">
        <v>0</v>
      </c>
      <c r="K838" s="36">
        <v>0</v>
      </c>
      <c r="L838" s="35">
        <v>0</v>
      </c>
      <c r="M838" s="35">
        <v>0</v>
      </c>
      <c r="N838" s="35">
        <v>0</v>
      </c>
      <c r="O838" s="35">
        <v>1567309</v>
      </c>
      <c r="P838" s="35">
        <v>0</v>
      </c>
      <c r="R838" s="37">
        <f t="shared" si="153"/>
        <v>-1567309</v>
      </c>
      <c r="X838" s="28"/>
      <c r="Y838" s="28"/>
    </row>
    <row r="839" spans="1:25" s="4" customFormat="1">
      <c r="A839" s="41"/>
      <c r="B839" s="20" t="s">
        <v>52</v>
      </c>
      <c r="C839" s="42">
        <v>2025</v>
      </c>
      <c r="D839" s="19" t="s">
        <v>461</v>
      </c>
      <c r="E839" s="3" t="s">
        <v>1041</v>
      </c>
      <c r="F839" s="1">
        <v>0</v>
      </c>
      <c r="G839" s="32">
        <v>0</v>
      </c>
      <c r="H839" s="33">
        <f t="shared" si="154"/>
        <v>0</v>
      </c>
      <c r="I839" s="34"/>
      <c r="J839" s="35">
        <v>0</v>
      </c>
      <c r="K839" s="36">
        <v>0</v>
      </c>
      <c r="L839" s="35">
        <v>0</v>
      </c>
      <c r="M839" s="35">
        <v>0</v>
      </c>
      <c r="N839" s="35">
        <v>0</v>
      </c>
      <c r="O839" s="35">
        <v>756551</v>
      </c>
      <c r="P839" s="35">
        <v>0</v>
      </c>
      <c r="R839" s="37">
        <f t="shared" si="153"/>
        <v>-756551</v>
      </c>
      <c r="X839" s="28"/>
      <c r="Y839" s="28"/>
    </row>
    <row r="840" spans="1:25" s="4" customFormat="1">
      <c r="A840" s="41"/>
      <c r="B840" s="20" t="s">
        <v>52</v>
      </c>
      <c r="C840" s="42">
        <v>2025</v>
      </c>
      <c r="D840" s="19" t="s">
        <v>461</v>
      </c>
      <c r="E840" s="3" t="s">
        <v>1042</v>
      </c>
      <c r="F840" s="1">
        <v>0</v>
      </c>
      <c r="G840" s="32">
        <v>0</v>
      </c>
      <c r="H840" s="33">
        <f t="shared" si="154"/>
        <v>0</v>
      </c>
      <c r="I840" s="34"/>
      <c r="J840" s="35">
        <v>0</v>
      </c>
      <c r="K840" s="36">
        <v>0</v>
      </c>
      <c r="L840" s="35">
        <v>0</v>
      </c>
      <c r="M840" s="35">
        <v>0</v>
      </c>
      <c r="N840" s="35">
        <v>0</v>
      </c>
      <c r="O840" s="35">
        <v>756551</v>
      </c>
      <c r="P840" s="35">
        <v>0</v>
      </c>
      <c r="R840" s="37">
        <f t="shared" si="153"/>
        <v>-756551</v>
      </c>
      <c r="X840" s="28"/>
      <c r="Y840" s="28"/>
    </row>
    <row r="841" spans="1:25" s="4" customFormat="1">
      <c r="A841" s="41"/>
      <c r="B841" s="20" t="s">
        <v>52</v>
      </c>
      <c r="C841" s="42">
        <v>2025</v>
      </c>
      <c r="D841" s="19" t="s">
        <v>461</v>
      </c>
      <c r="E841" s="3" t="s">
        <v>1043</v>
      </c>
      <c r="F841" s="1">
        <v>0</v>
      </c>
      <c r="G841" s="32">
        <v>0</v>
      </c>
      <c r="H841" s="33">
        <f t="shared" si="154"/>
        <v>0</v>
      </c>
      <c r="I841" s="34"/>
      <c r="J841" s="35">
        <v>0</v>
      </c>
      <c r="K841" s="36">
        <v>0</v>
      </c>
      <c r="L841" s="35">
        <v>0</v>
      </c>
      <c r="M841" s="35">
        <v>0</v>
      </c>
      <c r="N841" s="35">
        <v>0</v>
      </c>
      <c r="O841" s="35">
        <v>711611</v>
      </c>
      <c r="P841" s="35">
        <v>0</v>
      </c>
      <c r="R841" s="37">
        <f t="shared" si="153"/>
        <v>-711611</v>
      </c>
      <c r="X841" s="28"/>
      <c r="Y841" s="28"/>
    </row>
    <row r="842" spans="1:25" s="4" customFormat="1">
      <c r="A842" s="41"/>
      <c r="B842" s="20" t="s">
        <v>52</v>
      </c>
      <c r="C842" s="42">
        <v>2025</v>
      </c>
      <c r="D842" s="19" t="s">
        <v>461</v>
      </c>
      <c r="E842" s="3" t="s">
        <v>1044</v>
      </c>
      <c r="F842" s="1">
        <v>0</v>
      </c>
      <c r="G842" s="32">
        <v>0</v>
      </c>
      <c r="H842" s="33">
        <f t="shared" si="154"/>
        <v>0</v>
      </c>
      <c r="I842" s="34"/>
      <c r="J842" s="35">
        <v>0</v>
      </c>
      <c r="K842" s="36">
        <v>0</v>
      </c>
      <c r="L842" s="35">
        <v>0</v>
      </c>
      <c r="M842" s="35">
        <v>0</v>
      </c>
      <c r="N842" s="35">
        <v>0</v>
      </c>
      <c r="O842" s="35">
        <v>1853050</v>
      </c>
      <c r="P842" s="35">
        <v>0</v>
      </c>
      <c r="R842" s="37">
        <f t="shared" si="153"/>
        <v>-1853050</v>
      </c>
      <c r="X842" s="28"/>
      <c r="Y842" s="28"/>
    </row>
    <row r="843" spans="1:25" s="4" customFormat="1">
      <c r="A843" s="41"/>
      <c r="B843" s="20" t="s">
        <v>52</v>
      </c>
      <c r="C843" s="42">
        <v>2025</v>
      </c>
      <c r="D843" s="19" t="s">
        <v>461</v>
      </c>
      <c r="E843" s="3" t="s">
        <v>1045</v>
      </c>
      <c r="F843" s="1">
        <v>0</v>
      </c>
      <c r="G843" s="32">
        <v>0</v>
      </c>
      <c r="H843" s="33">
        <f t="shared" si="154"/>
        <v>0</v>
      </c>
      <c r="I843" s="34"/>
      <c r="J843" s="35">
        <v>0</v>
      </c>
      <c r="K843" s="36">
        <v>0</v>
      </c>
      <c r="L843" s="35">
        <v>0</v>
      </c>
      <c r="M843" s="35">
        <v>0</v>
      </c>
      <c r="N843" s="35">
        <v>0</v>
      </c>
      <c r="O843" s="35">
        <v>1916050</v>
      </c>
      <c r="P843" s="35">
        <v>0</v>
      </c>
      <c r="R843" s="37">
        <f t="shared" si="153"/>
        <v>-1916050</v>
      </c>
      <c r="X843" s="28"/>
      <c r="Y843" s="28"/>
    </row>
    <row r="844" spans="1:25" s="4" customFormat="1">
      <c r="A844" s="41"/>
      <c r="B844" s="20" t="s">
        <v>52</v>
      </c>
      <c r="C844" s="42">
        <v>2025</v>
      </c>
      <c r="D844" s="19" t="s">
        <v>461</v>
      </c>
      <c r="E844" s="3" t="s">
        <v>1046</v>
      </c>
      <c r="F844" s="1">
        <v>0</v>
      </c>
      <c r="G844" s="32">
        <v>0</v>
      </c>
      <c r="H844" s="33">
        <f t="shared" si="154"/>
        <v>0</v>
      </c>
      <c r="I844" s="34"/>
      <c r="J844" s="35">
        <v>0</v>
      </c>
      <c r="K844" s="36">
        <v>0</v>
      </c>
      <c r="L844" s="35">
        <v>0</v>
      </c>
      <c r="M844" s="35">
        <v>0</v>
      </c>
      <c r="N844" s="35">
        <v>0</v>
      </c>
      <c r="O844" s="35">
        <v>575500</v>
      </c>
      <c r="P844" s="35">
        <v>0</v>
      </c>
      <c r="R844" s="37">
        <f t="shared" si="153"/>
        <v>-575500</v>
      </c>
      <c r="X844" s="28"/>
      <c r="Y844" s="28"/>
    </row>
    <row r="845" spans="1:25" s="4" customFormat="1">
      <c r="A845" s="41"/>
      <c r="B845" s="20" t="s">
        <v>52</v>
      </c>
      <c r="C845" s="42">
        <v>2025</v>
      </c>
      <c r="D845" s="19" t="s">
        <v>461</v>
      </c>
      <c r="E845" s="3" t="s">
        <v>1047</v>
      </c>
      <c r="F845" s="1">
        <v>0</v>
      </c>
      <c r="G845" s="32">
        <v>0</v>
      </c>
      <c r="H845" s="33">
        <f t="shared" si="154"/>
        <v>0</v>
      </c>
      <c r="I845" s="34"/>
      <c r="J845" s="35">
        <v>0</v>
      </c>
      <c r="K845" s="36">
        <v>0</v>
      </c>
      <c r="L845" s="35">
        <v>0</v>
      </c>
      <c r="M845" s="35">
        <v>0</v>
      </c>
      <c r="N845" s="35">
        <v>0</v>
      </c>
      <c r="O845" s="35">
        <v>680781</v>
      </c>
      <c r="P845" s="35">
        <v>0</v>
      </c>
      <c r="R845" s="37">
        <f t="shared" si="153"/>
        <v>-680781</v>
      </c>
      <c r="X845" s="28"/>
      <c r="Y845" s="28"/>
    </row>
    <row r="846" spans="1:25" s="4" customFormat="1">
      <c r="A846" s="41"/>
      <c r="B846" s="20" t="s">
        <v>52</v>
      </c>
      <c r="C846" s="42">
        <v>2025</v>
      </c>
      <c r="D846" s="19" t="s">
        <v>462</v>
      </c>
      <c r="E846" s="3" t="s">
        <v>1048</v>
      </c>
      <c r="F846" s="1">
        <v>0</v>
      </c>
      <c r="G846" s="32">
        <v>0</v>
      </c>
      <c r="H846" s="33">
        <f t="shared" si="154"/>
        <v>0</v>
      </c>
      <c r="I846" s="34"/>
      <c r="J846" s="35">
        <v>0</v>
      </c>
      <c r="K846" s="36">
        <v>0</v>
      </c>
      <c r="L846" s="35">
        <v>0</v>
      </c>
      <c r="M846" s="35">
        <v>0</v>
      </c>
      <c r="N846" s="35">
        <v>0</v>
      </c>
      <c r="O846" s="35">
        <v>713999</v>
      </c>
      <c r="P846" s="35">
        <v>0</v>
      </c>
      <c r="R846" s="37">
        <f t="shared" si="153"/>
        <v>-713999</v>
      </c>
      <c r="X846" s="28"/>
      <c r="Y846" s="28"/>
    </row>
    <row r="847" spans="1:25" s="4" customFormat="1">
      <c r="A847" s="41"/>
      <c r="B847" s="20" t="s">
        <v>52</v>
      </c>
      <c r="C847" s="42">
        <v>2025</v>
      </c>
      <c r="D847" s="19" t="s">
        <v>462</v>
      </c>
      <c r="E847" s="3" t="s">
        <v>1049</v>
      </c>
      <c r="F847" s="1">
        <v>0</v>
      </c>
      <c r="G847" s="32">
        <v>0</v>
      </c>
      <c r="H847" s="33">
        <f t="shared" si="154"/>
        <v>0</v>
      </c>
      <c r="I847" s="34"/>
      <c r="J847" s="35">
        <v>0</v>
      </c>
      <c r="K847" s="36">
        <v>0</v>
      </c>
      <c r="L847" s="35">
        <v>0</v>
      </c>
      <c r="M847" s="35">
        <v>0</v>
      </c>
      <c r="N847" s="35">
        <v>0</v>
      </c>
      <c r="O847" s="35">
        <v>713999</v>
      </c>
      <c r="P847" s="35">
        <v>0</v>
      </c>
      <c r="R847" s="37">
        <f t="shared" si="153"/>
        <v>-713999</v>
      </c>
      <c r="X847" s="28"/>
      <c r="Y847" s="28"/>
    </row>
    <row r="848" spans="1:25" s="4" customFormat="1">
      <c r="A848" s="41"/>
      <c r="B848" s="20" t="s">
        <v>52</v>
      </c>
      <c r="C848" s="42">
        <v>2025</v>
      </c>
      <c r="D848" s="19" t="s">
        <v>458</v>
      </c>
      <c r="E848" s="3" t="s">
        <v>1050</v>
      </c>
      <c r="F848" s="1">
        <v>0</v>
      </c>
      <c r="G848" s="32">
        <v>0</v>
      </c>
      <c r="H848" s="33">
        <f t="shared" si="154"/>
        <v>0</v>
      </c>
      <c r="I848" s="34"/>
      <c r="J848" s="35">
        <v>0</v>
      </c>
      <c r="K848" s="36">
        <v>0</v>
      </c>
      <c r="L848" s="35">
        <v>0</v>
      </c>
      <c r="M848" s="35">
        <v>0</v>
      </c>
      <c r="N848" s="35">
        <v>0</v>
      </c>
      <c r="O848" s="35">
        <v>609400</v>
      </c>
      <c r="P848" s="35">
        <v>0</v>
      </c>
      <c r="R848" s="37">
        <f t="shared" si="153"/>
        <v>-609400</v>
      </c>
      <c r="X848" s="28"/>
      <c r="Y848" s="28"/>
    </row>
    <row r="849" spans="1:25" s="4" customFormat="1">
      <c r="A849" s="41"/>
      <c r="B849" s="20" t="s">
        <v>52</v>
      </c>
      <c r="C849" s="42">
        <v>2025</v>
      </c>
      <c r="D849" s="19" t="s">
        <v>462</v>
      </c>
      <c r="E849" s="3" t="s">
        <v>1051</v>
      </c>
      <c r="F849" s="1">
        <v>0</v>
      </c>
      <c r="G849" s="32">
        <v>0</v>
      </c>
      <c r="H849" s="33">
        <f t="shared" si="154"/>
        <v>0</v>
      </c>
      <c r="I849" s="34"/>
      <c r="J849" s="35">
        <v>0</v>
      </c>
      <c r="K849" s="36">
        <v>0</v>
      </c>
      <c r="L849" s="35">
        <v>0</v>
      </c>
      <c r="M849" s="35">
        <v>0</v>
      </c>
      <c r="N849" s="35">
        <v>0</v>
      </c>
      <c r="O849" s="35">
        <v>816529</v>
      </c>
      <c r="P849" s="35">
        <v>0</v>
      </c>
      <c r="R849" s="37">
        <f t="shared" si="153"/>
        <v>-816529</v>
      </c>
      <c r="X849" s="28"/>
      <c r="Y849" s="28"/>
    </row>
    <row r="850" spans="1:25" s="4" customFormat="1">
      <c r="A850" s="41"/>
      <c r="B850" s="20" t="s">
        <v>52</v>
      </c>
      <c r="C850" s="42">
        <v>2025</v>
      </c>
      <c r="D850" s="19" t="s">
        <v>776</v>
      </c>
      <c r="E850" s="3" t="s">
        <v>1052</v>
      </c>
      <c r="F850" s="1">
        <v>0</v>
      </c>
      <c r="G850" s="32">
        <v>0</v>
      </c>
      <c r="H850" s="33">
        <f t="shared" si="154"/>
        <v>0</v>
      </c>
      <c r="I850" s="34"/>
      <c r="J850" s="35">
        <v>0</v>
      </c>
      <c r="K850" s="36">
        <v>0</v>
      </c>
      <c r="L850" s="35">
        <v>0</v>
      </c>
      <c r="M850" s="35">
        <v>0</v>
      </c>
      <c r="N850" s="35">
        <v>0</v>
      </c>
      <c r="O850" s="35">
        <v>1177500</v>
      </c>
      <c r="P850" s="35">
        <v>0</v>
      </c>
      <c r="R850" s="37">
        <f t="shared" si="153"/>
        <v>-1177500</v>
      </c>
      <c r="X850" s="28"/>
      <c r="Y850" s="28"/>
    </row>
    <row r="851" spans="1:25" s="4" customFormat="1">
      <c r="A851" s="41"/>
      <c r="B851" s="20" t="s">
        <v>52</v>
      </c>
      <c r="C851" s="42">
        <v>2025</v>
      </c>
      <c r="D851" s="19" t="s">
        <v>776</v>
      </c>
      <c r="E851" s="3" t="s">
        <v>1053</v>
      </c>
      <c r="F851" s="1">
        <v>0</v>
      </c>
      <c r="G851" s="32">
        <v>0</v>
      </c>
      <c r="H851" s="33">
        <f t="shared" si="154"/>
        <v>0</v>
      </c>
      <c r="I851" s="34"/>
      <c r="J851" s="35">
        <v>0</v>
      </c>
      <c r="K851" s="36">
        <v>0</v>
      </c>
      <c r="L851" s="35">
        <v>0</v>
      </c>
      <c r="M851" s="35">
        <v>0</v>
      </c>
      <c r="N851" s="35">
        <v>0</v>
      </c>
      <c r="O851" s="35">
        <v>554160</v>
      </c>
      <c r="P851" s="35">
        <v>0</v>
      </c>
      <c r="R851" s="37">
        <f t="shared" si="153"/>
        <v>-554160</v>
      </c>
      <c r="X851" s="28"/>
      <c r="Y851" s="28"/>
    </row>
    <row r="852" spans="1:25" s="4" customFormat="1">
      <c r="A852" s="41"/>
      <c r="B852" s="20" t="s">
        <v>52</v>
      </c>
      <c r="C852" s="42">
        <v>2025</v>
      </c>
      <c r="D852" s="19" t="s">
        <v>776</v>
      </c>
      <c r="E852" s="3" t="s">
        <v>1054</v>
      </c>
      <c r="F852" s="1">
        <v>0</v>
      </c>
      <c r="G852" s="32">
        <v>0</v>
      </c>
      <c r="H852" s="33">
        <f t="shared" si="154"/>
        <v>0</v>
      </c>
      <c r="I852" s="34"/>
      <c r="J852" s="35">
        <v>0</v>
      </c>
      <c r="K852" s="36">
        <v>0</v>
      </c>
      <c r="L852" s="35">
        <v>0</v>
      </c>
      <c r="M852" s="35">
        <v>0</v>
      </c>
      <c r="N852" s="35">
        <v>0</v>
      </c>
      <c r="O852" s="35">
        <v>554160</v>
      </c>
      <c r="P852" s="35">
        <v>0</v>
      </c>
      <c r="R852" s="37">
        <f t="shared" si="153"/>
        <v>-554160</v>
      </c>
      <c r="X852" s="28"/>
      <c r="Y852" s="28"/>
    </row>
    <row r="853" spans="1:25" s="4" customFormat="1">
      <c r="A853" s="41"/>
      <c r="B853" s="20" t="s">
        <v>52</v>
      </c>
      <c r="C853" s="42">
        <v>2025</v>
      </c>
      <c r="D853" s="19" t="s">
        <v>776</v>
      </c>
      <c r="E853" s="3" t="s">
        <v>1055</v>
      </c>
      <c r="F853" s="1">
        <v>0</v>
      </c>
      <c r="G853" s="32">
        <v>0</v>
      </c>
      <c r="H853" s="33">
        <f t="shared" si="154"/>
        <v>0</v>
      </c>
      <c r="I853" s="34"/>
      <c r="J853" s="35">
        <v>0</v>
      </c>
      <c r="K853" s="36">
        <v>0</v>
      </c>
      <c r="L853" s="35">
        <v>0</v>
      </c>
      <c r="M853" s="35">
        <v>0</v>
      </c>
      <c r="N853" s="35">
        <v>0</v>
      </c>
      <c r="O853" s="35">
        <v>554160</v>
      </c>
      <c r="P853" s="35">
        <v>0</v>
      </c>
      <c r="R853" s="37">
        <f t="shared" si="153"/>
        <v>-554160</v>
      </c>
      <c r="X853" s="28"/>
      <c r="Y853" s="28"/>
    </row>
    <row r="854" spans="1:25" s="4" customFormat="1">
      <c r="A854" s="41"/>
      <c r="B854" s="20" t="s">
        <v>52</v>
      </c>
      <c r="C854" s="42">
        <v>2025</v>
      </c>
      <c r="D854" s="19" t="s">
        <v>776</v>
      </c>
      <c r="E854" s="3" t="s">
        <v>1056</v>
      </c>
      <c r="F854" s="1">
        <v>0</v>
      </c>
      <c r="G854" s="32">
        <v>0</v>
      </c>
      <c r="H854" s="33">
        <f t="shared" si="154"/>
        <v>0</v>
      </c>
      <c r="I854" s="34"/>
      <c r="J854" s="35">
        <v>0</v>
      </c>
      <c r="K854" s="36">
        <v>0</v>
      </c>
      <c r="L854" s="35">
        <v>0</v>
      </c>
      <c r="M854" s="35">
        <v>0</v>
      </c>
      <c r="N854" s="35">
        <v>0</v>
      </c>
      <c r="O854" s="35">
        <v>554160</v>
      </c>
      <c r="P854" s="35">
        <v>0</v>
      </c>
      <c r="R854" s="37">
        <f t="shared" si="153"/>
        <v>-554160</v>
      </c>
      <c r="X854" s="28"/>
      <c r="Y854" s="28"/>
    </row>
    <row r="855" spans="1:25" s="4" customFormat="1">
      <c r="A855" s="41"/>
      <c r="B855" s="20" t="s">
        <v>52</v>
      </c>
      <c r="C855" s="42">
        <v>2025</v>
      </c>
      <c r="D855" s="19" t="s">
        <v>776</v>
      </c>
      <c r="E855" s="3" t="s">
        <v>1057</v>
      </c>
      <c r="F855" s="1">
        <v>0</v>
      </c>
      <c r="G855" s="32">
        <v>0</v>
      </c>
      <c r="H855" s="33">
        <f t="shared" si="154"/>
        <v>0</v>
      </c>
      <c r="I855" s="34"/>
      <c r="J855" s="35">
        <v>0</v>
      </c>
      <c r="K855" s="36">
        <v>0</v>
      </c>
      <c r="L855" s="35">
        <v>0</v>
      </c>
      <c r="M855" s="35">
        <v>0</v>
      </c>
      <c r="N855" s="35">
        <v>0</v>
      </c>
      <c r="O855" s="35">
        <v>554160</v>
      </c>
      <c r="P855" s="35">
        <v>0</v>
      </c>
      <c r="R855" s="37">
        <f t="shared" si="153"/>
        <v>-554160</v>
      </c>
      <c r="X855" s="28"/>
      <c r="Y855" s="28"/>
    </row>
    <row r="856" spans="1:25" s="4" customFormat="1">
      <c r="A856" s="41"/>
      <c r="B856" s="20" t="s">
        <v>52</v>
      </c>
      <c r="C856" s="42">
        <v>2025</v>
      </c>
      <c r="D856" s="19" t="s">
        <v>883</v>
      </c>
      <c r="E856" s="3" t="s">
        <v>1058</v>
      </c>
      <c r="F856" s="1">
        <v>0</v>
      </c>
      <c r="G856" s="32">
        <v>0</v>
      </c>
      <c r="H856" s="33">
        <f t="shared" si="154"/>
        <v>0</v>
      </c>
      <c r="I856" s="34"/>
      <c r="J856" s="35">
        <v>0</v>
      </c>
      <c r="K856" s="36">
        <v>0</v>
      </c>
      <c r="L856" s="35">
        <v>0</v>
      </c>
      <c r="M856" s="35">
        <v>0</v>
      </c>
      <c r="N856" s="35">
        <v>0</v>
      </c>
      <c r="O856" s="35">
        <v>632575</v>
      </c>
      <c r="P856" s="35">
        <v>0</v>
      </c>
      <c r="R856" s="37">
        <f t="shared" si="153"/>
        <v>-632575</v>
      </c>
      <c r="X856" s="28"/>
      <c r="Y856" s="28"/>
    </row>
    <row r="857" spans="1:25" s="4" customFormat="1">
      <c r="A857" s="41"/>
      <c r="B857" s="20" t="s">
        <v>52</v>
      </c>
      <c r="C857" s="42">
        <v>2025</v>
      </c>
      <c r="D857" s="19" t="s">
        <v>462</v>
      </c>
      <c r="E857" s="3" t="s">
        <v>1059</v>
      </c>
      <c r="F857" s="1">
        <v>0</v>
      </c>
      <c r="G857" s="32">
        <v>0</v>
      </c>
      <c r="H857" s="33">
        <f t="shared" si="154"/>
        <v>0</v>
      </c>
      <c r="I857" s="34"/>
      <c r="J857" s="35">
        <v>0</v>
      </c>
      <c r="K857" s="36">
        <v>0</v>
      </c>
      <c r="L857" s="35">
        <v>0</v>
      </c>
      <c r="M857" s="35">
        <v>0</v>
      </c>
      <c r="N857" s="35">
        <v>0</v>
      </c>
      <c r="O857" s="35">
        <v>291433</v>
      </c>
      <c r="P857" s="35">
        <v>0</v>
      </c>
      <c r="R857" s="37">
        <f t="shared" si="153"/>
        <v>-291433</v>
      </c>
      <c r="X857" s="28"/>
      <c r="Y857" s="28"/>
    </row>
    <row r="858" spans="1:25" s="4" customFormat="1">
      <c r="A858" s="41"/>
      <c r="B858" s="20" t="s">
        <v>52</v>
      </c>
      <c r="C858" s="42">
        <v>2025</v>
      </c>
      <c r="D858" s="19" t="s">
        <v>462</v>
      </c>
      <c r="E858" s="3" t="s">
        <v>1060</v>
      </c>
      <c r="F858" s="1">
        <v>0</v>
      </c>
      <c r="G858" s="32">
        <v>0</v>
      </c>
      <c r="H858" s="33">
        <f t="shared" si="154"/>
        <v>0</v>
      </c>
      <c r="I858" s="34"/>
      <c r="J858" s="35">
        <v>0</v>
      </c>
      <c r="K858" s="36">
        <v>0</v>
      </c>
      <c r="L858" s="35">
        <v>0</v>
      </c>
      <c r="M858" s="35">
        <v>0</v>
      </c>
      <c r="N858" s="35">
        <v>0</v>
      </c>
      <c r="O858" s="35">
        <v>669675</v>
      </c>
      <c r="P858" s="35">
        <v>0</v>
      </c>
      <c r="R858" s="37">
        <f t="shared" si="153"/>
        <v>-669675</v>
      </c>
      <c r="X858" s="28"/>
      <c r="Y858" s="28"/>
    </row>
    <row r="859" spans="1:25" s="4" customFormat="1">
      <c r="A859" s="41"/>
      <c r="B859" s="20" t="s">
        <v>52</v>
      </c>
      <c r="C859" s="42">
        <v>2025</v>
      </c>
      <c r="D859" s="19" t="s">
        <v>462</v>
      </c>
      <c r="E859" s="3" t="s">
        <v>1061</v>
      </c>
      <c r="F859" s="1">
        <v>0</v>
      </c>
      <c r="G859" s="32">
        <v>0</v>
      </c>
      <c r="H859" s="33">
        <f t="shared" si="154"/>
        <v>0</v>
      </c>
      <c r="I859" s="34"/>
      <c r="J859" s="35">
        <v>0</v>
      </c>
      <c r="K859" s="36">
        <v>0</v>
      </c>
      <c r="L859" s="35">
        <v>0</v>
      </c>
      <c r="M859" s="35">
        <v>0</v>
      </c>
      <c r="N859" s="35">
        <v>0</v>
      </c>
      <c r="O859" s="35">
        <v>669675</v>
      </c>
      <c r="P859" s="35">
        <v>0</v>
      </c>
      <c r="R859" s="37">
        <f t="shared" si="153"/>
        <v>-669675</v>
      </c>
      <c r="X859" s="28"/>
      <c r="Y859" s="28"/>
    </row>
    <row r="860" spans="1:25" s="4" customFormat="1">
      <c r="A860" s="41"/>
      <c r="B860" s="20" t="s">
        <v>52</v>
      </c>
      <c r="C860" s="42">
        <v>2025</v>
      </c>
      <c r="D860" s="19" t="s">
        <v>462</v>
      </c>
      <c r="E860" s="3" t="s">
        <v>1062</v>
      </c>
      <c r="F860" s="1">
        <v>0</v>
      </c>
      <c r="G860" s="32">
        <v>0</v>
      </c>
      <c r="H860" s="33">
        <f t="shared" si="154"/>
        <v>0</v>
      </c>
      <c r="I860" s="34"/>
      <c r="J860" s="35">
        <v>0</v>
      </c>
      <c r="K860" s="36">
        <v>0</v>
      </c>
      <c r="L860" s="35">
        <v>0</v>
      </c>
      <c r="M860" s="35">
        <v>0</v>
      </c>
      <c r="N860" s="35">
        <v>0</v>
      </c>
      <c r="O860" s="35">
        <v>1539659</v>
      </c>
      <c r="P860" s="35">
        <v>0</v>
      </c>
      <c r="R860" s="37">
        <f t="shared" si="153"/>
        <v>-1539659</v>
      </c>
      <c r="X860" s="28"/>
      <c r="Y860" s="28"/>
    </row>
    <row r="861" spans="1:25" s="4" customFormat="1">
      <c r="A861" s="41"/>
      <c r="B861" s="20" t="s">
        <v>52</v>
      </c>
      <c r="C861" s="42">
        <v>2025</v>
      </c>
      <c r="D861" s="19" t="s">
        <v>462</v>
      </c>
      <c r="E861" s="3" t="s">
        <v>1063</v>
      </c>
      <c r="F861" s="1">
        <v>0</v>
      </c>
      <c r="G861" s="32">
        <v>0</v>
      </c>
      <c r="H861" s="33">
        <f t="shared" si="154"/>
        <v>0</v>
      </c>
      <c r="I861" s="34"/>
      <c r="J861" s="35">
        <v>0</v>
      </c>
      <c r="K861" s="36">
        <v>0</v>
      </c>
      <c r="L861" s="35">
        <v>0</v>
      </c>
      <c r="M861" s="35">
        <v>0</v>
      </c>
      <c r="N861" s="35">
        <v>0</v>
      </c>
      <c r="O861" s="35">
        <v>1746814</v>
      </c>
      <c r="P861" s="35">
        <v>0</v>
      </c>
      <c r="R861" s="37">
        <f t="shared" si="153"/>
        <v>-1746814</v>
      </c>
      <c r="X861" s="28"/>
      <c r="Y861" s="28"/>
    </row>
    <row r="862" spans="1:25" s="4" customFormat="1">
      <c r="A862" s="41"/>
      <c r="B862" s="20" t="s">
        <v>52</v>
      </c>
      <c r="C862" s="42">
        <v>2025</v>
      </c>
      <c r="D862" s="19" t="s">
        <v>462</v>
      </c>
      <c r="E862" s="3" t="s">
        <v>1064</v>
      </c>
      <c r="F862" s="1">
        <v>0</v>
      </c>
      <c r="G862" s="32">
        <v>0</v>
      </c>
      <c r="H862" s="33">
        <f t="shared" si="154"/>
        <v>0</v>
      </c>
      <c r="I862" s="34"/>
      <c r="J862" s="35">
        <v>0</v>
      </c>
      <c r="K862" s="36">
        <v>0</v>
      </c>
      <c r="L862" s="35">
        <v>0</v>
      </c>
      <c r="M862" s="35">
        <v>0</v>
      </c>
      <c r="N862" s="35">
        <v>0</v>
      </c>
      <c r="O862" s="35">
        <v>959687</v>
      </c>
      <c r="P862" s="35">
        <v>0</v>
      </c>
      <c r="R862" s="37">
        <f t="shared" si="153"/>
        <v>-959687</v>
      </c>
      <c r="X862" s="28"/>
      <c r="Y862" s="28"/>
    </row>
    <row r="863" spans="1:25" s="4" customFormat="1">
      <c r="A863" s="41"/>
      <c r="B863" s="20" t="s">
        <v>52</v>
      </c>
      <c r="C863" s="42">
        <v>2025</v>
      </c>
      <c r="D863" s="19" t="s">
        <v>776</v>
      </c>
      <c r="E863" s="3" t="s">
        <v>1065</v>
      </c>
      <c r="F863" s="1">
        <v>0</v>
      </c>
      <c r="G863" s="32">
        <v>0</v>
      </c>
      <c r="H863" s="33">
        <f t="shared" si="154"/>
        <v>0</v>
      </c>
      <c r="I863" s="34"/>
      <c r="J863" s="35">
        <v>0</v>
      </c>
      <c r="K863" s="36">
        <v>0</v>
      </c>
      <c r="L863" s="35">
        <v>0</v>
      </c>
      <c r="M863" s="35">
        <v>0</v>
      </c>
      <c r="N863" s="35">
        <v>0</v>
      </c>
      <c r="O863" s="35">
        <v>1177500</v>
      </c>
      <c r="P863" s="35">
        <v>0</v>
      </c>
      <c r="R863" s="37">
        <f t="shared" si="153"/>
        <v>-1177500</v>
      </c>
      <c r="X863" s="28"/>
      <c r="Y863" s="28"/>
    </row>
    <row r="864" spans="1:25" s="4" customFormat="1">
      <c r="A864" s="41"/>
      <c r="B864" s="20" t="s">
        <v>52</v>
      </c>
      <c r="C864" s="42">
        <v>2025</v>
      </c>
      <c r="D864" s="19" t="s">
        <v>776</v>
      </c>
      <c r="E864" s="3" t="s">
        <v>1066</v>
      </c>
      <c r="F864" s="1">
        <v>0</v>
      </c>
      <c r="G864" s="32">
        <v>0</v>
      </c>
      <c r="H864" s="33">
        <f t="shared" si="154"/>
        <v>0</v>
      </c>
      <c r="I864" s="34"/>
      <c r="J864" s="35">
        <v>0</v>
      </c>
      <c r="K864" s="36">
        <v>0</v>
      </c>
      <c r="L864" s="35">
        <v>0</v>
      </c>
      <c r="M864" s="35">
        <v>0</v>
      </c>
      <c r="N864" s="35">
        <v>0</v>
      </c>
      <c r="O864" s="35">
        <v>1177500</v>
      </c>
      <c r="P864" s="35">
        <v>0</v>
      </c>
      <c r="R864" s="37">
        <f t="shared" si="153"/>
        <v>-1177500</v>
      </c>
      <c r="X864" s="28"/>
      <c r="Y864" s="28"/>
    </row>
    <row r="865" spans="1:25" s="4" customFormat="1">
      <c r="A865" s="41"/>
      <c r="B865" s="20" t="s">
        <v>52</v>
      </c>
      <c r="C865" s="42">
        <v>2025</v>
      </c>
      <c r="D865" s="19" t="s">
        <v>776</v>
      </c>
      <c r="E865" s="3" t="s">
        <v>1067</v>
      </c>
      <c r="F865" s="1">
        <v>0</v>
      </c>
      <c r="G865" s="32">
        <v>0</v>
      </c>
      <c r="H865" s="33">
        <f t="shared" si="154"/>
        <v>0</v>
      </c>
      <c r="I865" s="34"/>
      <c r="J865" s="35">
        <v>0</v>
      </c>
      <c r="K865" s="36">
        <v>0</v>
      </c>
      <c r="L865" s="35">
        <v>0</v>
      </c>
      <c r="M865" s="35">
        <v>0</v>
      </c>
      <c r="N865" s="35">
        <v>0</v>
      </c>
      <c r="O865" s="35">
        <v>1177500</v>
      </c>
      <c r="P865" s="35">
        <v>0</v>
      </c>
      <c r="R865" s="37">
        <f t="shared" si="153"/>
        <v>-1177500</v>
      </c>
      <c r="X865" s="28"/>
      <c r="Y865" s="28"/>
    </row>
    <row r="866" spans="1:25" s="4" customFormat="1">
      <c r="A866" s="41"/>
      <c r="B866" s="20" t="s">
        <v>52</v>
      </c>
      <c r="C866" s="42">
        <v>2025</v>
      </c>
      <c r="D866" s="19" t="s">
        <v>459</v>
      </c>
      <c r="E866" s="3" t="s">
        <v>1076</v>
      </c>
      <c r="F866" s="1">
        <v>0</v>
      </c>
      <c r="G866" s="32">
        <v>0</v>
      </c>
      <c r="H866" s="33">
        <f t="shared" si="154"/>
        <v>0</v>
      </c>
      <c r="I866" s="34"/>
      <c r="J866" s="35">
        <v>0</v>
      </c>
      <c r="K866" s="36">
        <v>0</v>
      </c>
      <c r="L866" s="35">
        <v>0</v>
      </c>
      <c r="M866" s="35">
        <v>0</v>
      </c>
      <c r="N866" s="35">
        <v>0</v>
      </c>
      <c r="O866" s="35">
        <v>723800</v>
      </c>
      <c r="P866" s="35">
        <v>0</v>
      </c>
      <c r="R866" s="37">
        <f t="shared" si="153"/>
        <v>-723800</v>
      </c>
      <c r="X866" s="28"/>
      <c r="Y866" s="28"/>
    </row>
    <row r="867" spans="1:25" s="4" customFormat="1">
      <c r="A867" s="41"/>
      <c r="B867" s="20" t="s">
        <v>52</v>
      </c>
      <c r="C867" s="42">
        <v>2025</v>
      </c>
      <c r="D867" s="19" t="s">
        <v>380</v>
      </c>
      <c r="E867" s="3" t="s">
        <v>1068</v>
      </c>
      <c r="F867" s="1">
        <v>0</v>
      </c>
      <c r="G867" s="32">
        <v>0</v>
      </c>
      <c r="H867" s="33">
        <f t="shared" si="154"/>
        <v>0</v>
      </c>
      <c r="I867" s="34"/>
      <c r="J867" s="35">
        <v>0</v>
      </c>
      <c r="K867" s="36">
        <v>0</v>
      </c>
      <c r="L867" s="35">
        <v>0</v>
      </c>
      <c r="M867" s="35">
        <v>0</v>
      </c>
      <c r="N867" s="35">
        <v>0</v>
      </c>
      <c r="O867" s="35">
        <v>1384880</v>
      </c>
      <c r="P867" s="35">
        <v>0</v>
      </c>
      <c r="R867" s="37">
        <f t="shared" si="153"/>
        <v>-1384880</v>
      </c>
      <c r="X867" s="28"/>
      <c r="Y867" s="28"/>
    </row>
    <row r="868" spans="1:25" s="4" customFormat="1">
      <c r="A868" s="41"/>
      <c r="B868" s="20" t="s">
        <v>52</v>
      </c>
      <c r="C868" s="42">
        <v>2025</v>
      </c>
      <c r="D868" s="19" t="s">
        <v>883</v>
      </c>
      <c r="E868" s="3" t="s">
        <v>1069</v>
      </c>
      <c r="F868" s="1">
        <v>0</v>
      </c>
      <c r="G868" s="32">
        <v>0</v>
      </c>
      <c r="H868" s="33">
        <f t="shared" si="154"/>
        <v>0</v>
      </c>
      <c r="I868" s="34"/>
      <c r="J868" s="35">
        <v>0</v>
      </c>
      <c r="K868" s="36">
        <v>0</v>
      </c>
      <c r="L868" s="35">
        <v>0</v>
      </c>
      <c r="M868" s="35">
        <v>0</v>
      </c>
      <c r="N868" s="35">
        <v>0</v>
      </c>
      <c r="O868" s="35">
        <v>959687</v>
      </c>
      <c r="P868" s="35">
        <v>0</v>
      </c>
      <c r="R868" s="37">
        <f t="shared" si="153"/>
        <v>-959687</v>
      </c>
      <c r="X868" s="28"/>
      <c r="Y868" s="28"/>
    </row>
    <row r="869" spans="1:25" s="4" customFormat="1">
      <c r="A869" s="41"/>
      <c r="B869" s="20" t="s">
        <v>52</v>
      </c>
      <c r="C869" s="42">
        <v>2025</v>
      </c>
      <c r="D869" s="19" t="s">
        <v>883</v>
      </c>
      <c r="E869" s="3" t="s">
        <v>1070</v>
      </c>
      <c r="F869" s="1">
        <v>0</v>
      </c>
      <c r="G869" s="32">
        <v>0</v>
      </c>
      <c r="H869" s="33">
        <f t="shared" si="154"/>
        <v>0</v>
      </c>
      <c r="I869" s="34"/>
      <c r="J869" s="35">
        <v>0</v>
      </c>
      <c r="K869" s="36">
        <v>0</v>
      </c>
      <c r="L869" s="35">
        <v>0</v>
      </c>
      <c r="M869" s="35">
        <v>0</v>
      </c>
      <c r="N869" s="35">
        <v>0</v>
      </c>
      <c r="O869" s="35">
        <v>339718</v>
      </c>
      <c r="P869" s="35">
        <v>0</v>
      </c>
      <c r="R869" s="37">
        <f t="shared" si="153"/>
        <v>-339718</v>
      </c>
      <c r="X869" s="28"/>
      <c r="Y869" s="28"/>
    </row>
    <row r="870" spans="1:25" s="4" customFormat="1">
      <c r="A870" s="41"/>
      <c r="B870" s="20" t="s">
        <v>52</v>
      </c>
      <c r="C870" s="42">
        <v>2025</v>
      </c>
      <c r="D870" s="19" t="s">
        <v>883</v>
      </c>
      <c r="E870" s="3" t="s">
        <v>1071</v>
      </c>
      <c r="F870" s="1">
        <v>0</v>
      </c>
      <c r="G870" s="32">
        <v>0</v>
      </c>
      <c r="H870" s="33">
        <f t="shared" si="154"/>
        <v>0</v>
      </c>
      <c r="I870" s="34"/>
      <c r="J870" s="35">
        <v>0</v>
      </c>
      <c r="K870" s="36">
        <v>0</v>
      </c>
      <c r="L870" s="35">
        <v>0</v>
      </c>
      <c r="M870" s="35">
        <v>0</v>
      </c>
      <c r="N870" s="35">
        <v>0</v>
      </c>
      <c r="O870" s="35">
        <v>291433</v>
      </c>
      <c r="P870" s="35">
        <v>0</v>
      </c>
      <c r="R870" s="37">
        <f t="shared" si="153"/>
        <v>-291433</v>
      </c>
      <c r="X870" s="28"/>
      <c r="Y870" s="28"/>
    </row>
    <row r="871" spans="1:25" s="4" customFormat="1">
      <c r="A871" s="41"/>
      <c r="B871" s="20" t="s">
        <v>52</v>
      </c>
      <c r="C871" s="42">
        <v>2025</v>
      </c>
      <c r="D871" s="19" t="s">
        <v>883</v>
      </c>
      <c r="E871" s="3" t="s">
        <v>1072</v>
      </c>
      <c r="F871" s="1">
        <v>0</v>
      </c>
      <c r="G871" s="32">
        <v>0</v>
      </c>
      <c r="H871" s="33">
        <f t="shared" si="154"/>
        <v>0</v>
      </c>
      <c r="I871" s="34"/>
      <c r="J871" s="35">
        <v>0</v>
      </c>
      <c r="K871" s="36">
        <v>0</v>
      </c>
      <c r="L871" s="35">
        <v>0</v>
      </c>
      <c r="M871" s="35">
        <v>0</v>
      </c>
      <c r="N871" s="35">
        <v>0</v>
      </c>
      <c r="O871" s="35">
        <v>959687</v>
      </c>
      <c r="P871" s="35">
        <v>0</v>
      </c>
      <c r="R871" s="37">
        <f t="shared" si="153"/>
        <v>-959687</v>
      </c>
      <c r="X871" s="28"/>
      <c r="Y871" s="28"/>
    </row>
    <row r="872" spans="1:25" s="4" customFormat="1">
      <c r="A872" s="41"/>
      <c r="B872" s="20" t="s">
        <v>52</v>
      </c>
      <c r="C872" s="42">
        <v>2025</v>
      </c>
      <c r="D872" s="19" t="s">
        <v>883</v>
      </c>
      <c r="E872" s="3" t="s">
        <v>1073</v>
      </c>
      <c r="F872" s="1">
        <v>0</v>
      </c>
      <c r="G872" s="32">
        <v>0</v>
      </c>
      <c r="H872" s="33">
        <f t="shared" si="154"/>
        <v>0</v>
      </c>
      <c r="I872" s="34"/>
      <c r="J872" s="35">
        <v>0</v>
      </c>
      <c r="K872" s="36">
        <v>0</v>
      </c>
      <c r="L872" s="35">
        <v>0</v>
      </c>
      <c r="M872" s="35">
        <v>0</v>
      </c>
      <c r="N872" s="35">
        <v>0</v>
      </c>
      <c r="O872" s="35">
        <v>339718</v>
      </c>
      <c r="P872" s="35">
        <v>0</v>
      </c>
      <c r="R872" s="37">
        <f t="shared" si="153"/>
        <v>-339718</v>
      </c>
      <c r="X872" s="28"/>
      <c r="Y872" s="28"/>
    </row>
    <row r="873" spans="1:25" s="4" customFormat="1">
      <c r="A873" s="41"/>
      <c r="B873" s="20" t="s">
        <v>52</v>
      </c>
      <c r="C873" s="42">
        <v>2025</v>
      </c>
      <c r="D873" s="19" t="s">
        <v>883</v>
      </c>
      <c r="E873" s="3" t="s">
        <v>1074</v>
      </c>
      <c r="F873" s="1">
        <v>0</v>
      </c>
      <c r="G873" s="32">
        <v>0</v>
      </c>
      <c r="H873" s="33">
        <f t="shared" si="154"/>
        <v>0</v>
      </c>
      <c r="I873" s="34"/>
      <c r="J873" s="35">
        <v>0</v>
      </c>
      <c r="K873" s="36">
        <v>0</v>
      </c>
      <c r="L873" s="35">
        <v>0</v>
      </c>
      <c r="M873" s="35">
        <v>0</v>
      </c>
      <c r="N873" s="35">
        <v>0</v>
      </c>
      <c r="O873" s="35">
        <v>291433</v>
      </c>
      <c r="P873" s="35">
        <v>0</v>
      </c>
      <c r="R873" s="37">
        <f t="shared" ref="R873:R874" si="155">F873-J873-K873-L873-M873-N873-O873</f>
        <v>-291433</v>
      </c>
      <c r="X873" s="28"/>
      <c r="Y873" s="28"/>
    </row>
    <row r="874" spans="1:25" s="4" customFormat="1">
      <c r="A874" s="41"/>
      <c r="B874" s="20" t="s">
        <v>52</v>
      </c>
      <c r="C874" s="42">
        <v>2025</v>
      </c>
      <c r="D874" s="19" t="s">
        <v>1091</v>
      </c>
      <c r="E874" s="3" t="s">
        <v>1090</v>
      </c>
      <c r="F874" s="1">
        <v>0</v>
      </c>
      <c r="G874" s="32">
        <v>0</v>
      </c>
      <c r="H874" s="33">
        <f t="shared" si="154"/>
        <v>0</v>
      </c>
      <c r="I874" s="34"/>
      <c r="J874" s="35">
        <v>0</v>
      </c>
      <c r="K874" s="36">
        <v>0</v>
      </c>
      <c r="L874" s="35">
        <v>0</v>
      </c>
      <c r="M874" s="35">
        <v>0</v>
      </c>
      <c r="N874" s="35">
        <v>0</v>
      </c>
      <c r="O874" s="35">
        <v>-17423286</v>
      </c>
      <c r="P874" s="35">
        <v>0</v>
      </c>
      <c r="R874" s="37">
        <f t="shared" si="155"/>
        <v>17423286</v>
      </c>
      <c r="X874" s="28"/>
      <c r="Y874" s="28"/>
    </row>
    <row r="875" spans="1:25" s="4" customFormat="1">
      <c r="A875" s="41"/>
      <c r="B875" s="20" t="s">
        <v>52</v>
      </c>
      <c r="C875" s="42">
        <v>2025</v>
      </c>
      <c r="D875" s="19" t="s">
        <v>1091</v>
      </c>
      <c r="E875" s="3" t="s">
        <v>1092</v>
      </c>
      <c r="F875" s="1">
        <v>0</v>
      </c>
      <c r="G875" s="32">
        <v>0</v>
      </c>
      <c r="H875" s="33">
        <f t="shared" si="154"/>
        <v>0</v>
      </c>
      <c r="I875" s="34"/>
      <c r="J875" s="35">
        <v>0</v>
      </c>
      <c r="K875" s="36">
        <v>0</v>
      </c>
      <c r="L875" s="35">
        <v>0</v>
      </c>
      <c r="M875" s="35">
        <v>0</v>
      </c>
      <c r="N875" s="35">
        <v>0</v>
      </c>
      <c r="O875" s="35">
        <v>-2857143</v>
      </c>
      <c r="P875" s="35">
        <v>0</v>
      </c>
      <c r="R875" s="37">
        <f t="shared" si="153"/>
        <v>2857143</v>
      </c>
      <c r="X875" s="28"/>
      <c r="Y875" s="28"/>
    </row>
    <row r="876" spans="1:25" s="4" customFormat="1">
      <c r="A876" s="31"/>
      <c r="B876" s="8" t="s">
        <v>19</v>
      </c>
      <c r="C876" s="7" t="s">
        <v>4</v>
      </c>
      <c r="D876" s="10" t="s">
        <v>1</v>
      </c>
      <c r="E876" s="10" t="s">
        <v>720</v>
      </c>
      <c r="F876" s="9">
        <v>271000</v>
      </c>
      <c r="G876" s="38">
        <v>0</v>
      </c>
      <c r="H876" s="33">
        <f t="shared" si="154"/>
        <v>0</v>
      </c>
      <c r="I876" s="34"/>
      <c r="J876" s="35">
        <v>0</v>
      </c>
      <c r="K876" s="36">
        <v>271000</v>
      </c>
      <c r="L876" s="35">
        <v>0</v>
      </c>
      <c r="M876" s="35">
        <v>0</v>
      </c>
      <c r="N876" s="35">
        <v>0</v>
      </c>
      <c r="O876" s="35">
        <v>0</v>
      </c>
      <c r="P876" s="35">
        <v>0</v>
      </c>
      <c r="R876" s="37">
        <f t="shared" si="1"/>
        <v>0</v>
      </c>
      <c r="X876" s="28"/>
      <c r="Y876" s="28"/>
    </row>
    <row r="877" spans="1:25" s="4" customFormat="1">
      <c r="A877" s="31"/>
      <c r="B877" s="8" t="s">
        <v>19</v>
      </c>
      <c r="C877" s="7" t="s">
        <v>4</v>
      </c>
      <c r="D877" s="10" t="s">
        <v>3</v>
      </c>
      <c r="E877" s="10" t="s">
        <v>906</v>
      </c>
      <c r="F877" s="9">
        <v>0</v>
      </c>
      <c r="G877" s="38">
        <v>0</v>
      </c>
      <c r="H877" s="33">
        <f t="shared" si="154"/>
        <v>0</v>
      </c>
      <c r="I877" s="34"/>
      <c r="J877" s="35">
        <v>-1385000000</v>
      </c>
      <c r="K877" s="36">
        <v>0</v>
      </c>
      <c r="L877" s="35">
        <v>0</v>
      </c>
      <c r="M877" s="35">
        <v>0</v>
      </c>
      <c r="N877" s="35">
        <v>0</v>
      </c>
      <c r="O877" s="35">
        <v>0</v>
      </c>
      <c r="P877" s="35">
        <v>0</v>
      </c>
      <c r="R877" s="37">
        <f t="shared" ref="R877" si="156">F877-J877-K877-L877-M877-N877-O877</f>
        <v>1385000000</v>
      </c>
      <c r="X877" s="28"/>
      <c r="Y877" s="28"/>
    </row>
    <row r="878" spans="1:25" s="4" customFormat="1">
      <c r="A878" s="31"/>
      <c r="B878" s="8" t="s">
        <v>20</v>
      </c>
      <c r="C878" s="7" t="s">
        <v>53</v>
      </c>
      <c r="D878" s="4" t="s">
        <v>184</v>
      </c>
      <c r="E878" s="4" t="s">
        <v>4</v>
      </c>
      <c r="F878" s="38">
        <v>261800</v>
      </c>
      <c r="G878" s="38">
        <v>0</v>
      </c>
      <c r="H878" s="33">
        <f t="shared" si="154"/>
        <v>0</v>
      </c>
      <c r="I878" s="34"/>
      <c r="J878" s="35">
        <v>0</v>
      </c>
      <c r="K878" s="36">
        <v>0</v>
      </c>
      <c r="L878" s="35">
        <v>0</v>
      </c>
      <c r="M878" s="35">
        <v>0</v>
      </c>
      <c r="N878" s="35">
        <v>0</v>
      </c>
      <c r="O878" s="35">
        <v>0</v>
      </c>
      <c r="P878" s="35">
        <v>0</v>
      </c>
      <c r="R878" s="37">
        <f t="shared" ref="R878:R886" si="157">F878-J878-K878-L878-M878-N878-O878-P878</f>
        <v>261800</v>
      </c>
      <c r="X878" s="28"/>
      <c r="Y878" s="28"/>
    </row>
    <row r="879" spans="1:25" s="4" customFormat="1">
      <c r="A879" s="31"/>
      <c r="B879" s="8" t="s">
        <v>20</v>
      </c>
      <c r="C879" s="7" t="s">
        <v>53</v>
      </c>
      <c r="D879" s="4" t="s">
        <v>185</v>
      </c>
      <c r="E879" s="4" t="s">
        <v>4</v>
      </c>
      <c r="F879" s="38">
        <v>3870257</v>
      </c>
      <c r="G879" s="38">
        <v>0</v>
      </c>
      <c r="H879" s="33">
        <f t="shared" si="154"/>
        <v>0</v>
      </c>
      <c r="I879" s="34"/>
      <c r="J879" s="35">
        <v>0</v>
      </c>
      <c r="K879" s="36">
        <v>0</v>
      </c>
      <c r="L879" s="35">
        <v>-1981982</v>
      </c>
      <c r="M879" s="35">
        <v>0</v>
      </c>
      <c r="N879" s="35">
        <v>0</v>
      </c>
      <c r="O879" s="35">
        <v>0</v>
      </c>
      <c r="P879" s="35">
        <v>0</v>
      </c>
      <c r="R879" s="37">
        <f t="shared" si="157"/>
        <v>5852239</v>
      </c>
      <c r="X879" s="28"/>
      <c r="Y879" s="28"/>
    </row>
    <row r="880" spans="1:25" s="4" customFormat="1">
      <c r="A880" s="31"/>
      <c r="B880" s="8" t="s">
        <v>20</v>
      </c>
      <c r="C880" s="7" t="s">
        <v>53</v>
      </c>
      <c r="D880" s="4" t="s">
        <v>1086</v>
      </c>
      <c r="E880" s="4" t="s">
        <v>4</v>
      </c>
      <c r="F880" s="38">
        <v>0</v>
      </c>
      <c r="G880" s="38">
        <v>0</v>
      </c>
      <c r="H880" s="33">
        <f t="shared" si="154"/>
        <v>0</v>
      </c>
      <c r="I880" s="34"/>
      <c r="J880" s="35">
        <v>0</v>
      </c>
      <c r="K880" s="36">
        <v>0</v>
      </c>
      <c r="L880" s="35">
        <v>0</v>
      </c>
      <c r="M880" s="35">
        <v>0</v>
      </c>
      <c r="N880" s="35">
        <v>0</v>
      </c>
      <c r="O880" s="35">
        <v>0</v>
      </c>
      <c r="P880" s="35">
        <v>-795850</v>
      </c>
      <c r="R880" s="37">
        <f t="shared" si="157"/>
        <v>795850</v>
      </c>
      <c r="X880" s="28"/>
      <c r="Y880" s="28"/>
    </row>
    <row r="881" spans="1:25" s="4" customFormat="1">
      <c r="A881" s="31"/>
      <c r="B881" s="8" t="s">
        <v>20</v>
      </c>
      <c r="C881" s="7" t="s">
        <v>749</v>
      </c>
      <c r="D881" s="4" t="s">
        <v>187</v>
      </c>
      <c r="E881" s="4" t="s">
        <v>188</v>
      </c>
      <c r="F881" s="38">
        <v>29068615</v>
      </c>
      <c r="G881" s="38">
        <v>0</v>
      </c>
      <c r="H881" s="33">
        <f t="shared" si="154"/>
        <v>0</v>
      </c>
      <c r="I881" s="34"/>
      <c r="J881" s="35">
        <v>0</v>
      </c>
      <c r="K881" s="36">
        <v>0</v>
      </c>
      <c r="L881" s="35">
        <v>0</v>
      </c>
      <c r="M881" s="35">
        <v>0</v>
      </c>
      <c r="N881" s="35">
        <v>0</v>
      </c>
      <c r="O881" s="35">
        <v>29068615</v>
      </c>
      <c r="P881" s="35">
        <v>0</v>
      </c>
      <c r="R881" s="37">
        <f t="shared" si="157"/>
        <v>0</v>
      </c>
      <c r="X881" s="28"/>
      <c r="Y881" s="28"/>
    </row>
    <row r="882" spans="1:25" s="4" customFormat="1">
      <c r="A882" s="31"/>
      <c r="B882" s="8" t="s">
        <v>20</v>
      </c>
      <c r="C882" s="7" t="s">
        <v>749</v>
      </c>
      <c r="D882" s="4" t="s">
        <v>189</v>
      </c>
      <c r="E882" s="4" t="s">
        <v>188</v>
      </c>
      <c r="F882" s="38">
        <v>109953796</v>
      </c>
      <c r="G882" s="38">
        <v>0</v>
      </c>
      <c r="H882" s="33">
        <f t="shared" si="154"/>
        <v>0</v>
      </c>
      <c r="I882" s="34"/>
      <c r="J882" s="35">
        <v>0</v>
      </c>
      <c r="K882" s="36">
        <v>0</v>
      </c>
      <c r="L882" s="35">
        <v>0</v>
      </c>
      <c r="M882" s="35">
        <v>0</v>
      </c>
      <c r="N882" s="35">
        <v>0</v>
      </c>
      <c r="O882" s="35">
        <v>109953796</v>
      </c>
      <c r="P882" s="35">
        <v>0</v>
      </c>
      <c r="R882" s="37">
        <f t="shared" si="157"/>
        <v>0</v>
      </c>
      <c r="X882" s="28"/>
      <c r="Y882" s="28"/>
    </row>
    <row r="883" spans="1:25" s="4" customFormat="1">
      <c r="A883" s="31"/>
      <c r="B883" s="8" t="s">
        <v>20</v>
      </c>
      <c r="C883" s="7" t="s">
        <v>749</v>
      </c>
      <c r="D883" s="4" t="s">
        <v>190</v>
      </c>
      <c r="E883" s="4" t="s">
        <v>188</v>
      </c>
      <c r="F883" s="38">
        <v>773186182</v>
      </c>
      <c r="G883" s="38">
        <v>0</v>
      </c>
      <c r="H883" s="33">
        <f t="shared" si="154"/>
        <v>0</v>
      </c>
      <c r="I883" s="34"/>
      <c r="J883" s="35">
        <v>0</v>
      </c>
      <c r="K883" s="36">
        <v>0</v>
      </c>
      <c r="L883" s="35">
        <v>0</v>
      </c>
      <c r="M883" s="35">
        <v>0</v>
      </c>
      <c r="N883" s="35">
        <v>0</v>
      </c>
      <c r="O883" s="35">
        <v>773186182</v>
      </c>
      <c r="P883" s="35">
        <v>0</v>
      </c>
      <c r="R883" s="37">
        <f t="shared" si="157"/>
        <v>0</v>
      </c>
      <c r="X883" s="28"/>
      <c r="Y883" s="28"/>
    </row>
    <row r="884" spans="1:25" s="4" customFormat="1">
      <c r="A884" s="31"/>
      <c r="B884" s="8" t="s">
        <v>20</v>
      </c>
      <c r="C884" s="7" t="s">
        <v>749</v>
      </c>
      <c r="D884" s="4" t="s">
        <v>750</v>
      </c>
      <c r="E884" s="4" t="s">
        <v>4</v>
      </c>
      <c r="F884" s="38">
        <v>0</v>
      </c>
      <c r="G884" s="38">
        <v>0</v>
      </c>
      <c r="H884" s="33">
        <f t="shared" si="154"/>
        <v>0</v>
      </c>
      <c r="I884" s="34"/>
      <c r="J884" s="35">
        <v>0</v>
      </c>
      <c r="K884" s="36">
        <v>0</v>
      </c>
      <c r="L884" s="35">
        <v>0</v>
      </c>
      <c r="M884" s="35">
        <v>0</v>
      </c>
      <c r="N884" s="35">
        <v>0</v>
      </c>
      <c r="O884" s="35">
        <v>-661753441.89999998</v>
      </c>
      <c r="P884" s="35">
        <v>0</v>
      </c>
      <c r="R884" s="37">
        <f t="shared" si="157"/>
        <v>661753441.89999998</v>
      </c>
      <c r="X884" s="28"/>
      <c r="Y884" s="28"/>
    </row>
    <row r="885" spans="1:25" s="4" customFormat="1">
      <c r="A885" s="31"/>
      <c r="B885" s="8" t="s">
        <v>20</v>
      </c>
      <c r="C885" s="7" t="s">
        <v>749</v>
      </c>
      <c r="D885" s="4" t="s">
        <v>191</v>
      </c>
      <c r="E885" s="4" t="s">
        <v>192</v>
      </c>
      <c r="F885" s="38">
        <v>1721836</v>
      </c>
      <c r="G885" s="38">
        <v>0</v>
      </c>
      <c r="H885" s="33">
        <f t="shared" si="154"/>
        <v>0</v>
      </c>
      <c r="I885" s="34"/>
      <c r="J885" s="35">
        <v>0</v>
      </c>
      <c r="K885" s="36">
        <v>0</v>
      </c>
      <c r="L885" s="35">
        <v>0</v>
      </c>
      <c r="M885" s="35">
        <v>0</v>
      </c>
      <c r="N885" s="35">
        <v>0</v>
      </c>
      <c r="O885" s="35">
        <v>1721836</v>
      </c>
      <c r="P885" s="35">
        <v>0</v>
      </c>
      <c r="R885" s="37">
        <f t="shared" si="157"/>
        <v>0</v>
      </c>
      <c r="X885" s="28"/>
      <c r="Y885" s="28"/>
    </row>
    <row r="886" spans="1:25" s="4" customFormat="1">
      <c r="A886" s="31"/>
      <c r="B886" s="8" t="s">
        <v>20</v>
      </c>
      <c r="C886" s="7" t="s">
        <v>186</v>
      </c>
      <c r="D886" s="4" t="s">
        <v>193</v>
      </c>
      <c r="E886" s="4" t="s">
        <v>194</v>
      </c>
      <c r="F886" s="38">
        <v>2701801</v>
      </c>
      <c r="G886" s="38">
        <v>0</v>
      </c>
      <c r="H886" s="33">
        <f t="shared" si="154"/>
        <v>0</v>
      </c>
      <c r="I886" s="34"/>
      <c r="J886" s="35">
        <v>0</v>
      </c>
      <c r="K886" s="36">
        <v>0</v>
      </c>
      <c r="L886" s="35">
        <v>0</v>
      </c>
      <c r="M886" s="35">
        <v>0</v>
      </c>
      <c r="N886" s="35">
        <v>0</v>
      </c>
      <c r="O886" s="35">
        <v>0</v>
      </c>
      <c r="P886" s="35">
        <v>-795850</v>
      </c>
      <c r="R886" s="37">
        <f t="shared" si="157"/>
        <v>3497651</v>
      </c>
      <c r="X886" s="28"/>
      <c r="Y886" s="28"/>
    </row>
    <row r="887" spans="1:25" s="4" customFormat="1">
      <c r="A887" s="31"/>
      <c r="B887" s="8" t="s">
        <v>25</v>
      </c>
      <c r="C887" s="7" t="s">
        <v>857</v>
      </c>
      <c r="D887" s="8" t="s">
        <v>195</v>
      </c>
      <c r="E887" s="68" t="s">
        <v>196</v>
      </c>
      <c r="F887" s="44">
        <v>20094957</v>
      </c>
      <c r="G887" s="45">
        <v>0</v>
      </c>
      <c r="H887" s="33">
        <f t="shared" si="154"/>
        <v>0</v>
      </c>
      <c r="I887" s="46" t="s">
        <v>4</v>
      </c>
      <c r="J887" s="35">
        <v>0</v>
      </c>
      <c r="K887" s="36">
        <v>0</v>
      </c>
      <c r="L887" s="35">
        <v>20094957</v>
      </c>
      <c r="M887" s="35">
        <v>0</v>
      </c>
      <c r="N887" s="35">
        <v>0</v>
      </c>
      <c r="O887" s="35">
        <v>0</v>
      </c>
      <c r="P887" s="35">
        <v>0</v>
      </c>
      <c r="R887" s="37">
        <f t="shared" si="1"/>
        <v>0</v>
      </c>
      <c r="X887" s="28"/>
      <c r="Y887" s="28"/>
    </row>
    <row r="888" spans="1:25" s="4" customFormat="1">
      <c r="A888" s="31"/>
      <c r="B888" s="8" t="s">
        <v>25</v>
      </c>
      <c r="C888" s="7" t="s">
        <v>857</v>
      </c>
      <c r="D888" s="8" t="s">
        <v>195</v>
      </c>
      <c r="E888" s="68" t="s">
        <v>858</v>
      </c>
      <c r="F888" s="44">
        <v>101246448.40000001</v>
      </c>
      <c r="G888" s="45">
        <v>0</v>
      </c>
      <c r="H888" s="33">
        <f t="shared" si="154"/>
        <v>0</v>
      </c>
      <c r="I888" s="46" t="s">
        <v>4</v>
      </c>
      <c r="J888" s="35">
        <v>0</v>
      </c>
      <c r="K888" s="36">
        <v>0</v>
      </c>
      <c r="L888" s="35">
        <v>101246448.40000001</v>
      </c>
      <c r="M888" s="35">
        <v>0</v>
      </c>
      <c r="N888" s="35">
        <v>0</v>
      </c>
      <c r="O888" s="35">
        <v>0</v>
      </c>
      <c r="P888" s="35">
        <v>0</v>
      </c>
      <c r="R888" s="37">
        <f t="shared" ref="R888" si="158">F888-J888-K888-L888-M888-N888-O888</f>
        <v>0</v>
      </c>
      <c r="X888" s="28"/>
      <c r="Y888" s="28"/>
    </row>
    <row r="889" spans="1:25" s="4" customFormat="1">
      <c r="A889" s="31"/>
      <c r="B889" s="8" t="s">
        <v>25</v>
      </c>
      <c r="C889" s="7" t="s">
        <v>1077</v>
      </c>
      <c r="D889" s="8" t="s">
        <v>195</v>
      </c>
      <c r="E889" s="68" t="s">
        <v>1078</v>
      </c>
      <c r="F889" s="44">
        <v>0</v>
      </c>
      <c r="G889" s="45">
        <v>0</v>
      </c>
      <c r="H889" s="33">
        <f t="shared" si="154"/>
        <v>0</v>
      </c>
      <c r="I889" s="46" t="s">
        <v>4</v>
      </c>
      <c r="J889" s="35">
        <v>0</v>
      </c>
      <c r="K889" s="36">
        <v>0</v>
      </c>
      <c r="L889" s="35">
        <v>0</v>
      </c>
      <c r="M889" s="35">
        <v>0</v>
      </c>
      <c r="N889" s="35">
        <v>0</v>
      </c>
      <c r="O889" s="35">
        <v>-191526878</v>
      </c>
      <c r="P889" s="35">
        <v>0</v>
      </c>
      <c r="R889" s="37">
        <f t="shared" ref="R889" si="159">F889-J889-K889-L889-M889-N889-O889</f>
        <v>191526878</v>
      </c>
      <c r="X889" s="28"/>
      <c r="Y889" s="28"/>
    </row>
    <row r="890" spans="1:25" s="4" customFormat="1">
      <c r="A890" s="31"/>
      <c r="B890" s="8" t="s">
        <v>25</v>
      </c>
      <c r="C890" s="7" t="s">
        <v>1077</v>
      </c>
      <c r="D890" s="8" t="s">
        <v>1084</v>
      </c>
      <c r="E890" s="68" t="s">
        <v>1081</v>
      </c>
      <c r="F890" s="44">
        <v>0</v>
      </c>
      <c r="G890" s="45">
        <v>0</v>
      </c>
      <c r="H890" s="33">
        <f t="shared" si="154"/>
        <v>0</v>
      </c>
      <c r="I890" s="46" t="s">
        <v>4</v>
      </c>
      <c r="J890" s="35">
        <v>0</v>
      </c>
      <c r="K890" s="36">
        <v>0</v>
      </c>
      <c r="L890" s="35">
        <v>0</v>
      </c>
      <c r="M890" s="35">
        <v>0</v>
      </c>
      <c r="N890" s="35">
        <v>0</v>
      </c>
      <c r="O890" s="35">
        <v>-546599</v>
      </c>
      <c r="P890" s="35">
        <v>0</v>
      </c>
      <c r="R890" s="37">
        <f t="shared" ref="R890" si="160">F890-J890-K890-L890-M890-N890-O890</f>
        <v>546599</v>
      </c>
      <c r="X890" s="28"/>
      <c r="Y890" s="28"/>
    </row>
    <row r="891" spans="1:25" s="4" customFormat="1">
      <c r="A891" s="31"/>
      <c r="B891" s="8" t="s">
        <v>16</v>
      </c>
      <c r="C891" s="7" t="s">
        <v>4</v>
      </c>
      <c r="D891" s="4" t="s">
        <v>54</v>
      </c>
      <c r="E891" s="8" t="s">
        <v>4</v>
      </c>
      <c r="F891" s="32">
        <v>0</v>
      </c>
      <c r="G891" s="32">
        <v>0</v>
      </c>
      <c r="H891" s="33">
        <f t="shared" si="154"/>
        <v>0</v>
      </c>
      <c r="I891" s="34"/>
      <c r="J891" s="35">
        <v>0</v>
      </c>
      <c r="K891" s="36">
        <v>0</v>
      </c>
      <c r="L891" s="35">
        <v>0</v>
      </c>
      <c r="M891" s="35">
        <v>0</v>
      </c>
      <c r="N891" s="35">
        <v>0</v>
      </c>
      <c r="O891" s="35">
        <v>0</v>
      </c>
      <c r="P891" s="35">
        <v>0</v>
      </c>
      <c r="R891" s="37">
        <f t="shared" si="1"/>
        <v>0</v>
      </c>
      <c r="X891" s="28"/>
      <c r="Y891" s="28"/>
    </row>
    <row r="892" spans="1:25" s="4" customFormat="1">
      <c r="A892" s="31"/>
      <c r="B892" s="8" t="s">
        <v>16</v>
      </c>
      <c r="C892" s="7" t="s">
        <v>4</v>
      </c>
      <c r="D892" s="4" t="s">
        <v>361</v>
      </c>
      <c r="E892" s="8" t="s">
        <v>4</v>
      </c>
      <c r="F892" s="32">
        <v>0</v>
      </c>
      <c r="G892" s="32">
        <v>0</v>
      </c>
      <c r="H892" s="33">
        <f t="shared" si="154"/>
        <v>0</v>
      </c>
      <c r="I892" s="34"/>
      <c r="J892" s="35">
        <v>0</v>
      </c>
      <c r="K892" s="36">
        <v>0</v>
      </c>
      <c r="L892" s="35">
        <v>0</v>
      </c>
      <c r="M892" s="35">
        <v>0</v>
      </c>
      <c r="N892" s="35">
        <v>0</v>
      </c>
      <c r="O892" s="35">
        <v>0</v>
      </c>
      <c r="P892" s="35">
        <v>0</v>
      </c>
      <c r="R892" s="37">
        <f t="shared" ref="R892" si="161">F892-J892-K892-L892-M892-N892-O892</f>
        <v>0</v>
      </c>
      <c r="X892" s="28"/>
      <c r="Y892" s="28"/>
    </row>
    <row r="893" spans="1:25" s="4" customFormat="1">
      <c r="A893" s="31"/>
      <c r="B893" s="8" t="s">
        <v>16</v>
      </c>
      <c r="C893" s="7" t="s">
        <v>4</v>
      </c>
      <c r="D893" s="4" t="s">
        <v>10</v>
      </c>
      <c r="E893" s="8" t="s">
        <v>4</v>
      </c>
      <c r="F893" s="32">
        <v>0</v>
      </c>
      <c r="G893" s="32">
        <v>0</v>
      </c>
      <c r="H893" s="33">
        <f t="shared" si="154"/>
        <v>0</v>
      </c>
      <c r="I893" s="34"/>
      <c r="J893" s="35">
        <v>0</v>
      </c>
      <c r="K893" s="36">
        <v>0</v>
      </c>
      <c r="L893" s="35">
        <v>0</v>
      </c>
      <c r="M893" s="35">
        <v>0</v>
      </c>
      <c r="N893" s="35">
        <v>0</v>
      </c>
      <c r="O893" s="35">
        <v>0</v>
      </c>
      <c r="P893" s="35">
        <v>0</v>
      </c>
      <c r="R893" s="37">
        <f t="shared" ref="R893" si="162">F893-J893-K893-L893-M893-N893-O893</f>
        <v>0</v>
      </c>
      <c r="X893" s="28"/>
      <c r="Y893" s="28"/>
    </row>
    <row r="894" spans="1:25" s="4" customFormat="1">
      <c r="A894" s="31"/>
      <c r="B894" s="8" t="s">
        <v>16</v>
      </c>
      <c r="C894" s="7" t="s">
        <v>4</v>
      </c>
      <c r="D894" s="4" t="s">
        <v>11</v>
      </c>
      <c r="E894" s="8" t="s">
        <v>4</v>
      </c>
      <c r="F894" s="32">
        <v>402537</v>
      </c>
      <c r="G894" s="32">
        <v>0</v>
      </c>
      <c r="H894" s="33">
        <f t="shared" si="154"/>
        <v>0</v>
      </c>
      <c r="I894" s="34"/>
      <c r="J894" s="35">
        <v>0</v>
      </c>
      <c r="K894" s="36">
        <v>402537</v>
      </c>
      <c r="L894" s="35">
        <v>0</v>
      </c>
      <c r="M894" s="35">
        <v>0</v>
      </c>
      <c r="N894" s="35">
        <v>0</v>
      </c>
      <c r="O894" s="35">
        <v>0</v>
      </c>
      <c r="P894" s="35">
        <v>0</v>
      </c>
      <c r="R894" s="37">
        <f t="shared" si="1"/>
        <v>0</v>
      </c>
      <c r="X894" s="28"/>
      <c r="Y894" s="28"/>
    </row>
    <row r="895" spans="1:25" s="4" customFormat="1">
      <c r="A895" s="31"/>
      <c r="B895" s="8" t="s">
        <v>16</v>
      </c>
      <c r="C895" s="7" t="s">
        <v>4</v>
      </c>
      <c r="D895" s="4" t="s">
        <v>9</v>
      </c>
      <c r="E895" s="8" t="s">
        <v>4</v>
      </c>
      <c r="F895" s="32">
        <v>73995512</v>
      </c>
      <c r="G895" s="32">
        <v>0</v>
      </c>
      <c r="H895" s="33">
        <f t="shared" si="154"/>
        <v>0</v>
      </c>
      <c r="I895" s="34"/>
      <c r="J895" s="35">
        <v>-280000000</v>
      </c>
      <c r="K895" s="36">
        <v>73995512</v>
      </c>
      <c r="L895" s="35">
        <v>0</v>
      </c>
      <c r="M895" s="35">
        <v>0</v>
      </c>
      <c r="N895" s="35">
        <v>0</v>
      </c>
      <c r="O895" s="35">
        <v>-5829606</v>
      </c>
      <c r="P895" s="35">
        <v>0</v>
      </c>
      <c r="R895" s="37">
        <f t="shared" si="1"/>
        <v>285829606</v>
      </c>
      <c r="X895" s="28"/>
      <c r="Y895" s="28"/>
    </row>
    <row r="896" spans="1:25" s="4" customFormat="1">
      <c r="A896" s="31"/>
      <c r="B896" s="8" t="s">
        <v>16</v>
      </c>
      <c r="C896" s="7" t="s">
        <v>4</v>
      </c>
      <c r="D896" s="4" t="s">
        <v>55</v>
      </c>
      <c r="E896" s="8" t="s">
        <v>4</v>
      </c>
      <c r="F896" s="47">
        <v>0</v>
      </c>
      <c r="G896" s="47">
        <v>0</v>
      </c>
      <c r="H896" s="33">
        <f t="shared" si="154"/>
        <v>0</v>
      </c>
      <c r="I896" s="34"/>
      <c r="J896" s="35">
        <v>40000000</v>
      </c>
      <c r="K896" s="36">
        <v>-236000000</v>
      </c>
      <c r="L896" s="35">
        <v>0</v>
      </c>
      <c r="M896" s="35">
        <v>0</v>
      </c>
      <c r="N896" s="35">
        <v>0</v>
      </c>
      <c r="O896" s="35">
        <v>0</v>
      </c>
      <c r="P896" s="35">
        <v>0</v>
      </c>
      <c r="R896" s="37">
        <f t="shared" si="1"/>
        <v>196000000</v>
      </c>
      <c r="X896" s="28"/>
      <c r="Y896" s="28"/>
    </row>
    <row r="897" spans="1:25" s="4" customFormat="1">
      <c r="A897" s="31"/>
      <c r="B897" s="8" t="s">
        <v>16</v>
      </c>
      <c r="C897" s="7" t="s">
        <v>4</v>
      </c>
      <c r="D897" s="4" t="s">
        <v>3</v>
      </c>
      <c r="E897" s="8" t="s">
        <v>4</v>
      </c>
      <c r="F897" s="45">
        <v>3101962</v>
      </c>
      <c r="G897" s="45">
        <v>0</v>
      </c>
      <c r="H897" s="33">
        <f t="shared" si="154"/>
        <v>0</v>
      </c>
      <c r="I897" s="34"/>
      <c r="J897" s="35">
        <v>3101962</v>
      </c>
      <c r="K897" s="36">
        <v>0</v>
      </c>
      <c r="L897" s="35">
        <v>0</v>
      </c>
      <c r="M897" s="35">
        <v>0</v>
      </c>
      <c r="N897" s="35">
        <v>0</v>
      </c>
      <c r="O897" s="35">
        <v>0</v>
      </c>
      <c r="P897" s="35">
        <v>0</v>
      </c>
      <c r="R897" s="37">
        <f t="shared" si="1"/>
        <v>0</v>
      </c>
      <c r="X897" s="28"/>
      <c r="Y897" s="28"/>
    </row>
    <row r="898" spans="1:25" s="4" customFormat="1">
      <c r="A898" s="31"/>
      <c r="B898" s="8" t="s">
        <v>16</v>
      </c>
      <c r="C898" s="7" t="s">
        <v>4</v>
      </c>
      <c r="D898" s="4" t="s">
        <v>12</v>
      </c>
      <c r="E898" s="8" t="s">
        <v>4</v>
      </c>
      <c r="F898" s="32">
        <v>50172550</v>
      </c>
      <c r="G898" s="32">
        <v>0</v>
      </c>
      <c r="H898" s="33">
        <f t="shared" si="154"/>
        <v>0</v>
      </c>
      <c r="I898" s="34"/>
      <c r="J898" s="35">
        <v>27528150</v>
      </c>
      <c r="K898" s="36">
        <v>13116260</v>
      </c>
      <c r="L898" s="35">
        <v>0</v>
      </c>
      <c r="M898" s="35">
        <v>0</v>
      </c>
      <c r="N898" s="35">
        <v>0</v>
      </c>
      <c r="O898" s="35">
        <v>-10471860</v>
      </c>
      <c r="P898" s="35">
        <v>0</v>
      </c>
      <c r="R898" s="37">
        <f t="shared" si="1"/>
        <v>20000000</v>
      </c>
      <c r="X898" s="28"/>
      <c r="Y898" s="28"/>
    </row>
    <row r="899" spans="1:25" s="4" customFormat="1">
      <c r="A899" s="31"/>
      <c r="B899" s="8" t="s">
        <v>16</v>
      </c>
      <c r="C899" s="7" t="s">
        <v>4</v>
      </c>
      <c r="D899" s="4" t="s">
        <v>13</v>
      </c>
      <c r="E899" s="8" t="s">
        <v>4</v>
      </c>
      <c r="F899" s="32">
        <v>0</v>
      </c>
      <c r="G899" s="32">
        <v>0</v>
      </c>
      <c r="H899" s="33">
        <f t="shared" si="154"/>
        <v>0</v>
      </c>
      <c r="I899" s="34"/>
      <c r="J899" s="35">
        <v>0</v>
      </c>
      <c r="K899" s="36">
        <v>0</v>
      </c>
      <c r="L899" s="35">
        <v>0</v>
      </c>
      <c r="M899" s="35">
        <v>0</v>
      </c>
      <c r="N899" s="35">
        <v>0</v>
      </c>
      <c r="O899" s="35">
        <v>0</v>
      </c>
      <c r="P899" s="35">
        <v>0</v>
      </c>
      <c r="R899" s="37">
        <f t="shared" si="1"/>
        <v>0</v>
      </c>
      <c r="X899" s="28"/>
      <c r="Y899" s="28"/>
    </row>
    <row r="900" spans="1:25" s="4" customFormat="1">
      <c r="A900" s="31"/>
      <c r="B900" s="8" t="s">
        <v>16</v>
      </c>
      <c r="C900" s="7" t="s">
        <v>4</v>
      </c>
      <c r="D900" s="4" t="s">
        <v>112</v>
      </c>
      <c r="E900" s="8" t="s">
        <v>4</v>
      </c>
      <c r="F900" s="32">
        <v>0</v>
      </c>
      <c r="G900" s="32">
        <v>0</v>
      </c>
      <c r="H900" s="33">
        <f t="shared" si="154"/>
        <v>0</v>
      </c>
      <c r="I900" s="34"/>
      <c r="J900" s="35">
        <v>-4000000</v>
      </c>
      <c r="K900" s="36">
        <v>0</v>
      </c>
      <c r="L900" s="35">
        <v>0</v>
      </c>
      <c r="M900" s="35">
        <v>0</v>
      </c>
      <c r="N900" s="35">
        <v>0</v>
      </c>
      <c r="O900" s="35">
        <v>0</v>
      </c>
      <c r="P900" s="35">
        <v>0</v>
      </c>
      <c r="R900" s="37">
        <f t="shared" ref="R900" si="163">F900-J900-K900-L900-M900-N900-O900</f>
        <v>4000000</v>
      </c>
      <c r="X900" s="28"/>
      <c r="Y900" s="28"/>
    </row>
    <row r="901" spans="1:25" s="4" customFormat="1">
      <c r="A901" s="31"/>
      <c r="B901" s="8" t="s">
        <v>16</v>
      </c>
      <c r="C901" s="7" t="s">
        <v>4</v>
      </c>
      <c r="D901" s="4" t="s">
        <v>1</v>
      </c>
      <c r="E901" s="8" t="s">
        <v>4</v>
      </c>
      <c r="F901" s="32">
        <v>48104900</v>
      </c>
      <c r="G901" s="32">
        <v>0</v>
      </c>
      <c r="H901" s="33">
        <f t="shared" ref="H901:H964" si="164">G901*$H$4/$E$999</f>
        <v>0</v>
      </c>
      <c r="I901" s="34"/>
      <c r="J901" s="35">
        <v>26000000</v>
      </c>
      <c r="K901" s="36">
        <v>104900</v>
      </c>
      <c r="L901" s="35">
        <v>0</v>
      </c>
      <c r="M901" s="35">
        <v>0</v>
      </c>
      <c r="N901" s="35">
        <v>0</v>
      </c>
      <c r="O901" s="35">
        <v>0</v>
      </c>
      <c r="P901" s="35">
        <v>0</v>
      </c>
      <c r="R901" s="37">
        <f t="shared" si="1"/>
        <v>22000000</v>
      </c>
      <c r="X901" s="28"/>
      <c r="Y901" s="28"/>
    </row>
    <row r="902" spans="1:25" s="4" customFormat="1">
      <c r="A902" s="31"/>
      <c r="B902" s="8" t="s">
        <v>16</v>
      </c>
      <c r="C902" s="7" t="s">
        <v>4</v>
      </c>
      <c r="D902" s="4" t="s">
        <v>51</v>
      </c>
      <c r="E902" s="8" t="s">
        <v>4</v>
      </c>
      <c r="F902" s="32">
        <v>0</v>
      </c>
      <c r="G902" s="32">
        <v>0</v>
      </c>
      <c r="H902" s="33">
        <f t="shared" si="164"/>
        <v>0</v>
      </c>
      <c r="I902" s="34"/>
      <c r="J902" s="35">
        <v>0</v>
      </c>
      <c r="K902" s="36">
        <v>0</v>
      </c>
      <c r="L902" s="35">
        <v>0</v>
      </c>
      <c r="M902" s="35">
        <v>0</v>
      </c>
      <c r="N902" s="35">
        <v>0</v>
      </c>
      <c r="O902" s="35">
        <v>0</v>
      </c>
      <c r="P902" s="35">
        <v>0</v>
      </c>
      <c r="R902" s="37">
        <f t="shared" si="1"/>
        <v>0</v>
      </c>
      <c r="X902" s="28"/>
      <c r="Y902" s="28"/>
    </row>
    <row r="903" spans="1:25" s="4" customFormat="1">
      <c r="A903" s="31"/>
      <c r="B903" s="8" t="s">
        <v>16</v>
      </c>
      <c r="C903" s="7" t="s">
        <v>4</v>
      </c>
      <c r="D903" s="4" t="s">
        <v>21</v>
      </c>
      <c r="E903" s="8" t="s">
        <v>4</v>
      </c>
      <c r="F903" s="32">
        <v>1200000</v>
      </c>
      <c r="G903" s="32">
        <v>0</v>
      </c>
      <c r="H903" s="33">
        <f t="shared" si="164"/>
        <v>0</v>
      </c>
      <c r="I903" s="34"/>
      <c r="J903" s="35">
        <v>1200000</v>
      </c>
      <c r="K903" s="36">
        <v>0</v>
      </c>
      <c r="L903" s="35">
        <v>0</v>
      </c>
      <c r="M903" s="35">
        <v>0</v>
      </c>
      <c r="N903" s="35">
        <v>0</v>
      </c>
      <c r="O903" s="35">
        <v>0</v>
      </c>
      <c r="P903" s="35">
        <v>0</v>
      </c>
      <c r="R903" s="37">
        <f t="shared" si="1"/>
        <v>0</v>
      </c>
      <c r="X903" s="28"/>
      <c r="Y903" s="28"/>
    </row>
    <row r="904" spans="1:25" s="4" customFormat="1">
      <c r="A904" s="31"/>
      <c r="B904" s="8" t="s">
        <v>16</v>
      </c>
      <c r="C904" s="7" t="s">
        <v>4</v>
      </c>
      <c r="D904" s="4" t="s">
        <v>27</v>
      </c>
      <c r="E904" s="8" t="s">
        <v>4</v>
      </c>
      <c r="F904" s="32">
        <v>0</v>
      </c>
      <c r="G904" s="32">
        <v>0</v>
      </c>
      <c r="H904" s="33">
        <f t="shared" si="164"/>
        <v>0</v>
      </c>
      <c r="I904" s="34"/>
      <c r="J904" s="35">
        <v>0</v>
      </c>
      <c r="K904" s="36">
        <v>0</v>
      </c>
      <c r="L904" s="35">
        <v>0</v>
      </c>
      <c r="M904" s="35">
        <v>0</v>
      </c>
      <c r="N904" s="35">
        <v>0</v>
      </c>
      <c r="O904" s="35">
        <v>0</v>
      </c>
      <c r="P904" s="35">
        <v>0</v>
      </c>
      <c r="R904" s="37">
        <f t="shared" ref="R904" si="165">F904-J904-K904-L904-M904-N904-O904</f>
        <v>0</v>
      </c>
      <c r="X904" s="28"/>
      <c r="Y904" s="28"/>
    </row>
    <row r="905" spans="1:25" s="4" customFormat="1">
      <c r="A905" s="31"/>
      <c r="B905" s="8" t="s">
        <v>16</v>
      </c>
      <c r="C905" s="7" t="s">
        <v>4</v>
      </c>
      <c r="D905" s="4" t="s">
        <v>22</v>
      </c>
      <c r="E905" s="8" t="s">
        <v>4</v>
      </c>
      <c r="F905" s="38">
        <v>3000000</v>
      </c>
      <c r="G905" s="38">
        <v>0</v>
      </c>
      <c r="H905" s="33">
        <f t="shared" si="164"/>
        <v>0</v>
      </c>
      <c r="I905" s="34"/>
      <c r="J905" s="35">
        <v>3000000</v>
      </c>
      <c r="K905" s="36">
        <v>0</v>
      </c>
      <c r="L905" s="35">
        <v>0</v>
      </c>
      <c r="M905" s="35">
        <v>0</v>
      </c>
      <c r="N905" s="35">
        <v>0</v>
      </c>
      <c r="O905" s="35">
        <v>0</v>
      </c>
      <c r="P905" s="35">
        <v>0</v>
      </c>
      <c r="R905" s="37">
        <f t="shared" si="1"/>
        <v>0</v>
      </c>
      <c r="X905" s="28"/>
      <c r="Y905" s="28"/>
    </row>
    <row r="906" spans="1:25" s="4" customFormat="1">
      <c r="A906" s="31"/>
      <c r="B906" s="8" t="s">
        <v>16</v>
      </c>
      <c r="C906" s="7" t="s">
        <v>4</v>
      </c>
      <c r="D906" s="4" t="s">
        <v>23</v>
      </c>
      <c r="E906" s="8" t="s">
        <v>4</v>
      </c>
      <c r="F906" s="32">
        <v>0</v>
      </c>
      <c r="G906" s="32">
        <v>0</v>
      </c>
      <c r="H906" s="33">
        <f t="shared" si="164"/>
        <v>0</v>
      </c>
      <c r="I906" s="34"/>
      <c r="J906" s="35">
        <v>0</v>
      </c>
      <c r="K906" s="36">
        <v>0</v>
      </c>
      <c r="L906" s="35">
        <v>0</v>
      </c>
      <c r="M906" s="35">
        <v>0</v>
      </c>
      <c r="N906" s="35">
        <v>0</v>
      </c>
      <c r="O906" s="35">
        <v>0</v>
      </c>
      <c r="P906" s="35">
        <v>0</v>
      </c>
      <c r="R906" s="37">
        <f t="shared" si="1"/>
        <v>0</v>
      </c>
      <c r="X906" s="28"/>
      <c r="Y906" s="28"/>
    </row>
    <row r="907" spans="1:25" s="4" customFormat="1">
      <c r="A907" s="31"/>
      <c r="B907" s="8" t="s">
        <v>16</v>
      </c>
      <c r="C907" s="7" t="s">
        <v>4</v>
      </c>
      <c r="D907" s="4" t="s">
        <v>14</v>
      </c>
      <c r="E907" s="8" t="s">
        <v>4</v>
      </c>
      <c r="F907" s="32">
        <v>0</v>
      </c>
      <c r="G907" s="32">
        <v>0</v>
      </c>
      <c r="H907" s="33">
        <f t="shared" si="164"/>
        <v>0</v>
      </c>
      <c r="I907" s="34"/>
      <c r="J907" s="35">
        <v>0</v>
      </c>
      <c r="K907" s="36">
        <v>0</v>
      </c>
      <c r="L907" s="35">
        <v>0</v>
      </c>
      <c r="M907" s="35">
        <v>0</v>
      </c>
      <c r="N907" s="35">
        <v>0</v>
      </c>
      <c r="O907" s="35">
        <v>0</v>
      </c>
      <c r="P907" s="35">
        <v>0</v>
      </c>
      <c r="R907" s="37">
        <f t="shared" si="1"/>
        <v>0</v>
      </c>
      <c r="X907" s="28"/>
      <c r="Y907" s="28"/>
    </row>
    <row r="908" spans="1:25" s="4" customFormat="1">
      <c r="A908" s="31"/>
      <c r="B908" s="8" t="s">
        <v>16</v>
      </c>
      <c r="C908" s="7" t="s">
        <v>4</v>
      </c>
      <c r="D908" s="4" t="s">
        <v>56</v>
      </c>
      <c r="E908" s="8" t="s">
        <v>4</v>
      </c>
      <c r="F908" s="32">
        <v>1000000</v>
      </c>
      <c r="G908" s="32">
        <v>0</v>
      </c>
      <c r="H908" s="33">
        <f t="shared" si="164"/>
        <v>0</v>
      </c>
      <c r="I908" s="34"/>
      <c r="J908" s="35">
        <v>1000000</v>
      </c>
      <c r="K908" s="36">
        <v>0</v>
      </c>
      <c r="L908" s="35">
        <v>0</v>
      </c>
      <c r="M908" s="35">
        <v>0</v>
      </c>
      <c r="N908" s="35">
        <v>0</v>
      </c>
      <c r="O908" s="35">
        <v>0</v>
      </c>
      <c r="P908" s="35">
        <v>0</v>
      </c>
      <c r="R908" s="37">
        <f t="shared" si="1"/>
        <v>0</v>
      </c>
      <c r="X908" s="28"/>
      <c r="Y908" s="28"/>
    </row>
    <row r="909" spans="1:25" s="4" customFormat="1">
      <c r="A909" s="31"/>
      <c r="B909" s="8" t="s">
        <v>16</v>
      </c>
      <c r="C909" s="7" t="s">
        <v>4</v>
      </c>
      <c r="D909" s="4" t="s">
        <v>15</v>
      </c>
      <c r="E909" s="8" t="s">
        <v>4</v>
      </c>
      <c r="F909" s="38">
        <v>355500</v>
      </c>
      <c r="G909" s="38">
        <v>0</v>
      </c>
      <c r="H909" s="33">
        <f t="shared" si="164"/>
        <v>0</v>
      </c>
      <c r="I909" s="34"/>
      <c r="J909" s="35">
        <v>355500</v>
      </c>
      <c r="K909" s="36">
        <v>0</v>
      </c>
      <c r="L909" s="35">
        <v>0</v>
      </c>
      <c r="M909" s="35">
        <v>0</v>
      </c>
      <c r="N909" s="35">
        <v>0</v>
      </c>
      <c r="O909" s="35">
        <v>0</v>
      </c>
      <c r="P909" s="35">
        <v>0</v>
      </c>
      <c r="R909" s="37">
        <f t="shared" si="1"/>
        <v>0</v>
      </c>
      <c r="X909" s="28"/>
      <c r="Y909" s="28"/>
    </row>
    <row r="910" spans="1:25" s="4" customFormat="1">
      <c r="A910" s="31"/>
      <c r="B910" s="8" t="s">
        <v>16</v>
      </c>
      <c r="C910" s="7" t="s">
        <v>4</v>
      </c>
      <c r="D910" s="4" t="s">
        <v>197</v>
      </c>
      <c r="E910" s="8" t="s">
        <v>4</v>
      </c>
      <c r="F910" s="38">
        <v>0</v>
      </c>
      <c r="G910" s="38">
        <v>0</v>
      </c>
      <c r="H910" s="33">
        <f t="shared" si="164"/>
        <v>0</v>
      </c>
      <c r="I910" s="34"/>
      <c r="J910" s="35">
        <v>0</v>
      </c>
      <c r="K910" s="36">
        <v>0</v>
      </c>
      <c r="L910" s="35">
        <v>0</v>
      </c>
      <c r="M910" s="35">
        <v>0</v>
      </c>
      <c r="N910" s="35">
        <v>0</v>
      </c>
      <c r="O910" s="35">
        <v>0</v>
      </c>
      <c r="P910" s="35">
        <v>0</v>
      </c>
      <c r="R910" s="37">
        <f t="shared" si="1"/>
        <v>0</v>
      </c>
      <c r="X910" s="28"/>
      <c r="Y910" s="28"/>
    </row>
    <row r="911" spans="1:25" s="4" customFormat="1">
      <c r="A911" s="31"/>
      <c r="B911" s="8" t="s">
        <v>24</v>
      </c>
      <c r="C911" s="7" t="s">
        <v>4</v>
      </c>
      <c r="D911" s="4" t="s">
        <v>466</v>
      </c>
      <c r="E911" s="8" t="s">
        <v>4</v>
      </c>
      <c r="F911" s="32">
        <v>0</v>
      </c>
      <c r="G911" s="32">
        <v>0</v>
      </c>
      <c r="H911" s="33">
        <f t="shared" si="164"/>
        <v>0</v>
      </c>
      <c r="I911" s="34"/>
      <c r="J911" s="35">
        <v>0</v>
      </c>
      <c r="K911" s="36">
        <v>0</v>
      </c>
      <c r="L911" s="35">
        <v>0</v>
      </c>
      <c r="M911" s="35">
        <v>0</v>
      </c>
      <c r="N911" s="35">
        <v>0</v>
      </c>
      <c r="O911" s="35">
        <v>-32854000</v>
      </c>
      <c r="P911" s="35">
        <v>0</v>
      </c>
      <c r="R911" s="37">
        <f t="shared" si="1"/>
        <v>32854000</v>
      </c>
      <c r="X911" s="28"/>
      <c r="Y911" s="28"/>
    </row>
    <row r="912" spans="1:25" s="4" customFormat="1">
      <c r="A912" s="41"/>
      <c r="B912" s="20" t="s">
        <v>2</v>
      </c>
      <c r="C912" s="42">
        <v>2022</v>
      </c>
      <c r="D912" s="20" t="s">
        <v>491</v>
      </c>
      <c r="E912" s="20" t="s">
        <v>26</v>
      </c>
      <c r="F912" s="6">
        <v>6693495</v>
      </c>
      <c r="G912" s="38">
        <v>0</v>
      </c>
      <c r="H912" s="33">
        <f t="shared" si="164"/>
        <v>0</v>
      </c>
      <c r="I912" s="48" t="s">
        <v>57</v>
      </c>
      <c r="J912" s="35">
        <v>6693495</v>
      </c>
      <c r="K912" s="36">
        <v>0</v>
      </c>
      <c r="L912" s="35">
        <v>0</v>
      </c>
      <c r="M912" s="35">
        <v>0</v>
      </c>
      <c r="N912" s="35">
        <v>0</v>
      </c>
      <c r="O912" s="35">
        <v>0</v>
      </c>
      <c r="P912" s="35">
        <v>0</v>
      </c>
      <c r="Q912" s="13"/>
      <c r="R912" s="37">
        <f t="shared" si="1"/>
        <v>0</v>
      </c>
      <c r="S912" s="13"/>
      <c r="T912" s="13"/>
      <c r="U912" s="13"/>
      <c r="V912" s="13"/>
      <c r="W912" s="13"/>
      <c r="X912" s="43"/>
      <c r="Y912" s="43"/>
    </row>
    <row r="913" spans="1:25" s="4" customFormat="1">
      <c r="A913" s="31"/>
      <c r="B913" s="8" t="s">
        <v>2</v>
      </c>
      <c r="C913" s="7">
        <v>2023</v>
      </c>
      <c r="D913" s="8" t="s">
        <v>744</v>
      </c>
      <c r="E913" s="8" t="s">
        <v>58</v>
      </c>
      <c r="F913" s="6">
        <v>194322150</v>
      </c>
      <c r="G913" s="38">
        <v>0</v>
      </c>
      <c r="H913" s="33">
        <f t="shared" si="164"/>
        <v>0</v>
      </c>
      <c r="I913" s="40" t="s">
        <v>4</v>
      </c>
      <c r="J913" s="35">
        <v>0</v>
      </c>
      <c r="K913" s="36">
        <v>0</v>
      </c>
      <c r="L913" s="35">
        <v>171563700</v>
      </c>
      <c r="M913" s="35">
        <v>0</v>
      </c>
      <c r="N913" s="35">
        <v>0</v>
      </c>
      <c r="O913" s="35">
        <v>22758450</v>
      </c>
      <c r="P913" s="35">
        <v>0</v>
      </c>
      <c r="R913" s="37">
        <f t="shared" si="1"/>
        <v>0</v>
      </c>
      <c r="X913" s="28"/>
      <c r="Y913" s="28"/>
    </row>
    <row r="914" spans="1:25" s="4" customFormat="1">
      <c r="A914" s="31"/>
      <c r="B914" s="8" t="s">
        <v>2</v>
      </c>
      <c r="C914" s="7">
        <v>2023</v>
      </c>
      <c r="D914" s="8" t="s">
        <v>743</v>
      </c>
      <c r="E914" s="75" t="s">
        <v>28</v>
      </c>
      <c r="F914" s="6">
        <v>22411461</v>
      </c>
      <c r="G914" s="38">
        <v>0</v>
      </c>
      <c r="H914" s="33">
        <f t="shared" si="164"/>
        <v>0</v>
      </c>
      <c r="I914" s="40" t="s">
        <v>4</v>
      </c>
      <c r="J914" s="35">
        <v>22411461</v>
      </c>
      <c r="K914" s="36">
        <v>0</v>
      </c>
      <c r="L914" s="35">
        <v>0</v>
      </c>
      <c r="M914" s="35">
        <v>0</v>
      </c>
      <c r="N914" s="35">
        <v>0</v>
      </c>
      <c r="O914" s="35">
        <v>0</v>
      </c>
      <c r="P914" s="35">
        <v>0</v>
      </c>
      <c r="R914" s="37">
        <f t="shared" ref="R914" si="166">F914-J914-K914-L914-M914-N914-O914</f>
        <v>0</v>
      </c>
      <c r="X914" s="28"/>
      <c r="Y914" s="28"/>
    </row>
    <row r="915" spans="1:25" s="4" customFormat="1">
      <c r="A915" s="31"/>
      <c r="B915" s="8" t="s">
        <v>2</v>
      </c>
      <c r="C915" s="7">
        <v>2023</v>
      </c>
      <c r="D915" s="8" t="s">
        <v>490</v>
      </c>
      <c r="E915" s="75" t="s">
        <v>29</v>
      </c>
      <c r="F915" s="6">
        <v>40375000</v>
      </c>
      <c r="G915" s="38">
        <v>0</v>
      </c>
      <c r="H915" s="33">
        <f t="shared" si="164"/>
        <v>0</v>
      </c>
      <c r="I915" s="40" t="s">
        <v>4</v>
      </c>
      <c r="J915" s="35">
        <v>40375000</v>
      </c>
      <c r="K915" s="36">
        <v>0</v>
      </c>
      <c r="L915" s="35">
        <v>0</v>
      </c>
      <c r="M915" s="35">
        <v>0</v>
      </c>
      <c r="N915" s="35">
        <v>0</v>
      </c>
      <c r="O915" s="35">
        <v>0</v>
      </c>
      <c r="P915" s="35">
        <v>0</v>
      </c>
      <c r="R915" s="37">
        <f t="shared" ref="R915" si="167">F915-J915-K915-L915-M915-N915-O915</f>
        <v>0</v>
      </c>
      <c r="X915" s="28"/>
      <c r="Y915" s="28"/>
    </row>
    <row r="916" spans="1:25" s="4" customFormat="1">
      <c r="A916" s="31"/>
      <c r="B916" s="8" t="s">
        <v>2</v>
      </c>
      <c r="C916" s="7">
        <v>2023</v>
      </c>
      <c r="D916" s="8" t="s">
        <v>734</v>
      </c>
      <c r="E916" s="75" t="s">
        <v>30</v>
      </c>
      <c r="F916" s="6">
        <v>24883000</v>
      </c>
      <c r="G916" s="38">
        <v>0</v>
      </c>
      <c r="H916" s="33">
        <f t="shared" si="164"/>
        <v>0</v>
      </c>
      <c r="I916" s="40" t="s">
        <v>4</v>
      </c>
      <c r="J916" s="35">
        <v>24883000</v>
      </c>
      <c r="K916" s="36">
        <v>0</v>
      </c>
      <c r="L916" s="35">
        <v>0</v>
      </c>
      <c r="M916" s="35">
        <v>0</v>
      </c>
      <c r="N916" s="35">
        <v>0</v>
      </c>
      <c r="O916" s="35">
        <v>0</v>
      </c>
      <c r="P916" s="35">
        <v>0</v>
      </c>
      <c r="R916" s="37">
        <f t="shared" ref="R916" si="168">F916-J916-K916-L916-M916-N916-O916</f>
        <v>0</v>
      </c>
      <c r="X916" s="28"/>
      <c r="Y916" s="28"/>
    </row>
    <row r="917" spans="1:25" s="4" customFormat="1">
      <c r="A917" s="31"/>
      <c r="B917" s="8" t="s">
        <v>2</v>
      </c>
      <c r="C917" s="7">
        <v>2024</v>
      </c>
      <c r="D917" s="8" t="s">
        <v>833</v>
      </c>
      <c r="E917" s="8" t="s">
        <v>199</v>
      </c>
      <c r="F917" s="6">
        <v>117218486</v>
      </c>
      <c r="G917" s="38">
        <v>0</v>
      </c>
      <c r="H917" s="33">
        <f t="shared" si="164"/>
        <v>0</v>
      </c>
      <c r="I917" s="40" t="s">
        <v>4</v>
      </c>
      <c r="J917" s="35">
        <v>0</v>
      </c>
      <c r="K917" s="36">
        <v>0</v>
      </c>
      <c r="L917" s="35">
        <v>0</v>
      </c>
      <c r="M917" s="35">
        <v>0</v>
      </c>
      <c r="N917" s="35">
        <v>0</v>
      </c>
      <c r="O917" s="35">
        <v>0</v>
      </c>
      <c r="P917" s="35">
        <v>0</v>
      </c>
      <c r="R917" s="37">
        <f t="shared" si="1"/>
        <v>117218486</v>
      </c>
      <c r="X917" s="28"/>
      <c r="Y917" s="28"/>
    </row>
    <row r="918" spans="1:25" s="4" customFormat="1">
      <c r="A918" s="31"/>
      <c r="B918" s="8" t="s">
        <v>2</v>
      </c>
      <c r="C918" s="7">
        <v>2024</v>
      </c>
      <c r="D918" s="8" t="s">
        <v>206</v>
      </c>
      <c r="E918" s="8" t="s">
        <v>251</v>
      </c>
      <c r="F918" s="6">
        <v>2300000</v>
      </c>
      <c r="G918" s="38">
        <v>0</v>
      </c>
      <c r="H918" s="33">
        <f t="shared" si="164"/>
        <v>0</v>
      </c>
      <c r="I918" s="40" t="s">
        <v>4</v>
      </c>
      <c r="J918" s="35">
        <v>0</v>
      </c>
      <c r="K918" s="36">
        <v>0</v>
      </c>
      <c r="L918" s="35">
        <v>2300000</v>
      </c>
      <c r="M918" s="35">
        <v>0</v>
      </c>
      <c r="N918" s="35">
        <v>0</v>
      </c>
      <c r="O918" s="35">
        <v>0</v>
      </c>
      <c r="P918" s="35">
        <v>0</v>
      </c>
      <c r="R918" s="37">
        <f t="shared" si="1"/>
        <v>0</v>
      </c>
      <c r="X918" s="28"/>
      <c r="Y918" s="28"/>
    </row>
    <row r="919" spans="1:25" s="4" customFormat="1">
      <c r="A919" s="31"/>
      <c r="B919" s="8" t="s">
        <v>2</v>
      </c>
      <c r="C919" s="7">
        <v>2024</v>
      </c>
      <c r="D919" s="8" t="s">
        <v>207</v>
      </c>
      <c r="E919" s="8" t="s">
        <v>251</v>
      </c>
      <c r="F919" s="6">
        <v>37475000</v>
      </c>
      <c r="G919" s="38">
        <v>0</v>
      </c>
      <c r="H919" s="33">
        <f t="shared" si="164"/>
        <v>0</v>
      </c>
      <c r="I919" s="40" t="s">
        <v>4</v>
      </c>
      <c r="J919" s="35">
        <v>0</v>
      </c>
      <c r="K919" s="36">
        <v>0</v>
      </c>
      <c r="L919" s="35">
        <v>37475000</v>
      </c>
      <c r="M919" s="35">
        <v>0</v>
      </c>
      <c r="N919" s="35">
        <v>0</v>
      </c>
      <c r="O919" s="35">
        <v>0</v>
      </c>
      <c r="P919" s="35">
        <v>0</v>
      </c>
      <c r="R919" s="37">
        <f t="shared" si="1"/>
        <v>0</v>
      </c>
      <c r="X919" s="28"/>
      <c r="Y919" s="28"/>
    </row>
    <row r="920" spans="1:25" s="4" customFormat="1">
      <c r="A920" s="31"/>
      <c r="B920" s="8" t="s">
        <v>2</v>
      </c>
      <c r="C920" s="7">
        <v>2024</v>
      </c>
      <c r="D920" s="8" t="s">
        <v>828</v>
      </c>
      <c r="E920" s="8" t="s">
        <v>33</v>
      </c>
      <c r="F920" s="6">
        <v>204341018</v>
      </c>
      <c r="G920" s="38">
        <v>0</v>
      </c>
      <c r="H920" s="33">
        <f t="shared" si="164"/>
        <v>0</v>
      </c>
      <c r="I920" s="40" t="s">
        <v>4</v>
      </c>
      <c r="J920" s="35">
        <v>0</v>
      </c>
      <c r="K920" s="36">
        <v>0</v>
      </c>
      <c r="L920" s="35">
        <v>180409187</v>
      </c>
      <c r="M920" s="35">
        <v>0</v>
      </c>
      <c r="N920" s="35">
        <v>0</v>
      </c>
      <c r="O920" s="35">
        <v>23931831</v>
      </c>
      <c r="P920" s="35">
        <v>0</v>
      </c>
      <c r="R920" s="37">
        <f t="shared" si="1"/>
        <v>0</v>
      </c>
      <c r="X920" s="28"/>
      <c r="Y920" s="28"/>
    </row>
    <row r="921" spans="1:25" s="4" customFormat="1">
      <c r="A921" s="31"/>
      <c r="B921" s="8" t="s">
        <v>2</v>
      </c>
      <c r="C921" s="7">
        <v>2024</v>
      </c>
      <c r="D921" s="8" t="s">
        <v>831</v>
      </c>
      <c r="E921" s="8" t="s">
        <v>32</v>
      </c>
      <c r="F921" s="6">
        <v>178037394</v>
      </c>
      <c r="G921" s="38">
        <v>0</v>
      </c>
      <c r="H921" s="33">
        <f t="shared" si="164"/>
        <v>0</v>
      </c>
      <c r="I921" s="40" t="s">
        <v>4</v>
      </c>
      <c r="J921" s="35">
        <v>0</v>
      </c>
      <c r="K921" s="36">
        <v>0</v>
      </c>
      <c r="L921" s="35">
        <v>157186168</v>
      </c>
      <c r="M921" s="35">
        <v>0</v>
      </c>
      <c r="N921" s="35">
        <v>0</v>
      </c>
      <c r="O921" s="35">
        <v>20851226</v>
      </c>
      <c r="P921" s="35">
        <v>0</v>
      </c>
      <c r="R921" s="37">
        <f t="shared" si="1"/>
        <v>0</v>
      </c>
      <c r="X921" s="28"/>
      <c r="Y921" s="28"/>
    </row>
    <row r="922" spans="1:25" s="4" customFormat="1">
      <c r="A922" s="31"/>
      <c r="B922" s="8" t="s">
        <v>2</v>
      </c>
      <c r="C922" s="7">
        <v>2024</v>
      </c>
      <c r="D922" s="8" t="s">
        <v>832</v>
      </c>
      <c r="E922" s="8" t="s">
        <v>198</v>
      </c>
      <c r="F922" s="6">
        <v>177519966</v>
      </c>
      <c r="G922" s="38">
        <v>0</v>
      </c>
      <c r="H922" s="33">
        <f t="shared" si="164"/>
        <v>0</v>
      </c>
      <c r="I922" s="40" t="s">
        <v>4</v>
      </c>
      <c r="J922" s="35">
        <v>0</v>
      </c>
      <c r="K922" s="36">
        <v>0</v>
      </c>
      <c r="L922" s="35">
        <v>156729339</v>
      </c>
      <c r="M922" s="35">
        <v>0</v>
      </c>
      <c r="N922" s="35">
        <v>0</v>
      </c>
      <c r="O922" s="35">
        <v>20790627</v>
      </c>
      <c r="P922" s="35">
        <v>0</v>
      </c>
      <c r="R922" s="37">
        <f t="shared" si="1"/>
        <v>0</v>
      </c>
      <c r="X922" s="28"/>
      <c r="Y922" s="28"/>
    </row>
    <row r="923" spans="1:25" s="4" customFormat="1">
      <c r="A923" s="31"/>
      <c r="B923" s="8" t="s">
        <v>2</v>
      </c>
      <c r="C923" s="7">
        <v>2024</v>
      </c>
      <c r="D923" s="8" t="s">
        <v>208</v>
      </c>
      <c r="E923" s="8" t="s">
        <v>47</v>
      </c>
      <c r="F923" s="6">
        <v>800000</v>
      </c>
      <c r="G923" s="38">
        <v>0</v>
      </c>
      <c r="H923" s="33">
        <f t="shared" si="164"/>
        <v>0</v>
      </c>
      <c r="I923" s="40" t="s">
        <v>4</v>
      </c>
      <c r="J923" s="35">
        <v>800000</v>
      </c>
      <c r="K923" s="36">
        <v>0</v>
      </c>
      <c r="L923" s="35">
        <v>0</v>
      </c>
      <c r="M923" s="35">
        <v>0</v>
      </c>
      <c r="N923" s="35">
        <v>0</v>
      </c>
      <c r="O923" s="35">
        <v>0</v>
      </c>
      <c r="P923" s="35">
        <v>0</v>
      </c>
      <c r="R923" s="37">
        <f t="shared" si="1"/>
        <v>0</v>
      </c>
      <c r="X923" s="28"/>
      <c r="Y923" s="28"/>
    </row>
    <row r="924" spans="1:25" s="4" customFormat="1">
      <c r="A924" s="31"/>
      <c r="B924" s="8" t="s">
        <v>2</v>
      </c>
      <c r="C924" s="7">
        <v>2024</v>
      </c>
      <c r="D924" s="8" t="s">
        <v>209</v>
      </c>
      <c r="E924" s="8" t="s">
        <v>252</v>
      </c>
      <c r="F924" s="6">
        <v>482236270</v>
      </c>
      <c r="G924" s="38">
        <v>0</v>
      </c>
      <c r="H924" s="33">
        <f t="shared" si="164"/>
        <v>0</v>
      </c>
      <c r="I924" s="40" t="s">
        <v>4</v>
      </c>
      <c r="J924" s="35">
        <v>0</v>
      </c>
      <c r="K924" s="36">
        <v>0</v>
      </c>
      <c r="L924" s="35">
        <v>425758149</v>
      </c>
      <c r="M924" s="35">
        <v>0</v>
      </c>
      <c r="N924" s="35">
        <v>0</v>
      </c>
      <c r="O924" s="35">
        <v>56478121</v>
      </c>
      <c r="P924" s="35">
        <v>0</v>
      </c>
      <c r="R924" s="37">
        <f t="shared" si="1"/>
        <v>0</v>
      </c>
      <c r="X924" s="28"/>
      <c r="Y924" s="28"/>
    </row>
    <row r="925" spans="1:25" s="4" customFormat="1">
      <c r="A925" s="31"/>
      <c r="B925" s="8" t="s">
        <v>2</v>
      </c>
      <c r="C925" s="7">
        <v>2024</v>
      </c>
      <c r="D925" s="8" t="s">
        <v>210</v>
      </c>
      <c r="E925" s="8" t="s">
        <v>38</v>
      </c>
      <c r="F925" s="6">
        <v>201465000</v>
      </c>
      <c r="G925" s="38">
        <v>0</v>
      </c>
      <c r="H925" s="33">
        <f t="shared" si="164"/>
        <v>0</v>
      </c>
      <c r="I925" s="40" t="s">
        <v>4</v>
      </c>
      <c r="J925" s="35">
        <v>0</v>
      </c>
      <c r="K925" s="36">
        <v>0</v>
      </c>
      <c r="L925" s="35">
        <v>177870000</v>
      </c>
      <c r="M925" s="35">
        <v>0</v>
      </c>
      <c r="N925" s="35">
        <v>0</v>
      </c>
      <c r="O925" s="35">
        <v>23595000</v>
      </c>
      <c r="P925" s="35">
        <v>0</v>
      </c>
      <c r="R925" s="37">
        <f t="shared" si="1"/>
        <v>0</v>
      </c>
      <c r="X925" s="28"/>
      <c r="Y925" s="28"/>
    </row>
    <row r="926" spans="1:25" s="4" customFormat="1">
      <c r="A926" s="31"/>
      <c r="B926" s="8" t="s">
        <v>2</v>
      </c>
      <c r="C926" s="7">
        <v>2024</v>
      </c>
      <c r="D926" s="8" t="s">
        <v>211</v>
      </c>
      <c r="E926" s="8" t="s">
        <v>253</v>
      </c>
      <c r="F926" s="6">
        <v>711580475</v>
      </c>
      <c r="G926" s="38">
        <v>0</v>
      </c>
      <c r="H926" s="33">
        <f t="shared" si="164"/>
        <v>0</v>
      </c>
      <c r="I926" s="40" t="s">
        <v>4</v>
      </c>
      <c r="J926" s="35">
        <v>0</v>
      </c>
      <c r="K926" s="36">
        <v>628242221</v>
      </c>
      <c r="L926" s="35">
        <v>0</v>
      </c>
      <c r="M926" s="35">
        <v>0</v>
      </c>
      <c r="N926" s="35">
        <v>0</v>
      </c>
      <c r="O926" s="35">
        <v>83338254</v>
      </c>
      <c r="P926" s="35">
        <v>0</v>
      </c>
      <c r="R926" s="37">
        <f t="shared" si="1"/>
        <v>0</v>
      </c>
      <c r="X926" s="28"/>
      <c r="Y926" s="28"/>
    </row>
    <row r="927" spans="1:25" s="4" customFormat="1">
      <c r="A927" s="31"/>
      <c r="B927" s="8" t="s">
        <v>2</v>
      </c>
      <c r="C927" s="7">
        <v>2024</v>
      </c>
      <c r="D927" s="8" t="s">
        <v>212</v>
      </c>
      <c r="E927" s="8" t="s">
        <v>39</v>
      </c>
      <c r="F927" s="6">
        <v>27214857</v>
      </c>
      <c r="G927" s="38">
        <v>0</v>
      </c>
      <c r="H927" s="33">
        <f t="shared" si="164"/>
        <v>0</v>
      </c>
      <c r="I927" s="40" t="s">
        <v>4</v>
      </c>
      <c r="J927" s="35">
        <v>0</v>
      </c>
      <c r="K927" s="36">
        <v>0</v>
      </c>
      <c r="L927" s="35">
        <v>24027532</v>
      </c>
      <c r="M927" s="35">
        <v>0</v>
      </c>
      <c r="N927" s="35">
        <v>0</v>
      </c>
      <c r="O927" s="35">
        <v>3187325</v>
      </c>
      <c r="P927" s="35">
        <v>0</v>
      </c>
      <c r="R927" s="37">
        <f t="shared" si="1"/>
        <v>0</v>
      </c>
      <c r="X927" s="28"/>
      <c r="Y927" s="28"/>
    </row>
    <row r="928" spans="1:25" s="4" customFormat="1">
      <c r="A928" s="31"/>
      <c r="B928" s="8" t="s">
        <v>2</v>
      </c>
      <c r="C928" s="7">
        <v>2024</v>
      </c>
      <c r="D928" s="8" t="s">
        <v>213</v>
      </c>
      <c r="E928" s="8" t="s">
        <v>254</v>
      </c>
      <c r="F928" s="6">
        <v>141731832</v>
      </c>
      <c r="G928" s="38">
        <v>0</v>
      </c>
      <c r="H928" s="33">
        <f t="shared" si="164"/>
        <v>0</v>
      </c>
      <c r="I928" s="40" t="s">
        <v>4</v>
      </c>
      <c r="J928" s="35">
        <v>0</v>
      </c>
      <c r="K928" s="36">
        <v>0</v>
      </c>
      <c r="L928" s="35">
        <v>125132608</v>
      </c>
      <c r="M928" s="35">
        <v>0</v>
      </c>
      <c r="N928" s="35">
        <v>0</v>
      </c>
      <c r="O928" s="35">
        <v>16599224</v>
      </c>
      <c r="P928" s="35">
        <v>0</v>
      </c>
      <c r="R928" s="37">
        <f t="shared" si="1"/>
        <v>0</v>
      </c>
      <c r="X928" s="28"/>
      <c r="Y928" s="28"/>
    </row>
    <row r="929" spans="1:25" s="4" customFormat="1">
      <c r="A929" s="31"/>
      <c r="B929" s="8" t="s">
        <v>2</v>
      </c>
      <c r="C929" s="7">
        <v>2024</v>
      </c>
      <c r="D929" s="8" t="s">
        <v>214</v>
      </c>
      <c r="E929" s="8" t="s">
        <v>49</v>
      </c>
      <c r="F929" s="6">
        <v>1724570925</v>
      </c>
      <c r="G929" s="38">
        <v>0</v>
      </c>
      <c r="H929" s="33">
        <f t="shared" si="164"/>
        <v>0</v>
      </c>
      <c r="I929" s="40" t="s">
        <v>4</v>
      </c>
      <c r="J929" s="35">
        <v>0</v>
      </c>
      <c r="K929" s="36">
        <v>0</v>
      </c>
      <c r="L929" s="35">
        <v>1522574150</v>
      </c>
      <c r="M929" s="35">
        <v>0</v>
      </c>
      <c r="N929" s="35">
        <v>0</v>
      </c>
      <c r="O929" s="35">
        <v>201996775</v>
      </c>
      <c r="P929" s="35">
        <v>0</v>
      </c>
      <c r="R929" s="37">
        <f t="shared" si="1"/>
        <v>0</v>
      </c>
      <c r="X929" s="28"/>
      <c r="Y929" s="28"/>
    </row>
    <row r="930" spans="1:25" s="4" customFormat="1">
      <c r="A930" s="31"/>
      <c r="B930" s="8" t="s">
        <v>2</v>
      </c>
      <c r="C930" s="7">
        <v>2024</v>
      </c>
      <c r="D930" s="8" t="s">
        <v>215</v>
      </c>
      <c r="E930" s="8" t="s">
        <v>255</v>
      </c>
      <c r="F930" s="6">
        <v>232567200</v>
      </c>
      <c r="G930" s="38">
        <v>0</v>
      </c>
      <c r="H930" s="33">
        <f t="shared" si="164"/>
        <v>0</v>
      </c>
      <c r="I930" s="40" t="s">
        <v>4</v>
      </c>
      <c r="J930" s="35">
        <v>0</v>
      </c>
      <c r="K930" s="36">
        <v>0</v>
      </c>
      <c r="L930" s="35">
        <v>205329600</v>
      </c>
      <c r="M930" s="35">
        <v>0</v>
      </c>
      <c r="N930" s="35">
        <v>0</v>
      </c>
      <c r="O930" s="35">
        <v>27237600</v>
      </c>
      <c r="P930" s="35">
        <v>0</v>
      </c>
      <c r="R930" s="37">
        <f t="shared" ref="R930:R995" si="169">F930-J930-K930-L930-M930-N930-O930</f>
        <v>0</v>
      </c>
      <c r="X930" s="28"/>
      <c r="Y930" s="28"/>
    </row>
    <row r="931" spans="1:25" s="4" customFormat="1">
      <c r="A931" s="41"/>
      <c r="B931" s="20" t="s">
        <v>2</v>
      </c>
      <c r="C931" s="42">
        <v>2024</v>
      </c>
      <c r="D931" s="20" t="s">
        <v>216</v>
      </c>
      <c r="E931" s="20" t="s">
        <v>37</v>
      </c>
      <c r="F931" s="74">
        <v>23308533</v>
      </c>
      <c r="G931" s="38">
        <v>0</v>
      </c>
      <c r="H931" s="33">
        <f t="shared" si="164"/>
        <v>0</v>
      </c>
      <c r="I931" s="48" t="s">
        <v>57</v>
      </c>
      <c r="J931" s="35">
        <v>0</v>
      </c>
      <c r="K931" s="36">
        <v>0</v>
      </c>
      <c r="L931" s="35">
        <v>20578704</v>
      </c>
      <c r="M931" s="35">
        <v>0</v>
      </c>
      <c r="N931" s="35">
        <v>0</v>
      </c>
      <c r="O931" s="35">
        <v>2729829</v>
      </c>
      <c r="P931" s="35">
        <v>0</v>
      </c>
      <c r="Q931" s="13"/>
      <c r="R931" s="37">
        <f t="shared" si="169"/>
        <v>0</v>
      </c>
      <c r="S931" s="13"/>
      <c r="T931" s="13"/>
      <c r="U931" s="13"/>
      <c r="V931" s="13"/>
      <c r="W931" s="13"/>
      <c r="X931" s="43"/>
      <c r="Y931" s="43"/>
    </row>
    <row r="932" spans="1:25" s="4" customFormat="1">
      <c r="A932" s="41"/>
      <c r="B932" s="20" t="s">
        <v>2</v>
      </c>
      <c r="C932" s="42">
        <v>2024</v>
      </c>
      <c r="D932" s="20" t="s">
        <v>217</v>
      </c>
      <c r="E932" s="20" t="s">
        <v>36</v>
      </c>
      <c r="F932" s="74">
        <v>190342079</v>
      </c>
      <c r="G932" s="38">
        <v>0</v>
      </c>
      <c r="H932" s="33">
        <f t="shared" si="164"/>
        <v>0</v>
      </c>
      <c r="I932" s="48" t="s">
        <v>57</v>
      </c>
      <c r="J932" s="35">
        <v>0</v>
      </c>
      <c r="K932" s="36">
        <v>0</v>
      </c>
      <c r="L932" s="35">
        <v>168049763</v>
      </c>
      <c r="M932" s="35">
        <v>0</v>
      </c>
      <c r="N932" s="35">
        <v>0</v>
      </c>
      <c r="O932" s="35">
        <v>22292316</v>
      </c>
      <c r="P932" s="35">
        <v>0</v>
      </c>
      <c r="Q932" s="13"/>
      <c r="R932" s="37">
        <f t="shared" si="169"/>
        <v>0</v>
      </c>
      <c r="S932" s="13"/>
      <c r="T932" s="13"/>
      <c r="U932" s="13"/>
      <c r="V932" s="13"/>
      <c r="W932" s="13"/>
      <c r="X932" s="43"/>
      <c r="Y932" s="43"/>
    </row>
    <row r="933" spans="1:25" s="4" customFormat="1">
      <c r="A933" s="31"/>
      <c r="B933" s="8" t="s">
        <v>2</v>
      </c>
      <c r="C933" s="7">
        <v>2024</v>
      </c>
      <c r="D933" s="8" t="s">
        <v>218</v>
      </c>
      <c r="E933" s="8" t="s">
        <v>256</v>
      </c>
      <c r="F933" s="6">
        <v>78649011</v>
      </c>
      <c r="G933" s="38">
        <v>0</v>
      </c>
      <c r="H933" s="33">
        <f t="shared" si="164"/>
        <v>0</v>
      </c>
      <c r="I933" s="40" t="s">
        <v>4</v>
      </c>
      <c r="J933" s="35">
        <v>0</v>
      </c>
      <c r="K933" s="36">
        <v>0</v>
      </c>
      <c r="L933" s="35">
        <v>69437866</v>
      </c>
      <c r="M933" s="35">
        <v>0</v>
      </c>
      <c r="N933" s="35">
        <v>0</v>
      </c>
      <c r="O933" s="35">
        <v>9211145</v>
      </c>
      <c r="P933" s="35">
        <v>0</v>
      </c>
      <c r="R933" s="37">
        <f t="shared" si="169"/>
        <v>0</v>
      </c>
      <c r="X933" s="28"/>
      <c r="Y933" s="28"/>
    </row>
    <row r="934" spans="1:25" s="4" customFormat="1">
      <c r="A934" s="31"/>
      <c r="B934" s="8" t="s">
        <v>2</v>
      </c>
      <c r="C934" s="7">
        <v>2024</v>
      </c>
      <c r="D934" s="8" t="s">
        <v>829</v>
      </c>
      <c r="E934" s="8" t="s">
        <v>48</v>
      </c>
      <c r="F934" s="6">
        <v>38600250</v>
      </c>
      <c r="G934" s="38">
        <v>0</v>
      </c>
      <c r="H934" s="33">
        <f t="shared" si="164"/>
        <v>0</v>
      </c>
      <c r="I934" s="40" t="s">
        <v>4</v>
      </c>
      <c r="J934" s="35">
        <v>0</v>
      </c>
      <c r="K934" s="36">
        <v>0</v>
      </c>
      <c r="L934" s="35">
        <v>34079500</v>
      </c>
      <c r="M934" s="35">
        <v>0</v>
      </c>
      <c r="N934" s="35">
        <v>0</v>
      </c>
      <c r="O934" s="35">
        <v>4520750</v>
      </c>
      <c r="P934" s="35">
        <v>0</v>
      </c>
      <c r="R934" s="37">
        <f t="shared" si="169"/>
        <v>0</v>
      </c>
      <c r="X934" s="28"/>
      <c r="Y934" s="28"/>
    </row>
    <row r="935" spans="1:25" s="4" customFormat="1">
      <c r="A935" s="31"/>
      <c r="B935" s="8" t="s">
        <v>2</v>
      </c>
      <c r="C935" s="7">
        <v>2024</v>
      </c>
      <c r="D935" s="8" t="s">
        <v>219</v>
      </c>
      <c r="E935" s="8" t="s">
        <v>46</v>
      </c>
      <c r="F935" s="6">
        <v>684175009</v>
      </c>
      <c r="G935" s="38">
        <v>0</v>
      </c>
      <c r="H935" s="33">
        <f t="shared" si="164"/>
        <v>0</v>
      </c>
      <c r="I935" s="40" t="s">
        <v>4</v>
      </c>
      <c r="J935" s="35">
        <v>0</v>
      </c>
      <c r="K935" s="36">
        <v>0</v>
      </c>
      <c r="L935" s="35">
        <v>604046405</v>
      </c>
      <c r="M935" s="35">
        <v>0</v>
      </c>
      <c r="N935" s="35">
        <v>0</v>
      </c>
      <c r="O935" s="35">
        <v>80128604</v>
      </c>
      <c r="P935" s="35">
        <v>0</v>
      </c>
      <c r="R935" s="37">
        <f t="shared" si="169"/>
        <v>0</v>
      </c>
      <c r="X935" s="28"/>
      <c r="Y935" s="28"/>
    </row>
    <row r="936" spans="1:25" s="4" customFormat="1">
      <c r="A936" s="31"/>
      <c r="B936" s="8" t="s">
        <v>2</v>
      </c>
      <c r="C936" s="7">
        <v>2024</v>
      </c>
      <c r="D936" s="8" t="s">
        <v>220</v>
      </c>
      <c r="E936" s="8" t="s">
        <v>257</v>
      </c>
      <c r="F936" s="6">
        <v>48174000</v>
      </c>
      <c r="G936" s="38">
        <v>0</v>
      </c>
      <c r="H936" s="33">
        <f t="shared" si="164"/>
        <v>0</v>
      </c>
      <c r="I936" s="40" t="s">
        <v>4</v>
      </c>
      <c r="J936" s="35">
        <v>0</v>
      </c>
      <c r="K936" s="36">
        <v>0</v>
      </c>
      <c r="L936" s="35">
        <v>42532000</v>
      </c>
      <c r="M936" s="35">
        <v>0</v>
      </c>
      <c r="N936" s="35">
        <v>0</v>
      </c>
      <c r="O936" s="35">
        <v>5642000</v>
      </c>
      <c r="P936" s="35">
        <v>0</v>
      </c>
      <c r="R936" s="37">
        <f t="shared" si="169"/>
        <v>0</v>
      </c>
      <c r="X936" s="28"/>
      <c r="Y936" s="28"/>
    </row>
    <row r="937" spans="1:25" s="4" customFormat="1">
      <c r="A937" s="31"/>
      <c r="B937" s="8" t="s">
        <v>2</v>
      </c>
      <c r="C937" s="7">
        <v>2024</v>
      </c>
      <c r="D937" s="8" t="s">
        <v>221</v>
      </c>
      <c r="E937" s="8" t="s">
        <v>46</v>
      </c>
      <c r="F937" s="6">
        <v>20000000</v>
      </c>
      <c r="G937" s="38">
        <v>0</v>
      </c>
      <c r="H937" s="33">
        <f t="shared" si="164"/>
        <v>0</v>
      </c>
      <c r="I937" s="40" t="s">
        <v>4</v>
      </c>
      <c r="J937" s="35">
        <v>0</v>
      </c>
      <c r="K937" s="36">
        <v>19600000</v>
      </c>
      <c r="L937" s="35">
        <v>0</v>
      </c>
      <c r="M937" s="35">
        <v>0</v>
      </c>
      <c r="N937" s="35">
        <v>0</v>
      </c>
      <c r="O937" s="35">
        <v>400000</v>
      </c>
      <c r="P937" s="35">
        <v>0</v>
      </c>
      <c r="R937" s="37">
        <f t="shared" si="169"/>
        <v>0</v>
      </c>
      <c r="X937" s="28"/>
      <c r="Y937" s="28"/>
    </row>
    <row r="938" spans="1:25" s="4" customFormat="1">
      <c r="A938" s="31"/>
      <c r="B938" s="8" t="s">
        <v>2</v>
      </c>
      <c r="C938" s="7">
        <v>2024</v>
      </c>
      <c r="D938" s="8" t="s">
        <v>222</v>
      </c>
      <c r="E938" s="8" t="s">
        <v>40</v>
      </c>
      <c r="F938" s="6">
        <v>45547541</v>
      </c>
      <c r="G938" s="38">
        <v>0</v>
      </c>
      <c r="H938" s="33">
        <f t="shared" si="164"/>
        <v>0</v>
      </c>
      <c r="I938" s="40" t="s">
        <v>4</v>
      </c>
      <c r="J938" s="35">
        <v>0</v>
      </c>
      <c r="K938" s="36">
        <v>0</v>
      </c>
      <c r="L938" s="35">
        <v>40213145</v>
      </c>
      <c r="M938" s="35">
        <v>0</v>
      </c>
      <c r="N938" s="35">
        <v>0</v>
      </c>
      <c r="O938" s="35">
        <v>5334396</v>
      </c>
      <c r="P938" s="35">
        <v>0</v>
      </c>
      <c r="R938" s="37">
        <f t="shared" si="169"/>
        <v>0</v>
      </c>
      <c r="X938" s="28"/>
      <c r="Y938" s="28"/>
    </row>
    <row r="939" spans="1:25" s="4" customFormat="1">
      <c r="A939" s="31"/>
      <c r="B939" s="8" t="s">
        <v>2</v>
      </c>
      <c r="C939" s="7">
        <v>2024</v>
      </c>
      <c r="D939" s="8" t="s">
        <v>223</v>
      </c>
      <c r="E939" s="8" t="s">
        <v>258</v>
      </c>
      <c r="F939" s="6">
        <v>22100877</v>
      </c>
      <c r="G939" s="38">
        <v>0</v>
      </c>
      <c r="H939" s="33">
        <f t="shared" si="164"/>
        <v>0</v>
      </c>
      <c r="I939" s="40" t="s">
        <v>4</v>
      </c>
      <c r="J939" s="35">
        <v>0</v>
      </c>
      <c r="K939" s="36">
        <v>0</v>
      </c>
      <c r="L939" s="35">
        <v>19512486</v>
      </c>
      <c r="M939" s="35">
        <v>0</v>
      </c>
      <c r="N939" s="35">
        <v>0</v>
      </c>
      <c r="O939" s="35">
        <v>2588391</v>
      </c>
      <c r="P939" s="35">
        <v>0</v>
      </c>
      <c r="R939" s="37">
        <f t="shared" si="169"/>
        <v>0</v>
      </c>
      <c r="X939" s="28"/>
      <c r="Y939" s="28"/>
    </row>
    <row r="940" spans="1:25" s="4" customFormat="1">
      <c r="A940" s="31"/>
      <c r="B940" s="8" t="s">
        <v>2</v>
      </c>
      <c r="C940" s="7">
        <v>2024</v>
      </c>
      <c r="D940" s="8" t="s">
        <v>168</v>
      </c>
      <c r="E940" s="8" t="s">
        <v>36</v>
      </c>
      <c r="F940" s="6">
        <v>56499000</v>
      </c>
      <c r="G940" s="38">
        <v>0</v>
      </c>
      <c r="H940" s="33">
        <f t="shared" si="164"/>
        <v>0</v>
      </c>
      <c r="I940" s="40" t="s">
        <v>4</v>
      </c>
      <c r="J940" s="35">
        <v>50900000</v>
      </c>
      <c r="K940" s="36">
        <v>0</v>
      </c>
      <c r="L940" s="35">
        <v>0</v>
      </c>
      <c r="M940" s="35">
        <v>0</v>
      </c>
      <c r="N940" s="35">
        <v>0</v>
      </c>
      <c r="O940" s="35">
        <v>0</v>
      </c>
      <c r="P940" s="35">
        <v>0</v>
      </c>
      <c r="R940" s="79">
        <f t="shared" si="169"/>
        <v>5599000</v>
      </c>
      <c r="X940" s="28"/>
      <c r="Y940" s="28"/>
    </row>
    <row r="941" spans="1:25" s="4" customFormat="1">
      <c r="A941" s="31"/>
      <c r="B941" s="8" t="s">
        <v>2</v>
      </c>
      <c r="C941" s="7">
        <v>2024</v>
      </c>
      <c r="D941" s="8" t="s">
        <v>224</v>
      </c>
      <c r="E941" s="8" t="s">
        <v>259</v>
      </c>
      <c r="F941" s="6">
        <v>101313727</v>
      </c>
      <c r="G941" s="38">
        <v>0</v>
      </c>
      <c r="H941" s="33">
        <f t="shared" si="164"/>
        <v>0</v>
      </c>
      <c r="I941" s="40" t="s">
        <v>4</v>
      </c>
      <c r="J941" s="35">
        <v>0</v>
      </c>
      <c r="K941" s="36">
        <v>0</v>
      </c>
      <c r="L941" s="35">
        <v>89448156</v>
      </c>
      <c r="M941" s="35">
        <v>0</v>
      </c>
      <c r="N941" s="35">
        <v>0</v>
      </c>
      <c r="O941" s="35">
        <v>11865571</v>
      </c>
      <c r="P941" s="35">
        <v>0</v>
      </c>
      <c r="R941" s="37">
        <f t="shared" si="169"/>
        <v>0</v>
      </c>
      <c r="X941" s="28"/>
      <c r="Y941" s="28"/>
    </row>
    <row r="942" spans="1:25" s="4" customFormat="1">
      <c r="A942" s="31"/>
      <c r="B942" s="8" t="s">
        <v>2</v>
      </c>
      <c r="C942" s="7">
        <v>2024</v>
      </c>
      <c r="D942" s="8" t="s">
        <v>225</v>
      </c>
      <c r="E942" s="8" t="s">
        <v>260</v>
      </c>
      <c r="F942" s="6">
        <v>272596020</v>
      </c>
      <c r="G942" s="38">
        <v>0</v>
      </c>
      <c r="H942" s="33">
        <f t="shared" si="164"/>
        <v>0</v>
      </c>
      <c r="I942" s="40" t="s">
        <v>4</v>
      </c>
      <c r="J942" s="35">
        <v>0</v>
      </c>
      <c r="K942" s="36">
        <v>240670360</v>
      </c>
      <c r="L942" s="35">
        <v>0</v>
      </c>
      <c r="M942" s="35">
        <v>0</v>
      </c>
      <c r="N942" s="35">
        <v>0</v>
      </c>
      <c r="O942" s="35">
        <v>31925660</v>
      </c>
      <c r="P942" s="35">
        <v>0</v>
      </c>
      <c r="R942" s="37">
        <f t="shared" si="169"/>
        <v>0</v>
      </c>
      <c r="X942" s="28"/>
      <c r="Y942" s="28"/>
    </row>
    <row r="943" spans="1:25" s="4" customFormat="1">
      <c r="A943" s="31"/>
      <c r="B943" s="8" t="s">
        <v>2</v>
      </c>
      <c r="C943" s="7">
        <v>2024</v>
      </c>
      <c r="D943" s="8" t="s">
        <v>226</v>
      </c>
      <c r="E943" s="8" t="s">
        <v>64</v>
      </c>
      <c r="F943" s="6">
        <v>625000</v>
      </c>
      <c r="G943" s="38">
        <v>0</v>
      </c>
      <c r="H943" s="33">
        <f t="shared" si="164"/>
        <v>0</v>
      </c>
      <c r="I943" s="40" t="s">
        <v>4</v>
      </c>
      <c r="J943" s="35">
        <v>625000</v>
      </c>
      <c r="K943" s="36">
        <v>0</v>
      </c>
      <c r="L943" s="35">
        <v>0</v>
      </c>
      <c r="M943" s="35">
        <v>0</v>
      </c>
      <c r="N943" s="35">
        <v>0</v>
      </c>
      <c r="O943" s="35">
        <v>0</v>
      </c>
      <c r="P943" s="35">
        <v>0</v>
      </c>
      <c r="R943" s="37">
        <f t="shared" si="169"/>
        <v>0</v>
      </c>
      <c r="X943" s="28"/>
      <c r="Y943" s="28"/>
    </row>
    <row r="944" spans="1:25" s="4" customFormat="1">
      <c r="A944" s="31"/>
      <c r="B944" s="8" t="s">
        <v>2</v>
      </c>
      <c r="C944" s="7">
        <v>2024</v>
      </c>
      <c r="D944" s="8" t="s">
        <v>227</v>
      </c>
      <c r="E944" s="8" t="s">
        <v>260</v>
      </c>
      <c r="F944" s="6">
        <v>20249730</v>
      </c>
      <c r="G944" s="38">
        <v>0</v>
      </c>
      <c r="H944" s="33">
        <f t="shared" si="164"/>
        <v>0</v>
      </c>
      <c r="I944" s="40" t="s">
        <v>4</v>
      </c>
      <c r="J944" s="35">
        <v>0</v>
      </c>
      <c r="K944" s="36">
        <v>17878140</v>
      </c>
      <c r="L944" s="35">
        <v>0</v>
      </c>
      <c r="M944" s="35">
        <v>0</v>
      </c>
      <c r="N944" s="35">
        <v>0</v>
      </c>
      <c r="O944" s="35">
        <v>2371590</v>
      </c>
      <c r="P944" s="35">
        <v>0</v>
      </c>
      <c r="R944" s="37">
        <f t="shared" si="169"/>
        <v>0</v>
      </c>
      <c r="X944" s="28"/>
      <c r="Y944" s="28"/>
    </row>
    <row r="945" spans="1:25" s="4" customFormat="1">
      <c r="A945" s="31"/>
      <c r="B945" s="8" t="s">
        <v>2</v>
      </c>
      <c r="C945" s="7">
        <v>2024</v>
      </c>
      <c r="D945" s="8" t="s">
        <v>169</v>
      </c>
      <c r="E945" s="8" t="s">
        <v>42</v>
      </c>
      <c r="F945" s="6">
        <v>10729235</v>
      </c>
      <c r="G945" s="38">
        <v>0</v>
      </c>
      <c r="H945" s="33">
        <f t="shared" si="164"/>
        <v>0</v>
      </c>
      <c r="I945" s="40" t="s">
        <v>4</v>
      </c>
      <c r="J945" s="35">
        <v>10638235</v>
      </c>
      <c r="K945" s="36">
        <v>0</v>
      </c>
      <c r="L945" s="35">
        <v>0</v>
      </c>
      <c r="M945" s="35">
        <v>0</v>
      </c>
      <c r="N945" s="35">
        <v>0</v>
      </c>
      <c r="O945" s="35">
        <v>91000</v>
      </c>
      <c r="P945" s="35">
        <v>0</v>
      </c>
      <c r="R945" s="37">
        <f t="shared" si="169"/>
        <v>0</v>
      </c>
      <c r="X945" s="28"/>
      <c r="Y945" s="28"/>
    </row>
    <row r="946" spans="1:25" s="4" customFormat="1">
      <c r="A946" s="41"/>
      <c r="B946" s="20" t="s">
        <v>2</v>
      </c>
      <c r="C946" s="42">
        <v>2024</v>
      </c>
      <c r="D946" s="20" t="s">
        <v>228</v>
      </c>
      <c r="E946" s="20" t="s">
        <v>261</v>
      </c>
      <c r="F946" s="74">
        <v>68007267</v>
      </c>
      <c r="G946" s="38">
        <v>0</v>
      </c>
      <c r="H946" s="33">
        <f t="shared" si="164"/>
        <v>0</v>
      </c>
      <c r="I946" s="48" t="s">
        <v>57</v>
      </c>
      <c r="J946" s="35">
        <v>0</v>
      </c>
      <c r="K946" s="36">
        <v>0</v>
      </c>
      <c r="L946" s="35">
        <v>60042452</v>
      </c>
      <c r="M946" s="35">
        <v>0</v>
      </c>
      <c r="N946" s="35">
        <v>0</v>
      </c>
      <c r="O946" s="35">
        <v>7964815</v>
      </c>
      <c r="P946" s="35">
        <v>0</v>
      </c>
      <c r="Q946" s="13"/>
      <c r="R946" s="37">
        <f t="shared" si="169"/>
        <v>0</v>
      </c>
      <c r="S946" s="13"/>
      <c r="T946" s="13"/>
      <c r="U946" s="13"/>
      <c r="V946" s="13"/>
      <c r="W946" s="13"/>
      <c r="X946" s="43"/>
      <c r="Y946" s="43"/>
    </row>
    <row r="947" spans="1:25" s="4" customFormat="1">
      <c r="A947" s="41"/>
      <c r="B947" s="20" t="s">
        <v>2</v>
      </c>
      <c r="C947" s="42">
        <v>2024</v>
      </c>
      <c r="D947" s="20" t="s">
        <v>827</v>
      </c>
      <c r="E947" s="20" t="s">
        <v>50</v>
      </c>
      <c r="F947" s="74">
        <v>112651014</v>
      </c>
      <c r="G947" s="38">
        <v>0</v>
      </c>
      <c r="H947" s="33">
        <f t="shared" si="164"/>
        <v>0</v>
      </c>
      <c r="I947" s="48" t="s">
        <v>57</v>
      </c>
      <c r="J947" s="35">
        <v>0</v>
      </c>
      <c r="K947" s="36">
        <v>0</v>
      </c>
      <c r="L947" s="35">
        <v>99457652</v>
      </c>
      <c r="M947" s="35">
        <v>0</v>
      </c>
      <c r="N947" s="35">
        <v>0</v>
      </c>
      <c r="O947" s="35">
        <v>13193362</v>
      </c>
      <c r="P947" s="35">
        <v>0</v>
      </c>
      <c r="Q947" s="13"/>
      <c r="R947" s="37">
        <f t="shared" si="169"/>
        <v>0</v>
      </c>
      <c r="S947" s="13"/>
      <c r="T947" s="13"/>
      <c r="U947" s="13"/>
      <c r="V947" s="13"/>
      <c r="W947" s="13"/>
      <c r="X947" s="43"/>
      <c r="Y947" s="43"/>
    </row>
    <row r="948" spans="1:25" s="4" customFormat="1">
      <c r="A948" s="31"/>
      <c r="B948" s="8" t="s">
        <v>2</v>
      </c>
      <c r="C948" s="7">
        <v>2024</v>
      </c>
      <c r="D948" s="8" t="s">
        <v>229</v>
      </c>
      <c r="E948" s="8" t="s">
        <v>45</v>
      </c>
      <c r="F948" s="6">
        <v>93353220</v>
      </c>
      <c r="G948" s="38">
        <v>0</v>
      </c>
      <c r="H948" s="33">
        <f t="shared" si="164"/>
        <v>0</v>
      </c>
      <c r="I948" s="40" t="s">
        <v>4</v>
      </c>
      <c r="J948" s="35">
        <v>0</v>
      </c>
      <c r="K948" s="36">
        <v>0</v>
      </c>
      <c r="L948" s="35">
        <v>82419960</v>
      </c>
      <c r="M948" s="35">
        <v>0</v>
      </c>
      <c r="N948" s="35">
        <v>0</v>
      </c>
      <c r="O948" s="35">
        <v>10933260</v>
      </c>
      <c r="P948" s="35">
        <v>0</v>
      </c>
      <c r="R948" s="37">
        <f t="shared" si="169"/>
        <v>0</v>
      </c>
      <c r="X948" s="28"/>
      <c r="Y948" s="28"/>
    </row>
    <row r="949" spans="1:25" s="4" customFormat="1">
      <c r="A949" s="31"/>
      <c r="B949" s="8" t="s">
        <v>2</v>
      </c>
      <c r="C949" s="7">
        <v>2024</v>
      </c>
      <c r="D949" s="8" t="s">
        <v>230</v>
      </c>
      <c r="E949" s="8" t="s">
        <v>262</v>
      </c>
      <c r="F949" s="6">
        <v>95695741</v>
      </c>
      <c r="G949" s="38">
        <v>0</v>
      </c>
      <c r="H949" s="33">
        <f t="shared" si="164"/>
        <v>0</v>
      </c>
      <c r="I949" s="40" t="s">
        <v>4</v>
      </c>
      <c r="J949" s="35">
        <v>0</v>
      </c>
      <c r="K949" s="36">
        <v>0</v>
      </c>
      <c r="L949" s="35">
        <v>84488132</v>
      </c>
      <c r="M949" s="35">
        <v>0</v>
      </c>
      <c r="N949" s="35">
        <v>0</v>
      </c>
      <c r="O949" s="35">
        <v>11207609</v>
      </c>
      <c r="P949" s="35">
        <v>0</v>
      </c>
      <c r="R949" s="37">
        <f t="shared" si="169"/>
        <v>0</v>
      </c>
      <c r="X949" s="28"/>
      <c r="Y949" s="28"/>
    </row>
    <row r="950" spans="1:25" s="4" customFormat="1">
      <c r="A950" s="41"/>
      <c r="B950" s="20" t="s">
        <v>2</v>
      </c>
      <c r="C950" s="42">
        <v>2024</v>
      </c>
      <c r="D950" s="20" t="s">
        <v>231</v>
      </c>
      <c r="E950" s="20" t="s">
        <v>262</v>
      </c>
      <c r="F950" s="74">
        <v>7043871</v>
      </c>
      <c r="G950" s="38">
        <v>0</v>
      </c>
      <c r="H950" s="33">
        <f t="shared" si="164"/>
        <v>0</v>
      </c>
      <c r="I950" s="48" t="s">
        <v>57</v>
      </c>
      <c r="J950" s="35">
        <v>7043871</v>
      </c>
      <c r="K950" s="36">
        <v>0</v>
      </c>
      <c r="L950" s="35">
        <v>0</v>
      </c>
      <c r="M950" s="35">
        <v>0</v>
      </c>
      <c r="N950" s="35">
        <v>0</v>
      </c>
      <c r="O950" s="35">
        <v>0</v>
      </c>
      <c r="P950" s="35">
        <v>0</v>
      </c>
      <c r="Q950" s="13"/>
      <c r="R950" s="37">
        <f t="shared" si="169"/>
        <v>0</v>
      </c>
      <c r="S950" s="13"/>
      <c r="T950" s="13"/>
      <c r="U950" s="13"/>
      <c r="V950" s="13"/>
      <c r="W950" s="13"/>
      <c r="X950" s="43"/>
      <c r="Y950" s="43"/>
    </row>
    <row r="951" spans="1:25" s="4" customFormat="1">
      <c r="A951" s="41"/>
      <c r="B951" s="20" t="s">
        <v>2</v>
      </c>
      <c r="C951" s="42">
        <v>2024</v>
      </c>
      <c r="D951" s="20" t="s">
        <v>232</v>
      </c>
      <c r="E951" s="20" t="s">
        <v>43</v>
      </c>
      <c r="F951" s="74">
        <v>425567706</v>
      </c>
      <c r="G951" s="38">
        <v>0</v>
      </c>
      <c r="H951" s="33">
        <f t="shared" si="164"/>
        <v>0</v>
      </c>
      <c r="I951" s="48" t="s">
        <v>57</v>
      </c>
      <c r="J951" s="35">
        <v>0</v>
      </c>
      <c r="K951" s="36">
        <v>0</v>
      </c>
      <c r="L951" s="35">
        <v>375726444</v>
      </c>
      <c r="M951" s="35">
        <v>0</v>
      </c>
      <c r="N951" s="35">
        <v>0</v>
      </c>
      <c r="O951" s="35">
        <v>49841262</v>
      </c>
      <c r="P951" s="35">
        <v>0</v>
      </c>
      <c r="Q951" s="13"/>
      <c r="R951" s="37">
        <f t="shared" si="169"/>
        <v>0</v>
      </c>
      <c r="S951" s="13"/>
      <c r="T951" s="13"/>
      <c r="U951" s="13"/>
      <c r="V951" s="13"/>
      <c r="W951" s="13"/>
      <c r="X951" s="43"/>
      <c r="Y951" s="43"/>
    </row>
    <row r="952" spans="1:25" s="4" customFormat="1">
      <c r="A952" s="31"/>
      <c r="B952" s="8" t="s">
        <v>2</v>
      </c>
      <c r="C952" s="7">
        <v>2024</v>
      </c>
      <c r="D952" s="8" t="s">
        <v>233</v>
      </c>
      <c r="E952" s="8" t="s">
        <v>34</v>
      </c>
      <c r="F952" s="6">
        <v>134882</v>
      </c>
      <c r="G952" s="38">
        <v>0</v>
      </c>
      <c r="H952" s="33">
        <f t="shared" si="164"/>
        <v>0</v>
      </c>
      <c r="I952" s="40" t="s">
        <v>4</v>
      </c>
      <c r="J952" s="35">
        <v>134882</v>
      </c>
      <c r="K952" s="36">
        <v>0</v>
      </c>
      <c r="L952" s="35">
        <v>0</v>
      </c>
      <c r="M952" s="35">
        <v>0</v>
      </c>
      <c r="N952" s="35">
        <v>0</v>
      </c>
      <c r="O952" s="35">
        <v>0</v>
      </c>
      <c r="P952" s="35">
        <v>0</v>
      </c>
      <c r="R952" s="37">
        <f t="shared" si="169"/>
        <v>0</v>
      </c>
      <c r="X952" s="28"/>
      <c r="Y952" s="28"/>
    </row>
    <row r="953" spans="1:25" s="4" customFormat="1">
      <c r="A953" s="31"/>
      <c r="B953" s="8" t="s">
        <v>2</v>
      </c>
      <c r="C953" s="7">
        <v>2024</v>
      </c>
      <c r="D953" s="8" t="s">
        <v>830</v>
      </c>
      <c r="E953" s="8" t="s">
        <v>44</v>
      </c>
      <c r="F953" s="6">
        <v>125575558</v>
      </c>
      <c r="G953" s="38">
        <v>0</v>
      </c>
      <c r="H953" s="33">
        <f t="shared" si="164"/>
        <v>0</v>
      </c>
      <c r="I953" s="40" t="s">
        <v>4</v>
      </c>
      <c r="J953" s="35">
        <v>0</v>
      </c>
      <c r="K953" s="36">
        <v>0</v>
      </c>
      <c r="L953" s="35">
        <v>110868510</v>
      </c>
      <c r="M953" s="35">
        <v>0</v>
      </c>
      <c r="N953" s="35">
        <v>0</v>
      </c>
      <c r="O953" s="35">
        <v>14707048</v>
      </c>
      <c r="P953" s="35">
        <v>0</v>
      </c>
      <c r="R953" s="37">
        <f t="shared" si="169"/>
        <v>0</v>
      </c>
      <c r="X953" s="28"/>
      <c r="Y953" s="28"/>
    </row>
    <row r="954" spans="1:25" s="4" customFormat="1">
      <c r="A954" s="31"/>
      <c r="B954" s="8" t="s">
        <v>2</v>
      </c>
      <c r="C954" s="7">
        <v>2024</v>
      </c>
      <c r="D954" s="8" t="s">
        <v>234</v>
      </c>
      <c r="E954" s="8" t="s">
        <v>49</v>
      </c>
      <c r="F954" s="6">
        <v>36617790</v>
      </c>
      <c r="G954" s="38">
        <v>0</v>
      </c>
      <c r="H954" s="33">
        <f t="shared" si="164"/>
        <v>0</v>
      </c>
      <c r="I954" s="40" t="s">
        <v>4</v>
      </c>
      <c r="J954" s="35">
        <v>0</v>
      </c>
      <c r="K954" s="36">
        <v>0</v>
      </c>
      <c r="L954" s="35">
        <v>32329220</v>
      </c>
      <c r="M954" s="35">
        <v>0</v>
      </c>
      <c r="N954" s="35">
        <v>0</v>
      </c>
      <c r="O954" s="35">
        <v>4288570</v>
      </c>
      <c r="P954" s="35">
        <v>0</v>
      </c>
      <c r="R954" s="37">
        <f t="shared" si="169"/>
        <v>0</v>
      </c>
      <c r="X954" s="28"/>
      <c r="Y954" s="28"/>
    </row>
    <row r="955" spans="1:25" s="4" customFormat="1">
      <c r="A955" s="31"/>
      <c r="B955" s="8" t="s">
        <v>2</v>
      </c>
      <c r="C955" s="7">
        <v>2024</v>
      </c>
      <c r="D955" s="8" t="s">
        <v>166</v>
      </c>
      <c r="E955" s="8" t="s">
        <v>49</v>
      </c>
      <c r="F955" s="6">
        <v>32962116</v>
      </c>
      <c r="G955" s="38">
        <v>0</v>
      </c>
      <c r="H955" s="33">
        <f t="shared" si="164"/>
        <v>0</v>
      </c>
      <c r="I955" s="40" t="s">
        <v>4</v>
      </c>
      <c r="J955" s="35">
        <v>32962116</v>
      </c>
      <c r="K955" s="36">
        <v>0</v>
      </c>
      <c r="L955" s="35">
        <v>0</v>
      </c>
      <c r="M955" s="35">
        <v>0</v>
      </c>
      <c r="N955" s="35">
        <v>0</v>
      </c>
      <c r="O955" s="35">
        <v>0</v>
      </c>
      <c r="P955" s="35">
        <v>0</v>
      </c>
      <c r="R955" s="37">
        <f t="shared" si="169"/>
        <v>0</v>
      </c>
      <c r="X955" s="28"/>
      <c r="Y955" s="28"/>
    </row>
    <row r="956" spans="1:25" s="4" customFormat="1">
      <c r="A956" s="31"/>
      <c r="B956" s="8" t="s">
        <v>2</v>
      </c>
      <c r="C956" s="7">
        <v>2024</v>
      </c>
      <c r="D956" s="8" t="s">
        <v>167</v>
      </c>
      <c r="E956" s="8" t="s">
        <v>49</v>
      </c>
      <c r="F956" s="6">
        <v>16019520</v>
      </c>
      <c r="G956" s="38">
        <v>0</v>
      </c>
      <c r="H956" s="33">
        <f t="shared" si="164"/>
        <v>0</v>
      </c>
      <c r="I956" s="40" t="s">
        <v>4</v>
      </c>
      <c r="J956" s="35">
        <f>1609520+14410000</f>
        <v>16019520</v>
      </c>
      <c r="K956" s="36">
        <v>0</v>
      </c>
      <c r="L956" s="35">
        <v>0</v>
      </c>
      <c r="M956" s="35">
        <v>0</v>
      </c>
      <c r="N956" s="35">
        <v>0</v>
      </c>
      <c r="O956" s="35">
        <v>0</v>
      </c>
      <c r="P956" s="35">
        <v>0</v>
      </c>
      <c r="R956" s="37">
        <f t="shared" si="169"/>
        <v>0</v>
      </c>
      <c r="X956" s="28"/>
      <c r="Y956" s="28"/>
    </row>
    <row r="957" spans="1:25" s="4" customFormat="1">
      <c r="A957" s="31"/>
      <c r="B957" s="8" t="s">
        <v>2</v>
      </c>
      <c r="C957" s="7">
        <v>2024</v>
      </c>
      <c r="D957" s="8" t="s">
        <v>235</v>
      </c>
      <c r="E957" s="8" t="s">
        <v>49</v>
      </c>
      <c r="F957" s="6">
        <v>17787528</v>
      </c>
      <c r="G957" s="38">
        <v>0</v>
      </c>
      <c r="H957" s="33">
        <f t="shared" si="164"/>
        <v>0</v>
      </c>
      <c r="I957" s="40" t="s">
        <v>4</v>
      </c>
      <c r="J957" s="35">
        <v>0</v>
      </c>
      <c r="K957" s="36">
        <v>0</v>
      </c>
      <c r="L957" s="35">
        <v>15701404</v>
      </c>
      <c r="M957" s="35">
        <v>0</v>
      </c>
      <c r="N957" s="35">
        <v>0</v>
      </c>
      <c r="O957" s="35">
        <v>2086124</v>
      </c>
      <c r="P957" s="35">
        <v>0</v>
      </c>
      <c r="R957" s="37">
        <f t="shared" si="169"/>
        <v>0</v>
      </c>
      <c r="X957" s="28"/>
      <c r="Y957" s="28"/>
    </row>
    <row r="958" spans="1:25" s="4" customFormat="1">
      <c r="A958" s="31"/>
      <c r="B958" s="8" t="s">
        <v>2</v>
      </c>
      <c r="C958" s="7">
        <v>2024</v>
      </c>
      <c r="D958" s="8" t="s">
        <v>236</v>
      </c>
      <c r="E958" s="8" t="s">
        <v>49</v>
      </c>
      <c r="F958" s="6">
        <v>18765549</v>
      </c>
      <c r="G958" s="38">
        <v>0</v>
      </c>
      <c r="H958" s="33">
        <f t="shared" si="164"/>
        <v>0</v>
      </c>
      <c r="I958" s="40" t="s">
        <v>4</v>
      </c>
      <c r="J958" s="35">
        <v>0</v>
      </c>
      <c r="K958" s="36">
        <v>0</v>
      </c>
      <c r="L958" s="35">
        <f>16532139+32743</f>
        <v>16564882</v>
      </c>
      <c r="M958" s="35">
        <v>0</v>
      </c>
      <c r="N958" s="35">
        <v>0</v>
      </c>
      <c r="O958" s="35">
        <v>2200667</v>
      </c>
      <c r="P958" s="35">
        <v>0</v>
      </c>
      <c r="R958" s="37">
        <f t="shared" si="169"/>
        <v>0</v>
      </c>
      <c r="X958" s="28"/>
      <c r="Y958" s="28"/>
    </row>
    <row r="959" spans="1:25" s="4" customFormat="1">
      <c r="A959" s="31"/>
      <c r="B959" s="8" t="s">
        <v>2</v>
      </c>
      <c r="C959" s="7">
        <v>2024</v>
      </c>
      <c r="D959" s="8" t="s">
        <v>237</v>
      </c>
      <c r="E959" s="8" t="s">
        <v>49</v>
      </c>
      <c r="F959" s="6">
        <v>17909628</v>
      </c>
      <c r="G959" s="38">
        <v>0</v>
      </c>
      <c r="H959" s="33">
        <f t="shared" si="164"/>
        <v>0</v>
      </c>
      <c r="I959" s="40" t="s">
        <v>4</v>
      </c>
      <c r="J959" s="35">
        <v>0</v>
      </c>
      <c r="K959" s="36">
        <v>0</v>
      </c>
      <c r="L959" s="35">
        <v>15809204</v>
      </c>
      <c r="M959" s="35">
        <v>0</v>
      </c>
      <c r="N959" s="35">
        <v>0</v>
      </c>
      <c r="O959" s="35">
        <v>2100424</v>
      </c>
      <c r="P959" s="35">
        <v>0</v>
      </c>
      <c r="R959" s="37">
        <f t="shared" si="169"/>
        <v>0</v>
      </c>
      <c r="X959" s="28"/>
      <c r="Y959" s="28"/>
    </row>
    <row r="960" spans="1:25" s="4" customFormat="1">
      <c r="A960" s="31"/>
      <c r="B960" s="8" t="s">
        <v>2</v>
      </c>
      <c r="C960" s="7">
        <v>2024</v>
      </c>
      <c r="D960" s="8" t="s">
        <v>238</v>
      </c>
      <c r="E960" s="8" t="s">
        <v>61</v>
      </c>
      <c r="F960" s="6">
        <v>22117308</v>
      </c>
      <c r="G960" s="38">
        <v>0</v>
      </c>
      <c r="H960" s="33">
        <f t="shared" si="164"/>
        <v>0</v>
      </c>
      <c r="I960" s="40" t="s">
        <v>4</v>
      </c>
      <c r="J960" s="35">
        <v>0</v>
      </c>
      <c r="K960" s="36">
        <v>0</v>
      </c>
      <c r="L960" s="35">
        <v>19526993</v>
      </c>
      <c r="M960" s="35">
        <v>0</v>
      </c>
      <c r="N960" s="35">
        <v>0</v>
      </c>
      <c r="O960" s="35">
        <v>2590315</v>
      </c>
      <c r="P960" s="35">
        <v>0</v>
      </c>
      <c r="R960" s="37">
        <f t="shared" si="169"/>
        <v>0</v>
      </c>
      <c r="X960" s="28"/>
      <c r="Y960" s="28"/>
    </row>
    <row r="961" spans="1:25" s="4" customFormat="1">
      <c r="A961" s="31"/>
      <c r="B961" s="8" t="s">
        <v>2</v>
      </c>
      <c r="C961" s="7">
        <v>2024</v>
      </c>
      <c r="D961" s="8" t="s">
        <v>239</v>
      </c>
      <c r="E961" s="8" t="s">
        <v>263</v>
      </c>
      <c r="F961" s="6">
        <v>159978750</v>
      </c>
      <c r="G961" s="38">
        <v>0</v>
      </c>
      <c r="H961" s="33">
        <f t="shared" si="164"/>
        <v>0</v>
      </c>
      <c r="I961" s="40" t="s">
        <v>4</v>
      </c>
      <c r="J961" s="35">
        <v>0</v>
      </c>
      <c r="K961" s="36">
        <v>0</v>
      </c>
      <c r="L961" s="35">
        <f>157358295+2358410</f>
        <v>159716705</v>
      </c>
      <c r="M961" s="35">
        <v>0</v>
      </c>
      <c r="N961" s="35">
        <v>0</v>
      </c>
      <c r="O961" s="35">
        <v>262045</v>
      </c>
      <c r="P961" s="35">
        <v>0</v>
      </c>
      <c r="R961" s="37">
        <f t="shared" si="169"/>
        <v>0</v>
      </c>
      <c r="X961" s="28"/>
      <c r="Y961" s="28"/>
    </row>
    <row r="962" spans="1:25" s="4" customFormat="1">
      <c r="A962" s="31"/>
      <c r="B962" s="8" t="s">
        <v>2</v>
      </c>
      <c r="C962" s="7">
        <v>2024</v>
      </c>
      <c r="D962" s="8" t="s">
        <v>240</v>
      </c>
      <c r="E962" s="8" t="s">
        <v>46</v>
      </c>
      <c r="F962" s="6">
        <v>13997988</v>
      </c>
      <c r="G962" s="38">
        <v>0</v>
      </c>
      <c r="H962" s="33">
        <f t="shared" si="164"/>
        <v>0</v>
      </c>
      <c r="I962" s="40" t="s">
        <v>4</v>
      </c>
      <c r="J962" s="35">
        <v>0</v>
      </c>
      <c r="K962" s="36">
        <v>0</v>
      </c>
      <c r="L962" s="35">
        <v>12358584</v>
      </c>
      <c r="M962" s="35">
        <v>0</v>
      </c>
      <c r="N962" s="35">
        <v>0</v>
      </c>
      <c r="O962" s="35">
        <v>1639404</v>
      </c>
      <c r="P962" s="35">
        <v>0</v>
      </c>
      <c r="R962" s="37">
        <f t="shared" si="169"/>
        <v>0</v>
      </c>
      <c r="X962" s="28"/>
      <c r="Y962" s="28"/>
    </row>
    <row r="963" spans="1:25" s="4" customFormat="1">
      <c r="A963" s="31"/>
      <c r="B963" s="8" t="s">
        <v>2</v>
      </c>
      <c r="C963" s="7">
        <v>2024</v>
      </c>
      <c r="D963" s="8" t="s">
        <v>241</v>
      </c>
      <c r="E963" s="8" t="s">
        <v>264</v>
      </c>
      <c r="F963" s="6">
        <v>30525000</v>
      </c>
      <c r="G963" s="38">
        <v>0</v>
      </c>
      <c r="H963" s="33">
        <f t="shared" si="164"/>
        <v>0</v>
      </c>
      <c r="I963" s="40" t="s">
        <v>4</v>
      </c>
      <c r="J963" s="35">
        <v>0</v>
      </c>
      <c r="K963" s="36">
        <v>26950000</v>
      </c>
      <c r="L963" s="35">
        <v>0</v>
      </c>
      <c r="M963" s="35">
        <v>0</v>
      </c>
      <c r="N963" s="35">
        <v>0</v>
      </c>
      <c r="O963" s="35">
        <v>3575000</v>
      </c>
      <c r="P963" s="35">
        <v>0</v>
      </c>
      <c r="R963" s="37">
        <f t="shared" si="169"/>
        <v>0</v>
      </c>
      <c r="X963" s="28"/>
      <c r="Y963" s="28"/>
    </row>
    <row r="964" spans="1:25" s="4" customFormat="1">
      <c r="A964" s="31"/>
      <c r="B964" s="8" t="s">
        <v>2</v>
      </c>
      <c r="C964" s="7">
        <v>2024</v>
      </c>
      <c r="D964" s="8" t="s">
        <v>242</v>
      </c>
      <c r="E964" s="8" t="s">
        <v>49</v>
      </c>
      <c r="F964" s="6">
        <v>30645879</v>
      </c>
      <c r="G964" s="38">
        <v>0</v>
      </c>
      <c r="H964" s="33">
        <f t="shared" si="164"/>
        <v>0</v>
      </c>
      <c r="I964" s="40" t="s">
        <v>4</v>
      </c>
      <c r="J964" s="35">
        <v>0</v>
      </c>
      <c r="K964" s="36">
        <v>0</v>
      </c>
      <c r="L964" s="35">
        <v>27053822</v>
      </c>
      <c r="M964" s="35">
        <v>0</v>
      </c>
      <c r="N964" s="35">
        <v>0</v>
      </c>
      <c r="O964" s="35">
        <v>3592057</v>
      </c>
      <c r="P964" s="35">
        <v>0</v>
      </c>
      <c r="R964" s="37">
        <f t="shared" si="169"/>
        <v>0</v>
      </c>
      <c r="X964" s="28"/>
      <c r="Y964" s="28"/>
    </row>
    <row r="965" spans="1:25" s="4" customFormat="1">
      <c r="A965" s="31"/>
      <c r="B965" s="8" t="s">
        <v>2</v>
      </c>
      <c r="C965" s="7">
        <v>2024</v>
      </c>
      <c r="D965" s="8" t="s">
        <v>243</v>
      </c>
      <c r="E965" s="8" t="s">
        <v>63</v>
      </c>
      <c r="F965" s="6">
        <v>19715820</v>
      </c>
      <c r="G965" s="38">
        <v>0</v>
      </c>
      <c r="H965" s="33">
        <f t="shared" ref="H965:H995" si="170">G965*$H$4/$E$999</f>
        <v>0</v>
      </c>
      <c r="I965" s="40" t="s">
        <v>4</v>
      </c>
      <c r="J965" s="35">
        <v>0</v>
      </c>
      <c r="K965" s="36">
        <v>0</v>
      </c>
      <c r="L965" s="35">
        <v>17406760</v>
      </c>
      <c r="M965" s="35">
        <v>0</v>
      </c>
      <c r="N965" s="35">
        <v>0</v>
      </c>
      <c r="O965" s="35">
        <v>2309060</v>
      </c>
      <c r="P965" s="35">
        <v>0</v>
      </c>
      <c r="R965" s="37">
        <f t="shared" si="169"/>
        <v>0</v>
      </c>
      <c r="X965" s="28"/>
      <c r="Y965" s="28"/>
    </row>
    <row r="966" spans="1:25" s="4" customFormat="1">
      <c r="A966" s="41"/>
      <c r="B966" s="20" t="s">
        <v>2</v>
      </c>
      <c r="C966" s="42">
        <v>2024</v>
      </c>
      <c r="D966" s="20" t="s">
        <v>244</v>
      </c>
      <c r="E966" s="20" t="s">
        <v>47</v>
      </c>
      <c r="F966" s="74">
        <v>102076710</v>
      </c>
      <c r="G966" s="38">
        <v>0</v>
      </c>
      <c r="H966" s="33">
        <f t="shared" si="170"/>
        <v>0</v>
      </c>
      <c r="I966" s="48" t="s">
        <v>57</v>
      </c>
      <c r="J966" s="35">
        <v>0</v>
      </c>
      <c r="K966" s="36">
        <v>0</v>
      </c>
      <c r="L966" s="35">
        <v>90121780</v>
      </c>
      <c r="M966" s="35">
        <v>0</v>
      </c>
      <c r="N966" s="35">
        <v>0</v>
      </c>
      <c r="O966" s="35">
        <v>11954930</v>
      </c>
      <c r="P966" s="35">
        <v>0</v>
      </c>
      <c r="Q966" s="13"/>
      <c r="R966" s="37">
        <f t="shared" si="169"/>
        <v>0</v>
      </c>
      <c r="S966" s="13"/>
      <c r="T966" s="13"/>
      <c r="U966" s="13"/>
      <c r="V966" s="13"/>
      <c r="W966" s="13"/>
      <c r="X966" s="43"/>
      <c r="Y966" s="43"/>
    </row>
    <row r="967" spans="1:25" s="4" customFormat="1">
      <c r="A967" s="41"/>
      <c r="B967" s="20" t="s">
        <v>2</v>
      </c>
      <c r="C967" s="42">
        <v>2024</v>
      </c>
      <c r="D967" s="20" t="s">
        <v>164</v>
      </c>
      <c r="E967" s="20" t="s">
        <v>34</v>
      </c>
      <c r="F967" s="74">
        <v>31474414</v>
      </c>
      <c r="G967" s="38">
        <v>0</v>
      </c>
      <c r="H967" s="33">
        <f t="shared" si="170"/>
        <v>0</v>
      </c>
      <c r="I967" s="48" t="s">
        <v>57</v>
      </c>
      <c r="J967" s="35">
        <v>0</v>
      </c>
      <c r="K967" s="36">
        <v>0</v>
      </c>
      <c r="L967" s="35">
        <v>27788222</v>
      </c>
      <c r="M967" s="35">
        <v>0</v>
      </c>
      <c r="N967" s="35">
        <v>0</v>
      </c>
      <c r="O967" s="35">
        <v>3686192</v>
      </c>
      <c r="P967" s="35">
        <v>0</v>
      </c>
      <c r="Q967" s="13"/>
      <c r="R967" s="37">
        <f t="shared" si="169"/>
        <v>0</v>
      </c>
      <c r="S967" s="13"/>
      <c r="T967" s="13"/>
      <c r="U967" s="13"/>
      <c r="V967" s="13"/>
      <c r="W967" s="13"/>
      <c r="X967" s="43"/>
      <c r="Y967" s="43"/>
    </row>
    <row r="968" spans="1:25" s="4" customFormat="1">
      <c r="A968" s="31"/>
      <c r="B968" s="8" t="s">
        <v>2</v>
      </c>
      <c r="C968" s="7">
        <v>2024</v>
      </c>
      <c r="D968" s="8" t="s">
        <v>165</v>
      </c>
      <c r="E968" s="8" t="s">
        <v>265</v>
      </c>
      <c r="F968" s="6">
        <v>125898209</v>
      </c>
      <c r="G968" s="38">
        <v>0</v>
      </c>
      <c r="H968" s="33">
        <f t="shared" si="170"/>
        <v>0</v>
      </c>
      <c r="I968" s="40" t="s">
        <v>4</v>
      </c>
      <c r="J968" s="35">
        <v>0</v>
      </c>
      <c r="K968" s="36">
        <v>0</v>
      </c>
      <c r="L968" s="35">
        <v>111153374</v>
      </c>
      <c r="M968" s="35">
        <v>0</v>
      </c>
      <c r="N968" s="35">
        <v>0</v>
      </c>
      <c r="O968" s="35">
        <v>14744835</v>
      </c>
      <c r="P968" s="35">
        <v>0</v>
      </c>
      <c r="R968" s="37">
        <f t="shared" si="169"/>
        <v>0</v>
      </c>
      <c r="X968" s="28"/>
      <c r="Y968" s="28"/>
    </row>
    <row r="969" spans="1:25" s="4" customFormat="1">
      <c r="A969" s="31"/>
      <c r="B969" s="8" t="s">
        <v>2</v>
      </c>
      <c r="C969" s="7">
        <v>2024</v>
      </c>
      <c r="D969" s="8" t="s">
        <v>245</v>
      </c>
      <c r="E969" s="8" t="s">
        <v>62</v>
      </c>
      <c r="F969" s="6">
        <v>92716188</v>
      </c>
      <c r="G969" s="38">
        <v>0</v>
      </c>
      <c r="H969" s="33">
        <f t="shared" si="170"/>
        <v>0</v>
      </c>
      <c r="I969" s="40" t="s">
        <v>4</v>
      </c>
      <c r="J969" s="35">
        <v>0</v>
      </c>
      <c r="K969" s="36">
        <v>0</v>
      </c>
      <c r="L969" s="35">
        <v>81857535</v>
      </c>
      <c r="M969" s="35">
        <v>0</v>
      </c>
      <c r="N969" s="35">
        <v>0</v>
      </c>
      <c r="O969" s="35">
        <v>10858653</v>
      </c>
      <c r="P969" s="35">
        <v>0</v>
      </c>
      <c r="R969" s="37">
        <f t="shared" si="169"/>
        <v>0</v>
      </c>
      <c r="X969" s="28"/>
      <c r="Y969" s="28"/>
    </row>
    <row r="970" spans="1:25" s="4" customFormat="1">
      <c r="A970" s="31"/>
      <c r="B970" s="8" t="s">
        <v>2</v>
      </c>
      <c r="C970" s="7">
        <v>2024</v>
      </c>
      <c r="D970" s="8" t="s">
        <v>246</v>
      </c>
      <c r="E970" s="8" t="s">
        <v>64</v>
      </c>
      <c r="F970" s="6">
        <v>233737596</v>
      </c>
      <c r="G970" s="38">
        <v>0</v>
      </c>
      <c r="H970" s="33">
        <f t="shared" si="170"/>
        <v>0</v>
      </c>
      <c r="I970" s="40" t="s">
        <v>4</v>
      </c>
      <c r="J970" s="35">
        <v>0</v>
      </c>
      <c r="K970" s="36">
        <v>0</v>
      </c>
      <c r="L970" s="35">
        <v>206362923</v>
      </c>
      <c r="M970" s="35">
        <v>0</v>
      </c>
      <c r="N970" s="35">
        <v>0</v>
      </c>
      <c r="O970" s="35">
        <v>27374673</v>
      </c>
      <c r="P970" s="35">
        <v>0</v>
      </c>
      <c r="R970" s="37">
        <f t="shared" si="169"/>
        <v>0</v>
      </c>
      <c r="X970" s="28"/>
      <c r="Y970" s="28"/>
    </row>
    <row r="971" spans="1:25" s="4" customFormat="1">
      <c r="A971" s="41"/>
      <c r="B971" s="20" t="s">
        <v>2</v>
      </c>
      <c r="C971" s="42">
        <v>2024</v>
      </c>
      <c r="D971" s="20" t="s">
        <v>247</v>
      </c>
      <c r="E971" s="20" t="s">
        <v>265</v>
      </c>
      <c r="F971" s="74">
        <v>100992971</v>
      </c>
      <c r="G971" s="38">
        <v>0</v>
      </c>
      <c r="H971" s="33">
        <f t="shared" si="170"/>
        <v>0</v>
      </c>
      <c r="I971" s="48" t="s">
        <v>57</v>
      </c>
      <c r="J971" s="35">
        <v>0</v>
      </c>
      <c r="K971" s="36">
        <v>0</v>
      </c>
      <c r="L971" s="35">
        <v>89164966</v>
      </c>
      <c r="M971" s="35">
        <v>0</v>
      </c>
      <c r="N971" s="35">
        <v>0</v>
      </c>
      <c r="O971" s="35">
        <v>11828005</v>
      </c>
      <c r="P971" s="35">
        <v>0</v>
      </c>
      <c r="Q971" s="13"/>
      <c r="R971" s="37">
        <f t="shared" si="169"/>
        <v>0</v>
      </c>
      <c r="S971" s="13"/>
      <c r="T971" s="13"/>
      <c r="U971" s="13"/>
      <c r="V971" s="13"/>
      <c r="W971" s="13"/>
      <c r="X971" s="43"/>
      <c r="Y971" s="43"/>
    </row>
    <row r="972" spans="1:25" s="4" customFormat="1">
      <c r="A972" s="41"/>
      <c r="B972" s="20" t="s">
        <v>2</v>
      </c>
      <c r="C972" s="42">
        <v>2024</v>
      </c>
      <c r="D972" s="20" t="s">
        <v>248</v>
      </c>
      <c r="E972" s="20" t="s">
        <v>41</v>
      </c>
      <c r="F972" s="74">
        <v>15072555</v>
      </c>
      <c r="G972" s="38">
        <v>0</v>
      </c>
      <c r="H972" s="33">
        <f t="shared" si="170"/>
        <v>0</v>
      </c>
      <c r="I972" s="48" t="s">
        <v>57</v>
      </c>
      <c r="J972" s="35">
        <v>15072555</v>
      </c>
      <c r="K972" s="36">
        <v>0</v>
      </c>
      <c r="L972" s="35">
        <v>0</v>
      </c>
      <c r="M972" s="35">
        <v>0</v>
      </c>
      <c r="N972" s="35">
        <v>0</v>
      </c>
      <c r="O972" s="35">
        <v>0</v>
      </c>
      <c r="P972" s="35">
        <v>0</v>
      </c>
      <c r="Q972" s="13"/>
      <c r="R972" s="37">
        <f t="shared" si="169"/>
        <v>0</v>
      </c>
      <c r="S972" s="13"/>
      <c r="T972" s="13"/>
      <c r="U972" s="13"/>
      <c r="V972" s="13"/>
      <c r="W972" s="13"/>
      <c r="X972" s="43"/>
      <c r="Y972" s="43"/>
    </row>
    <row r="973" spans="1:25" s="4" customFormat="1">
      <c r="A973" s="31"/>
      <c r="B973" s="8" t="s">
        <v>2</v>
      </c>
      <c r="C973" s="7">
        <v>2024</v>
      </c>
      <c r="D973" s="8" t="s">
        <v>249</v>
      </c>
      <c r="E973" s="8" t="s">
        <v>35</v>
      </c>
      <c r="F973" s="6">
        <v>17200355</v>
      </c>
      <c r="G973" s="38">
        <v>0</v>
      </c>
      <c r="H973" s="33">
        <f t="shared" si="170"/>
        <v>0</v>
      </c>
      <c r="I973" s="40" t="s">
        <v>4</v>
      </c>
      <c r="J973" s="35">
        <v>17200355</v>
      </c>
      <c r="K973" s="36">
        <v>0</v>
      </c>
      <c r="L973" s="35">
        <v>0</v>
      </c>
      <c r="M973" s="35">
        <v>0</v>
      </c>
      <c r="N973" s="35">
        <v>0</v>
      </c>
      <c r="O973" s="35">
        <v>0</v>
      </c>
      <c r="P973" s="35">
        <v>0</v>
      </c>
      <c r="R973" s="37">
        <f t="shared" si="169"/>
        <v>0</v>
      </c>
      <c r="X973" s="28"/>
      <c r="Y973" s="28"/>
    </row>
    <row r="974" spans="1:25" s="4" customFormat="1">
      <c r="A974" s="31"/>
      <c r="B974" s="8" t="s">
        <v>2</v>
      </c>
      <c r="C974" s="7">
        <v>2024</v>
      </c>
      <c r="D974" s="8" t="s">
        <v>250</v>
      </c>
      <c r="E974" s="8" t="s">
        <v>31</v>
      </c>
      <c r="F974" s="6">
        <v>1252274</v>
      </c>
      <c r="G974" s="38">
        <v>0</v>
      </c>
      <c r="H974" s="33">
        <f t="shared" si="170"/>
        <v>0</v>
      </c>
      <c r="I974" s="40" t="s">
        <v>4</v>
      </c>
      <c r="J974" s="35">
        <v>1252274</v>
      </c>
      <c r="K974" s="36">
        <v>0</v>
      </c>
      <c r="L974" s="35">
        <v>0</v>
      </c>
      <c r="M974" s="35">
        <v>0</v>
      </c>
      <c r="N974" s="35">
        <v>0</v>
      </c>
      <c r="O974" s="35">
        <v>0</v>
      </c>
      <c r="P974" s="35">
        <v>0</v>
      </c>
      <c r="R974" s="37">
        <f t="shared" si="169"/>
        <v>0</v>
      </c>
      <c r="X974" s="28"/>
      <c r="Y974" s="28"/>
    </row>
    <row r="975" spans="1:25" s="4" customFormat="1">
      <c r="A975" s="31"/>
      <c r="B975" s="8" t="s">
        <v>2</v>
      </c>
      <c r="C975" s="7">
        <v>2024</v>
      </c>
      <c r="D975" s="8" t="s">
        <v>834</v>
      </c>
      <c r="E975" s="8" t="s">
        <v>253</v>
      </c>
      <c r="F975" s="6">
        <v>96910770</v>
      </c>
      <c r="G975" s="38">
        <v>0</v>
      </c>
      <c r="H975" s="33">
        <f t="shared" si="170"/>
        <v>0</v>
      </c>
      <c r="I975" s="40" t="s">
        <v>4</v>
      </c>
      <c r="J975" s="35">
        <v>0</v>
      </c>
      <c r="K975" s="36">
        <v>0</v>
      </c>
      <c r="L975" s="35">
        <v>0</v>
      </c>
      <c r="M975" s="35">
        <v>0</v>
      </c>
      <c r="N975" s="35">
        <v>0</v>
      </c>
      <c r="O975" s="35">
        <v>0</v>
      </c>
      <c r="P975" s="35">
        <v>0</v>
      </c>
      <c r="R975" s="37">
        <f t="shared" ref="R975" si="171">F975-J975-K975-L975-M975-N975-O975</f>
        <v>96910770</v>
      </c>
      <c r="X975" s="28"/>
      <c r="Y975" s="28"/>
    </row>
    <row r="976" spans="1:25" s="4" customFormat="1">
      <c r="A976" s="31"/>
      <c r="B976" s="8" t="s">
        <v>2</v>
      </c>
      <c r="C976" s="7">
        <v>2024</v>
      </c>
      <c r="D976" s="8" t="s">
        <v>835</v>
      </c>
      <c r="E976" s="8" t="s">
        <v>253</v>
      </c>
      <c r="F976" s="6">
        <v>99389400</v>
      </c>
      <c r="G976" s="38">
        <v>0</v>
      </c>
      <c r="H976" s="33">
        <f t="shared" si="170"/>
        <v>0</v>
      </c>
      <c r="I976" s="40" t="s">
        <v>4</v>
      </c>
      <c r="J976" s="35">
        <v>0</v>
      </c>
      <c r="K976" s="36">
        <v>0</v>
      </c>
      <c r="L976" s="35">
        <v>0</v>
      </c>
      <c r="M976" s="35">
        <v>0</v>
      </c>
      <c r="N976" s="35">
        <v>0</v>
      </c>
      <c r="O976" s="35">
        <v>0</v>
      </c>
      <c r="P976" s="35">
        <v>0</v>
      </c>
      <c r="R976" s="37">
        <f t="shared" si="169"/>
        <v>99389400</v>
      </c>
      <c r="X976" s="28"/>
      <c r="Y976" s="28"/>
    </row>
    <row r="977" spans="1:25" s="4" customFormat="1">
      <c r="A977" s="31"/>
      <c r="B977" s="8" t="s">
        <v>2</v>
      </c>
      <c r="C977" s="7">
        <v>2025</v>
      </c>
      <c r="D977" s="8" t="s">
        <v>88</v>
      </c>
      <c r="E977" s="8" t="s">
        <v>83</v>
      </c>
      <c r="F977" s="6">
        <v>15300897</v>
      </c>
      <c r="G977" s="38">
        <v>0</v>
      </c>
      <c r="H977" s="33">
        <f t="shared" si="170"/>
        <v>0</v>
      </c>
      <c r="I977" s="40" t="s">
        <v>4</v>
      </c>
      <c r="J977" s="35">
        <v>0</v>
      </c>
      <c r="K977" s="36">
        <v>0</v>
      </c>
      <c r="L977" s="35">
        <v>0</v>
      </c>
      <c r="M977" s="35">
        <v>0</v>
      </c>
      <c r="N977" s="35">
        <v>0</v>
      </c>
      <c r="O977" s="35">
        <v>0</v>
      </c>
      <c r="P977" s="35">
        <v>0</v>
      </c>
      <c r="R977" s="37">
        <f t="shared" si="169"/>
        <v>15300897</v>
      </c>
      <c r="X977" s="28"/>
      <c r="Y977" s="28"/>
    </row>
    <row r="978" spans="1:25" s="4" customFormat="1">
      <c r="A978" s="31"/>
      <c r="B978" s="8" t="s">
        <v>2</v>
      </c>
      <c r="C978" s="7">
        <v>2025</v>
      </c>
      <c r="D978" s="8" t="s">
        <v>89</v>
      </c>
      <c r="E978" s="8" t="s">
        <v>83</v>
      </c>
      <c r="F978" s="6">
        <v>7650449</v>
      </c>
      <c r="G978" s="38">
        <v>0</v>
      </c>
      <c r="H978" s="33">
        <f t="shared" si="170"/>
        <v>0</v>
      </c>
      <c r="I978" s="40" t="s">
        <v>4</v>
      </c>
      <c r="J978" s="35">
        <v>0</v>
      </c>
      <c r="K978" s="36">
        <v>0</v>
      </c>
      <c r="L978" s="35">
        <v>0</v>
      </c>
      <c r="M978" s="35">
        <v>0</v>
      </c>
      <c r="N978" s="35">
        <v>0</v>
      </c>
      <c r="O978" s="35">
        <v>0</v>
      </c>
      <c r="P978" s="35">
        <v>0</v>
      </c>
      <c r="R978" s="37">
        <f t="shared" ref="R978:R982" si="172">F978-J978-K978-L978-M978-N978-O978</f>
        <v>7650449</v>
      </c>
      <c r="X978" s="28"/>
      <c r="Y978" s="28"/>
    </row>
    <row r="979" spans="1:25" s="4" customFormat="1">
      <c r="A979" s="31"/>
      <c r="B979" s="8" t="s">
        <v>2</v>
      </c>
      <c r="C979" s="7">
        <v>2025</v>
      </c>
      <c r="D979" s="8" t="s">
        <v>447</v>
      </c>
      <c r="E979" s="8" t="s">
        <v>84</v>
      </c>
      <c r="F979" s="6">
        <v>69959230</v>
      </c>
      <c r="G979" s="38">
        <v>0</v>
      </c>
      <c r="H979" s="33">
        <f t="shared" si="170"/>
        <v>0</v>
      </c>
      <c r="I979" s="40" t="s">
        <v>4</v>
      </c>
      <c r="J979" s="35">
        <v>0</v>
      </c>
      <c r="K979" s="36">
        <v>0</v>
      </c>
      <c r="L979" s="35">
        <v>0</v>
      </c>
      <c r="M979" s="35">
        <v>0</v>
      </c>
      <c r="N979" s="35">
        <v>0</v>
      </c>
      <c r="O979" s="35">
        <v>0</v>
      </c>
      <c r="P979" s="35">
        <v>0</v>
      </c>
      <c r="R979" s="37">
        <f t="shared" si="172"/>
        <v>69959230</v>
      </c>
      <c r="X979" s="28"/>
      <c r="Y979" s="28"/>
    </row>
    <row r="980" spans="1:25" s="4" customFormat="1">
      <c r="A980" s="31"/>
      <c r="B980" s="8" t="s">
        <v>2</v>
      </c>
      <c r="C980" s="7">
        <v>2025</v>
      </c>
      <c r="D980" s="8" t="s">
        <v>374</v>
      </c>
      <c r="E980" s="8" t="s">
        <v>81</v>
      </c>
      <c r="F980" s="6">
        <v>19872913</v>
      </c>
      <c r="G980" s="38">
        <v>0</v>
      </c>
      <c r="H980" s="33">
        <f t="shared" si="170"/>
        <v>0</v>
      </c>
      <c r="I980" s="40" t="s">
        <v>4</v>
      </c>
      <c r="J980" s="35">
        <v>0</v>
      </c>
      <c r="K980" s="36">
        <v>0</v>
      </c>
      <c r="L980" s="35">
        <v>0</v>
      </c>
      <c r="M980" s="35">
        <v>0</v>
      </c>
      <c r="N980" s="35">
        <v>0</v>
      </c>
      <c r="O980" s="35">
        <v>0</v>
      </c>
      <c r="P980" s="35">
        <v>0</v>
      </c>
      <c r="R980" s="37">
        <f t="shared" si="172"/>
        <v>19872913</v>
      </c>
      <c r="X980" s="28"/>
      <c r="Y980" s="28"/>
    </row>
    <row r="981" spans="1:25" s="4" customFormat="1">
      <c r="A981" s="31"/>
      <c r="B981" s="8" t="s">
        <v>2</v>
      </c>
      <c r="C981" s="7">
        <v>2025</v>
      </c>
      <c r="D981" s="8" t="s">
        <v>448</v>
      </c>
      <c r="E981" s="8" t="s">
        <v>83</v>
      </c>
      <c r="F981" s="6">
        <v>5981667</v>
      </c>
      <c r="G981" s="38">
        <v>0</v>
      </c>
      <c r="H981" s="33">
        <f t="shared" si="170"/>
        <v>0</v>
      </c>
      <c r="I981" s="40" t="s">
        <v>4</v>
      </c>
      <c r="J981" s="35">
        <v>0</v>
      </c>
      <c r="K981" s="36">
        <v>0</v>
      </c>
      <c r="L981" s="35">
        <v>0</v>
      </c>
      <c r="M981" s="35">
        <v>0</v>
      </c>
      <c r="N981" s="35">
        <v>0</v>
      </c>
      <c r="O981" s="35">
        <v>0</v>
      </c>
      <c r="P981" s="35">
        <v>0</v>
      </c>
      <c r="R981" s="37">
        <f t="shared" si="172"/>
        <v>5981667</v>
      </c>
      <c r="X981" s="28"/>
      <c r="Y981" s="28"/>
    </row>
    <row r="982" spans="1:25" s="4" customFormat="1">
      <c r="A982" s="31"/>
      <c r="B982" s="8" t="s">
        <v>2</v>
      </c>
      <c r="C982" s="7">
        <v>2025</v>
      </c>
      <c r="D982" s="8" t="s">
        <v>747</v>
      </c>
      <c r="E982" s="8" t="s">
        <v>502</v>
      </c>
      <c r="F982" s="6">
        <v>363036704</v>
      </c>
      <c r="G982" s="38">
        <v>0</v>
      </c>
      <c r="H982" s="33">
        <f t="shared" si="170"/>
        <v>0</v>
      </c>
      <c r="I982" s="40" t="s">
        <v>4</v>
      </c>
      <c r="J982" s="35">
        <v>0</v>
      </c>
      <c r="K982" s="36">
        <v>0</v>
      </c>
      <c r="L982" s="35">
        <v>0</v>
      </c>
      <c r="M982" s="35">
        <v>0</v>
      </c>
      <c r="N982" s="35">
        <v>0</v>
      </c>
      <c r="O982" s="35">
        <v>0</v>
      </c>
      <c r="P982" s="35">
        <v>0</v>
      </c>
      <c r="R982" s="37">
        <f t="shared" si="172"/>
        <v>363036704</v>
      </c>
      <c r="X982" s="28"/>
      <c r="Y982" s="28"/>
    </row>
    <row r="983" spans="1:25" s="4" customFormat="1">
      <c r="A983" s="31"/>
      <c r="B983" s="8" t="s">
        <v>2</v>
      </c>
      <c r="C983" s="7">
        <v>2025</v>
      </c>
      <c r="D983" s="8" t="s">
        <v>1088</v>
      </c>
      <c r="E983" s="8" t="s">
        <v>1089</v>
      </c>
      <c r="F983" s="6">
        <v>92790562</v>
      </c>
      <c r="G983" s="38">
        <v>0</v>
      </c>
      <c r="H983" s="33">
        <f t="shared" si="170"/>
        <v>0</v>
      </c>
      <c r="I983" s="40" t="s">
        <v>4</v>
      </c>
      <c r="J983" s="35">
        <v>0</v>
      </c>
      <c r="K983" s="36">
        <v>0</v>
      </c>
      <c r="L983" s="35">
        <v>0</v>
      </c>
      <c r="M983" s="35">
        <v>0</v>
      </c>
      <c r="N983" s="35">
        <v>0</v>
      </c>
      <c r="O983" s="35">
        <v>0</v>
      </c>
      <c r="P983" s="35">
        <v>0</v>
      </c>
      <c r="R983" s="37">
        <f t="shared" ref="R983" si="173">F983-J983-K983-L983-M983-N983-O983</f>
        <v>92790562</v>
      </c>
      <c r="X983" s="28"/>
      <c r="Y983" s="28"/>
    </row>
    <row r="984" spans="1:25" s="4" customFormat="1">
      <c r="A984" s="31"/>
      <c r="B984" s="8" t="s">
        <v>2</v>
      </c>
      <c r="C984" s="7">
        <v>2025</v>
      </c>
      <c r="D984" s="8" t="s">
        <v>911</v>
      </c>
      <c r="E984" s="8" t="s">
        <v>91</v>
      </c>
      <c r="F984" s="6">
        <v>145483307</v>
      </c>
      <c r="G984" s="38">
        <v>0</v>
      </c>
      <c r="H984" s="33">
        <f t="shared" si="170"/>
        <v>0</v>
      </c>
      <c r="I984" s="40" t="s">
        <v>4</v>
      </c>
      <c r="J984" s="35">
        <v>0</v>
      </c>
      <c r="K984" s="36">
        <v>0</v>
      </c>
      <c r="L984" s="35">
        <v>0</v>
      </c>
      <c r="M984" s="35">
        <v>0</v>
      </c>
      <c r="N984" s="35">
        <v>0</v>
      </c>
      <c r="O984" s="35">
        <v>0</v>
      </c>
      <c r="P984" s="35">
        <v>0</v>
      </c>
      <c r="R984" s="37">
        <f t="shared" si="169"/>
        <v>145483307</v>
      </c>
      <c r="X984" s="28"/>
      <c r="Y984" s="28"/>
    </row>
    <row r="985" spans="1:25" s="4" customFormat="1">
      <c r="A985" s="31"/>
      <c r="B985" s="8" t="s">
        <v>2</v>
      </c>
      <c r="C985" s="7">
        <v>2025</v>
      </c>
      <c r="D985" s="8" t="s">
        <v>822</v>
      </c>
      <c r="E985" s="8" t="s">
        <v>909</v>
      </c>
      <c r="F985" s="6">
        <v>171794700</v>
      </c>
      <c r="G985" s="38">
        <v>0</v>
      </c>
      <c r="H985" s="33">
        <f t="shared" si="170"/>
        <v>0</v>
      </c>
      <c r="I985" s="40" t="s">
        <v>4</v>
      </c>
      <c r="J985" s="35">
        <v>0</v>
      </c>
      <c r="K985" s="36">
        <v>0</v>
      </c>
      <c r="L985" s="35">
        <v>0</v>
      </c>
      <c r="M985" s="35">
        <v>0</v>
      </c>
      <c r="N985" s="35">
        <v>0</v>
      </c>
      <c r="O985" s="35">
        <v>0</v>
      </c>
      <c r="P985" s="35">
        <v>0</v>
      </c>
      <c r="R985" s="37">
        <f t="shared" si="169"/>
        <v>171794700</v>
      </c>
      <c r="X985" s="28"/>
      <c r="Y985" s="28"/>
    </row>
    <row r="986" spans="1:25" s="4" customFormat="1">
      <c r="A986" s="31"/>
      <c r="B986" s="8" t="s">
        <v>2</v>
      </c>
      <c r="C986" s="7">
        <v>2025</v>
      </c>
      <c r="D986" s="8" t="s">
        <v>824</v>
      </c>
      <c r="E986" s="8" t="s">
        <v>825</v>
      </c>
      <c r="F986" s="6">
        <v>47788297</v>
      </c>
      <c r="G986" s="38">
        <v>0</v>
      </c>
      <c r="H986" s="33">
        <f t="shared" si="170"/>
        <v>0</v>
      </c>
      <c r="I986" s="40" t="s">
        <v>4</v>
      </c>
      <c r="J986" s="35">
        <v>0</v>
      </c>
      <c r="K986" s="36">
        <v>0</v>
      </c>
      <c r="L986" s="35">
        <v>0</v>
      </c>
      <c r="M986" s="35">
        <v>0</v>
      </c>
      <c r="N986" s="35">
        <v>0</v>
      </c>
      <c r="O986" s="35">
        <v>0</v>
      </c>
      <c r="P986" s="35">
        <v>0</v>
      </c>
      <c r="R986" s="37">
        <f t="shared" si="169"/>
        <v>47788297</v>
      </c>
      <c r="X986" s="28"/>
      <c r="Y986" s="28"/>
    </row>
    <row r="987" spans="1:25" s="4" customFormat="1">
      <c r="A987" s="31"/>
      <c r="B987" s="8" t="s">
        <v>2</v>
      </c>
      <c r="C987" s="7">
        <v>2025</v>
      </c>
      <c r="D987" s="8" t="s">
        <v>856</v>
      </c>
      <c r="E987" s="8" t="s">
        <v>784</v>
      </c>
      <c r="F987" s="6">
        <v>110715612</v>
      </c>
      <c r="G987" s="38">
        <v>0</v>
      </c>
      <c r="H987" s="33">
        <f t="shared" si="170"/>
        <v>0</v>
      </c>
      <c r="I987" s="40" t="s">
        <v>4</v>
      </c>
      <c r="J987" s="35">
        <v>0</v>
      </c>
      <c r="K987" s="36">
        <v>0</v>
      </c>
      <c r="L987" s="35">
        <v>0</v>
      </c>
      <c r="M987" s="35">
        <v>0</v>
      </c>
      <c r="N987" s="35">
        <v>0</v>
      </c>
      <c r="O987" s="35">
        <v>0</v>
      </c>
      <c r="P987" s="35">
        <v>0</v>
      </c>
      <c r="R987" s="37">
        <f t="shared" si="169"/>
        <v>110715612</v>
      </c>
      <c r="X987" s="28"/>
      <c r="Y987" s="28"/>
    </row>
    <row r="988" spans="1:25" s="4" customFormat="1">
      <c r="A988" s="31"/>
      <c r="B988" s="8" t="s">
        <v>2</v>
      </c>
      <c r="C988" s="7">
        <v>2025</v>
      </c>
      <c r="D988" s="8" t="s">
        <v>1085</v>
      </c>
      <c r="E988" s="8" t="s">
        <v>784</v>
      </c>
      <c r="F988" s="6">
        <v>5344650</v>
      </c>
      <c r="G988" s="38">
        <v>0</v>
      </c>
      <c r="H988" s="33">
        <f t="shared" si="170"/>
        <v>0</v>
      </c>
      <c r="I988" s="40" t="s">
        <v>4</v>
      </c>
      <c r="J988" s="35">
        <v>0</v>
      </c>
      <c r="K988" s="36">
        <v>0</v>
      </c>
      <c r="L988" s="35">
        <v>0</v>
      </c>
      <c r="M988" s="35">
        <v>0</v>
      </c>
      <c r="N988" s="35">
        <v>0</v>
      </c>
      <c r="O988" s="35">
        <v>0</v>
      </c>
      <c r="P988" s="35">
        <v>0</v>
      </c>
      <c r="R988" s="37">
        <f t="shared" ref="R988" si="174">F988-J988-K988-L988-M988-N988-O988</f>
        <v>5344650</v>
      </c>
      <c r="X988" s="28"/>
      <c r="Y988" s="28"/>
    </row>
    <row r="989" spans="1:25" s="4" customFormat="1">
      <c r="A989" s="31"/>
      <c r="B989" s="8" t="s">
        <v>2</v>
      </c>
      <c r="C989" s="7">
        <v>2025</v>
      </c>
      <c r="D989" s="8" t="s">
        <v>826</v>
      </c>
      <c r="E989" s="8" t="s">
        <v>454</v>
      </c>
      <c r="F989" s="6">
        <v>82318331</v>
      </c>
      <c r="G989" s="38">
        <v>0</v>
      </c>
      <c r="H989" s="33">
        <f t="shared" si="170"/>
        <v>0</v>
      </c>
      <c r="I989" s="40" t="s">
        <v>4</v>
      </c>
      <c r="J989" s="35">
        <v>0</v>
      </c>
      <c r="K989" s="36">
        <v>0</v>
      </c>
      <c r="L989" s="35">
        <v>0</v>
      </c>
      <c r="M989" s="35">
        <v>0</v>
      </c>
      <c r="N989" s="35">
        <v>0</v>
      </c>
      <c r="O989" s="35">
        <v>0</v>
      </c>
      <c r="P989" s="35">
        <v>0</v>
      </c>
      <c r="R989" s="37">
        <f t="shared" si="169"/>
        <v>82318331</v>
      </c>
      <c r="X989" s="28"/>
      <c r="Y989" s="28"/>
    </row>
    <row r="990" spans="1:25" s="4" customFormat="1">
      <c r="A990" s="31"/>
      <c r="B990" s="8" t="s">
        <v>2</v>
      </c>
      <c r="C990" s="7">
        <v>2025</v>
      </c>
      <c r="D990" s="8" t="s">
        <v>912</v>
      </c>
      <c r="E990" s="8" t="s">
        <v>522</v>
      </c>
      <c r="F990" s="6">
        <v>12498105</v>
      </c>
      <c r="G990" s="38">
        <v>0</v>
      </c>
      <c r="H990" s="33">
        <f t="shared" si="170"/>
        <v>0</v>
      </c>
      <c r="I990" s="40" t="s">
        <v>4</v>
      </c>
      <c r="J990" s="35">
        <v>0</v>
      </c>
      <c r="K990" s="36">
        <v>0</v>
      </c>
      <c r="L990" s="35">
        <v>0</v>
      </c>
      <c r="M990" s="35">
        <v>0</v>
      </c>
      <c r="N990" s="35">
        <v>0</v>
      </c>
      <c r="O990" s="35">
        <v>0</v>
      </c>
      <c r="P990" s="35">
        <v>0</v>
      </c>
      <c r="R990" s="37">
        <f t="shared" si="169"/>
        <v>12498105</v>
      </c>
      <c r="X990" s="28"/>
      <c r="Y990" s="28"/>
    </row>
    <row r="991" spans="1:25" s="4" customFormat="1">
      <c r="A991" s="31"/>
      <c r="B991" s="8" t="s">
        <v>2</v>
      </c>
      <c r="C991" s="7">
        <v>2025</v>
      </c>
      <c r="D991" s="8" t="s">
        <v>1082</v>
      </c>
      <c r="E991" s="8" t="s">
        <v>1083</v>
      </c>
      <c r="F991" s="6">
        <v>24770289</v>
      </c>
      <c r="G991" s="38">
        <v>0</v>
      </c>
      <c r="H991" s="33">
        <f t="shared" si="170"/>
        <v>0</v>
      </c>
      <c r="I991" s="40" t="s">
        <v>4</v>
      </c>
      <c r="J991" s="35">
        <v>0</v>
      </c>
      <c r="K991" s="36">
        <v>0</v>
      </c>
      <c r="L991" s="35">
        <v>0</v>
      </c>
      <c r="M991" s="35">
        <v>0</v>
      </c>
      <c r="N991" s="35">
        <v>0</v>
      </c>
      <c r="O991" s="35">
        <v>0</v>
      </c>
      <c r="P991" s="35">
        <v>0</v>
      </c>
      <c r="R991" s="37">
        <f t="shared" si="169"/>
        <v>24770289</v>
      </c>
      <c r="X991" s="28"/>
      <c r="Y991" s="28"/>
    </row>
    <row r="992" spans="1:25" s="4" customFormat="1">
      <c r="A992" s="31"/>
      <c r="B992" s="8" t="s">
        <v>2</v>
      </c>
      <c r="C992" s="7">
        <v>2025</v>
      </c>
      <c r="D992" s="8" t="s">
        <v>823</v>
      </c>
      <c r="E992" s="8" t="s">
        <v>464</v>
      </c>
      <c r="F992" s="6">
        <v>67599339</v>
      </c>
      <c r="G992" s="38">
        <v>0</v>
      </c>
      <c r="H992" s="33">
        <f t="shared" si="170"/>
        <v>0</v>
      </c>
      <c r="I992" s="40" t="s">
        <v>4</v>
      </c>
      <c r="J992" s="35">
        <v>0</v>
      </c>
      <c r="K992" s="36">
        <v>0</v>
      </c>
      <c r="L992" s="35">
        <v>0</v>
      </c>
      <c r="M992" s="35">
        <v>0</v>
      </c>
      <c r="N992" s="35">
        <v>0</v>
      </c>
      <c r="O992" s="35">
        <v>0</v>
      </c>
      <c r="P992" s="35">
        <v>0</v>
      </c>
      <c r="R992" s="37">
        <f t="shared" si="169"/>
        <v>67599339</v>
      </c>
      <c r="X992" s="28"/>
      <c r="Y992" s="28"/>
    </row>
    <row r="993" spans="1:25" s="4" customFormat="1">
      <c r="A993" s="31"/>
      <c r="B993" s="8" t="s">
        <v>2</v>
      </c>
      <c r="C993" s="7">
        <v>2025</v>
      </c>
      <c r="D993" s="8" t="s">
        <v>748</v>
      </c>
      <c r="E993" s="8" t="s">
        <v>465</v>
      </c>
      <c r="F993" s="6">
        <v>31135500</v>
      </c>
      <c r="G993" s="38">
        <v>0</v>
      </c>
      <c r="H993" s="33">
        <f t="shared" si="170"/>
        <v>0</v>
      </c>
      <c r="I993" s="40" t="s">
        <v>4</v>
      </c>
      <c r="J993" s="35">
        <v>0</v>
      </c>
      <c r="K993" s="36">
        <v>0</v>
      </c>
      <c r="L993" s="35">
        <v>0</v>
      </c>
      <c r="M993" s="35">
        <v>0</v>
      </c>
      <c r="N993" s="35">
        <v>0</v>
      </c>
      <c r="O993" s="35">
        <v>0</v>
      </c>
      <c r="P993" s="35">
        <v>0</v>
      </c>
      <c r="R993" s="37">
        <f t="shared" si="169"/>
        <v>31135500</v>
      </c>
      <c r="X993" s="28"/>
      <c r="Y993" s="28"/>
    </row>
    <row r="994" spans="1:25" s="4" customFormat="1">
      <c r="A994" s="31"/>
      <c r="B994" s="8" t="s">
        <v>2</v>
      </c>
      <c r="C994" s="7">
        <v>2025</v>
      </c>
      <c r="D994" s="8" t="s">
        <v>735</v>
      </c>
      <c r="E994" s="8" t="s">
        <v>463</v>
      </c>
      <c r="F994" s="6">
        <v>350457081</v>
      </c>
      <c r="G994" s="38">
        <v>0</v>
      </c>
      <c r="H994" s="33">
        <f t="shared" si="170"/>
        <v>0</v>
      </c>
      <c r="I994" s="40" t="s">
        <v>4</v>
      </c>
      <c r="J994" s="35">
        <v>0</v>
      </c>
      <c r="K994" s="36">
        <v>0</v>
      </c>
      <c r="L994" s="35">
        <v>0</v>
      </c>
      <c r="M994" s="35">
        <v>0</v>
      </c>
      <c r="N994" s="35">
        <v>0</v>
      </c>
      <c r="O994" s="35">
        <v>0</v>
      </c>
      <c r="P994" s="35">
        <v>0</v>
      </c>
      <c r="R994" s="37">
        <f t="shared" ref="R994" si="175">F994-J994-K994-L994-M994-N994-O994</f>
        <v>350457081</v>
      </c>
      <c r="X994" s="28"/>
      <c r="Y994" s="28"/>
    </row>
    <row r="995" spans="1:25" s="4" customFormat="1">
      <c r="A995" s="31"/>
      <c r="B995" s="8" t="s">
        <v>2</v>
      </c>
      <c r="C995" s="7">
        <v>2025</v>
      </c>
      <c r="D995" s="8" t="s">
        <v>736</v>
      </c>
      <c r="E995" s="8" t="s">
        <v>449</v>
      </c>
      <c r="F995" s="6">
        <v>810000000</v>
      </c>
      <c r="G995" s="38">
        <v>0</v>
      </c>
      <c r="H995" s="33">
        <f t="shared" si="170"/>
        <v>0</v>
      </c>
      <c r="I995" s="40" t="s">
        <v>4</v>
      </c>
      <c r="J995" s="35">
        <v>0</v>
      </c>
      <c r="K995" s="36">
        <v>0</v>
      </c>
      <c r="L995" s="35">
        <v>0</v>
      </c>
      <c r="M995" s="35">
        <v>0</v>
      </c>
      <c r="N995" s="35">
        <v>0</v>
      </c>
      <c r="O995" s="35">
        <v>0</v>
      </c>
      <c r="P995" s="35">
        <v>0</v>
      </c>
      <c r="R995" s="37">
        <f t="shared" si="169"/>
        <v>810000000</v>
      </c>
      <c r="X995" s="28"/>
      <c r="Y995" s="28"/>
    </row>
    <row r="996" spans="1:25" s="4" customFormat="1">
      <c r="A996" s="31"/>
      <c r="B996" s="7"/>
      <c r="C996" s="7"/>
      <c r="E996" s="7"/>
      <c r="F996" s="47"/>
      <c r="G996" s="47"/>
      <c r="H996" s="34"/>
      <c r="I996" s="34"/>
      <c r="J996" s="34"/>
      <c r="K996" s="49"/>
      <c r="M996" s="50"/>
      <c r="N996" s="50"/>
      <c r="X996" s="28"/>
      <c r="Y996" s="28"/>
    </row>
    <row r="997" spans="1:25" s="4" customFormat="1">
      <c r="A997" s="31"/>
      <c r="B997" s="7"/>
      <c r="C997" s="7"/>
      <c r="E997" s="7"/>
      <c r="F997" s="47">
        <f>SUBTOTAL(9,F5:F996)</f>
        <v>12221897949.4</v>
      </c>
      <c r="G997" s="47">
        <f>SUBTOTAL(9,G5:G996)</f>
        <v>0</v>
      </c>
      <c r="H997" s="47">
        <f>SUBTOTAL(9,H5:H996)</f>
        <v>0</v>
      </c>
      <c r="I997" s="34"/>
      <c r="J997" s="51">
        <f t="shared" ref="J997:P997" si="176">SUBTOTAL(9,J5:J996)</f>
        <v>-1312802624</v>
      </c>
      <c r="K997" s="52">
        <f t="shared" si="176"/>
        <v>-193596229</v>
      </c>
      <c r="L997" s="53">
        <f t="shared" si="176"/>
        <v>4324055188.3999996</v>
      </c>
      <c r="M997" s="51">
        <f t="shared" si="176"/>
        <v>-11333953</v>
      </c>
      <c r="N997" s="51">
        <f t="shared" si="176"/>
        <v>-2812641</v>
      </c>
      <c r="O997" s="51">
        <f t="shared" si="176"/>
        <v>-1224193027.9000001</v>
      </c>
      <c r="P997" s="51">
        <f t="shared" si="176"/>
        <v>-1591700</v>
      </c>
      <c r="Q997" s="18"/>
      <c r="R997" s="51">
        <f>SUBTOTAL(9,R5:R996)</f>
        <v>10644172935.9</v>
      </c>
      <c r="X997" s="28"/>
      <c r="Y997" s="28"/>
    </row>
    <row r="998" spans="1:25">
      <c r="M998" s="23" t="s">
        <v>4</v>
      </c>
      <c r="N998" s="50" t="s">
        <v>4</v>
      </c>
      <c r="O998"/>
    </row>
    <row r="999" spans="1:25" s="4" customFormat="1">
      <c r="A999" s="31"/>
      <c r="B999" s="7"/>
      <c r="C999" s="7"/>
      <c r="E999" s="17">
        <v>14500</v>
      </c>
      <c r="F999" s="47">
        <f>F997+(G997*E999)</f>
        <v>12221897949.4</v>
      </c>
      <c r="G999" s="47"/>
      <c r="H999" s="34"/>
      <c r="I999" s="34"/>
      <c r="J999" s="76">
        <v>-1312802624</v>
      </c>
      <c r="K999" s="77">
        <v>-193596229</v>
      </c>
      <c r="L999" s="77">
        <v>4324055188.3999996</v>
      </c>
      <c r="M999" s="77">
        <v>-11333953</v>
      </c>
      <c r="N999" s="77">
        <v>-2812641</v>
      </c>
      <c r="O999" s="77">
        <v>-1224193027.9000001</v>
      </c>
      <c r="P999" s="77">
        <v>0</v>
      </c>
      <c r="Q999" s="78"/>
      <c r="R999" s="45" t="e">
        <f>R997+(#REF!*E999)</f>
        <v>#REF!</v>
      </c>
      <c r="X999" s="28"/>
      <c r="Y999" s="28"/>
    </row>
    <row r="1000" spans="1:25" s="4" customFormat="1">
      <c r="A1000" s="31"/>
      <c r="B1000" s="7"/>
      <c r="C1000" s="7"/>
      <c r="E1000" s="7"/>
      <c r="F1000" s="47"/>
      <c r="G1000" s="47"/>
      <c r="H1000" s="34"/>
      <c r="I1000" s="34"/>
      <c r="J1000" s="55" t="s">
        <v>4</v>
      </c>
      <c r="K1000" s="54" t="s">
        <v>4</v>
      </c>
      <c r="L1000" s="54" t="s">
        <v>4</v>
      </c>
      <c r="M1000" s="54" t="s">
        <v>4</v>
      </c>
      <c r="N1000" s="54" t="s">
        <v>4</v>
      </c>
      <c r="O1000" s="54" t="s">
        <v>4</v>
      </c>
      <c r="P1000" s="54" t="s">
        <v>4</v>
      </c>
      <c r="X1000" s="28"/>
      <c r="Y1000" s="28"/>
    </row>
    <row r="1001" spans="1:25" s="12" customFormat="1">
      <c r="A1001" s="65"/>
      <c r="B1001" s="69"/>
      <c r="C1001" s="69"/>
      <c r="E1001" s="69"/>
      <c r="F1001" s="70"/>
      <c r="G1001" s="70"/>
      <c r="H1001" s="66"/>
      <c r="I1001" s="66"/>
      <c r="J1001" s="72">
        <f t="shared" ref="J1001:P1001" si="177">J997-J999</f>
        <v>0</v>
      </c>
      <c r="K1001" s="72">
        <f t="shared" si="177"/>
        <v>0</v>
      </c>
      <c r="L1001" s="71">
        <f t="shared" si="177"/>
        <v>0</v>
      </c>
      <c r="M1001" s="71">
        <f t="shared" si="177"/>
        <v>0</v>
      </c>
      <c r="N1001" s="71">
        <f t="shared" si="177"/>
        <v>0</v>
      </c>
      <c r="O1001" s="71">
        <f t="shared" si="177"/>
        <v>0</v>
      </c>
      <c r="P1001" s="71">
        <f t="shared" si="177"/>
        <v>-1591700</v>
      </c>
      <c r="R1001" s="73" t="s">
        <v>4</v>
      </c>
      <c r="X1001" s="67"/>
      <c r="Y1001" s="67"/>
    </row>
    <row r="1002" spans="1:25" s="4" customFormat="1">
      <c r="A1002" s="31"/>
      <c r="B1002" s="7"/>
      <c r="C1002" s="7"/>
      <c r="E1002" s="7"/>
      <c r="F1002" s="47"/>
      <c r="G1002" s="47"/>
      <c r="H1002" s="34"/>
      <c r="I1002" s="34"/>
      <c r="J1002" s="34"/>
      <c r="K1002" s="49"/>
      <c r="N1002" s="50"/>
      <c r="R1002" s="15" t="s">
        <v>4</v>
      </c>
      <c r="X1002" s="28"/>
      <c r="Y1002" s="28"/>
    </row>
    <row r="2281" spans="1:25" s="64" customFormat="1">
      <c r="A2281" s="56"/>
      <c r="B2281" s="57"/>
      <c r="C2281" s="57"/>
      <c r="D2281" s="58"/>
      <c r="E2281" s="57"/>
      <c r="F2281" s="59"/>
      <c r="G2281" s="59"/>
      <c r="H2281" s="60"/>
      <c r="I2281" s="60"/>
      <c r="J2281" s="60"/>
      <c r="K2281" s="61"/>
      <c r="L2281" s="58"/>
      <c r="M2281" s="58"/>
      <c r="N2281" s="62"/>
      <c r="O2281" s="58"/>
      <c r="P2281" s="58"/>
      <c r="Q2281" s="58"/>
      <c r="R2281" s="58"/>
      <c r="S2281" s="58"/>
      <c r="T2281" s="58"/>
      <c r="U2281" s="58"/>
      <c r="V2281" s="58"/>
      <c r="W2281" s="58"/>
      <c r="X2281" s="63"/>
      <c r="Y2281" s="63"/>
    </row>
    <row r="2285" spans="1:25" s="64" customFormat="1">
      <c r="A2285" s="56"/>
      <c r="B2285" s="57"/>
      <c r="C2285" s="57"/>
      <c r="D2285" s="58"/>
      <c r="E2285" s="57"/>
      <c r="F2285" s="59"/>
      <c r="G2285" s="59"/>
      <c r="H2285" s="60"/>
      <c r="I2285" s="60"/>
      <c r="J2285" s="60"/>
      <c r="K2285" s="61"/>
      <c r="L2285" s="58"/>
      <c r="M2285" s="58"/>
      <c r="N2285" s="62"/>
      <c r="O2285" s="58"/>
      <c r="P2285" s="58"/>
      <c r="Q2285" s="58"/>
      <c r="R2285" s="58"/>
      <c r="S2285" s="58"/>
      <c r="T2285" s="58"/>
      <c r="U2285" s="58"/>
      <c r="V2285" s="58"/>
      <c r="W2285" s="58"/>
      <c r="X2285" s="63"/>
      <c r="Y2285" s="63"/>
    </row>
    <row r="2294" spans="1:25" s="64" customFormat="1">
      <c r="A2294" s="56"/>
      <c r="B2294" s="57"/>
      <c r="C2294" s="57"/>
      <c r="D2294" s="58"/>
      <c r="E2294" s="57"/>
      <c r="F2294" s="59"/>
      <c r="G2294" s="59"/>
      <c r="H2294" s="60"/>
      <c r="I2294" s="60"/>
      <c r="J2294" s="60"/>
      <c r="K2294" s="61"/>
      <c r="L2294" s="58"/>
      <c r="M2294" s="58"/>
      <c r="N2294" s="62"/>
      <c r="O2294" s="58"/>
      <c r="P2294" s="58"/>
      <c r="Q2294" s="58"/>
      <c r="R2294" s="58"/>
      <c r="S2294" s="58"/>
      <c r="T2294" s="58"/>
      <c r="U2294" s="58"/>
      <c r="V2294" s="58"/>
      <c r="W2294" s="58"/>
      <c r="X2294" s="63"/>
      <c r="Y2294" s="63"/>
    </row>
    <row r="2298" spans="1:25" s="64" customFormat="1">
      <c r="A2298" s="56"/>
      <c r="B2298" s="57"/>
      <c r="C2298" s="57"/>
      <c r="D2298" s="58"/>
      <c r="E2298" s="57"/>
      <c r="F2298" s="59"/>
      <c r="G2298" s="59"/>
      <c r="H2298" s="60"/>
      <c r="I2298" s="60"/>
      <c r="J2298" s="60"/>
      <c r="K2298" s="61"/>
      <c r="L2298" s="58"/>
      <c r="M2298" s="58"/>
      <c r="N2298" s="62"/>
      <c r="O2298" s="58"/>
      <c r="P2298" s="58"/>
      <c r="Q2298" s="58"/>
      <c r="R2298" s="58"/>
      <c r="S2298" s="58"/>
      <c r="T2298" s="58"/>
      <c r="U2298" s="58"/>
      <c r="V2298" s="58"/>
      <c r="W2298" s="58"/>
      <c r="X2298" s="63"/>
      <c r="Y2298" s="63"/>
    </row>
    <row r="2302" spans="1:25" s="64" customFormat="1">
      <c r="A2302" s="56"/>
      <c r="B2302" s="57"/>
      <c r="C2302" s="57"/>
      <c r="D2302" s="58"/>
      <c r="E2302" s="57"/>
      <c r="F2302" s="59"/>
      <c r="G2302" s="59"/>
      <c r="H2302" s="60"/>
      <c r="I2302" s="60"/>
      <c r="J2302" s="60"/>
      <c r="K2302" s="61"/>
      <c r="L2302" s="58"/>
      <c r="M2302" s="58"/>
      <c r="N2302" s="62"/>
      <c r="O2302" s="58"/>
      <c r="P2302" s="58"/>
      <c r="Q2302" s="58"/>
      <c r="R2302" s="58"/>
      <c r="S2302" s="58"/>
      <c r="T2302" s="58"/>
      <c r="U2302" s="58"/>
      <c r="V2302" s="58"/>
      <c r="W2302" s="58"/>
      <c r="X2302" s="63"/>
      <c r="Y2302" s="63"/>
    </row>
  </sheetData>
  <autoFilter ref="A4:R995" xr:uid="{5CF26E33-2104-E34C-AC15-AD490DBBE6FA}"/>
  <mergeCells count="2">
    <mergeCell ref="F3:G3"/>
    <mergeCell ref="J3:P3"/>
  </mergeCells>
  <printOptions horizontalCentered="1"/>
  <pageMargins left="0.75000000000000011" right="0.75000000000000011" top="1" bottom="1" header="0.5" footer="0.5"/>
  <pageSetup scale="1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</vt:lpstr>
      <vt:lpstr>AR!Print_Area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IT Operations</cp:lastModifiedBy>
  <cp:lastPrinted>2026-02-11T07:29:25Z</cp:lastPrinted>
  <dcterms:created xsi:type="dcterms:W3CDTF">2022-01-08T11:05:28Z</dcterms:created>
  <dcterms:modified xsi:type="dcterms:W3CDTF">2026-04-26T14:01:26Z</dcterms:modified>
</cp:coreProperties>
</file>