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harsamto/Documents/DH-20Jan08/Panconvince/Accounting &amp; Finance/Others/Project F&amp;A Upgrade/PV Admin PCMI/"/>
    </mc:Choice>
  </mc:AlternateContent>
  <xr:revisionPtr revIDLastSave="0" documentId="13_ncr:1_{94882633-E268-4744-AD76-3191193C845F}" xr6:coauthVersionLast="47" xr6:coauthVersionMax="47" xr10:uidLastSave="{00000000-0000-0000-0000-000000000000}"/>
  <bookViews>
    <workbookView xWindow="960" yWindow="760" windowWidth="29280" windowHeight="17660" activeTab="12" xr2:uid="{DC6C0E32-5D78-7340-A0AD-DD3B67810844}"/>
  </bookViews>
  <sheets>
    <sheet name="BCA" sheetId="1" r:id="rId1"/>
    <sheet name="Mandiri" sheetId="2" r:id="rId2"/>
    <sheet name="BRI" sheetId="3" r:id="rId3"/>
    <sheet name="BTN" sheetId="14" r:id="rId4"/>
    <sheet name="Cash IDR" sheetId="4" r:id="rId5"/>
    <sheet name="Non CB" sheetId="5" r:id="rId6"/>
    <sheet name="Sales" sheetId="7" r:id="rId7"/>
    <sheet name="AR" sheetId="8" r:id="rId8"/>
    <sheet name="AP " sheetId="6" r:id="rId9"/>
    <sheet name="Deprec 2021" sheetId="16" r:id="rId10"/>
    <sheet name="PL" sheetId="9" r:id="rId11"/>
    <sheet name="Balance Sheet 2021" sheetId="12" r:id="rId12"/>
    <sheet name="Inter Accounts" sheetId="15" r:id="rId13"/>
  </sheets>
  <definedNames>
    <definedName name="_xlnm._FilterDatabase" localSheetId="8" hidden="1">'AP '!$A$3:$V$532</definedName>
    <definedName name="_xlnm._FilterDatabase" localSheetId="7" hidden="1">AR!$B$4:$W$158</definedName>
    <definedName name="_xlnm._FilterDatabase" localSheetId="0" hidden="1">BCA!$A$4:$L$1690</definedName>
    <definedName name="_xlnm._FilterDatabase" localSheetId="2" hidden="1">BRI!$A$4:$I$268</definedName>
    <definedName name="_xlnm._FilterDatabase" localSheetId="3" hidden="1">BTN!$A$4:$I$46</definedName>
    <definedName name="_xlnm._FilterDatabase" localSheetId="4" hidden="1">'Cash IDR'!$A$4:$H$536</definedName>
    <definedName name="_xlnm._FilterDatabase" localSheetId="1" hidden="1">Mandiri!$A$4:$I$749</definedName>
    <definedName name="_xlnm._FilterDatabase" localSheetId="5" hidden="1">'Non CB'!$A$4:$L$2524</definedName>
    <definedName name="_xlnm._FilterDatabase" localSheetId="6" hidden="1">Sales!$A$4:$X$148</definedName>
    <definedName name="_xlnm.Print_Area" localSheetId="8">'AP '!$A$2:$U$536</definedName>
    <definedName name="_xlnm.Print_Area" localSheetId="7">AR!$B$3:$S$162</definedName>
    <definedName name="_xlnm.Print_Area" localSheetId="11">'Balance Sheet 2021'!$B$2:$E$81</definedName>
    <definedName name="_xlnm.Print_Area" localSheetId="9">'Deprec 2021'!$A$2:$U$105</definedName>
    <definedName name="_xlnm.Print_Area" localSheetId="10">PL!$A$199:$L$295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1" i="9" l="1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00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03" i="9"/>
  <c r="E453" i="6"/>
  <c r="E459" i="6" l="1"/>
  <c r="E470" i="6"/>
  <c r="E463" i="6"/>
  <c r="E460" i="6"/>
  <c r="T52" i="6"/>
  <c r="G52" i="6"/>
  <c r="U52" i="6" s="1"/>
  <c r="T51" i="6"/>
  <c r="G51" i="6"/>
  <c r="U51" i="6" s="1"/>
  <c r="T50" i="6"/>
  <c r="G50" i="6"/>
  <c r="U50" i="6" s="1"/>
  <c r="T49" i="6"/>
  <c r="G49" i="6"/>
  <c r="U49" i="6" s="1"/>
  <c r="T48" i="6"/>
  <c r="G48" i="6"/>
  <c r="U48" i="6" s="1"/>
  <c r="T47" i="6"/>
  <c r="G47" i="6"/>
  <c r="U47" i="6" s="1"/>
  <c r="T46" i="6"/>
  <c r="G46" i="6"/>
  <c r="U46" i="6" s="1"/>
  <c r="T45" i="6"/>
  <c r="G45" i="6"/>
  <c r="U45" i="6" s="1"/>
  <c r="T44" i="6"/>
  <c r="G44" i="6"/>
  <c r="U44" i="6" s="1"/>
  <c r="T43" i="6"/>
  <c r="G43" i="6"/>
  <c r="U43" i="6" s="1"/>
  <c r="T42" i="6"/>
  <c r="G42" i="6"/>
  <c r="U42" i="6" s="1"/>
  <c r="T41" i="6"/>
  <c r="G41" i="6"/>
  <c r="U41" i="6" s="1"/>
  <c r="T40" i="6"/>
  <c r="G40" i="6"/>
  <c r="U40" i="6" s="1"/>
  <c r="T39" i="6"/>
  <c r="G39" i="6"/>
  <c r="U39" i="6" s="1"/>
  <c r="T38" i="6"/>
  <c r="G38" i="6"/>
  <c r="U38" i="6" s="1"/>
  <c r="T37" i="6"/>
  <c r="G37" i="6"/>
  <c r="U37" i="6" s="1"/>
  <c r="T36" i="6"/>
  <c r="G36" i="6"/>
  <c r="U36" i="6" s="1"/>
  <c r="T35" i="6"/>
  <c r="G35" i="6"/>
  <c r="U35" i="6" s="1"/>
  <c r="T34" i="6"/>
  <c r="G34" i="6"/>
  <c r="U34" i="6" s="1"/>
  <c r="T33" i="6"/>
  <c r="G33" i="6"/>
  <c r="U33" i="6" s="1"/>
  <c r="V129" i="7"/>
  <c r="R157" i="8" l="1"/>
  <c r="H157" i="8"/>
  <c r="S157" i="8" s="1"/>
  <c r="X147" i="7"/>
  <c r="J147" i="7"/>
  <c r="S147" i="7" s="1"/>
  <c r="T269" i="6" l="1"/>
  <c r="G269" i="6"/>
  <c r="U269" i="6" s="1"/>
  <c r="T268" i="6"/>
  <c r="G268" i="6"/>
  <c r="U268" i="6" s="1"/>
  <c r="T267" i="6"/>
  <c r="G267" i="6"/>
  <c r="U267" i="6" s="1"/>
  <c r="T266" i="6"/>
  <c r="G266" i="6"/>
  <c r="U266" i="6" s="1"/>
  <c r="T265" i="6"/>
  <c r="G265" i="6"/>
  <c r="U265" i="6" s="1"/>
  <c r="G264" i="6"/>
  <c r="U264" i="6" s="1"/>
  <c r="T264" i="6"/>
  <c r="G263" i="6"/>
  <c r="U263" i="6" s="1"/>
  <c r="E263" i="6"/>
  <c r="T263" i="6"/>
  <c r="T262" i="6"/>
  <c r="G262" i="6"/>
  <c r="U262" i="6" s="1"/>
  <c r="T261" i="6"/>
  <c r="G261" i="6"/>
  <c r="U261" i="6" s="1"/>
  <c r="T260" i="6"/>
  <c r="G260" i="6"/>
  <c r="U260" i="6" s="1"/>
  <c r="T259" i="6"/>
  <c r="G259" i="6"/>
  <c r="U259" i="6" s="1"/>
  <c r="T258" i="6"/>
  <c r="G258" i="6"/>
  <c r="U258" i="6" s="1"/>
  <c r="T112" i="6"/>
  <c r="G112" i="6"/>
  <c r="U112" i="6" s="1"/>
  <c r="T111" i="6"/>
  <c r="G111" i="6"/>
  <c r="U111" i="6" s="1"/>
  <c r="T110" i="6"/>
  <c r="G110" i="6"/>
  <c r="U110" i="6" s="1"/>
  <c r="T109" i="6"/>
  <c r="G109" i="6"/>
  <c r="U109" i="6" s="1"/>
  <c r="T108" i="6"/>
  <c r="G108" i="6"/>
  <c r="U108" i="6" s="1"/>
  <c r="T107" i="6"/>
  <c r="G107" i="6"/>
  <c r="U107" i="6" s="1"/>
  <c r="T106" i="6"/>
  <c r="G106" i="6"/>
  <c r="U106" i="6" s="1"/>
  <c r="T105" i="6"/>
  <c r="G105" i="6"/>
  <c r="U105" i="6" s="1"/>
  <c r="T104" i="6"/>
  <c r="G104" i="6"/>
  <c r="U104" i="6" s="1"/>
  <c r="T103" i="6"/>
  <c r="G103" i="6"/>
  <c r="U103" i="6" s="1"/>
  <c r="T102" i="6"/>
  <c r="G102" i="6"/>
  <c r="U102" i="6" s="1"/>
  <c r="T101" i="6"/>
  <c r="G101" i="6"/>
  <c r="U101" i="6" s="1"/>
  <c r="T100" i="6"/>
  <c r="G100" i="6"/>
  <c r="U100" i="6" s="1"/>
  <c r="T99" i="6"/>
  <c r="G99" i="6"/>
  <c r="U99" i="6" s="1"/>
  <c r="T98" i="6"/>
  <c r="G98" i="6"/>
  <c r="U98" i="6" s="1"/>
  <c r="T97" i="6"/>
  <c r="G97" i="6"/>
  <c r="U97" i="6" s="1"/>
  <c r="T96" i="6"/>
  <c r="G96" i="6"/>
  <c r="U96" i="6" s="1"/>
  <c r="T95" i="6"/>
  <c r="G95" i="6"/>
  <c r="U95" i="6" s="1"/>
  <c r="T94" i="6"/>
  <c r="G94" i="6"/>
  <c r="U94" i="6" s="1"/>
  <c r="T93" i="6"/>
  <c r="G93" i="6"/>
  <c r="U93" i="6" s="1"/>
  <c r="T92" i="6"/>
  <c r="G92" i="6"/>
  <c r="U92" i="6" s="1"/>
  <c r="T91" i="6"/>
  <c r="G91" i="6"/>
  <c r="U91" i="6" s="1"/>
  <c r="R156" i="8"/>
  <c r="H156" i="8"/>
  <c r="S156" i="8" s="1"/>
  <c r="X146" i="7"/>
  <c r="J146" i="7"/>
  <c r="S146" i="7" s="1"/>
  <c r="I166" i="9"/>
  <c r="E455" i="6"/>
  <c r="T531" i="6"/>
  <c r="G531" i="6"/>
  <c r="U531" i="6" s="1"/>
  <c r="E16" i="9"/>
  <c r="E60" i="9"/>
  <c r="V113" i="7"/>
  <c r="V112" i="7"/>
  <c r="T515" i="6"/>
  <c r="G515" i="6"/>
  <c r="U515" i="6" s="1"/>
  <c r="T486" i="6"/>
  <c r="G486" i="6"/>
  <c r="U486" i="6" s="1"/>
  <c r="R136" i="8"/>
  <c r="H136" i="8"/>
  <c r="S136" i="8" s="1"/>
  <c r="A114" i="7"/>
  <c r="X113" i="7"/>
  <c r="J113" i="7"/>
  <c r="S113" i="7" s="1"/>
  <c r="T257" i="6"/>
  <c r="G257" i="6"/>
  <c r="U257" i="6" s="1"/>
  <c r="N31" i="8"/>
  <c r="T256" i="6"/>
  <c r="G256" i="6"/>
  <c r="U256" i="6" s="1"/>
  <c r="T532" i="6"/>
  <c r="G532" i="6"/>
  <c r="U532" i="6" s="1"/>
  <c r="T90" i="6"/>
  <c r="G90" i="6"/>
  <c r="U90" i="6" s="1"/>
  <c r="T32" i="6"/>
  <c r="G32" i="6"/>
  <c r="U32" i="6" s="1"/>
  <c r="T31" i="6"/>
  <c r="G31" i="6"/>
  <c r="U31" i="6" s="1"/>
  <c r="T30" i="6"/>
  <c r="G30" i="6"/>
  <c r="U30" i="6" s="1"/>
  <c r="T29" i="6"/>
  <c r="G29" i="6"/>
  <c r="U29" i="6" s="1"/>
  <c r="G86" i="6"/>
  <c r="U86" i="6" s="1"/>
  <c r="T86" i="6"/>
  <c r="G85" i="6"/>
  <c r="U85" i="6" s="1"/>
  <c r="T85" i="6"/>
  <c r="T481" i="6"/>
  <c r="G481" i="6"/>
  <c r="U481" i="6" s="1"/>
  <c r="R131" i="8"/>
  <c r="H131" i="8"/>
  <c r="S131" i="8" s="1"/>
  <c r="X101" i="7"/>
  <c r="V101" i="7"/>
  <c r="J101" i="7"/>
  <c r="S101" i="7" s="1"/>
  <c r="E26" i="6"/>
  <c r="R104" i="8"/>
  <c r="H104" i="8"/>
  <c r="S104" i="8" s="1"/>
  <c r="T329" i="6"/>
  <c r="G329" i="6"/>
  <c r="U329" i="6" s="1"/>
  <c r="T328" i="6"/>
  <c r="G328" i="6"/>
  <c r="U328" i="6" s="1"/>
  <c r="D2359" i="5"/>
  <c r="T327" i="6"/>
  <c r="G327" i="6"/>
  <c r="U327" i="6" s="1"/>
  <c r="T326" i="6"/>
  <c r="G326" i="6"/>
  <c r="U326" i="6" s="1"/>
  <c r="T325" i="6"/>
  <c r="G325" i="6"/>
  <c r="U325" i="6" s="1"/>
  <c r="T324" i="6"/>
  <c r="G324" i="6"/>
  <c r="U324" i="6" s="1"/>
  <c r="T323" i="6"/>
  <c r="G323" i="6"/>
  <c r="U323" i="6" s="1"/>
  <c r="T322" i="6"/>
  <c r="G322" i="6"/>
  <c r="U322" i="6" s="1"/>
  <c r="T321" i="6"/>
  <c r="G321" i="6"/>
  <c r="U321" i="6" s="1"/>
  <c r="T320" i="6"/>
  <c r="G320" i="6"/>
  <c r="U320" i="6" s="1"/>
  <c r="T319" i="6"/>
  <c r="G319" i="6"/>
  <c r="U319" i="6" s="1"/>
  <c r="T318" i="6"/>
  <c r="G318" i="6"/>
  <c r="U318" i="6" s="1"/>
  <c r="T317" i="6"/>
  <c r="G317" i="6"/>
  <c r="U317" i="6" s="1"/>
  <c r="T316" i="6"/>
  <c r="G316" i="6"/>
  <c r="U316" i="6" s="1"/>
  <c r="T315" i="6"/>
  <c r="G315" i="6"/>
  <c r="U315" i="6" s="1"/>
  <c r="T314" i="6"/>
  <c r="G314" i="6"/>
  <c r="U314" i="6" s="1"/>
  <c r="T313" i="6"/>
  <c r="G313" i="6"/>
  <c r="U313" i="6" s="1"/>
  <c r="T312" i="6"/>
  <c r="G312" i="6"/>
  <c r="U312" i="6" s="1"/>
  <c r="T311" i="6"/>
  <c r="G311" i="6"/>
  <c r="U311" i="6" s="1"/>
  <c r="T310" i="6"/>
  <c r="G310" i="6"/>
  <c r="U310" i="6" s="1"/>
  <c r="T452" i="6"/>
  <c r="G452" i="6"/>
  <c r="U452" i="6" s="1"/>
  <c r="T309" i="6"/>
  <c r="G309" i="6"/>
  <c r="U309" i="6" s="1"/>
  <c r="T306" i="6"/>
  <c r="G306" i="6"/>
  <c r="U306" i="6" s="1"/>
  <c r="V104" i="7"/>
  <c r="V65" i="7"/>
  <c r="D27" i="9"/>
  <c r="C2303" i="5"/>
  <c r="N98" i="8"/>
  <c r="R98" i="8" s="1"/>
  <c r="R101" i="8"/>
  <c r="H101" i="8"/>
  <c r="S101" i="8" s="1"/>
  <c r="R100" i="8"/>
  <c r="H100" i="8"/>
  <c r="S100" i="8" s="1"/>
  <c r="R99" i="8"/>
  <c r="H99" i="8"/>
  <c r="S99" i="8" s="1"/>
  <c r="H98" i="8"/>
  <c r="S98" i="8" s="1"/>
  <c r="R97" i="8"/>
  <c r="H97" i="8"/>
  <c r="S97" i="8" s="1"/>
  <c r="R96" i="8"/>
  <c r="H96" i="8"/>
  <c r="S96" i="8" s="1"/>
  <c r="R95" i="8"/>
  <c r="H95" i="8"/>
  <c r="S95" i="8" s="1"/>
  <c r="R94" i="8"/>
  <c r="H94" i="8"/>
  <c r="S94" i="8" s="1"/>
  <c r="R93" i="8"/>
  <c r="H93" i="8"/>
  <c r="S93" i="8" s="1"/>
  <c r="R92" i="8"/>
  <c r="H92" i="8"/>
  <c r="S92" i="8" s="1"/>
  <c r="R91" i="8"/>
  <c r="H91" i="8"/>
  <c r="S91" i="8" s="1"/>
  <c r="R90" i="8"/>
  <c r="H90" i="8"/>
  <c r="S90" i="8" s="1"/>
  <c r="R89" i="8"/>
  <c r="H89" i="8"/>
  <c r="S89" i="8" s="1"/>
  <c r="R88" i="8"/>
  <c r="H88" i="8"/>
  <c r="S88" i="8" s="1"/>
  <c r="R87" i="8"/>
  <c r="H87" i="8"/>
  <c r="S87" i="8" s="1"/>
  <c r="R86" i="8"/>
  <c r="H86" i="8"/>
  <c r="S86" i="8" s="1"/>
  <c r="R85" i="8"/>
  <c r="H85" i="8"/>
  <c r="S85" i="8" s="1"/>
  <c r="R84" i="8"/>
  <c r="H84" i="8"/>
  <c r="S84" i="8" s="1"/>
  <c r="R83" i="8"/>
  <c r="H83" i="8"/>
  <c r="S83" i="8" s="1"/>
  <c r="R82" i="8"/>
  <c r="H82" i="8"/>
  <c r="S82" i="8" s="1"/>
  <c r="R81" i="8"/>
  <c r="H81" i="8"/>
  <c r="S81" i="8" s="1"/>
  <c r="R80" i="8"/>
  <c r="H80" i="8"/>
  <c r="S80" i="8" s="1"/>
  <c r="R79" i="8"/>
  <c r="H79" i="8"/>
  <c r="S79" i="8" s="1"/>
  <c r="R78" i="8"/>
  <c r="H78" i="8"/>
  <c r="S78" i="8" s="1"/>
  <c r="R77" i="8"/>
  <c r="H77" i="8"/>
  <c r="S77" i="8" s="1"/>
  <c r="R76" i="8"/>
  <c r="H76" i="8"/>
  <c r="S76" i="8" s="1"/>
  <c r="R75" i="8"/>
  <c r="H75" i="8"/>
  <c r="S75" i="8" s="1"/>
  <c r="R74" i="8"/>
  <c r="H74" i="8"/>
  <c r="S74" i="8" s="1"/>
  <c r="R73" i="8"/>
  <c r="H73" i="8"/>
  <c r="S73" i="8" s="1"/>
  <c r="R72" i="8"/>
  <c r="H72" i="8"/>
  <c r="S72" i="8" s="1"/>
  <c r="R71" i="8"/>
  <c r="H71" i="8"/>
  <c r="S71" i="8" s="1"/>
  <c r="R70" i="8"/>
  <c r="H70" i="8"/>
  <c r="S70" i="8" s="1"/>
  <c r="R69" i="8"/>
  <c r="H69" i="8"/>
  <c r="S69" i="8" s="1"/>
  <c r="R68" i="8"/>
  <c r="H68" i="8"/>
  <c r="S68" i="8" s="1"/>
  <c r="R67" i="8"/>
  <c r="H67" i="8"/>
  <c r="S67" i="8" s="1"/>
  <c r="D2" i="5"/>
  <c r="J110" i="7"/>
  <c r="S110" i="7" s="1"/>
  <c r="V110" i="7"/>
  <c r="J78" i="7"/>
  <c r="S78" i="7" s="1"/>
  <c r="V78" i="7"/>
  <c r="C945" i="1"/>
  <c r="E5" i="5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/>
  <c r="E17" i="5" s="1"/>
  <c r="E18" i="5" s="1"/>
  <c r="E19" i="5" s="1"/>
  <c r="E20" i="5" s="1"/>
  <c r="E21" i="5" s="1"/>
  <c r="E22" i="5" s="1"/>
  <c r="E23" i="5" s="1"/>
  <c r="E24" i="5" s="1"/>
  <c r="C439" i="1"/>
  <c r="T530" i="6"/>
  <c r="G530" i="6"/>
  <c r="U530" i="6" s="1"/>
  <c r="V145" i="7"/>
  <c r="G529" i="6"/>
  <c r="U529" i="6" s="1"/>
  <c r="T529" i="6"/>
  <c r="H155" i="8"/>
  <c r="S155" i="8" s="1"/>
  <c r="R155" i="8"/>
  <c r="G499" i="6"/>
  <c r="U499" i="6" s="1"/>
  <c r="T499" i="6"/>
  <c r="X145" i="7"/>
  <c r="J145" i="7"/>
  <c r="S145" i="7" s="1"/>
  <c r="X144" i="7"/>
  <c r="J144" i="7"/>
  <c r="S144" i="7" s="1"/>
  <c r="Z144" i="7" s="1"/>
  <c r="T209" i="6"/>
  <c r="G209" i="6"/>
  <c r="U209" i="6" s="1"/>
  <c r="T451" i="6"/>
  <c r="G451" i="6"/>
  <c r="U451" i="6" s="1"/>
  <c r="T450" i="6"/>
  <c r="G450" i="6"/>
  <c r="U450" i="6" s="1"/>
  <c r="T449" i="6"/>
  <c r="G449" i="6"/>
  <c r="U449" i="6" s="1"/>
  <c r="T5" i="6"/>
  <c r="T6" i="6"/>
  <c r="T7" i="6"/>
  <c r="T8" i="6"/>
  <c r="T9" i="6"/>
  <c r="T15" i="6"/>
  <c r="T19" i="6"/>
  <c r="T10" i="6"/>
  <c r="T11" i="6"/>
  <c r="T12" i="6"/>
  <c r="T13" i="6"/>
  <c r="T14" i="6"/>
  <c r="T22" i="6"/>
  <c r="T23" i="6"/>
  <c r="T20" i="6"/>
  <c r="T21" i="6"/>
  <c r="T24" i="6"/>
  <c r="T25" i="6"/>
  <c r="T27" i="6"/>
  <c r="X27" i="6" s="1"/>
  <c r="T28" i="6"/>
  <c r="T53" i="6"/>
  <c r="T54" i="6"/>
  <c r="T55" i="6"/>
  <c r="T56" i="6"/>
  <c r="T57" i="6"/>
  <c r="T58" i="6"/>
  <c r="T59" i="6"/>
  <c r="T60" i="6"/>
  <c r="T61" i="6"/>
  <c r="T62" i="6"/>
  <c r="T63" i="6"/>
  <c r="T64" i="6"/>
  <c r="T65" i="6"/>
  <c r="T66" i="6"/>
  <c r="T67" i="6"/>
  <c r="T68" i="6"/>
  <c r="T69" i="6"/>
  <c r="T70" i="6"/>
  <c r="T71" i="6"/>
  <c r="T72" i="6"/>
  <c r="T73" i="6"/>
  <c r="T74" i="6"/>
  <c r="T75" i="6"/>
  <c r="T76" i="6"/>
  <c r="T77" i="6"/>
  <c r="T78" i="6"/>
  <c r="T79" i="6"/>
  <c r="T80" i="6"/>
  <c r="T81" i="6"/>
  <c r="T82" i="6"/>
  <c r="T83" i="6"/>
  <c r="T113" i="6"/>
  <c r="T114" i="6"/>
  <c r="T115" i="6"/>
  <c r="T116" i="6"/>
  <c r="T117" i="6"/>
  <c r="T118" i="6"/>
  <c r="T119" i="6"/>
  <c r="T120" i="6"/>
  <c r="T121" i="6"/>
  <c r="T122" i="6"/>
  <c r="T123" i="6"/>
  <c r="T124" i="6"/>
  <c r="T125" i="6"/>
  <c r="T126" i="6"/>
  <c r="T127" i="6"/>
  <c r="T128" i="6"/>
  <c r="T129" i="6"/>
  <c r="T130" i="6"/>
  <c r="T131" i="6"/>
  <c r="T132" i="6"/>
  <c r="T133" i="6"/>
  <c r="T134" i="6"/>
  <c r="T135" i="6"/>
  <c r="T136" i="6"/>
  <c r="T137" i="6"/>
  <c r="T138" i="6"/>
  <c r="T139" i="6"/>
  <c r="T140" i="6"/>
  <c r="T141" i="6"/>
  <c r="T142" i="6"/>
  <c r="T143" i="6"/>
  <c r="T144" i="6"/>
  <c r="T145" i="6"/>
  <c r="T146" i="6"/>
  <c r="T147" i="6"/>
  <c r="T148" i="6"/>
  <c r="T149" i="6"/>
  <c r="T150" i="6"/>
  <c r="T151" i="6"/>
  <c r="T152" i="6"/>
  <c r="T153" i="6"/>
  <c r="T154" i="6"/>
  <c r="T155" i="6"/>
  <c r="T156" i="6"/>
  <c r="T157" i="6"/>
  <c r="T158" i="6"/>
  <c r="T159" i="6"/>
  <c r="T160" i="6"/>
  <c r="T161" i="6"/>
  <c r="T162" i="6"/>
  <c r="T163" i="6"/>
  <c r="T164" i="6"/>
  <c r="T165" i="6"/>
  <c r="T166" i="6"/>
  <c r="T167" i="6"/>
  <c r="T168" i="6"/>
  <c r="T169" i="6"/>
  <c r="T170" i="6"/>
  <c r="T171" i="6"/>
  <c r="T172" i="6"/>
  <c r="T173" i="6"/>
  <c r="T174" i="6"/>
  <c r="T175" i="6"/>
  <c r="T176" i="6"/>
  <c r="T177" i="6"/>
  <c r="T178" i="6"/>
  <c r="T179" i="6"/>
  <c r="T180" i="6"/>
  <c r="T181" i="6"/>
  <c r="T183" i="6"/>
  <c r="T184" i="6"/>
  <c r="T185" i="6"/>
  <c r="T186" i="6"/>
  <c r="T187" i="6"/>
  <c r="T188" i="6"/>
  <c r="T189" i="6"/>
  <c r="T190" i="6"/>
  <c r="T191" i="6"/>
  <c r="T192" i="6"/>
  <c r="T193" i="6"/>
  <c r="T194" i="6"/>
  <c r="T195" i="6"/>
  <c r="T196" i="6"/>
  <c r="T197" i="6"/>
  <c r="T198" i="6"/>
  <c r="T199" i="6"/>
  <c r="T200" i="6"/>
  <c r="T201" i="6"/>
  <c r="T202" i="6"/>
  <c r="T203" i="6"/>
  <c r="T204" i="6"/>
  <c r="T205" i="6"/>
  <c r="T206" i="6"/>
  <c r="T207" i="6"/>
  <c r="T208" i="6"/>
  <c r="T210" i="6"/>
  <c r="T211" i="6"/>
  <c r="T212" i="6"/>
  <c r="T213" i="6"/>
  <c r="T214" i="6"/>
  <c r="T215" i="6"/>
  <c r="T216" i="6"/>
  <c r="T218" i="6"/>
  <c r="X218" i="6" s="1"/>
  <c r="T221" i="6"/>
  <c r="T222" i="6"/>
  <c r="T223" i="6"/>
  <c r="T225" i="6"/>
  <c r="T226" i="6"/>
  <c r="T227" i="6"/>
  <c r="T228" i="6"/>
  <c r="T229" i="6"/>
  <c r="T230" i="6"/>
  <c r="T231" i="6"/>
  <c r="T232" i="6"/>
  <c r="T233" i="6"/>
  <c r="T234" i="6"/>
  <c r="T235" i="6"/>
  <c r="T236" i="6"/>
  <c r="T237" i="6"/>
  <c r="T238" i="6"/>
  <c r="T239" i="6"/>
  <c r="T240" i="6"/>
  <c r="T241" i="6"/>
  <c r="T242" i="6"/>
  <c r="T243" i="6"/>
  <c r="T244" i="6"/>
  <c r="T245" i="6"/>
  <c r="T16" i="6"/>
  <c r="T17" i="6"/>
  <c r="T18" i="6"/>
  <c r="T246" i="6"/>
  <c r="T247" i="6"/>
  <c r="T248" i="6"/>
  <c r="T249" i="6"/>
  <c r="T250" i="6"/>
  <c r="T251" i="6"/>
  <c r="T252" i="6"/>
  <c r="T253" i="6"/>
  <c r="T254" i="6"/>
  <c r="T255" i="6"/>
  <c r="T87" i="6"/>
  <c r="T88" i="6"/>
  <c r="T89" i="6"/>
  <c r="T270" i="6"/>
  <c r="T271" i="6"/>
  <c r="T272" i="6"/>
  <c r="T273" i="6"/>
  <c r="T274" i="6"/>
  <c r="T275" i="6"/>
  <c r="T276" i="6"/>
  <c r="T277" i="6"/>
  <c r="T278" i="6"/>
  <c r="T279" i="6"/>
  <c r="T280" i="6"/>
  <c r="T281" i="6"/>
  <c r="T282" i="6"/>
  <c r="T283" i="6"/>
  <c r="T284" i="6"/>
  <c r="T285" i="6"/>
  <c r="T286" i="6"/>
  <c r="T287" i="6"/>
  <c r="T288" i="6"/>
  <c r="T289" i="6"/>
  <c r="T290" i="6"/>
  <c r="T291" i="6"/>
  <c r="T292" i="6"/>
  <c r="T293" i="6"/>
  <c r="T294" i="6"/>
  <c r="T295" i="6"/>
  <c r="T296" i="6"/>
  <c r="T297" i="6"/>
  <c r="T298" i="6"/>
  <c r="T299" i="6"/>
  <c r="T300" i="6"/>
  <c r="T301" i="6"/>
  <c r="T302" i="6"/>
  <c r="T303" i="6"/>
  <c r="T304" i="6"/>
  <c r="T305" i="6"/>
  <c r="T307" i="6"/>
  <c r="T308" i="6"/>
  <c r="T330" i="6"/>
  <c r="T331" i="6"/>
  <c r="T332" i="6"/>
  <c r="T333" i="6"/>
  <c r="T334" i="6"/>
  <c r="T335" i="6"/>
  <c r="T336" i="6"/>
  <c r="T337" i="6"/>
  <c r="T338" i="6"/>
  <c r="T339" i="6"/>
  <c r="T340" i="6"/>
  <c r="T341" i="6"/>
  <c r="T342" i="6"/>
  <c r="T343" i="6"/>
  <c r="T344" i="6"/>
  <c r="T345" i="6"/>
  <c r="T346" i="6"/>
  <c r="T347" i="6"/>
  <c r="T348" i="6"/>
  <c r="T349" i="6"/>
  <c r="T350" i="6"/>
  <c r="T351" i="6"/>
  <c r="T352" i="6"/>
  <c r="T353" i="6"/>
  <c r="T354" i="6"/>
  <c r="T355" i="6"/>
  <c r="T356" i="6"/>
  <c r="T357" i="6"/>
  <c r="T358" i="6"/>
  <c r="T359" i="6"/>
  <c r="T360" i="6"/>
  <c r="T361" i="6"/>
  <c r="T362" i="6"/>
  <c r="T363" i="6"/>
  <c r="T364" i="6"/>
  <c r="T365" i="6"/>
  <c r="T366" i="6"/>
  <c r="T367" i="6"/>
  <c r="T368" i="6"/>
  <c r="T369" i="6"/>
  <c r="T370" i="6"/>
  <c r="T371" i="6"/>
  <c r="T372" i="6"/>
  <c r="T373" i="6"/>
  <c r="T374" i="6"/>
  <c r="T375" i="6"/>
  <c r="T376" i="6"/>
  <c r="T377" i="6"/>
  <c r="T378" i="6"/>
  <c r="T379" i="6"/>
  <c r="T380" i="6"/>
  <c r="T381" i="6"/>
  <c r="T382" i="6"/>
  <c r="T383" i="6"/>
  <c r="T384" i="6"/>
  <c r="T385" i="6"/>
  <c r="T386" i="6"/>
  <c r="T387" i="6"/>
  <c r="T388" i="6"/>
  <c r="T389" i="6"/>
  <c r="T390" i="6"/>
  <c r="T391" i="6"/>
  <c r="T392" i="6"/>
  <c r="T393" i="6"/>
  <c r="T394" i="6"/>
  <c r="T395" i="6"/>
  <c r="T396" i="6"/>
  <c r="T397" i="6"/>
  <c r="T398" i="6"/>
  <c r="T399" i="6"/>
  <c r="T400" i="6"/>
  <c r="T401" i="6"/>
  <c r="T402" i="6"/>
  <c r="T403" i="6"/>
  <c r="T404" i="6"/>
  <c r="T405" i="6"/>
  <c r="T406" i="6"/>
  <c r="T407" i="6"/>
  <c r="T408" i="6"/>
  <c r="T409" i="6"/>
  <c r="T410" i="6"/>
  <c r="T411" i="6"/>
  <c r="T412" i="6"/>
  <c r="T413" i="6"/>
  <c r="T414" i="6"/>
  <c r="T415" i="6"/>
  <c r="T416" i="6"/>
  <c r="T417" i="6"/>
  <c r="T418" i="6"/>
  <c r="T419" i="6"/>
  <c r="T420" i="6"/>
  <c r="T421" i="6"/>
  <c r="T422" i="6"/>
  <c r="T423" i="6"/>
  <c r="T424" i="6"/>
  <c r="T425" i="6"/>
  <c r="T426" i="6"/>
  <c r="T427" i="6"/>
  <c r="T428" i="6"/>
  <c r="T429" i="6"/>
  <c r="T431" i="6"/>
  <c r="T432" i="6"/>
  <c r="T433" i="6"/>
  <c r="T434" i="6"/>
  <c r="T435" i="6"/>
  <c r="T436" i="6"/>
  <c r="T437" i="6"/>
  <c r="T438" i="6"/>
  <c r="T439" i="6"/>
  <c r="T440" i="6"/>
  <c r="T441" i="6"/>
  <c r="T442" i="6"/>
  <c r="T443" i="6"/>
  <c r="T444" i="6"/>
  <c r="T445" i="6"/>
  <c r="T446" i="6"/>
  <c r="T447" i="6"/>
  <c r="T448" i="6"/>
  <c r="T453" i="6"/>
  <c r="T454" i="6"/>
  <c r="T455" i="6"/>
  <c r="T456" i="6"/>
  <c r="T457" i="6"/>
  <c r="T458" i="6"/>
  <c r="T459" i="6"/>
  <c r="T460" i="6"/>
  <c r="T461" i="6"/>
  <c r="T462" i="6"/>
  <c r="T463" i="6"/>
  <c r="T464" i="6"/>
  <c r="T465" i="6"/>
  <c r="T466" i="6"/>
  <c r="T467" i="6"/>
  <c r="T468" i="6"/>
  <c r="T469" i="6"/>
  <c r="T470" i="6"/>
  <c r="T471" i="6"/>
  <c r="T472" i="6"/>
  <c r="T473" i="6"/>
  <c r="T474" i="6"/>
  <c r="T475" i="6"/>
  <c r="T476" i="6"/>
  <c r="T477" i="6"/>
  <c r="T478" i="6"/>
  <c r="T479" i="6"/>
  <c r="T480" i="6"/>
  <c r="T482" i="6"/>
  <c r="T483" i="6"/>
  <c r="T484" i="6"/>
  <c r="T485" i="6"/>
  <c r="T487" i="6"/>
  <c r="T488" i="6"/>
  <c r="T489" i="6"/>
  <c r="T490" i="6"/>
  <c r="T491" i="6"/>
  <c r="T492" i="6"/>
  <c r="T493" i="6"/>
  <c r="T494" i="6"/>
  <c r="T495" i="6"/>
  <c r="T496" i="6"/>
  <c r="T497" i="6"/>
  <c r="T498" i="6"/>
  <c r="T500" i="6"/>
  <c r="T501" i="6"/>
  <c r="T502" i="6"/>
  <c r="T503" i="6"/>
  <c r="T504" i="6"/>
  <c r="T505" i="6"/>
  <c r="T506" i="6"/>
  <c r="T507" i="6"/>
  <c r="T508" i="6"/>
  <c r="T509" i="6"/>
  <c r="T510" i="6"/>
  <c r="T511" i="6"/>
  <c r="T512" i="6"/>
  <c r="T513" i="6"/>
  <c r="T514" i="6"/>
  <c r="T516" i="6"/>
  <c r="T517" i="6"/>
  <c r="T518" i="6"/>
  <c r="T519" i="6"/>
  <c r="T520" i="6"/>
  <c r="T521" i="6"/>
  <c r="T522" i="6"/>
  <c r="T523" i="6"/>
  <c r="T524" i="6"/>
  <c r="T525" i="6"/>
  <c r="T526" i="6"/>
  <c r="T527" i="6"/>
  <c r="T528" i="6"/>
  <c r="T4" i="6"/>
  <c r="E224" i="6"/>
  <c r="T224" i="6" s="1"/>
  <c r="X224" i="6" s="1"/>
  <c r="E220" i="6"/>
  <c r="T220" i="6" s="1"/>
  <c r="X220" i="6" s="1"/>
  <c r="E219" i="6"/>
  <c r="T219" i="6" s="1"/>
  <c r="X219" i="6" s="1"/>
  <c r="E217" i="6"/>
  <c r="T217" i="6" s="1"/>
  <c r="X217" i="6" s="1"/>
  <c r="T26" i="6"/>
  <c r="X26" i="6" s="1"/>
  <c r="R66" i="8"/>
  <c r="H66" i="8"/>
  <c r="S66" i="8" s="1"/>
  <c r="R65" i="8"/>
  <c r="H65" i="8"/>
  <c r="S65" i="8" s="1"/>
  <c r="R63" i="8"/>
  <c r="H63" i="8"/>
  <c r="S63" i="8" s="1"/>
  <c r="G12" i="6"/>
  <c r="U12" i="6" s="1"/>
  <c r="D202" i="3"/>
  <c r="R154" i="8"/>
  <c r="H154" i="8"/>
  <c r="S154" i="8" s="1"/>
  <c r="R153" i="8"/>
  <c r="H153" i="8"/>
  <c r="S153" i="8" s="1"/>
  <c r="X143" i="7"/>
  <c r="J143" i="7"/>
  <c r="S143" i="7" s="1"/>
  <c r="Z143" i="7" s="1"/>
  <c r="X142" i="7"/>
  <c r="V142" i="7"/>
  <c r="J142" i="7"/>
  <c r="S142" i="7" s="1"/>
  <c r="G514" i="6"/>
  <c r="U514" i="6" s="1"/>
  <c r="G513" i="6"/>
  <c r="U513" i="6" s="1"/>
  <c r="G512" i="6"/>
  <c r="U512" i="6" s="1"/>
  <c r="G511" i="6"/>
  <c r="U511" i="6" s="1"/>
  <c r="G510" i="6"/>
  <c r="U510" i="6" s="1"/>
  <c r="G509" i="6"/>
  <c r="U509" i="6" s="1"/>
  <c r="G508" i="6"/>
  <c r="U508" i="6" s="1"/>
  <c r="G507" i="6"/>
  <c r="U507" i="6" s="1"/>
  <c r="G506" i="6"/>
  <c r="U506" i="6" s="1"/>
  <c r="G505" i="6"/>
  <c r="U505" i="6" s="1"/>
  <c r="G504" i="6"/>
  <c r="U504" i="6" s="1"/>
  <c r="G516" i="6"/>
  <c r="U516" i="6" s="1"/>
  <c r="G503" i="6"/>
  <c r="U503" i="6" s="1"/>
  <c r="G502" i="6"/>
  <c r="U502" i="6" s="1"/>
  <c r="G501" i="6"/>
  <c r="U501" i="6" s="1"/>
  <c r="G500" i="6"/>
  <c r="U500" i="6" s="1"/>
  <c r="G498" i="6"/>
  <c r="U498" i="6" s="1"/>
  <c r="G497" i="6"/>
  <c r="U497" i="6" s="1"/>
  <c r="G496" i="6"/>
  <c r="U496" i="6" s="1"/>
  <c r="G495" i="6"/>
  <c r="U495" i="6" s="1"/>
  <c r="G494" i="6"/>
  <c r="U494" i="6" s="1"/>
  <c r="G493" i="6"/>
  <c r="U493" i="6" s="1"/>
  <c r="G492" i="6"/>
  <c r="U492" i="6" s="1"/>
  <c r="G491" i="6"/>
  <c r="U491" i="6" s="1"/>
  <c r="G490" i="6"/>
  <c r="U490" i="6" s="1"/>
  <c r="G489" i="6"/>
  <c r="U489" i="6" s="1"/>
  <c r="G488" i="6"/>
  <c r="U488" i="6" s="1"/>
  <c r="G487" i="6"/>
  <c r="U487" i="6" s="1"/>
  <c r="G485" i="6"/>
  <c r="U485" i="6" s="1"/>
  <c r="G484" i="6"/>
  <c r="U484" i="6" s="1"/>
  <c r="G525" i="6"/>
  <c r="U525" i="6" s="1"/>
  <c r="G524" i="6"/>
  <c r="U524" i="6" s="1"/>
  <c r="G523" i="6"/>
  <c r="U523" i="6" s="1"/>
  <c r="G522" i="6"/>
  <c r="U522" i="6" s="1"/>
  <c r="G521" i="6"/>
  <c r="U521" i="6" s="1"/>
  <c r="G520" i="6"/>
  <c r="U520" i="6" s="1"/>
  <c r="G519" i="6"/>
  <c r="U519" i="6" s="1"/>
  <c r="G518" i="6"/>
  <c r="U518" i="6" s="1"/>
  <c r="G517" i="6"/>
  <c r="U517" i="6" s="1"/>
  <c r="G483" i="6"/>
  <c r="U483" i="6" s="1"/>
  <c r="G482" i="6"/>
  <c r="U482" i="6" s="1"/>
  <c r="G480" i="6"/>
  <c r="U480" i="6" s="1"/>
  <c r="G528" i="6"/>
  <c r="U528" i="6" s="1"/>
  <c r="G527" i="6"/>
  <c r="U527" i="6" s="1"/>
  <c r="G526" i="6"/>
  <c r="U526" i="6" s="1"/>
  <c r="G479" i="6"/>
  <c r="U479" i="6" s="1"/>
  <c r="G478" i="6"/>
  <c r="U478" i="6" s="1"/>
  <c r="G477" i="6"/>
  <c r="U477" i="6" s="1"/>
  <c r="G476" i="6"/>
  <c r="U476" i="6" s="1"/>
  <c r="G475" i="6"/>
  <c r="U475" i="6" s="1"/>
  <c r="G474" i="6"/>
  <c r="U474" i="6" s="1"/>
  <c r="G473" i="6"/>
  <c r="U473" i="6" s="1"/>
  <c r="G472" i="6"/>
  <c r="U472" i="6" s="1"/>
  <c r="G471" i="6"/>
  <c r="U471" i="6" s="1"/>
  <c r="C100" i="9"/>
  <c r="R142" i="8"/>
  <c r="H142" i="8"/>
  <c r="S142" i="8" s="1"/>
  <c r="R141" i="8"/>
  <c r="H141" i="8"/>
  <c r="S141" i="8" s="1"/>
  <c r="R140" i="8"/>
  <c r="H140" i="8"/>
  <c r="S140" i="8" s="1"/>
  <c r="R139" i="8"/>
  <c r="H139" i="8"/>
  <c r="S139" i="8" s="1"/>
  <c r="R138" i="8"/>
  <c r="H138" i="8"/>
  <c r="S138" i="8" s="1"/>
  <c r="R137" i="8"/>
  <c r="H137" i="8"/>
  <c r="S137" i="8" s="1"/>
  <c r="R135" i="8"/>
  <c r="H135" i="8"/>
  <c r="S135" i="8" s="1"/>
  <c r="R158" i="8"/>
  <c r="H158" i="8"/>
  <c r="S158" i="8" s="1"/>
  <c r="R152" i="8"/>
  <c r="H152" i="8"/>
  <c r="S152" i="8" s="1"/>
  <c r="R151" i="8"/>
  <c r="H151" i="8"/>
  <c r="S151" i="8" s="1"/>
  <c r="R150" i="8"/>
  <c r="H150" i="8"/>
  <c r="S150" i="8" s="1"/>
  <c r="R149" i="8"/>
  <c r="H149" i="8"/>
  <c r="S149" i="8" s="1"/>
  <c r="R148" i="8"/>
  <c r="H148" i="8"/>
  <c r="S148" i="8" s="1"/>
  <c r="R147" i="8"/>
  <c r="H147" i="8"/>
  <c r="S147" i="8" s="1"/>
  <c r="R146" i="8"/>
  <c r="H146" i="8"/>
  <c r="S146" i="8" s="1"/>
  <c r="R145" i="8"/>
  <c r="H145" i="8"/>
  <c r="S145" i="8" s="1"/>
  <c r="R144" i="8"/>
  <c r="H144" i="8"/>
  <c r="S144" i="8" s="1"/>
  <c r="R143" i="8"/>
  <c r="H143" i="8"/>
  <c r="S143" i="8" s="1"/>
  <c r="R134" i="8"/>
  <c r="H134" i="8"/>
  <c r="S134" i="8" s="1"/>
  <c r="R133" i="8"/>
  <c r="H133" i="8"/>
  <c r="S133" i="8" s="1"/>
  <c r="R132" i="8"/>
  <c r="H132" i="8"/>
  <c r="S132" i="8" s="1"/>
  <c r="R130" i="8"/>
  <c r="H130" i="8"/>
  <c r="S130" i="8" s="1"/>
  <c r="R129" i="8"/>
  <c r="H129" i="8"/>
  <c r="S129" i="8" s="1"/>
  <c r="R128" i="8"/>
  <c r="H128" i="8"/>
  <c r="S128" i="8" s="1"/>
  <c r="R127" i="8"/>
  <c r="H127" i="8"/>
  <c r="S127" i="8" s="1"/>
  <c r="R126" i="8"/>
  <c r="H126" i="8"/>
  <c r="S126" i="8" s="1"/>
  <c r="R125" i="8"/>
  <c r="H125" i="8"/>
  <c r="S125" i="8" s="1"/>
  <c r="R124" i="8"/>
  <c r="H124" i="8"/>
  <c r="S124" i="8" s="1"/>
  <c r="R123" i="8"/>
  <c r="H123" i="8"/>
  <c r="S123" i="8" s="1"/>
  <c r="R122" i="8"/>
  <c r="H122" i="8"/>
  <c r="S122" i="8" s="1"/>
  <c r="R121" i="8"/>
  <c r="H121" i="8"/>
  <c r="S121" i="8" s="1"/>
  <c r="R120" i="8"/>
  <c r="H120" i="8"/>
  <c r="S120" i="8" s="1"/>
  <c r="R119" i="8"/>
  <c r="H119" i="8"/>
  <c r="S119" i="8" s="1"/>
  <c r="U122" i="7"/>
  <c r="D58" i="9"/>
  <c r="W135" i="7"/>
  <c r="W75" i="7"/>
  <c r="W81" i="7"/>
  <c r="W125" i="7"/>
  <c r="X96" i="7"/>
  <c r="W117" i="7"/>
  <c r="W118" i="7"/>
  <c r="W119" i="7"/>
  <c r="W121" i="7"/>
  <c r="W122" i="7"/>
  <c r="W123" i="7"/>
  <c r="W126" i="7"/>
  <c r="W127" i="7"/>
  <c r="W128" i="7"/>
  <c r="W136" i="7"/>
  <c r="W95" i="7"/>
  <c r="W97" i="7"/>
  <c r="W98" i="7"/>
  <c r="W99" i="7"/>
  <c r="W102" i="7"/>
  <c r="W105" i="7"/>
  <c r="W106" i="7"/>
  <c r="W107" i="7"/>
  <c r="W108" i="7"/>
  <c r="W109" i="7"/>
  <c r="W111" i="7"/>
  <c r="W114" i="7"/>
  <c r="W87" i="7"/>
  <c r="W88" i="7"/>
  <c r="W90" i="7"/>
  <c r="W93" i="7"/>
  <c r="W68" i="7"/>
  <c r="W69" i="7"/>
  <c r="W70" i="7"/>
  <c r="W71" i="7"/>
  <c r="W72" i="7"/>
  <c r="W73" i="7"/>
  <c r="W74" i="7"/>
  <c r="W76" i="7"/>
  <c r="W77" i="7"/>
  <c r="W79" i="7"/>
  <c r="W82" i="7"/>
  <c r="W83" i="7"/>
  <c r="W84" i="7"/>
  <c r="W85" i="7"/>
  <c r="W86" i="7"/>
  <c r="W66" i="7"/>
  <c r="W67" i="7"/>
  <c r="W64" i="7"/>
  <c r="W63" i="7"/>
  <c r="W52" i="7"/>
  <c r="W53" i="7"/>
  <c r="W54" i="7"/>
  <c r="W55" i="7"/>
  <c r="W56" i="7"/>
  <c r="W57" i="7"/>
  <c r="W58" i="7"/>
  <c r="W59" i="7"/>
  <c r="W60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1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30" i="7"/>
  <c r="W31" i="7"/>
  <c r="W32" i="7"/>
  <c r="W33" i="7"/>
  <c r="W34" i="7"/>
  <c r="W5" i="7"/>
  <c r="X148" i="7"/>
  <c r="X141" i="7"/>
  <c r="X140" i="7"/>
  <c r="X139" i="7"/>
  <c r="X138" i="7"/>
  <c r="X137" i="7"/>
  <c r="X134" i="7"/>
  <c r="X133" i="7"/>
  <c r="X132" i="7"/>
  <c r="X131" i="7"/>
  <c r="X130" i="7"/>
  <c r="X129" i="7"/>
  <c r="X124" i="7"/>
  <c r="X120" i="7"/>
  <c r="X116" i="7"/>
  <c r="X115" i="7"/>
  <c r="X112" i="7"/>
  <c r="X110" i="7"/>
  <c r="X104" i="7"/>
  <c r="X103" i="7"/>
  <c r="X100" i="7"/>
  <c r="X94" i="7"/>
  <c r="X92" i="7"/>
  <c r="X91" i="7"/>
  <c r="X89" i="7"/>
  <c r="X80" i="7"/>
  <c r="X78" i="7"/>
  <c r="X65" i="7"/>
  <c r="X62" i="7"/>
  <c r="X61" i="7"/>
  <c r="G453" i="6"/>
  <c r="U453" i="6" s="1"/>
  <c r="K163" i="9"/>
  <c r="K260" i="9" s="1"/>
  <c r="L260" i="9" s="1"/>
  <c r="K66" i="9"/>
  <c r="V141" i="7"/>
  <c r="V139" i="7"/>
  <c r="V138" i="7"/>
  <c r="V137" i="7"/>
  <c r="V135" i="7"/>
  <c r="V134" i="7"/>
  <c r="V133" i="7"/>
  <c r="V132" i="7"/>
  <c r="V131" i="7"/>
  <c r="V130" i="7"/>
  <c r="V125" i="7"/>
  <c r="V124" i="7"/>
  <c r="V120" i="7"/>
  <c r="V116" i="7"/>
  <c r="V115" i="7"/>
  <c r="V103" i="7"/>
  <c r="V100" i="7"/>
  <c r="V94" i="7"/>
  <c r="V92" i="7"/>
  <c r="V91" i="7"/>
  <c r="V89" i="7"/>
  <c r="V81" i="7"/>
  <c r="V80" i="7"/>
  <c r="V62" i="7"/>
  <c r="V61" i="7"/>
  <c r="U119" i="7"/>
  <c r="U127" i="7"/>
  <c r="U121" i="7"/>
  <c r="U108" i="7"/>
  <c r="U106" i="7"/>
  <c r="U88" i="7"/>
  <c r="U82" i="7"/>
  <c r="U79" i="7"/>
  <c r="U74" i="7"/>
  <c r="U70" i="7"/>
  <c r="U60" i="7"/>
  <c r="U59" i="7"/>
  <c r="U58" i="7"/>
  <c r="U49" i="7"/>
  <c r="U45" i="7"/>
  <c r="U44" i="7"/>
  <c r="U42" i="7"/>
  <c r="U41" i="7"/>
  <c r="U32" i="7"/>
  <c r="U33" i="7"/>
  <c r="U19" i="7"/>
  <c r="U22" i="7"/>
  <c r="U13" i="7"/>
  <c r="U10" i="7"/>
  <c r="G463" i="6"/>
  <c r="U463" i="6" s="1"/>
  <c r="G455" i="6"/>
  <c r="U455" i="6" s="1"/>
  <c r="G470" i="6"/>
  <c r="U470" i="6" s="1"/>
  <c r="G469" i="6"/>
  <c r="U469" i="6" s="1"/>
  <c r="G468" i="6"/>
  <c r="U468" i="6" s="1"/>
  <c r="G467" i="6"/>
  <c r="U467" i="6" s="1"/>
  <c r="G466" i="6"/>
  <c r="U466" i="6" s="1"/>
  <c r="G465" i="6"/>
  <c r="U465" i="6" s="1"/>
  <c r="G464" i="6"/>
  <c r="U464" i="6" s="1"/>
  <c r="G462" i="6"/>
  <c r="U462" i="6" s="1"/>
  <c r="G461" i="6"/>
  <c r="U461" i="6" s="1"/>
  <c r="G460" i="6"/>
  <c r="U460" i="6" s="1"/>
  <c r="G459" i="6"/>
  <c r="U459" i="6" s="1"/>
  <c r="G458" i="6"/>
  <c r="U458" i="6" s="1"/>
  <c r="G457" i="6"/>
  <c r="U457" i="6" s="1"/>
  <c r="G456" i="6"/>
  <c r="U456" i="6" s="1"/>
  <c r="G454" i="6"/>
  <c r="U454" i="6" s="1"/>
  <c r="G448" i="6"/>
  <c r="U448" i="6" s="1"/>
  <c r="C1679" i="1"/>
  <c r="C1536" i="1"/>
  <c r="C243" i="3"/>
  <c r="D77" i="9"/>
  <c r="E77" i="9" s="1"/>
  <c r="K77" i="9" s="1"/>
  <c r="E84" i="9"/>
  <c r="E64" i="9"/>
  <c r="E14" i="9"/>
  <c r="G345" i="6"/>
  <c r="U345" i="6" s="1"/>
  <c r="G446" i="6"/>
  <c r="U446" i="6" s="1"/>
  <c r="T430" i="6"/>
  <c r="G429" i="6"/>
  <c r="U429" i="6" s="1"/>
  <c r="G424" i="6"/>
  <c r="U424" i="6" s="1"/>
  <c r="G398" i="6"/>
  <c r="U398" i="6" s="1"/>
  <c r="G397" i="6"/>
  <c r="U397" i="6" s="1"/>
  <c r="G396" i="6"/>
  <c r="U396" i="6" s="1"/>
  <c r="G395" i="6"/>
  <c r="U395" i="6" s="1"/>
  <c r="G374" i="6"/>
  <c r="U374" i="6" s="1"/>
  <c r="G370" i="6"/>
  <c r="U370" i="6" s="1"/>
  <c r="G348" i="6"/>
  <c r="U348" i="6" s="1"/>
  <c r="G399" i="6"/>
  <c r="U399" i="6" s="1"/>
  <c r="G394" i="6"/>
  <c r="U394" i="6" s="1"/>
  <c r="D1244" i="1"/>
  <c r="H15" i="8"/>
  <c r="R15" i="8" s="1"/>
  <c r="U83" i="6"/>
  <c r="G447" i="6"/>
  <c r="U447" i="6" s="1"/>
  <c r="G445" i="6"/>
  <c r="U445" i="6" s="1"/>
  <c r="G444" i="6"/>
  <c r="U444" i="6" s="1"/>
  <c r="G443" i="6"/>
  <c r="U443" i="6" s="1"/>
  <c r="G442" i="6"/>
  <c r="U442" i="6" s="1"/>
  <c r="G441" i="6"/>
  <c r="U441" i="6" s="1"/>
  <c r="G440" i="6"/>
  <c r="U440" i="6" s="1"/>
  <c r="G439" i="6"/>
  <c r="U439" i="6" s="1"/>
  <c r="G438" i="6"/>
  <c r="U438" i="6" s="1"/>
  <c r="G437" i="6"/>
  <c r="U437" i="6" s="1"/>
  <c r="G436" i="6"/>
  <c r="U436" i="6" s="1"/>
  <c r="G435" i="6"/>
  <c r="U435" i="6" s="1"/>
  <c r="G434" i="6"/>
  <c r="U434" i="6" s="1"/>
  <c r="G433" i="6"/>
  <c r="U433" i="6" s="1"/>
  <c r="G432" i="6"/>
  <c r="U432" i="6" s="1"/>
  <c r="G431" i="6"/>
  <c r="U431" i="6" s="1"/>
  <c r="G430" i="6"/>
  <c r="U430" i="6" s="1"/>
  <c r="G428" i="6"/>
  <c r="U428" i="6" s="1"/>
  <c r="G427" i="6"/>
  <c r="U427" i="6" s="1"/>
  <c r="G426" i="6"/>
  <c r="U426" i="6" s="1"/>
  <c r="G425" i="6"/>
  <c r="U425" i="6" s="1"/>
  <c r="G423" i="6"/>
  <c r="U423" i="6" s="1"/>
  <c r="G422" i="6"/>
  <c r="U422" i="6" s="1"/>
  <c r="G421" i="6"/>
  <c r="U421" i="6" s="1"/>
  <c r="G420" i="6"/>
  <c r="U420" i="6" s="1"/>
  <c r="G419" i="6"/>
  <c r="U419" i="6" s="1"/>
  <c r="G418" i="6"/>
  <c r="U418" i="6" s="1"/>
  <c r="G417" i="6"/>
  <c r="U417" i="6" s="1"/>
  <c r="G416" i="6"/>
  <c r="U416" i="6" s="1"/>
  <c r="G415" i="6"/>
  <c r="U415" i="6" s="1"/>
  <c r="G414" i="6"/>
  <c r="U414" i="6" s="1"/>
  <c r="G413" i="6"/>
  <c r="U413" i="6" s="1"/>
  <c r="G412" i="6"/>
  <c r="U412" i="6" s="1"/>
  <c r="G411" i="6"/>
  <c r="U411" i="6" s="1"/>
  <c r="G410" i="6"/>
  <c r="U410" i="6" s="1"/>
  <c r="G409" i="6"/>
  <c r="U409" i="6" s="1"/>
  <c r="G408" i="6"/>
  <c r="U408" i="6" s="1"/>
  <c r="G407" i="6"/>
  <c r="U407" i="6" s="1"/>
  <c r="G406" i="6"/>
  <c r="U406" i="6" s="1"/>
  <c r="G405" i="6"/>
  <c r="U405" i="6" s="1"/>
  <c r="G404" i="6"/>
  <c r="U404" i="6" s="1"/>
  <c r="G403" i="6"/>
  <c r="U403" i="6" s="1"/>
  <c r="G402" i="6"/>
  <c r="U402" i="6" s="1"/>
  <c r="G401" i="6"/>
  <c r="U401" i="6" s="1"/>
  <c r="G400" i="6"/>
  <c r="U400" i="6" s="1"/>
  <c r="G393" i="6"/>
  <c r="U393" i="6" s="1"/>
  <c r="G392" i="6"/>
  <c r="U392" i="6" s="1"/>
  <c r="G391" i="6"/>
  <c r="U391" i="6" s="1"/>
  <c r="G390" i="6"/>
  <c r="U390" i="6" s="1"/>
  <c r="G389" i="6"/>
  <c r="U389" i="6" s="1"/>
  <c r="G388" i="6"/>
  <c r="U388" i="6" s="1"/>
  <c r="G387" i="6"/>
  <c r="U387" i="6" s="1"/>
  <c r="G386" i="6"/>
  <c r="U386" i="6" s="1"/>
  <c r="G385" i="6"/>
  <c r="U385" i="6" s="1"/>
  <c r="G384" i="6"/>
  <c r="U384" i="6" s="1"/>
  <c r="G383" i="6"/>
  <c r="U383" i="6" s="1"/>
  <c r="G382" i="6"/>
  <c r="U382" i="6" s="1"/>
  <c r="G381" i="6"/>
  <c r="U381" i="6" s="1"/>
  <c r="G380" i="6"/>
  <c r="U380" i="6" s="1"/>
  <c r="G379" i="6"/>
  <c r="U379" i="6" s="1"/>
  <c r="G378" i="6"/>
  <c r="U378" i="6" s="1"/>
  <c r="G377" i="6"/>
  <c r="U377" i="6" s="1"/>
  <c r="G376" i="6"/>
  <c r="U376" i="6" s="1"/>
  <c r="G375" i="6"/>
  <c r="U375" i="6" s="1"/>
  <c r="G373" i="6"/>
  <c r="U373" i="6" s="1"/>
  <c r="G372" i="6"/>
  <c r="U372" i="6" s="1"/>
  <c r="G371" i="6"/>
  <c r="U371" i="6" s="1"/>
  <c r="G369" i="6"/>
  <c r="U369" i="6" s="1"/>
  <c r="G368" i="6"/>
  <c r="U368" i="6" s="1"/>
  <c r="G367" i="6"/>
  <c r="U367" i="6" s="1"/>
  <c r="G366" i="6"/>
  <c r="U366" i="6" s="1"/>
  <c r="G365" i="6"/>
  <c r="U365" i="6" s="1"/>
  <c r="G364" i="6"/>
  <c r="U364" i="6" s="1"/>
  <c r="G363" i="6"/>
  <c r="U363" i="6" s="1"/>
  <c r="G362" i="6"/>
  <c r="U362" i="6" s="1"/>
  <c r="G361" i="6"/>
  <c r="U361" i="6" s="1"/>
  <c r="G360" i="6"/>
  <c r="U360" i="6" s="1"/>
  <c r="G359" i="6"/>
  <c r="U359" i="6" s="1"/>
  <c r="G358" i="6"/>
  <c r="U358" i="6" s="1"/>
  <c r="G357" i="6"/>
  <c r="U357" i="6" s="1"/>
  <c r="G356" i="6"/>
  <c r="U356" i="6" s="1"/>
  <c r="G355" i="6"/>
  <c r="U355" i="6" s="1"/>
  <c r="G354" i="6"/>
  <c r="U354" i="6" s="1"/>
  <c r="G353" i="6"/>
  <c r="U353" i="6" s="1"/>
  <c r="G352" i="6"/>
  <c r="U352" i="6" s="1"/>
  <c r="G351" i="6"/>
  <c r="U351" i="6" s="1"/>
  <c r="G350" i="6"/>
  <c r="U350" i="6" s="1"/>
  <c r="G349" i="6"/>
  <c r="U349" i="6" s="1"/>
  <c r="G347" i="6"/>
  <c r="U347" i="6" s="1"/>
  <c r="G346" i="6"/>
  <c r="U346" i="6" s="1"/>
  <c r="G344" i="6"/>
  <c r="U344" i="6" s="1"/>
  <c r="G343" i="6"/>
  <c r="U343" i="6" s="1"/>
  <c r="G342" i="6"/>
  <c r="U342" i="6" s="1"/>
  <c r="G341" i="6"/>
  <c r="U341" i="6" s="1"/>
  <c r="G340" i="6"/>
  <c r="U340" i="6" s="1"/>
  <c r="G339" i="6"/>
  <c r="U339" i="6" s="1"/>
  <c r="G338" i="6"/>
  <c r="U338" i="6" s="1"/>
  <c r="G337" i="6"/>
  <c r="U337" i="6" s="1"/>
  <c r="G336" i="6"/>
  <c r="U336" i="6" s="1"/>
  <c r="G335" i="6"/>
  <c r="U335" i="6" s="1"/>
  <c r="G334" i="6"/>
  <c r="U334" i="6" s="1"/>
  <c r="G333" i="6"/>
  <c r="U333" i="6" s="1"/>
  <c r="G332" i="6"/>
  <c r="U332" i="6" s="1"/>
  <c r="G331" i="6"/>
  <c r="U331" i="6" s="1"/>
  <c r="G330" i="6"/>
  <c r="U330" i="6" s="1"/>
  <c r="G308" i="6"/>
  <c r="U308" i="6" s="1"/>
  <c r="G249" i="6"/>
  <c r="U249" i="6" s="1"/>
  <c r="G248" i="6"/>
  <c r="U248" i="6" s="1"/>
  <c r="G301" i="6"/>
  <c r="U301" i="6" s="1"/>
  <c r="G89" i="6"/>
  <c r="U89" i="6" s="1"/>
  <c r="G88" i="6"/>
  <c r="U88" i="6" s="1"/>
  <c r="G87" i="6"/>
  <c r="U87" i="6" s="1"/>
  <c r="G84" i="6"/>
  <c r="U84" i="6" s="1"/>
  <c r="E84" i="6"/>
  <c r="T84" i="6" s="1"/>
  <c r="G250" i="6"/>
  <c r="U250" i="6" s="1"/>
  <c r="E59" i="9"/>
  <c r="K59" i="9" s="1"/>
  <c r="C1196" i="1"/>
  <c r="E58" i="9"/>
  <c r="E53" i="9"/>
  <c r="E46" i="9"/>
  <c r="D51" i="9"/>
  <c r="D100" i="9" s="1"/>
  <c r="E99" i="9"/>
  <c r="C570" i="2"/>
  <c r="D397" i="2"/>
  <c r="C431" i="1"/>
  <c r="C90" i="2"/>
  <c r="E44" i="9"/>
  <c r="K44" i="9" s="1"/>
  <c r="G293" i="6"/>
  <c r="U293" i="6" s="1"/>
  <c r="G292" i="6"/>
  <c r="U292" i="6" s="1"/>
  <c r="G291" i="6"/>
  <c r="U291" i="6" s="1"/>
  <c r="G290" i="6"/>
  <c r="U290" i="6" s="1"/>
  <c r="G289" i="6"/>
  <c r="U289" i="6" s="1"/>
  <c r="G288" i="6"/>
  <c r="U288" i="6" s="1"/>
  <c r="G287" i="6"/>
  <c r="U287" i="6" s="1"/>
  <c r="G286" i="6"/>
  <c r="U286" i="6" s="1"/>
  <c r="G285" i="6"/>
  <c r="U285" i="6" s="1"/>
  <c r="G284" i="6"/>
  <c r="U284" i="6" s="1"/>
  <c r="G283" i="6"/>
  <c r="U283" i="6" s="1"/>
  <c r="G297" i="6"/>
  <c r="U297" i="6" s="1"/>
  <c r="G296" i="6"/>
  <c r="U296" i="6" s="1"/>
  <c r="G295" i="6"/>
  <c r="U295" i="6" s="1"/>
  <c r="G294" i="6"/>
  <c r="U294" i="6" s="1"/>
  <c r="G282" i="6"/>
  <c r="U282" i="6" s="1"/>
  <c r="G281" i="6"/>
  <c r="U281" i="6" s="1"/>
  <c r="G280" i="6"/>
  <c r="U280" i="6" s="1"/>
  <c r="G279" i="6"/>
  <c r="U279" i="6" s="1"/>
  <c r="G278" i="6"/>
  <c r="U278" i="6" s="1"/>
  <c r="G277" i="6"/>
  <c r="U277" i="6" s="1"/>
  <c r="G276" i="6"/>
  <c r="U276" i="6" s="1"/>
  <c r="G275" i="6"/>
  <c r="U275" i="6" s="1"/>
  <c r="G274" i="6"/>
  <c r="U274" i="6" s="1"/>
  <c r="G273" i="6"/>
  <c r="U273" i="6" s="1"/>
  <c r="G272" i="6"/>
  <c r="U272" i="6" s="1"/>
  <c r="G271" i="6"/>
  <c r="U271" i="6" s="1"/>
  <c r="G307" i="6"/>
  <c r="U307" i="6" s="1"/>
  <c r="G305" i="6"/>
  <c r="U305" i="6" s="1"/>
  <c r="G304" i="6"/>
  <c r="U304" i="6" s="1"/>
  <c r="G303" i="6"/>
  <c r="U303" i="6" s="1"/>
  <c r="G302" i="6"/>
  <c r="U302" i="6" s="1"/>
  <c r="G300" i="6"/>
  <c r="U300" i="6" s="1"/>
  <c r="G299" i="6"/>
  <c r="U299" i="6" s="1"/>
  <c r="G298" i="6"/>
  <c r="U298" i="6" s="1"/>
  <c r="G270" i="6"/>
  <c r="U270" i="6" s="1"/>
  <c r="G255" i="6"/>
  <c r="U255" i="6" s="1"/>
  <c r="G254" i="6"/>
  <c r="U254" i="6" s="1"/>
  <c r="G253" i="6"/>
  <c r="U253" i="6" s="1"/>
  <c r="G252" i="6"/>
  <c r="U252" i="6" s="1"/>
  <c r="G251" i="6"/>
  <c r="U251" i="6" s="1"/>
  <c r="G247" i="6"/>
  <c r="U247" i="6" s="1"/>
  <c r="G246" i="6"/>
  <c r="U246" i="6" s="1"/>
  <c r="R85" i="16"/>
  <c r="Q85" i="16"/>
  <c r="P85" i="16"/>
  <c r="O85" i="16"/>
  <c r="N85" i="16"/>
  <c r="M85" i="16"/>
  <c r="L85" i="16"/>
  <c r="K85" i="16"/>
  <c r="J85" i="16"/>
  <c r="I85" i="16"/>
  <c r="H85" i="16"/>
  <c r="G85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E19" i="12"/>
  <c r="R83" i="16"/>
  <c r="Q83" i="16"/>
  <c r="P83" i="16"/>
  <c r="O83" i="16"/>
  <c r="N83" i="16"/>
  <c r="M83" i="16"/>
  <c r="L83" i="16"/>
  <c r="K83" i="16"/>
  <c r="J83" i="16"/>
  <c r="I83" i="16"/>
  <c r="H83" i="16"/>
  <c r="G83" i="16"/>
  <c r="S83" i="16" s="1"/>
  <c r="T83" i="16" s="1"/>
  <c r="U83" i="16" s="1"/>
  <c r="U102" i="16"/>
  <c r="S102" i="16"/>
  <c r="T102" i="16" s="1"/>
  <c r="F100" i="16"/>
  <c r="F104" i="16" s="1"/>
  <c r="G98" i="16"/>
  <c r="S98" i="16" s="1"/>
  <c r="T98" i="16" s="1"/>
  <c r="U98" i="16" s="1"/>
  <c r="D97" i="16"/>
  <c r="G97" i="16" s="1"/>
  <c r="S97" i="16" s="1"/>
  <c r="T97" i="16" s="1"/>
  <c r="U97" i="16" s="1"/>
  <c r="K96" i="16"/>
  <c r="K100" i="16" s="1"/>
  <c r="H96" i="16"/>
  <c r="H100" i="16" s="1"/>
  <c r="E96" i="16"/>
  <c r="G96" i="16" s="1"/>
  <c r="D96" i="16"/>
  <c r="L96" i="16" s="1"/>
  <c r="L100" i="16" s="1"/>
  <c r="T95" i="16"/>
  <c r="S95" i="16"/>
  <c r="D95" i="16"/>
  <c r="U95" i="16" s="1"/>
  <c r="S94" i="16"/>
  <c r="T94" i="16" s="1"/>
  <c r="U94" i="16" s="1"/>
  <c r="S93" i="16"/>
  <c r="T93" i="16" s="1"/>
  <c r="U93" i="16" s="1"/>
  <c r="S92" i="16"/>
  <c r="T92" i="16" s="1"/>
  <c r="U92" i="16" s="1"/>
  <c r="S91" i="16"/>
  <c r="F88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R81" i="16"/>
  <c r="Q81" i="16"/>
  <c r="P81" i="16"/>
  <c r="O81" i="16"/>
  <c r="N81" i="16"/>
  <c r="M81" i="16"/>
  <c r="L81" i="16"/>
  <c r="K81" i="16"/>
  <c r="J81" i="16"/>
  <c r="I81" i="16"/>
  <c r="H81" i="16"/>
  <c r="G81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R77" i="16"/>
  <c r="R88" i="16" s="1"/>
  <c r="R104" i="16" s="1"/>
  <c r="Q77" i="16"/>
  <c r="P77" i="16"/>
  <c r="P88" i="16" s="1"/>
  <c r="O77" i="16"/>
  <c r="N77" i="16"/>
  <c r="M77" i="16"/>
  <c r="L77" i="16"/>
  <c r="K77" i="16"/>
  <c r="J77" i="16"/>
  <c r="I77" i="16"/>
  <c r="H77" i="16"/>
  <c r="G77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R75" i="16"/>
  <c r="Q75" i="16"/>
  <c r="P75" i="16"/>
  <c r="O75" i="16"/>
  <c r="N75" i="16"/>
  <c r="M75" i="16"/>
  <c r="L75" i="16"/>
  <c r="K75" i="16"/>
  <c r="K88" i="16" s="1"/>
  <c r="J75" i="16"/>
  <c r="I75" i="16"/>
  <c r="H75" i="16"/>
  <c r="G75" i="16"/>
  <c r="S75" i="16" s="1"/>
  <c r="T75" i="16" s="1"/>
  <c r="U75" i="16" s="1"/>
  <c r="R74" i="16"/>
  <c r="Q74" i="16"/>
  <c r="P74" i="16"/>
  <c r="O74" i="16"/>
  <c r="N74" i="16"/>
  <c r="M74" i="16"/>
  <c r="M88" i="16" s="1"/>
  <c r="L74" i="16"/>
  <c r="L88" i="16" s="1"/>
  <c r="K74" i="16"/>
  <c r="J74" i="16"/>
  <c r="J88" i="16" s="1"/>
  <c r="J104" i="16" s="1"/>
  <c r="I74" i="16"/>
  <c r="I88" i="16" s="1"/>
  <c r="H74" i="16"/>
  <c r="G74" i="16"/>
  <c r="S73" i="16"/>
  <c r="T73" i="16"/>
  <c r="U73" i="16"/>
  <c r="H72" i="16"/>
  <c r="S72" i="16" s="1"/>
  <c r="T72" i="16" s="1"/>
  <c r="U72" i="16" s="1"/>
  <c r="G72" i="16"/>
  <c r="S70" i="16"/>
  <c r="T70" i="16" s="1"/>
  <c r="U70" i="16" s="1"/>
  <c r="S69" i="16"/>
  <c r="T69" i="16"/>
  <c r="U69" i="16" s="1"/>
  <c r="S68" i="16"/>
  <c r="T68" i="16" s="1"/>
  <c r="U68" i="16" s="1"/>
  <c r="S67" i="16"/>
  <c r="T67" i="16" s="1"/>
  <c r="U67" i="16" s="1"/>
  <c r="S66" i="16"/>
  <c r="T66" i="16" s="1"/>
  <c r="U66" i="16"/>
  <c r="S65" i="16"/>
  <c r="T65" i="16"/>
  <c r="U65" i="16" s="1"/>
  <c r="S64" i="16"/>
  <c r="T64" i="16"/>
  <c r="U64" i="16" s="1"/>
  <c r="S63" i="16"/>
  <c r="T63" i="16"/>
  <c r="U63" i="16" s="1"/>
  <c r="S62" i="16"/>
  <c r="T62" i="16" s="1"/>
  <c r="U62" i="16" s="1"/>
  <c r="S61" i="16"/>
  <c r="T61" i="16"/>
  <c r="U61" i="16"/>
  <c r="S60" i="16"/>
  <c r="T60" i="16" s="1"/>
  <c r="U60" i="16" s="1"/>
  <c r="S59" i="16"/>
  <c r="T59" i="16"/>
  <c r="U59" i="16"/>
  <c r="S58" i="16"/>
  <c r="T58" i="16" s="1"/>
  <c r="D58" i="16"/>
  <c r="U58" i="16" s="1"/>
  <c r="S57" i="16"/>
  <c r="T57" i="16"/>
  <c r="D57" i="16"/>
  <c r="S56" i="16"/>
  <c r="T56" i="16" s="1"/>
  <c r="D56" i="16"/>
  <c r="U56" i="16" s="1"/>
  <c r="S55" i="16"/>
  <c r="T55" i="16"/>
  <c r="U55" i="16"/>
  <c r="S54" i="16"/>
  <c r="T54" i="16"/>
  <c r="U54" i="16" s="1"/>
  <c r="S53" i="16"/>
  <c r="T53" i="16"/>
  <c r="U53" i="16" s="1"/>
  <c r="S52" i="16"/>
  <c r="T52" i="16" s="1"/>
  <c r="U52" i="16" s="1"/>
  <c r="S51" i="16"/>
  <c r="T51" i="16" s="1"/>
  <c r="U51" i="16" s="1"/>
  <c r="S50" i="16"/>
  <c r="T50" i="16"/>
  <c r="D50" i="16"/>
  <c r="S49" i="16"/>
  <c r="T49" i="16"/>
  <c r="U49" i="16" s="1"/>
  <c r="S48" i="16"/>
  <c r="T48" i="16" s="1"/>
  <c r="D48" i="16"/>
  <c r="U48" i="16" s="1"/>
  <c r="S47" i="16"/>
  <c r="T47" i="16" s="1"/>
  <c r="U47" i="16"/>
  <c r="S46" i="16"/>
  <c r="T46" i="16"/>
  <c r="U46" i="16" s="1"/>
  <c r="S45" i="16"/>
  <c r="T45" i="16"/>
  <c r="U45" i="16" s="1"/>
  <c r="S44" i="16"/>
  <c r="T44" i="16" s="1"/>
  <c r="U44" i="16" s="1"/>
  <c r="S43" i="16"/>
  <c r="T43" i="16" s="1"/>
  <c r="U43" i="16" s="1"/>
  <c r="D43" i="16"/>
  <c r="S42" i="16"/>
  <c r="T42" i="16" s="1"/>
  <c r="U42" i="16" s="1"/>
  <c r="S41" i="16"/>
  <c r="T41" i="16"/>
  <c r="U41" i="16" s="1"/>
  <c r="S40" i="16"/>
  <c r="T40" i="16" s="1"/>
  <c r="U40" i="16" s="1"/>
  <c r="S39" i="16"/>
  <c r="T39" i="16"/>
  <c r="D39" i="16"/>
  <c r="U39" i="16" s="1"/>
  <c r="S38" i="16"/>
  <c r="T38" i="16" s="1"/>
  <c r="U38" i="16" s="1"/>
  <c r="S37" i="16"/>
  <c r="T37" i="16"/>
  <c r="D37" i="16"/>
  <c r="U37" i="16" s="1"/>
  <c r="S36" i="16"/>
  <c r="T36" i="16" s="1"/>
  <c r="U36" i="16" s="1"/>
  <c r="D36" i="16"/>
  <c r="S35" i="16"/>
  <c r="T35" i="16"/>
  <c r="U35" i="16"/>
  <c r="S34" i="16"/>
  <c r="T34" i="16" s="1"/>
  <c r="U34" i="16" s="1"/>
  <c r="S33" i="16"/>
  <c r="T33" i="16" s="1"/>
  <c r="U33" i="16" s="1"/>
  <c r="S32" i="16"/>
  <c r="T32" i="16"/>
  <c r="U32" i="16" s="1"/>
  <c r="S31" i="16"/>
  <c r="T31" i="16" s="1"/>
  <c r="U31" i="16" s="1"/>
  <c r="S30" i="16"/>
  <c r="T30" i="16" s="1"/>
  <c r="U30" i="16" s="1"/>
  <c r="S29" i="16"/>
  <c r="T29" i="16"/>
  <c r="U29" i="16" s="1"/>
  <c r="S28" i="16"/>
  <c r="T28" i="16"/>
  <c r="U28" i="16" s="1"/>
  <c r="S27" i="16"/>
  <c r="T27" i="16"/>
  <c r="U27" i="16" s="1"/>
  <c r="S26" i="16"/>
  <c r="T26" i="16"/>
  <c r="U26" i="16" s="1"/>
  <c r="S25" i="16"/>
  <c r="T25" i="16" s="1"/>
  <c r="U25" i="16" s="1"/>
  <c r="S24" i="16"/>
  <c r="T24" i="16"/>
  <c r="D24" i="16"/>
  <c r="S23" i="16"/>
  <c r="T23" i="16"/>
  <c r="U23" i="16" s="1"/>
  <c r="D23" i="16"/>
  <c r="S22" i="16"/>
  <c r="T22" i="16"/>
  <c r="U22" i="16" s="1"/>
  <c r="S21" i="16"/>
  <c r="T21" i="16" s="1"/>
  <c r="U21" i="16" s="1"/>
  <c r="S20" i="16"/>
  <c r="T20" i="16"/>
  <c r="U20" i="16" s="1"/>
  <c r="S19" i="16"/>
  <c r="T19" i="16" s="1"/>
  <c r="U19" i="16" s="1"/>
  <c r="S18" i="16"/>
  <c r="T18" i="16"/>
  <c r="U18" i="16"/>
  <c r="S17" i="16"/>
  <c r="T17" i="16" s="1"/>
  <c r="U17" i="16" s="1"/>
  <c r="S16" i="16"/>
  <c r="T16" i="16"/>
  <c r="U16" i="16" s="1"/>
  <c r="S15" i="16"/>
  <c r="T15" i="16" s="1"/>
  <c r="U15" i="16" s="1"/>
  <c r="S14" i="16"/>
  <c r="T14" i="16" s="1"/>
  <c r="U14" i="16" s="1"/>
  <c r="S13" i="16"/>
  <c r="T13" i="16" s="1"/>
  <c r="U13" i="16" s="1"/>
  <c r="S12" i="16"/>
  <c r="T12" i="16"/>
  <c r="U12" i="16" s="1"/>
  <c r="S11" i="16"/>
  <c r="T11" i="16"/>
  <c r="U11" i="16" s="1"/>
  <c r="S10" i="16"/>
  <c r="T10" i="16"/>
  <c r="U10" i="16" s="1"/>
  <c r="S9" i="16"/>
  <c r="T9" i="16"/>
  <c r="U9" i="16" s="1"/>
  <c r="S8" i="16"/>
  <c r="T8" i="16"/>
  <c r="U8" i="16" s="1"/>
  <c r="S7" i="16"/>
  <c r="S6" i="16"/>
  <c r="T6" i="16" s="1"/>
  <c r="U6" i="16" s="1"/>
  <c r="G88" i="16"/>
  <c r="U24" i="16"/>
  <c r="S71" i="16"/>
  <c r="T71" i="16"/>
  <c r="U71" i="16" s="1"/>
  <c r="Q88" i="16"/>
  <c r="Q104" i="16" s="1"/>
  <c r="M96" i="16"/>
  <c r="M100" i="16" s="1"/>
  <c r="Q96" i="16"/>
  <c r="Q100" i="16" s="1"/>
  <c r="J96" i="16"/>
  <c r="N96" i="16"/>
  <c r="N100" i="16" s="1"/>
  <c r="R96" i="16"/>
  <c r="R100" i="16" s="1"/>
  <c r="J100" i="16"/>
  <c r="G66" i="6"/>
  <c r="U66" i="6" s="1"/>
  <c r="R64" i="8"/>
  <c r="H64" i="8"/>
  <c r="S64" i="8" s="1"/>
  <c r="E43" i="9"/>
  <c r="K43" i="9" s="1"/>
  <c r="E96" i="9"/>
  <c r="K96" i="9" s="1"/>
  <c r="K290" i="9" s="1"/>
  <c r="L290" i="9" s="1"/>
  <c r="E95" i="9"/>
  <c r="E93" i="9"/>
  <c r="E92" i="9"/>
  <c r="K92" i="9" s="1"/>
  <c r="E91" i="9"/>
  <c r="E90" i="9"/>
  <c r="E89" i="9"/>
  <c r="K89" i="9" s="1"/>
  <c r="K283" i="9" s="1"/>
  <c r="E88" i="9"/>
  <c r="E87" i="9"/>
  <c r="E86" i="9"/>
  <c r="E85" i="9"/>
  <c r="E82" i="9"/>
  <c r="K82" i="9" s="1"/>
  <c r="E81" i="9"/>
  <c r="E80" i="9"/>
  <c r="E79" i="9"/>
  <c r="K79" i="9" s="1"/>
  <c r="K273" i="9" s="1"/>
  <c r="L273" i="9" s="1"/>
  <c r="E78" i="9"/>
  <c r="E76" i="9"/>
  <c r="K76" i="9" s="1"/>
  <c r="E72" i="9"/>
  <c r="E69" i="9"/>
  <c r="E63" i="9"/>
  <c r="E61" i="9"/>
  <c r="E57" i="9"/>
  <c r="E56" i="9"/>
  <c r="K56" i="9" s="1"/>
  <c r="K250" i="9" s="1"/>
  <c r="L250" i="9" s="1"/>
  <c r="E55" i="9"/>
  <c r="K55" i="9" s="1"/>
  <c r="K249" i="9" s="1"/>
  <c r="L249" i="9" s="1"/>
  <c r="E52" i="9"/>
  <c r="E50" i="9"/>
  <c r="E49" i="9"/>
  <c r="E48" i="9"/>
  <c r="E47" i="9"/>
  <c r="E45" i="9"/>
  <c r="E40" i="9"/>
  <c r="E42" i="9"/>
  <c r="E41" i="9"/>
  <c r="E39" i="9"/>
  <c r="E38" i="9"/>
  <c r="K38" i="9" s="1"/>
  <c r="E37" i="9"/>
  <c r="K37" i="9" s="1"/>
  <c r="E35" i="9"/>
  <c r="E33" i="9"/>
  <c r="E32" i="9"/>
  <c r="K32" i="9" s="1"/>
  <c r="E31" i="9"/>
  <c r="E28" i="9"/>
  <c r="E27" i="9"/>
  <c r="E26" i="9"/>
  <c r="E25" i="9"/>
  <c r="K25" i="9" s="1"/>
  <c r="E24" i="9"/>
  <c r="E22" i="9"/>
  <c r="E21" i="9"/>
  <c r="K21" i="9" s="1"/>
  <c r="E20" i="9"/>
  <c r="K20" i="9" s="1"/>
  <c r="K214" i="9" s="1"/>
  <c r="E19" i="9"/>
  <c r="K19" i="9" s="1"/>
  <c r="E18" i="9"/>
  <c r="E17" i="9"/>
  <c r="K17" i="9" s="1"/>
  <c r="E15" i="9"/>
  <c r="E13" i="9"/>
  <c r="E12" i="9"/>
  <c r="K12" i="9" s="1"/>
  <c r="E11" i="9"/>
  <c r="E10" i="9"/>
  <c r="E9" i="9"/>
  <c r="E7" i="9"/>
  <c r="E6" i="9"/>
  <c r="G18" i="6"/>
  <c r="U18" i="6" s="1"/>
  <c r="G17" i="6"/>
  <c r="U17" i="6" s="1"/>
  <c r="G16" i="6"/>
  <c r="U16" i="6" s="1"/>
  <c r="C807" i="5"/>
  <c r="D806" i="5"/>
  <c r="F339" i="9"/>
  <c r="F198" i="9"/>
  <c r="D249" i="3"/>
  <c r="C1338" i="1"/>
  <c r="C610" i="2"/>
  <c r="C754" i="2" s="1"/>
  <c r="R62" i="8"/>
  <c r="H62" i="8"/>
  <c r="S62" i="8" s="1"/>
  <c r="J130" i="7"/>
  <c r="S130" i="7" s="1"/>
  <c r="I29" i="7"/>
  <c r="W29" i="7" s="1"/>
  <c r="J148" i="7"/>
  <c r="S148" i="7" s="1"/>
  <c r="J141" i="7"/>
  <c r="S141" i="7" s="1"/>
  <c r="J140" i="7"/>
  <c r="S140" i="7" s="1"/>
  <c r="Z140" i="7" s="1"/>
  <c r="J139" i="7"/>
  <c r="S139" i="7" s="1"/>
  <c r="U73" i="7"/>
  <c r="J73" i="7"/>
  <c r="S73" i="7" s="1"/>
  <c r="C2180" i="5"/>
  <c r="D207" i="3"/>
  <c r="D221" i="3"/>
  <c r="D336" i="1"/>
  <c r="D1692" i="1" s="1"/>
  <c r="D231" i="5"/>
  <c r="U71" i="7"/>
  <c r="U12" i="7"/>
  <c r="R60" i="8"/>
  <c r="H60" i="8"/>
  <c r="S60" i="8" s="1"/>
  <c r="R61" i="8"/>
  <c r="H61" i="8"/>
  <c r="S61" i="8" s="1"/>
  <c r="C337" i="4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4" i="15"/>
  <c r="H34" i="15"/>
  <c r="G34" i="15"/>
  <c r="F34" i="15"/>
  <c r="E34" i="15"/>
  <c r="D34" i="15"/>
  <c r="C34" i="15"/>
  <c r="K7" i="9"/>
  <c r="K8" i="9"/>
  <c r="K9" i="9"/>
  <c r="K10" i="9"/>
  <c r="K11" i="9"/>
  <c r="K13" i="9"/>
  <c r="K207" i="9" s="1"/>
  <c r="K14" i="9"/>
  <c r="K15" i="9"/>
  <c r="K16" i="9"/>
  <c r="K18" i="9"/>
  <c r="K22" i="9"/>
  <c r="K23" i="9"/>
  <c r="K24" i="9"/>
  <c r="K26" i="9"/>
  <c r="K27" i="9"/>
  <c r="K28" i="9"/>
  <c r="K29" i="9"/>
  <c r="K30" i="9"/>
  <c r="K31" i="9"/>
  <c r="K33" i="9"/>
  <c r="K34" i="9"/>
  <c r="K35" i="9"/>
  <c r="K36" i="9"/>
  <c r="K39" i="9"/>
  <c r="K40" i="9"/>
  <c r="K41" i="9"/>
  <c r="K42" i="9"/>
  <c r="K45" i="9"/>
  <c r="K46" i="9"/>
  <c r="K47" i="9"/>
  <c r="K48" i="9"/>
  <c r="K49" i="9"/>
  <c r="K243" i="9" s="1"/>
  <c r="L243" i="9" s="1"/>
  <c r="K50" i="9"/>
  <c r="K52" i="9"/>
  <c r="K53" i="9"/>
  <c r="K54" i="9"/>
  <c r="K57" i="9"/>
  <c r="K58" i="9"/>
  <c r="K60" i="9"/>
  <c r="K61" i="9"/>
  <c r="K255" i="9" s="1"/>
  <c r="L255" i="9" s="1"/>
  <c r="K62" i="9"/>
  <c r="K63" i="9"/>
  <c r="K64" i="9"/>
  <c r="K65" i="9"/>
  <c r="K67" i="9"/>
  <c r="K68" i="9"/>
  <c r="K69" i="9"/>
  <c r="K70" i="9"/>
  <c r="K264" i="9" s="1"/>
  <c r="L264" i="9" s="1"/>
  <c r="K71" i="9"/>
  <c r="K72" i="9"/>
  <c r="K73" i="9"/>
  <c r="K267" i="9" s="1"/>
  <c r="L267" i="9" s="1"/>
  <c r="K74" i="9"/>
  <c r="K75" i="9"/>
  <c r="K78" i="9"/>
  <c r="K80" i="9"/>
  <c r="K81" i="9"/>
  <c r="K83" i="9"/>
  <c r="K84" i="9"/>
  <c r="K85" i="9"/>
  <c r="K86" i="9"/>
  <c r="K87" i="9"/>
  <c r="K281" i="9" s="1"/>
  <c r="K88" i="9"/>
  <c r="K90" i="9"/>
  <c r="K284" i="9" s="1"/>
  <c r="L284" i="9" s="1"/>
  <c r="K91" i="9"/>
  <c r="K93" i="9"/>
  <c r="K94" i="9"/>
  <c r="K95" i="9"/>
  <c r="K97" i="9"/>
  <c r="K98" i="9"/>
  <c r="K99" i="9"/>
  <c r="K293" i="9" s="1"/>
  <c r="L293" i="9" s="1"/>
  <c r="K195" i="9"/>
  <c r="K196" i="9"/>
  <c r="K104" i="9"/>
  <c r="K105" i="9"/>
  <c r="K106" i="9"/>
  <c r="K107" i="9"/>
  <c r="K108" i="9"/>
  <c r="K109" i="9"/>
  <c r="K110" i="9"/>
  <c r="L207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251" i="9" s="1"/>
  <c r="L251" i="9" s="1"/>
  <c r="K155" i="9"/>
  <c r="K156" i="9"/>
  <c r="K157" i="9"/>
  <c r="K158" i="9"/>
  <c r="K159" i="9"/>
  <c r="K160" i="9"/>
  <c r="K257" i="9"/>
  <c r="L257" i="9" s="1"/>
  <c r="K161" i="9"/>
  <c r="K162" i="9"/>
  <c r="K164" i="9"/>
  <c r="K165" i="9"/>
  <c r="K166" i="9"/>
  <c r="K263" i="9" s="1"/>
  <c r="L263" i="9" s="1"/>
  <c r="K167" i="9"/>
  <c r="K168" i="9"/>
  <c r="K169" i="9"/>
  <c r="K170" i="9"/>
  <c r="K171" i="9"/>
  <c r="K268" i="9" s="1"/>
  <c r="L268" i="9" s="1"/>
  <c r="K172" i="9"/>
  <c r="K173" i="9"/>
  <c r="K198" i="9" s="1"/>
  <c r="K174" i="9"/>
  <c r="K175" i="9"/>
  <c r="K272" i="9" s="1"/>
  <c r="L272" i="9" s="1"/>
  <c r="K176" i="9"/>
  <c r="K177" i="9"/>
  <c r="K178" i="9"/>
  <c r="K179" i="9"/>
  <c r="K180" i="9"/>
  <c r="K277" i="9" s="1"/>
  <c r="L277" i="9" s="1"/>
  <c r="K181" i="9"/>
  <c r="K182" i="9"/>
  <c r="K183" i="9"/>
  <c r="K184" i="9"/>
  <c r="K185" i="9"/>
  <c r="K186" i="9"/>
  <c r="K187" i="9"/>
  <c r="K188" i="9"/>
  <c r="K189" i="9"/>
  <c r="K190" i="9"/>
  <c r="K191" i="9"/>
  <c r="K288" i="9" s="1"/>
  <c r="L288" i="9" s="1"/>
  <c r="K192" i="9"/>
  <c r="K193" i="9"/>
  <c r="K194" i="9"/>
  <c r="C198" i="9"/>
  <c r="D198" i="9"/>
  <c r="E198" i="9"/>
  <c r="G198" i="9"/>
  <c r="H198" i="9"/>
  <c r="I198" i="9"/>
  <c r="G150" i="7"/>
  <c r="J138" i="7"/>
  <c r="S138" i="7" s="1"/>
  <c r="J137" i="7"/>
  <c r="S137" i="7" s="1"/>
  <c r="V136" i="7"/>
  <c r="J136" i="7"/>
  <c r="S136" i="7" s="1"/>
  <c r="J135" i="7"/>
  <c r="S135" i="7" s="1"/>
  <c r="J134" i="7"/>
  <c r="S134" i="7" s="1"/>
  <c r="J133" i="7"/>
  <c r="S133" i="7" s="1"/>
  <c r="J132" i="7"/>
  <c r="S132" i="7" s="1"/>
  <c r="J131" i="7"/>
  <c r="S131" i="7" s="1"/>
  <c r="K282" i="9"/>
  <c r="L282" i="9" s="1"/>
  <c r="L283" i="9"/>
  <c r="K285" i="9"/>
  <c r="L285" i="9" s="1"/>
  <c r="K286" i="9"/>
  <c r="L286" i="9" s="1"/>
  <c r="K289" i="9"/>
  <c r="L289" i="9" s="1"/>
  <c r="K266" i="9"/>
  <c r="L266" i="9" s="1"/>
  <c r="K269" i="9"/>
  <c r="L269" i="9" s="1"/>
  <c r="K271" i="9"/>
  <c r="L271" i="9" s="1"/>
  <c r="K274" i="9"/>
  <c r="L274" i="9" s="1"/>
  <c r="K275" i="9"/>
  <c r="L275" i="9" s="1"/>
  <c r="K278" i="9"/>
  <c r="L278" i="9" s="1"/>
  <c r="K279" i="9"/>
  <c r="L279" i="9" s="1"/>
  <c r="K280" i="9"/>
  <c r="L280" i="9" s="1"/>
  <c r="L281" i="9"/>
  <c r="K252" i="9"/>
  <c r="L252" i="9" s="1"/>
  <c r="K253" i="9"/>
  <c r="L253" i="9" s="1"/>
  <c r="K256" i="9"/>
  <c r="L256" i="9" s="1"/>
  <c r="K258" i="9"/>
  <c r="L258" i="9"/>
  <c r="C779" i="5"/>
  <c r="C778" i="5"/>
  <c r="D777" i="5"/>
  <c r="D776" i="5"/>
  <c r="G229" i="6"/>
  <c r="U229" i="6" s="1"/>
  <c r="R59" i="8"/>
  <c r="H59" i="8"/>
  <c r="S59" i="8" s="1"/>
  <c r="C1502" i="1"/>
  <c r="J129" i="7"/>
  <c r="S129" i="7" s="1"/>
  <c r="V128" i="7"/>
  <c r="U128" i="7"/>
  <c r="J128" i="7"/>
  <c r="S128" i="7" s="1"/>
  <c r="V127" i="7"/>
  <c r="J127" i="7"/>
  <c r="S127" i="7" s="1"/>
  <c r="V126" i="7"/>
  <c r="U126" i="7"/>
  <c r="J126" i="7"/>
  <c r="S126" i="7" s="1"/>
  <c r="J125" i="7"/>
  <c r="S125" i="7" s="1"/>
  <c r="J124" i="7"/>
  <c r="S124" i="7" s="1"/>
  <c r="V123" i="7"/>
  <c r="U123" i="7"/>
  <c r="J123" i="7"/>
  <c r="S123" i="7" s="1"/>
  <c r="V122" i="7"/>
  <c r="J122" i="7"/>
  <c r="S122" i="7" s="1"/>
  <c r="V121" i="7"/>
  <c r="J121" i="7"/>
  <c r="S121" i="7" s="1"/>
  <c r="J120" i="7"/>
  <c r="S120" i="7" s="1"/>
  <c r="V119" i="7"/>
  <c r="J119" i="7"/>
  <c r="S119" i="7" s="1"/>
  <c r="V118" i="7"/>
  <c r="U118" i="7"/>
  <c r="J118" i="7"/>
  <c r="S118" i="7" s="1"/>
  <c r="V117" i="7"/>
  <c r="U117" i="7"/>
  <c r="J117" i="7"/>
  <c r="S117" i="7" s="1"/>
  <c r="J116" i="7"/>
  <c r="S116" i="7" s="1"/>
  <c r="J115" i="7"/>
  <c r="S115" i="7" s="1"/>
  <c r="U114" i="7"/>
  <c r="J114" i="7"/>
  <c r="S114" i="7" s="1"/>
  <c r="U43" i="7"/>
  <c r="J43" i="7"/>
  <c r="S43" i="7" s="1"/>
  <c r="R58" i="8"/>
  <c r="H58" i="8"/>
  <c r="S58" i="8" s="1"/>
  <c r="R57" i="8"/>
  <c r="H57" i="8"/>
  <c r="S57" i="8" s="1"/>
  <c r="R56" i="8"/>
  <c r="H56" i="8"/>
  <c r="S56" i="8" s="1"/>
  <c r="R55" i="8"/>
  <c r="H55" i="8"/>
  <c r="S55" i="8" s="1"/>
  <c r="R54" i="8"/>
  <c r="H54" i="8"/>
  <c r="S54" i="8" s="1"/>
  <c r="R53" i="8"/>
  <c r="H53" i="8"/>
  <c r="S53" i="8" s="1"/>
  <c r="R52" i="8"/>
  <c r="H52" i="8"/>
  <c r="S52" i="8" s="1"/>
  <c r="R51" i="8"/>
  <c r="H51" i="8"/>
  <c r="S51" i="8" s="1"/>
  <c r="R50" i="8"/>
  <c r="H50" i="8"/>
  <c r="S50" i="8" s="1"/>
  <c r="R49" i="8"/>
  <c r="H49" i="8"/>
  <c r="S49" i="8" s="1"/>
  <c r="R48" i="8"/>
  <c r="H48" i="8"/>
  <c r="S48" i="8" s="1"/>
  <c r="G204" i="6"/>
  <c r="U204" i="6" s="1"/>
  <c r="G170" i="6"/>
  <c r="U170" i="6" s="1"/>
  <c r="D214" i="3"/>
  <c r="D189" i="3"/>
  <c r="D174" i="3"/>
  <c r="D164" i="3"/>
  <c r="D143" i="3"/>
  <c r="D97" i="3"/>
  <c r="D90" i="3"/>
  <c r="D64" i="3"/>
  <c r="D62" i="3"/>
  <c r="D56" i="3"/>
  <c r="D277" i="3"/>
  <c r="D498" i="2"/>
  <c r="D462" i="2"/>
  <c r="U29" i="7"/>
  <c r="D393" i="2"/>
  <c r="P150" i="7"/>
  <c r="C11" i="14"/>
  <c r="C48" i="14" s="1"/>
  <c r="J112" i="7"/>
  <c r="S112" i="7" s="1"/>
  <c r="V111" i="7"/>
  <c r="J111" i="7"/>
  <c r="S111" i="7" s="1"/>
  <c r="V109" i="7"/>
  <c r="U109" i="7"/>
  <c r="J109" i="7"/>
  <c r="S109" i="7" s="1"/>
  <c r="J108" i="7"/>
  <c r="S108" i="7" s="1"/>
  <c r="V107" i="7"/>
  <c r="J107" i="7"/>
  <c r="S107" i="7" s="1"/>
  <c r="J106" i="7"/>
  <c r="S106" i="7" s="1"/>
  <c r="V105" i="7"/>
  <c r="J105" i="7"/>
  <c r="S105" i="7" s="1"/>
  <c r="J104" i="7"/>
  <c r="S104" i="7" s="1"/>
  <c r="J103" i="7"/>
  <c r="S103" i="7" s="1"/>
  <c r="V102" i="7"/>
  <c r="U102" i="7"/>
  <c r="J102" i="7"/>
  <c r="S102" i="7" s="1"/>
  <c r="J100" i="7"/>
  <c r="S100" i="7" s="1"/>
  <c r="U99" i="7"/>
  <c r="J99" i="7"/>
  <c r="S99" i="7" s="1"/>
  <c r="U98" i="7"/>
  <c r="J98" i="7"/>
  <c r="S98" i="7" s="1"/>
  <c r="V97" i="7"/>
  <c r="J97" i="7"/>
  <c r="S97" i="7" s="1"/>
  <c r="V96" i="7"/>
  <c r="J96" i="7"/>
  <c r="S96" i="7" s="1"/>
  <c r="J95" i="7"/>
  <c r="S95" i="7" s="1"/>
  <c r="J94" i="7"/>
  <c r="S94" i="7" s="1"/>
  <c r="V93" i="7"/>
  <c r="U93" i="7"/>
  <c r="J93" i="7"/>
  <c r="S93" i="7" s="1"/>
  <c r="J92" i="7"/>
  <c r="S92" i="7" s="1"/>
  <c r="J91" i="7"/>
  <c r="S91" i="7" s="1"/>
  <c r="J9" i="7"/>
  <c r="S9" i="7" s="1"/>
  <c r="D538" i="4"/>
  <c r="C538" i="4"/>
  <c r="D400" i="1"/>
  <c r="D48" i="14"/>
  <c r="E5" i="14"/>
  <c r="E6" i="14" s="1"/>
  <c r="E7" i="14" s="1"/>
  <c r="E8" i="14"/>
  <c r="E9" i="14" s="1"/>
  <c r="E10" i="14" s="1"/>
  <c r="E11" i="14" s="1"/>
  <c r="E12" i="14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G149" i="6"/>
  <c r="U149" i="6" s="1"/>
  <c r="G23" i="6"/>
  <c r="U23" i="6" s="1"/>
  <c r="C189" i="2"/>
  <c r="G128" i="6"/>
  <c r="U128" i="6" s="1"/>
  <c r="G148" i="6"/>
  <c r="U148" i="6" s="1"/>
  <c r="G147" i="6"/>
  <c r="U147" i="6" s="1"/>
  <c r="U114" i="6"/>
  <c r="U113" i="6"/>
  <c r="U82" i="6"/>
  <c r="C398" i="1"/>
  <c r="V11" i="7"/>
  <c r="U15" i="7"/>
  <c r="U16" i="7"/>
  <c r="U17" i="7"/>
  <c r="U18" i="7"/>
  <c r="U20" i="7"/>
  <c r="U21" i="7"/>
  <c r="U23" i="7"/>
  <c r="C324" i="5"/>
  <c r="D323" i="5"/>
  <c r="G197" i="6"/>
  <c r="U197" i="6" s="1"/>
  <c r="D136" i="2"/>
  <c r="G65" i="6"/>
  <c r="U65" i="6" s="1"/>
  <c r="C27" i="3"/>
  <c r="C1" i="3" s="1"/>
  <c r="C13" i="3"/>
  <c r="C86" i="2"/>
  <c r="C38" i="2"/>
  <c r="G163" i="6"/>
  <c r="U163" i="6" s="1"/>
  <c r="G162" i="6"/>
  <c r="U162" i="6" s="1"/>
  <c r="E68" i="12"/>
  <c r="E65" i="12"/>
  <c r="E62" i="12"/>
  <c r="E61" i="12"/>
  <c r="E60" i="12"/>
  <c r="E59" i="12"/>
  <c r="E58" i="12"/>
  <c r="E57" i="12"/>
  <c r="E56" i="12"/>
  <c r="E55" i="12"/>
  <c r="E54" i="12"/>
  <c r="E44" i="12"/>
  <c r="D44" i="12"/>
  <c r="C44" i="12"/>
  <c r="E35" i="12"/>
  <c r="E34" i="12"/>
  <c r="E33" i="12"/>
  <c r="E30" i="12"/>
  <c r="E29" i="12"/>
  <c r="E28" i="12"/>
  <c r="E27" i="12"/>
  <c r="E26" i="12"/>
  <c r="E25" i="12"/>
  <c r="E22" i="12"/>
  <c r="E37" i="12" s="1"/>
  <c r="E47" i="12" s="1"/>
  <c r="E18" i="12"/>
  <c r="E17" i="12"/>
  <c r="E16" i="12"/>
  <c r="E15" i="12"/>
  <c r="E14" i="12"/>
  <c r="E13" i="12"/>
  <c r="E12" i="12"/>
  <c r="E9" i="12"/>
  <c r="E8" i="12"/>
  <c r="C111" i="1"/>
  <c r="K347" i="9"/>
  <c r="I339" i="9"/>
  <c r="H339" i="9"/>
  <c r="G339" i="9"/>
  <c r="E339" i="9"/>
  <c r="D339" i="9"/>
  <c r="C339" i="9"/>
  <c r="K337" i="9"/>
  <c r="K336" i="9"/>
  <c r="K335" i="9"/>
  <c r="K334" i="9"/>
  <c r="K333" i="9"/>
  <c r="K332" i="9"/>
  <c r="K331" i="9"/>
  <c r="K329" i="9"/>
  <c r="K327" i="9"/>
  <c r="K326" i="9"/>
  <c r="K325" i="9"/>
  <c r="K324" i="9"/>
  <c r="K328" i="9"/>
  <c r="K323" i="9"/>
  <c r="K322" i="9"/>
  <c r="K321" i="9"/>
  <c r="K320" i="9"/>
  <c r="K319" i="9"/>
  <c r="K318" i="9"/>
  <c r="K317" i="9"/>
  <c r="K316" i="9"/>
  <c r="K315" i="9"/>
  <c r="K314" i="9"/>
  <c r="K313" i="9"/>
  <c r="K312" i="9"/>
  <c r="K311" i="9"/>
  <c r="K310" i="9"/>
  <c r="K309" i="9"/>
  <c r="K308" i="9"/>
  <c r="K307" i="9"/>
  <c r="K306" i="9"/>
  <c r="K305" i="9"/>
  <c r="K304" i="9"/>
  <c r="K303" i="9"/>
  <c r="K302" i="9"/>
  <c r="K301" i="9"/>
  <c r="K300" i="9"/>
  <c r="K299" i="9"/>
  <c r="A201" i="9"/>
  <c r="A202" i="9"/>
  <c r="A203" i="9"/>
  <c r="A204" i="9" s="1"/>
  <c r="A205" i="9"/>
  <c r="A206" i="9" s="1"/>
  <c r="A207" i="9" s="1"/>
  <c r="A208" i="9" s="1"/>
  <c r="A209" i="9" s="1"/>
  <c r="A210" i="9" s="1"/>
  <c r="A211" i="9" s="1"/>
  <c r="A212" i="9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104" i="9"/>
  <c r="A105" i="9"/>
  <c r="A106" i="9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K103" i="9"/>
  <c r="K200" i="9" s="1"/>
  <c r="L200" i="9" s="1"/>
  <c r="K248" i="9"/>
  <c r="L248" i="9" s="1"/>
  <c r="K247" i="9"/>
  <c r="L247" i="9" s="1"/>
  <c r="K246" i="9"/>
  <c r="L246" i="9" s="1"/>
  <c r="K244" i="9"/>
  <c r="L244" i="9" s="1"/>
  <c r="K242" i="9"/>
  <c r="L242" i="9" s="1"/>
  <c r="K241" i="9"/>
  <c r="L241" i="9" s="1"/>
  <c r="K240" i="9"/>
  <c r="L240" i="9" s="1"/>
  <c r="K239" i="9"/>
  <c r="L239" i="9"/>
  <c r="K238" i="9"/>
  <c r="L238" i="9" s="1"/>
  <c r="K237" i="9"/>
  <c r="L237" i="9"/>
  <c r="K236" i="9"/>
  <c r="L236" i="9"/>
  <c r="K235" i="9"/>
  <c r="L235" i="9" s="1"/>
  <c r="K234" i="9"/>
  <c r="L234" i="9"/>
  <c r="K233" i="9"/>
  <c r="L233" i="9" s="1"/>
  <c r="K231" i="9"/>
  <c r="L231" i="9" s="1"/>
  <c r="K230" i="9"/>
  <c r="L230" i="9" s="1"/>
  <c r="K229" i="9"/>
  <c r="L229" i="9" s="1"/>
  <c r="K228" i="9"/>
  <c r="L228" i="9" s="1"/>
  <c r="K227" i="9"/>
  <c r="L227" i="9"/>
  <c r="K226" i="9"/>
  <c r="L226" i="9" s="1"/>
  <c r="K225" i="9"/>
  <c r="L225" i="9" s="1"/>
  <c r="K224" i="9"/>
  <c r="L224" i="9"/>
  <c r="K223" i="9"/>
  <c r="L223" i="9"/>
  <c r="K222" i="9"/>
  <c r="L222" i="9" s="1"/>
  <c r="K221" i="9"/>
  <c r="L221" i="9" s="1"/>
  <c r="K220" i="9"/>
  <c r="L220" i="9"/>
  <c r="K219" i="9"/>
  <c r="L219" i="9" s="1"/>
  <c r="K218" i="9"/>
  <c r="L218" i="9" s="1"/>
  <c r="K217" i="9"/>
  <c r="L217" i="9" s="1"/>
  <c r="K216" i="9"/>
  <c r="L216" i="9" s="1"/>
  <c r="K215" i="9"/>
  <c r="L215" i="9"/>
  <c r="L214" i="9"/>
  <c r="K213" i="9"/>
  <c r="L213" i="9"/>
  <c r="K212" i="9"/>
  <c r="L212" i="9"/>
  <c r="K211" i="9"/>
  <c r="L211" i="9"/>
  <c r="K210" i="9"/>
  <c r="L210" i="9" s="1"/>
  <c r="K209" i="9"/>
  <c r="L209" i="9" s="1"/>
  <c r="K208" i="9"/>
  <c r="L208" i="9" s="1"/>
  <c r="K205" i="9"/>
  <c r="L205" i="9" s="1"/>
  <c r="K204" i="9"/>
  <c r="L204" i="9" s="1"/>
  <c r="K203" i="9"/>
  <c r="L203" i="9"/>
  <c r="K202" i="9"/>
  <c r="L202" i="9" s="1"/>
  <c r="K201" i="9"/>
  <c r="A7" i="9"/>
  <c r="A8" i="9" s="1"/>
  <c r="A9" i="9" s="1"/>
  <c r="A10" i="9" s="1"/>
  <c r="A11" i="9" s="1"/>
  <c r="A12" i="9"/>
  <c r="A13" i="9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K6" i="9"/>
  <c r="U11" i="7"/>
  <c r="L201" i="9"/>
  <c r="K206" i="9"/>
  <c r="L206" i="9"/>
  <c r="D48" i="2"/>
  <c r="G161" i="6"/>
  <c r="U161" i="6" s="1"/>
  <c r="G160" i="6"/>
  <c r="U160" i="6" s="1"/>
  <c r="G159" i="6"/>
  <c r="U159" i="6" s="1"/>
  <c r="G158" i="6"/>
  <c r="U158" i="6" s="1"/>
  <c r="E5" i="4"/>
  <c r="E6" i="4"/>
  <c r="E7" i="4" s="1"/>
  <c r="E8" i="4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V160" i="8"/>
  <c r="U160" i="8"/>
  <c r="P160" i="8"/>
  <c r="O160" i="8"/>
  <c r="N160" i="8"/>
  <c r="M160" i="8"/>
  <c r="L160" i="8"/>
  <c r="K160" i="8"/>
  <c r="J160" i="8"/>
  <c r="G160" i="8"/>
  <c r="F160" i="8"/>
  <c r="R118" i="8"/>
  <c r="H118" i="8"/>
  <c r="S118" i="8" s="1"/>
  <c r="R117" i="8"/>
  <c r="H117" i="8"/>
  <c r="S117" i="8" s="1"/>
  <c r="R116" i="8"/>
  <c r="H116" i="8"/>
  <c r="S116" i="8" s="1"/>
  <c r="R115" i="8"/>
  <c r="H115" i="8"/>
  <c r="S115" i="8" s="1"/>
  <c r="R114" i="8"/>
  <c r="H114" i="8"/>
  <c r="S114" i="8" s="1"/>
  <c r="R113" i="8"/>
  <c r="H113" i="8"/>
  <c r="S113" i="8" s="1"/>
  <c r="R112" i="8"/>
  <c r="H112" i="8"/>
  <c r="S112" i="8" s="1"/>
  <c r="R111" i="8"/>
  <c r="H111" i="8"/>
  <c r="S111" i="8" s="1"/>
  <c r="R110" i="8"/>
  <c r="H110" i="8"/>
  <c r="S110" i="8" s="1"/>
  <c r="R109" i="8"/>
  <c r="H109" i="8"/>
  <c r="S109" i="8" s="1"/>
  <c r="R108" i="8"/>
  <c r="H108" i="8"/>
  <c r="S108" i="8" s="1"/>
  <c r="R107" i="8"/>
  <c r="H107" i="8"/>
  <c r="S107" i="8" s="1"/>
  <c r="R106" i="8"/>
  <c r="H106" i="8"/>
  <c r="S106" i="8" s="1"/>
  <c r="R105" i="8"/>
  <c r="H105" i="8"/>
  <c r="S105" i="8" s="1"/>
  <c r="R103" i="8"/>
  <c r="H103" i="8"/>
  <c r="S103" i="8" s="1"/>
  <c r="R102" i="8"/>
  <c r="H102" i="8"/>
  <c r="S102" i="8" s="1"/>
  <c r="R47" i="8"/>
  <c r="H47" i="8"/>
  <c r="S47" i="8" s="1"/>
  <c r="R46" i="8"/>
  <c r="H46" i="8"/>
  <c r="S46" i="8" s="1"/>
  <c r="R45" i="8"/>
  <c r="H45" i="8"/>
  <c r="S45" i="8" s="1"/>
  <c r="R44" i="8"/>
  <c r="H44" i="8"/>
  <c r="S44" i="8" s="1"/>
  <c r="R43" i="8"/>
  <c r="H43" i="8"/>
  <c r="S43" i="8" s="1"/>
  <c r="R42" i="8"/>
  <c r="H42" i="8"/>
  <c r="S42" i="8" s="1"/>
  <c r="R41" i="8"/>
  <c r="H41" i="8"/>
  <c r="S41" i="8" s="1"/>
  <c r="R40" i="8"/>
  <c r="H40" i="8"/>
  <c r="S40" i="8" s="1"/>
  <c r="R39" i="8"/>
  <c r="H39" i="8"/>
  <c r="S39" i="8" s="1"/>
  <c r="R38" i="8"/>
  <c r="H38" i="8"/>
  <c r="S38" i="8" s="1"/>
  <c r="R37" i="8"/>
  <c r="H37" i="8"/>
  <c r="S37" i="8" s="1"/>
  <c r="R36" i="8"/>
  <c r="H36" i="8"/>
  <c r="S36" i="8" s="1"/>
  <c r="R35" i="8"/>
  <c r="H35" i="8"/>
  <c r="S35" i="8" s="1"/>
  <c r="S34" i="8"/>
  <c r="R34" i="8"/>
  <c r="S33" i="8"/>
  <c r="R33" i="8"/>
  <c r="R32" i="8"/>
  <c r="H32" i="8"/>
  <c r="S32" i="8" s="1"/>
  <c r="R31" i="8"/>
  <c r="H31" i="8"/>
  <c r="S31" i="8" s="1"/>
  <c r="R30" i="8"/>
  <c r="H30" i="8"/>
  <c r="S30" i="8" s="1"/>
  <c r="R29" i="8"/>
  <c r="H29" i="8"/>
  <c r="S29" i="8" s="1"/>
  <c r="R28" i="8"/>
  <c r="H28" i="8"/>
  <c r="S28" i="8" s="1"/>
  <c r="R27" i="8"/>
  <c r="H27" i="8"/>
  <c r="S27" i="8" s="1"/>
  <c r="R26" i="8"/>
  <c r="H26" i="8"/>
  <c r="S26" i="8" s="1"/>
  <c r="R25" i="8"/>
  <c r="H25" i="8"/>
  <c r="S25" i="8" s="1"/>
  <c r="R24" i="8"/>
  <c r="H24" i="8"/>
  <c r="S24" i="8" s="1"/>
  <c r="R23" i="8"/>
  <c r="H23" i="8"/>
  <c r="S23" i="8" s="1"/>
  <c r="R22" i="8"/>
  <c r="H22" i="8"/>
  <c r="S22" i="8" s="1"/>
  <c r="R21" i="8"/>
  <c r="H21" i="8"/>
  <c r="S21" i="8" s="1"/>
  <c r="R20" i="8"/>
  <c r="H20" i="8"/>
  <c r="S20" i="8" s="1"/>
  <c r="R19" i="8"/>
  <c r="H19" i="8"/>
  <c r="S19" i="8" s="1"/>
  <c r="R18" i="8"/>
  <c r="H18" i="8"/>
  <c r="S18" i="8" s="1"/>
  <c r="R17" i="8"/>
  <c r="H17" i="8"/>
  <c r="S17" i="8" s="1"/>
  <c r="R16" i="8"/>
  <c r="H16" i="8"/>
  <c r="S16" i="8" s="1"/>
  <c r="R14" i="8"/>
  <c r="H14" i="8"/>
  <c r="S14" i="8" s="1"/>
  <c r="R13" i="8"/>
  <c r="H13" i="8"/>
  <c r="S13" i="8" s="1"/>
  <c r="R12" i="8"/>
  <c r="H12" i="8"/>
  <c r="S12" i="8" s="1"/>
  <c r="R11" i="8"/>
  <c r="H11" i="8"/>
  <c r="S11" i="8" s="1"/>
  <c r="R10" i="8"/>
  <c r="H10" i="8"/>
  <c r="S10" i="8" s="1"/>
  <c r="R9" i="8"/>
  <c r="H9" i="8"/>
  <c r="S9" i="8" s="1"/>
  <c r="R8" i="8"/>
  <c r="H8" i="8"/>
  <c r="S8" i="8" s="1"/>
  <c r="R7" i="8"/>
  <c r="H7" i="8"/>
  <c r="S7" i="8" s="1"/>
  <c r="R6" i="8"/>
  <c r="H6" i="8"/>
  <c r="S6" i="8" s="1"/>
  <c r="R5" i="8"/>
  <c r="H5" i="8"/>
  <c r="S5" i="8" s="1"/>
  <c r="J64" i="7"/>
  <c r="S64" i="7" s="1"/>
  <c r="J65" i="7"/>
  <c r="S65" i="7" s="1"/>
  <c r="J66" i="7"/>
  <c r="S66" i="7" s="1"/>
  <c r="J67" i="7"/>
  <c r="S67" i="7" s="1"/>
  <c r="J68" i="7"/>
  <c r="S68" i="7" s="1"/>
  <c r="J69" i="7"/>
  <c r="S69" i="7" s="1"/>
  <c r="J70" i="7"/>
  <c r="S70" i="7" s="1"/>
  <c r="J71" i="7"/>
  <c r="S71" i="7" s="1"/>
  <c r="J72" i="7"/>
  <c r="S72" i="7" s="1"/>
  <c r="J74" i="7"/>
  <c r="S74" i="7" s="1"/>
  <c r="J75" i="7"/>
  <c r="S75" i="7" s="1"/>
  <c r="J76" i="7"/>
  <c r="S76" i="7" s="1"/>
  <c r="J77" i="7"/>
  <c r="S77" i="7" s="1"/>
  <c r="J79" i="7"/>
  <c r="S79" i="7" s="1"/>
  <c r="J80" i="7"/>
  <c r="S80" i="7" s="1"/>
  <c r="J81" i="7"/>
  <c r="S81" i="7" s="1"/>
  <c r="J82" i="7"/>
  <c r="S82" i="7" s="1"/>
  <c r="J83" i="7"/>
  <c r="S83" i="7" s="1"/>
  <c r="J84" i="7"/>
  <c r="S84" i="7" s="1"/>
  <c r="J85" i="7"/>
  <c r="S85" i="7" s="1"/>
  <c r="J86" i="7"/>
  <c r="S86" i="7" s="1"/>
  <c r="J87" i="7"/>
  <c r="S87" i="7" s="1"/>
  <c r="J88" i="7"/>
  <c r="S88" i="7" s="1"/>
  <c r="J89" i="7"/>
  <c r="S89" i="7" s="1"/>
  <c r="J90" i="7"/>
  <c r="S90" i="7" s="1"/>
  <c r="J28" i="7"/>
  <c r="S28" i="7" s="1"/>
  <c r="J30" i="7"/>
  <c r="S30" i="7" s="1"/>
  <c r="J31" i="7"/>
  <c r="S31" i="7" s="1"/>
  <c r="J32" i="7"/>
  <c r="S32" i="7" s="1"/>
  <c r="J33" i="7"/>
  <c r="S33" i="7" s="1"/>
  <c r="J34" i="7"/>
  <c r="S34" i="7" s="1"/>
  <c r="J35" i="7"/>
  <c r="S35" i="7" s="1"/>
  <c r="J36" i="7"/>
  <c r="S36" i="7" s="1"/>
  <c r="J37" i="7"/>
  <c r="S37" i="7" s="1"/>
  <c r="J38" i="7"/>
  <c r="S38" i="7" s="1"/>
  <c r="J39" i="7"/>
  <c r="S39" i="7" s="1"/>
  <c r="J40" i="7"/>
  <c r="S40" i="7" s="1"/>
  <c r="J41" i="7"/>
  <c r="S41" i="7" s="1"/>
  <c r="J42" i="7"/>
  <c r="S42" i="7" s="1"/>
  <c r="J44" i="7"/>
  <c r="S44" i="7" s="1"/>
  <c r="J45" i="7"/>
  <c r="S45" i="7" s="1"/>
  <c r="J46" i="7"/>
  <c r="S46" i="7" s="1"/>
  <c r="J47" i="7"/>
  <c r="S47" i="7" s="1"/>
  <c r="J48" i="7"/>
  <c r="S48" i="7" s="1"/>
  <c r="J49" i="7"/>
  <c r="S49" i="7" s="1"/>
  <c r="J50" i="7"/>
  <c r="S50" i="7" s="1"/>
  <c r="J51" i="7"/>
  <c r="S51" i="7" s="1"/>
  <c r="J52" i="7"/>
  <c r="S52" i="7" s="1"/>
  <c r="J53" i="7"/>
  <c r="S53" i="7" s="1"/>
  <c r="J54" i="7"/>
  <c r="S54" i="7" s="1"/>
  <c r="J55" i="7"/>
  <c r="S55" i="7" s="1"/>
  <c r="J56" i="7"/>
  <c r="S56" i="7" s="1"/>
  <c r="J57" i="7"/>
  <c r="S57" i="7" s="1"/>
  <c r="J58" i="7"/>
  <c r="S58" i="7" s="1"/>
  <c r="J59" i="7"/>
  <c r="S59" i="7" s="1"/>
  <c r="J60" i="7"/>
  <c r="S60" i="7" s="1"/>
  <c r="J61" i="7"/>
  <c r="S61" i="7" s="1"/>
  <c r="J62" i="7"/>
  <c r="S62" i="7" s="1"/>
  <c r="J63" i="7"/>
  <c r="S63" i="7" s="1"/>
  <c r="J17" i="7"/>
  <c r="S17" i="7" s="1"/>
  <c r="J18" i="7"/>
  <c r="S18" i="7" s="1"/>
  <c r="J19" i="7"/>
  <c r="S19" i="7" s="1"/>
  <c r="J20" i="7"/>
  <c r="S20" i="7" s="1"/>
  <c r="J21" i="7"/>
  <c r="S21" i="7" s="1"/>
  <c r="J22" i="7"/>
  <c r="S22" i="7" s="1"/>
  <c r="J23" i="7"/>
  <c r="S23" i="7" s="1"/>
  <c r="J24" i="7"/>
  <c r="S24" i="7" s="1"/>
  <c r="J25" i="7"/>
  <c r="S25" i="7" s="1"/>
  <c r="J26" i="7"/>
  <c r="S26" i="7" s="1"/>
  <c r="J27" i="7"/>
  <c r="S27" i="7" s="1"/>
  <c r="R150" i="7"/>
  <c r="Q150" i="7"/>
  <c r="O150" i="7"/>
  <c r="N150" i="7"/>
  <c r="L150" i="7"/>
  <c r="H150" i="7"/>
  <c r="U90" i="7"/>
  <c r="V88" i="7"/>
  <c r="U87" i="7"/>
  <c r="U86" i="7"/>
  <c r="U85" i="7"/>
  <c r="V84" i="7"/>
  <c r="V83" i="7"/>
  <c r="U83" i="7"/>
  <c r="U77" i="7"/>
  <c r="U76" i="7"/>
  <c r="V72" i="7"/>
  <c r="U69" i="7"/>
  <c r="U68" i="7"/>
  <c r="U67" i="7"/>
  <c r="V66" i="7"/>
  <c r="V64" i="7"/>
  <c r="U64" i="7"/>
  <c r="U63" i="7"/>
  <c r="U57" i="7"/>
  <c r="U56" i="7"/>
  <c r="U55" i="7"/>
  <c r="U54" i="7"/>
  <c r="U53" i="7"/>
  <c r="U52" i="7"/>
  <c r="U51" i="7"/>
  <c r="U48" i="7"/>
  <c r="U47" i="7"/>
  <c r="U46" i="7"/>
  <c r="U39" i="7"/>
  <c r="U38" i="7"/>
  <c r="U37" i="7"/>
  <c r="U36" i="7"/>
  <c r="U35" i="7"/>
  <c r="U34" i="7"/>
  <c r="M150" i="7"/>
  <c r="U31" i="7"/>
  <c r="U30" i="7"/>
  <c r="U28" i="7"/>
  <c r="U27" i="7"/>
  <c r="U25" i="7"/>
  <c r="U24" i="7"/>
  <c r="J16" i="7"/>
  <c r="S16" i="7" s="1"/>
  <c r="J15" i="7"/>
  <c r="S15" i="7" s="1"/>
  <c r="U14" i="7"/>
  <c r="J14" i="7"/>
  <c r="S14" i="7" s="1"/>
  <c r="J13" i="7"/>
  <c r="S13" i="7" s="1"/>
  <c r="J12" i="7"/>
  <c r="S12" i="7" s="1"/>
  <c r="J11" i="7"/>
  <c r="S11" i="7" s="1"/>
  <c r="J10" i="7"/>
  <c r="S10" i="7" s="1"/>
  <c r="V8" i="7"/>
  <c r="U8" i="7"/>
  <c r="J8" i="7"/>
  <c r="S8" i="7" s="1"/>
  <c r="U7" i="7"/>
  <c r="J7" i="7"/>
  <c r="S7" i="7" s="1"/>
  <c r="U6" i="7"/>
  <c r="J6" i="7"/>
  <c r="S6" i="7" s="1"/>
  <c r="A6" i="7"/>
  <c r="A7" i="7" s="1"/>
  <c r="A8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5" i="7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U5" i="7"/>
  <c r="J5" i="7"/>
  <c r="S5" i="7" s="1"/>
  <c r="J152" i="7"/>
  <c r="P534" i="6"/>
  <c r="G164" i="6"/>
  <c r="U164" i="6" s="1"/>
  <c r="K182" i="6"/>
  <c r="T182" i="6" s="1"/>
  <c r="R534" i="6"/>
  <c r="Q534" i="6"/>
  <c r="O534" i="6"/>
  <c r="N534" i="6"/>
  <c r="M534" i="6"/>
  <c r="L534" i="6"/>
  <c r="F534" i="6"/>
  <c r="G245" i="6"/>
  <c r="U245" i="6" s="1"/>
  <c r="G244" i="6"/>
  <c r="U244" i="6" s="1"/>
  <c r="G243" i="6"/>
  <c r="U243" i="6" s="1"/>
  <c r="G242" i="6"/>
  <c r="U242" i="6" s="1"/>
  <c r="G241" i="6"/>
  <c r="U241" i="6" s="1"/>
  <c r="G240" i="6"/>
  <c r="U240" i="6" s="1"/>
  <c r="G239" i="6"/>
  <c r="U239" i="6" s="1"/>
  <c r="G238" i="6"/>
  <c r="U238" i="6" s="1"/>
  <c r="G237" i="6"/>
  <c r="U237" i="6" s="1"/>
  <c r="G236" i="6"/>
  <c r="U236" i="6" s="1"/>
  <c r="G235" i="6"/>
  <c r="U235" i="6" s="1"/>
  <c r="G234" i="6"/>
  <c r="U234" i="6" s="1"/>
  <c r="G233" i="6"/>
  <c r="U233" i="6" s="1"/>
  <c r="G232" i="6"/>
  <c r="U232" i="6" s="1"/>
  <c r="G231" i="6"/>
  <c r="U231" i="6" s="1"/>
  <c r="G230" i="6"/>
  <c r="U230" i="6" s="1"/>
  <c r="G228" i="6"/>
  <c r="U228" i="6" s="1"/>
  <c r="G227" i="6"/>
  <c r="U227" i="6" s="1"/>
  <c r="G226" i="6"/>
  <c r="U226" i="6" s="1"/>
  <c r="G225" i="6"/>
  <c r="U225" i="6" s="1"/>
  <c r="G224" i="6"/>
  <c r="U224" i="6" s="1"/>
  <c r="G223" i="6"/>
  <c r="U223" i="6" s="1"/>
  <c r="G222" i="6"/>
  <c r="U222" i="6" s="1"/>
  <c r="G221" i="6"/>
  <c r="U221" i="6" s="1"/>
  <c r="G220" i="6"/>
  <c r="U220" i="6" s="1"/>
  <c r="G219" i="6"/>
  <c r="U219" i="6" s="1"/>
  <c r="G218" i="6"/>
  <c r="U218" i="6" s="1"/>
  <c r="G217" i="6"/>
  <c r="U217" i="6" s="1"/>
  <c r="G216" i="6"/>
  <c r="U216" i="6" s="1"/>
  <c r="G215" i="6"/>
  <c r="U215" i="6" s="1"/>
  <c r="G214" i="6"/>
  <c r="U214" i="6" s="1"/>
  <c r="G213" i="6"/>
  <c r="U213" i="6" s="1"/>
  <c r="G212" i="6"/>
  <c r="U212" i="6" s="1"/>
  <c r="G211" i="6"/>
  <c r="U211" i="6" s="1"/>
  <c r="G210" i="6"/>
  <c r="U210" i="6" s="1"/>
  <c r="G208" i="6"/>
  <c r="U208" i="6" s="1"/>
  <c r="G207" i="6"/>
  <c r="U207" i="6" s="1"/>
  <c r="G206" i="6"/>
  <c r="U206" i="6" s="1"/>
  <c r="G205" i="6"/>
  <c r="U205" i="6" s="1"/>
  <c r="G203" i="6"/>
  <c r="U203" i="6" s="1"/>
  <c r="G202" i="6"/>
  <c r="U202" i="6" s="1"/>
  <c r="G201" i="6"/>
  <c r="U201" i="6" s="1"/>
  <c r="G200" i="6"/>
  <c r="U200" i="6" s="1"/>
  <c r="G199" i="6"/>
  <c r="U199" i="6" s="1"/>
  <c r="G198" i="6"/>
  <c r="U198" i="6" s="1"/>
  <c r="G196" i="6"/>
  <c r="U196" i="6" s="1"/>
  <c r="G195" i="6"/>
  <c r="U195" i="6" s="1"/>
  <c r="G194" i="6"/>
  <c r="U194" i="6" s="1"/>
  <c r="G193" i="6"/>
  <c r="U193" i="6" s="1"/>
  <c r="G192" i="6"/>
  <c r="U192" i="6" s="1"/>
  <c r="G191" i="6"/>
  <c r="U191" i="6" s="1"/>
  <c r="G190" i="6"/>
  <c r="U190" i="6" s="1"/>
  <c r="G189" i="6"/>
  <c r="U189" i="6" s="1"/>
  <c r="G188" i="6"/>
  <c r="U188" i="6" s="1"/>
  <c r="G187" i="6"/>
  <c r="U187" i="6" s="1"/>
  <c r="G186" i="6"/>
  <c r="U186" i="6" s="1"/>
  <c r="G185" i="6"/>
  <c r="U185" i="6" s="1"/>
  <c r="G184" i="6"/>
  <c r="U184" i="6" s="1"/>
  <c r="G183" i="6"/>
  <c r="U183" i="6" s="1"/>
  <c r="G182" i="6"/>
  <c r="U182" i="6" s="1"/>
  <c r="G181" i="6"/>
  <c r="U181" i="6" s="1"/>
  <c r="G180" i="6"/>
  <c r="U180" i="6" s="1"/>
  <c r="G179" i="6"/>
  <c r="U179" i="6" s="1"/>
  <c r="G178" i="6"/>
  <c r="U178" i="6" s="1"/>
  <c r="G177" i="6"/>
  <c r="U177" i="6" s="1"/>
  <c r="G176" i="6"/>
  <c r="U176" i="6" s="1"/>
  <c r="G175" i="6"/>
  <c r="U175" i="6" s="1"/>
  <c r="G174" i="6"/>
  <c r="U174" i="6" s="1"/>
  <c r="G173" i="6"/>
  <c r="U173" i="6" s="1"/>
  <c r="G172" i="6"/>
  <c r="U172" i="6" s="1"/>
  <c r="G171" i="6"/>
  <c r="U171" i="6" s="1"/>
  <c r="G169" i="6"/>
  <c r="U169" i="6" s="1"/>
  <c r="G168" i="6"/>
  <c r="U168" i="6" s="1"/>
  <c r="G167" i="6"/>
  <c r="U167" i="6" s="1"/>
  <c r="G166" i="6"/>
  <c r="U166" i="6" s="1"/>
  <c r="G165" i="6"/>
  <c r="U165" i="6" s="1"/>
  <c r="G157" i="6"/>
  <c r="U157" i="6" s="1"/>
  <c r="G156" i="6"/>
  <c r="U156" i="6" s="1"/>
  <c r="G155" i="6"/>
  <c r="U155" i="6" s="1"/>
  <c r="G154" i="6"/>
  <c r="U154" i="6" s="1"/>
  <c r="G153" i="6"/>
  <c r="U153" i="6" s="1"/>
  <c r="G152" i="6"/>
  <c r="U152" i="6" s="1"/>
  <c r="G151" i="6"/>
  <c r="U151" i="6" s="1"/>
  <c r="G150" i="6"/>
  <c r="U150" i="6" s="1"/>
  <c r="G146" i="6"/>
  <c r="U146" i="6" s="1"/>
  <c r="G145" i="6"/>
  <c r="U145" i="6" s="1"/>
  <c r="G144" i="6"/>
  <c r="U144" i="6" s="1"/>
  <c r="G143" i="6"/>
  <c r="U143" i="6" s="1"/>
  <c r="G142" i="6"/>
  <c r="U142" i="6" s="1"/>
  <c r="G141" i="6"/>
  <c r="U141" i="6" s="1"/>
  <c r="G140" i="6"/>
  <c r="U140" i="6" s="1"/>
  <c r="G139" i="6"/>
  <c r="U139" i="6" s="1"/>
  <c r="G138" i="6"/>
  <c r="U138" i="6" s="1"/>
  <c r="G137" i="6"/>
  <c r="U137" i="6" s="1"/>
  <c r="G136" i="6"/>
  <c r="U136" i="6" s="1"/>
  <c r="G135" i="6"/>
  <c r="U135" i="6" s="1"/>
  <c r="G134" i="6"/>
  <c r="U134" i="6" s="1"/>
  <c r="G133" i="6"/>
  <c r="U133" i="6" s="1"/>
  <c r="G132" i="6"/>
  <c r="U132" i="6" s="1"/>
  <c r="G131" i="6"/>
  <c r="U131" i="6" s="1"/>
  <c r="G130" i="6"/>
  <c r="U130" i="6" s="1"/>
  <c r="G129" i="6"/>
  <c r="U129" i="6" s="1"/>
  <c r="G127" i="6"/>
  <c r="U127" i="6" s="1"/>
  <c r="G126" i="6"/>
  <c r="U126" i="6" s="1"/>
  <c r="G125" i="6"/>
  <c r="U125" i="6" s="1"/>
  <c r="G124" i="6"/>
  <c r="U124" i="6" s="1"/>
  <c r="G123" i="6"/>
  <c r="U123" i="6" s="1"/>
  <c r="G122" i="6"/>
  <c r="U122" i="6" s="1"/>
  <c r="G121" i="6"/>
  <c r="U121" i="6" s="1"/>
  <c r="G120" i="6"/>
  <c r="U120" i="6" s="1"/>
  <c r="G119" i="6"/>
  <c r="U119" i="6" s="1"/>
  <c r="G118" i="6"/>
  <c r="U118" i="6" s="1"/>
  <c r="G117" i="6"/>
  <c r="U117" i="6" s="1"/>
  <c r="G116" i="6"/>
  <c r="U116" i="6" s="1"/>
  <c r="G115" i="6"/>
  <c r="U115" i="6" s="1"/>
  <c r="U81" i="6"/>
  <c r="U80" i="6"/>
  <c r="U79" i="6"/>
  <c r="U78" i="6"/>
  <c r="U77" i="6"/>
  <c r="U76" i="6"/>
  <c r="U75" i="6"/>
  <c r="U74" i="6"/>
  <c r="U73" i="6"/>
  <c r="G72" i="6"/>
  <c r="U72" i="6" s="1"/>
  <c r="G71" i="6"/>
  <c r="U71" i="6" s="1"/>
  <c r="G70" i="6"/>
  <c r="U70" i="6" s="1"/>
  <c r="G69" i="6"/>
  <c r="U69" i="6" s="1"/>
  <c r="G68" i="6"/>
  <c r="U68" i="6" s="1"/>
  <c r="G67" i="6"/>
  <c r="U67" i="6" s="1"/>
  <c r="G64" i="6"/>
  <c r="U64" i="6" s="1"/>
  <c r="G63" i="6"/>
  <c r="U63" i="6" s="1"/>
  <c r="G62" i="6"/>
  <c r="U62" i="6" s="1"/>
  <c r="G61" i="6"/>
  <c r="U61" i="6" s="1"/>
  <c r="G60" i="6"/>
  <c r="U60" i="6" s="1"/>
  <c r="G59" i="6"/>
  <c r="U59" i="6" s="1"/>
  <c r="G58" i="6"/>
  <c r="U58" i="6" s="1"/>
  <c r="G57" i="6"/>
  <c r="U57" i="6" s="1"/>
  <c r="G56" i="6"/>
  <c r="U56" i="6" s="1"/>
  <c r="G55" i="6"/>
  <c r="U55" i="6" s="1"/>
  <c r="G54" i="6"/>
  <c r="U54" i="6" s="1"/>
  <c r="G53" i="6"/>
  <c r="U53" i="6" s="1"/>
  <c r="G21" i="6"/>
  <c r="U21" i="6" s="1"/>
  <c r="G20" i="6"/>
  <c r="U20" i="6" s="1"/>
  <c r="G28" i="6"/>
  <c r="U28" i="6" s="1"/>
  <c r="G27" i="6"/>
  <c r="U27" i="6" s="1"/>
  <c r="G26" i="6"/>
  <c r="U26" i="6" s="1"/>
  <c r="G25" i="6"/>
  <c r="U25" i="6" s="1"/>
  <c r="G24" i="6"/>
  <c r="U24" i="6" s="1"/>
  <c r="G22" i="6"/>
  <c r="U22" i="6" s="1"/>
  <c r="G14" i="6"/>
  <c r="U14" i="6" s="1"/>
  <c r="G13" i="6"/>
  <c r="U13" i="6" s="1"/>
  <c r="G11" i="6"/>
  <c r="U11" i="6" s="1"/>
  <c r="G10" i="6"/>
  <c r="U10" i="6" s="1"/>
  <c r="G19" i="6"/>
  <c r="U19" i="6" s="1"/>
  <c r="G15" i="6"/>
  <c r="U15" i="6" s="1"/>
  <c r="G9" i="6"/>
  <c r="U9" i="6" s="1"/>
  <c r="G8" i="6"/>
  <c r="U8" i="6" s="1"/>
  <c r="G7" i="6"/>
  <c r="U7" i="6" s="1"/>
  <c r="G6" i="6"/>
  <c r="U6" i="6" s="1"/>
  <c r="G5" i="6"/>
  <c r="U5" i="6" s="1"/>
  <c r="G4" i="6"/>
  <c r="U4" i="6" s="1"/>
  <c r="E5" i="3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D49" i="14"/>
  <c r="K254" i="9"/>
  <c r="L254" i="9" s="1"/>
  <c r="K292" i="9"/>
  <c r="L292" i="9" s="1"/>
  <c r="C277" i="3"/>
  <c r="D278" i="3" s="1"/>
  <c r="D2527" i="5"/>
  <c r="C2527" i="5"/>
  <c r="K534" i="6"/>
  <c r="K259" i="9"/>
  <c r="L259" i="9"/>
  <c r="D754" i="2"/>
  <c r="E22" i="3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  <c r="E241" i="3" s="1"/>
  <c r="E242" i="3" s="1"/>
  <c r="E243" i="3" s="1"/>
  <c r="E244" i="3" s="1"/>
  <c r="E245" i="3" s="1"/>
  <c r="E246" i="3" s="1"/>
  <c r="E247" i="3" s="1"/>
  <c r="E248" i="3" s="1"/>
  <c r="E249" i="3" s="1"/>
  <c r="E250" i="3" s="1"/>
  <c r="E251" i="3" s="1"/>
  <c r="E252" i="3" s="1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64" i="3" s="1"/>
  <c r="E265" i="3" s="1"/>
  <c r="E266" i="3" s="1"/>
  <c r="E267" i="3" s="1"/>
  <c r="E268" i="3" s="1"/>
  <c r="D1" i="3"/>
  <c r="E1" i="3" s="1"/>
  <c r="K339" i="9"/>
  <c r="E341" i="4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/>
  <c r="E380" i="4" s="1"/>
  <c r="E381" i="4" s="1"/>
  <c r="E382" i="4" s="1"/>
  <c r="E383" i="4" s="1"/>
  <c r="E384" i="4"/>
  <c r="E385" i="4" s="1"/>
  <c r="E386" i="4" s="1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403" i="4" s="1"/>
  <c r="E404" i="4" s="1"/>
  <c r="E405" i="4" s="1"/>
  <c r="E406" i="4" s="1"/>
  <c r="E407" i="4" s="1"/>
  <c r="E408" i="4" s="1"/>
  <c r="E409" i="4" s="1"/>
  <c r="E410" i="4" s="1"/>
  <c r="E411" i="4" s="1"/>
  <c r="E412" i="4" s="1"/>
  <c r="E413" i="4" s="1"/>
  <c r="E414" i="4" s="1"/>
  <c r="E415" i="4" s="1"/>
  <c r="E416" i="4" s="1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434" i="4" s="1"/>
  <c r="E435" i="4" s="1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E454" i="4" s="1"/>
  <c r="E455" i="4" s="1"/>
  <c r="E456" i="4" s="1"/>
  <c r="E457" i="4" s="1"/>
  <c r="E458" i="4" s="1"/>
  <c r="E459" i="4" s="1"/>
  <c r="E460" i="4" s="1"/>
  <c r="E461" i="4" s="1"/>
  <c r="E462" i="4" s="1"/>
  <c r="E463" i="4" s="1"/>
  <c r="E464" i="4" s="1"/>
  <c r="E465" i="4" s="1"/>
  <c r="E466" i="4" s="1"/>
  <c r="E467" i="4" s="1"/>
  <c r="E468" i="4" s="1"/>
  <c r="E469" i="4" s="1"/>
  <c r="E470" i="4" s="1"/>
  <c r="E471" i="4" s="1"/>
  <c r="E472" i="4" s="1"/>
  <c r="E473" i="4" s="1"/>
  <c r="E474" i="4" s="1"/>
  <c r="E475" i="4" s="1"/>
  <c r="E476" i="4" s="1"/>
  <c r="E477" i="4" s="1"/>
  <c r="E478" i="4" s="1"/>
  <c r="E479" i="4" s="1"/>
  <c r="E480" i="4" s="1"/>
  <c r="E481" i="4" s="1"/>
  <c r="E482" i="4" s="1"/>
  <c r="E483" i="4" s="1"/>
  <c r="E484" i="4" s="1"/>
  <c r="E485" i="4" s="1"/>
  <c r="E486" i="4" s="1"/>
  <c r="E487" i="4" s="1"/>
  <c r="E488" i="4" s="1"/>
  <c r="E489" i="4" s="1"/>
  <c r="E490" i="4" s="1"/>
  <c r="E491" i="4" s="1"/>
  <c r="E492" i="4" s="1"/>
  <c r="E493" i="4" s="1"/>
  <c r="E494" i="4" s="1"/>
  <c r="E495" i="4" s="1"/>
  <c r="E496" i="4" s="1"/>
  <c r="E497" i="4" s="1"/>
  <c r="E498" i="4" s="1"/>
  <c r="E499" i="4" s="1"/>
  <c r="E500" i="4" s="1"/>
  <c r="E501" i="4" s="1"/>
  <c r="E502" i="4" s="1"/>
  <c r="E503" i="4" s="1"/>
  <c r="E504" i="4" s="1"/>
  <c r="E505" i="4" s="1"/>
  <c r="E506" i="4" s="1"/>
  <c r="E507" i="4" s="1"/>
  <c r="E508" i="4" s="1"/>
  <c r="E509" i="4" s="1"/>
  <c r="E510" i="4" s="1"/>
  <c r="E511" i="4" s="1"/>
  <c r="E512" i="4" s="1"/>
  <c r="E513" i="4" s="1"/>
  <c r="E514" i="4" s="1"/>
  <c r="E515" i="4" s="1"/>
  <c r="E516" i="4" s="1"/>
  <c r="E517" i="4" s="1"/>
  <c r="E518" i="4" s="1"/>
  <c r="E519" i="4" s="1"/>
  <c r="E520" i="4" s="1"/>
  <c r="E521" i="4" s="1"/>
  <c r="E522" i="4" s="1"/>
  <c r="E523" i="4" s="1"/>
  <c r="E524" i="4" s="1"/>
  <c r="E525" i="4" s="1"/>
  <c r="E526" i="4" s="1"/>
  <c r="E527" i="4" s="1"/>
  <c r="E528" i="4" s="1"/>
  <c r="E529" i="4" s="1"/>
  <c r="E530" i="4" s="1"/>
  <c r="E531" i="4" s="1"/>
  <c r="E532" i="4" s="1"/>
  <c r="E533" i="4" s="1"/>
  <c r="E534" i="4" s="1"/>
  <c r="E535" i="4" s="1"/>
  <c r="E536" i="4" s="1"/>
  <c r="D539" i="4"/>
  <c r="E27" i="5"/>
  <c r="E28" i="5" s="1"/>
  <c r="E29" i="5" s="1"/>
  <c r="E30" i="5" s="1"/>
  <c r="E31" i="5" s="1"/>
  <c r="E32" i="5"/>
  <c r="E33" i="5"/>
  <c r="E34" i="5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" i="5"/>
  <c r="E26" i="5"/>
  <c r="D2528" i="5"/>
  <c r="D755" i="2" l="1"/>
  <c r="U162" i="8"/>
  <c r="F162" i="8"/>
  <c r="Z61" i="7"/>
  <c r="Z120" i="7"/>
  <c r="Z138" i="7"/>
  <c r="Z139" i="7"/>
  <c r="Z116" i="7"/>
  <c r="Z115" i="7"/>
  <c r="K276" i="9"/>
  <c r="L276" i="9" s="1"/>
  <c r="K270" i="9"/>
  <c r="L270" i="9" s="1"/>
  <c r="E69" i="12"/>
  <c r="C1692" i="1"/>
  <c r="D1693" i="1" s="1"/>
  <c r="E111" i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R160" i="8"/>
  <c r="H160" i="8"/>
  <c r="E534" i="6"/>
  <c r="G1" i="6" s="1"/>
  <c r="Z104" i="7"/>
  <c r="Z141" i="7"/>
  <c r="Z124" i="7"/>
  <c r="Z130" i="7"/>
  <c r="Z142" i="7"/>
  <c r="J29" i="7"/>
  <c r="S29" i="7" s="1"/>
  <c r="S150" i="7" s="1"/>
  <c r="Z62" i="7"/>
  <c r="Z80" i="7"/>
  <c r="I150" i="7"/>
  <c r="Z101" i="7"/>
  <c r="S160" i="8"/>
  <c r="Z125" i="7"/>
  <c r="Z112" i="7"/>
  <c r="Z132" i="7"/>
  <c r="Z131" i="7"/>
  <c r="Z133" i="7"/>
  <c r="Z135" i="7"/>
  <c r="Z134" i="7"/>
  <c r="Z92" i="7"/>
  <c r="Z103" i="7"/>
  <c r="Z89" i="7"/>
  <c r="W150" i="7"/>
  <c r="U150" i="7"/>
  <c r="Z100" i="7"/>
  <c r="Z137" i="7"/>
  <c r="Z94" i="7"/>
  <c r="Z78" i="7"/>
  <c r="AC78" i="7" s="1"/>
  <c r="Z110" i="7"/>
  <c r="AC110" i="7" s="1"/>
  <c r="X150" i="7"/>
  <c r="J150" i="7"/>
  <c r="Z91" i="7"/>
  <c r="Z81" i="7"/>
  <c r="T534" i="6"/>
  <c r="U534" i="6"/>
  <c r="G534" i="6"/>
  <c r="K291" i="9"/>
  <c r="L291" i="9" s="1"/>
  <c r="Z129" i="7"/>
  <c r="V150" i="7"/>
  <c r="Z65" i="7"/>
  <c r="Z113" i="7"/>
  <c r="Z145" i="7"/>
  <c r="E100" i="9"/>
  <c r="K287" i="9"/>
  <c r="L287" i="9" s="1"/>
  <c r="S82" i="16"/>
  <c r="T82" i="16" s="1"/>
  <c r="U82" i="16" s="1"/>
  <c r="S86" i="16"/>
  <c r="T86" i="16" s="1"/>
  <c r="U86" i="16" s="1"/>
  <c r="G100" i="16"/>
  <c r="G104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96" i="16"/>
  <c r="T96" i="16" s="1"/>
  <c r="U96" i="16" s="1"/>
  <c r="S84" i="16"/>
  <c r="T84" i="16" s="1"/>
  <c r="U84" i="16" s="1"/>
  <c r="S77" i="16"/>
  <c r="T77" i="16" s="1"/>
  <c r="U77" i="16" s="1"/>
  <c r="S78" i="16"/>
  <c r="T78" i="16" s="1"/>
  <c r="U78" i="16" s="1"/>
  <c r="S79" i="16"/>
  <c r="T79" i="16" s="1"/>
  <c r="U79" i="16" s="1"/>
  <c r="K232" i="9"/>
  <c r="I104" i="16"/>
  <c r="K104" i="16"/>
  <c r="L104" i="16"/>
  <c r="S80" i="16"/>
  <c r="T80" i="16" s="1"/>
  <c r="U80" i="16" s="1"/>
  <c r="S81" i="16"/>
  <c r="T81" i="16" s="1"/>
  <c r="U81" i="16" s="1"/>
  <c r="H19" i="12"/>
  <c r="M104" i="16"/>
  <c r="K261" i="9"/>
  <c r="L261" i="9" s="1"/>
  <c r="T7" i="16"/>
  <c r="U57" i="16"/>
  <c r="E51" i="9"/>
  <c r="S76" i="16"/>
  <c r="T76" i="16" s="1"/>
  <c r="U76" i="16" s="1"/>
  <c r="K51" i="9"/>
  <c r="U50" i="16"/>
  <c r="D100" i="16"/>
  <c r="H88" i="16"/>
  <c r="H104" i="16" s="1"/>
  <c r="N88" i="16"/>
  <c r="N104" i="16" s="1"/>
  <c r="K265" i="9"/>
  <c r="L265" i="9" s="1"/>
  <c r="O88" i="16"/>
  <c r="O104" i="16" s="1"/>
  <c r="P96" i="16"/>
  <c r="P100" i="16" s="1"/>
  <c r="P104" i="16" s="1"/>
  <c r="D106" i="16"/>
  <c r="I96" i="16"/>
  <c r="I100" i="16" s="1"/>
  <c r="O96" i="16"/>
  <c r="O100" i="16" s="1"/>
  <c r="T91" i="16"/>
  <c r="S74" i="16"/>
  <c r="T74" i="16" s="1"/>
  <c r="U74" i="16" s="1"/>
  <c r="S85" i="16"/>
  <c r="T85" i="16" s="1"/>
  <c r="U85" i="16" s="1"/>
  <c r="K262" i="9"/>
  <c r="L262" i="9" s="1"/>
  <c r="D88" i="16"/>
  <c r="D104" i="16" s="1"/>
  <c r="R162" i="8" l="1"/>
  <c r="E536" i="6"/>
  <c r="T536" i="6"/>
  <c r="S100" i="16"/>
  <c r="K245" i="9"/>
  <c r="L245" i="9" s="1"/>
  <c r="K101" i="9"/>
  <c r="S88" i="16"/>
  <c r="S104" i="16" s="1"/>
  <c r="K343" i="9" s="1"/>
  <c r="T100" i="16"/>
  <c r="U91" i="16"/>
  <c r="U100" i="16" s="1"/>
  <c r="L232" i="9"/>
  <c r="K295" i="9"/>
  <c r="U7" i="16"/>
  <c r="U88" i="16" s="1"/>
  <c r="U104" i="16" s="1"/>
  <c r="T88" i="16"/>
  <c r="T104" i="16" s="1"/>
  <c r="L295" i="9" l="1"/>
  <c r="K341" i="9"/>
  <c r="K345" i="9" s="1"/>
  <c r="K349" i="9" s="1"/>
  <c r="N349" i="9" l="1"/>
  <c r="O349" i="9" s="1"/>
  <c r="E76" i="12"/>
  <c r="L349" i="9"/>
  <c r="E77" i="12" l="1"/>
  <c r="E80" i="12" s="1"/>
  <c r="E83" i="12" s="1"/>
  <c r="E84" i="12" s="1"/>
  <c r="H74" i="12"/>
</calcChain>
</file>

<file path=xl/sharedStrings.xml><?xml version="1.0" encoding="utf-8"?>
<sst xmlns="http://schemas.openxmlformats.org/spreadsheetml/2006/main" count="27688" uniqueCount="5198">
  <si>
    <t>BCA</t>
  </si>
  <si>
    <t>RD HIDIANITJE</t>
  </si>
  <si>
    <t>5750-489-666</t>
  </si>
  <si>
    <t>Tgl</t>
  </si>
  <si>
    <t>Saldo Akhir Tahun 2020</t>
  </si>
  <si>
    <t>TRANSFER   DR 008 PAN CONVINCE MITRAPLAZA MANDI</t>
  </si>
  <si>
    <t>MANDIRI    TRANSFER VIA LLG  REF NO PPU :NJGK  Panconvince Mitra</t>
  </si>
  <si>
    <t>BIAYA TRANSFER KU</t>
  </si>
  <si>
    <t>Transport Des     Randy             NATHAUSIANI</t>
  </si>
  <si>
    <t>CA-01/21 Patrice  MARIA PATRICIA SUG</t>
  </si>
  <si>
    <t>BRI Totem         Lunas Prod II     BAMBANG SUPRIYANTO</t>
  </si>
  <si>
    <t>Dipinjam PCMI     YOHAN KRISTANTO</t>
  </si>
  <si>
    <t>Dipinjam PCMI     DAVID HARSAMTO</t>
  </si>
  <si>
    <t>BRI Totem         Lunas Produksi I  BAMBANG SUPRIYANTO</t>
  </si>
  <si>
    <t>BRI Video Mapping Credit Note Adri  MEERY ADRIAN</t>
  </si>
  <si>
    <t>LINKAJA     -                 -                 0895621137118</t>
  </si>
  <si>
    <t>TSel Webinar Q3   Biz Lunch NovDec  PARULIAN LUMMY SIT</t>
  </si>
  <si>
    <t>TSel Webinar Q3   Beli Omron        PARULIAN LUMMY SIT</t>
  </si>
  <si>
    <t>CA-02/21 Titing   SUTARNO</t>
  </si>
  <si>
    <t>TSel BestAgent CESFreshChat AnnPlan WEEFER INDONESIA P</t>
  </si>
  <si>
    <t>REPORT CA YOGI NO 048               YOGI PURWO WIDODO</t>
  </si>
  <si>
    <t>BNI        TRANSFER VIA LLG  REF NO PPU :P87Z  Andi Mario</t>
  </si>
  <si>
    <t>LAPORAN CA NO 050 YOGI              YOGI PURWO WIDODO</t>
  </si>
  <si>
    <t>LAP CA NO 056 TAHUN 2020 YOGI       YOGI PURWO WIDODO</t>
  </si>
  <si>
    <t>Reimb Kas Kecil   MEERY ADRIAN</t>
  </si>
  <si>
    <t>LLG-MANDIRI       PAN CONVINCE MITRAPin Buk BCA           RD Hidia</t>
  </si>
  <si>
    <t>Byr AP Loan 6-Jan YOHAN KRISTANTO</t>
  </si>
  <si>
    <t>Byr AP Loan 6-Jan DAVID HARSAMTO</t>
  </si>
  <si>
    <t>Byr AP Loan 11-JanDAVID HARSAMTO</t>
  </si>
  <si>
    <t>Byr AP Loan 12-JanDAVID HARSAMTO</t>
  </si>
  <si>
    <t>Overtime Des      SUPRIYADI</t>
  </si>
  <si>
    <t>Overtime Des      MUHAMMAD UJER AWAL</t>
  </si>
  <si>
    <t>Overtime Des      SUKANDA</t>
  </si>
  <si>
    <t>BRI HUT ke 125    SPJ + MM          DEKA BAHANA</t>
  </si>
  <si>
    <t>TSel BestAgent CESSPJ 1D + Crew     DEKA BAHANA</t>
  </si>
  <si>
    <t>BRI Himbara MC    SPJ 1D + MM       DEKA BAHANA</t>
  </si>
  <si>
    <t>BRI FGD Kempinski SPJ 1D + MM       DEKA BAHANA</t>
  </si>
  <si>
    <t>BRI HUT ke 125    Free Freelance 2D ANDIKA ADIGUNA</t>
  </si>
  <si>
    <t>BRI HUT ke 125    SPJ 3D            MARIA PATRICIA SUG</t>
  </si>
  <si>
    <t>TSel BestAgent CESSPJ 19 dan 22 Des MARIA PATRICIA SUG</t>
  </si>
  <si>
    <t>BRI HUT ke 125    SPJ 3D + Fee Prod JANUAR CAHYO SURYA</t>
  </si>
  <si>
    <t>BRI HUT ke 125    SPJ 2D +Helpdesk  YOGI PURWO WIDODO</t>
  </si>
  <si>
    <t>TSel BootCamp TINCSPJ 1D            YOGI PURWO WIDODO</t>
  </si>
  <si>
    <t>Vivo OpeningCeremoFee PM Odhey      RD HIDIANITJE DRA</t>
  </si>
  <si>
    <t>TSel BestAgent CESLOFee DeliveryMealWAHYU TRI HARYADI</t>
  </si>
  <si>
    <t>TSel BestAgentCES Streaming Op+SPJ  ALEXADRUS NULIADY</t>
  </si>
  <si>
    <t>TSel BestAgentCES Streaming Op+SPJ  ANALITA YULISTYA C</t>
  </si>
  <si>
    <t>TSel BestAgentCES Streaming Op+SPJ  PRAJA SAPUTRA S</t>
  </si>
  <si>
    <t>TSel Bootcamp TINCSPJ 1D            PRAJA SAPUTRA S</t>
  </si>
  <si>
    <t>TSel SnackMtgSouHCSPJ 2D            ADUN SOPANDI</t>
  </si>
  <si>
    <t>TELKOM DIVRE302183700934     01RD HIDIANITJE DRA</t>
  </si>
  <si>
    <t>LINKAJA     -                 -                 08118876727</t>
  </si>
  <si>
    <t>BRI Himbara MC    Alat Visual 2Des  SRI WAHYUNI NAWI</t>
  </si>
  <si>
    <t>BRI Himbara PemRedAlat Visual 6Jan  SRI WAHYUNI NAWI</t>
  </si>
  <si>
    <t>BRI HUT ke 125    SewaKamera+LED    BAMBANG SUBARI</t>
  </si>
  <si>
    <t>BRI HUT ke 125    Lighting 16Des    MASRUHIN</t>
  </si>
  <si>
    <t>BRI HUT ke 125    ZoomPremiumAcc    RD HIDIANITJE DRA</t>
  </si>
  <si>
    <t>BRI Himbara PemRedAkustik 6Jan      TRIAS FAJAR ANUGRA</t>
  </si>
  <si>
    <t>BRI HUT ke 125    Photobooth 16Des  AGUS WIJAYA</t>
  </si>
  <si>
    <t>BRI HUT ke 125    LunasSoundSys+BandTEZAR MAULUDIN</t>
  </si>
  <si>
    <t>BIAYA ADM</t>
  </si>
  <si>
    <t>MANDIRI</t>
  </si>
  <si>
    <t>122-00-0487-5566</t>
  </si>
  <si>
    <t>PT Pan Convince Mitra International</t>
  </si>
  <si>
    <t xml:space="preserve"> </t>
  </si>
  <si>
    <t xml:space="preserve">PAN CONVINCE MITRA I - 002              </t>
  </si>
  <si>
    <t xml:space="preserve">RD HIDIANITJE DRA - 014                 </t>
  </si>
  <si>
    <t>DBS Visa JT5Jan  Online Trf  314036 1701932627Transfer Fee         DBS Visa JT5Jan</t>
  </si>
  <si>
    <t>Transfer Fee         DBS Visa JT5Jan    Transfer Fee</t>
  </si>
  <si>
    <t>DBS Master JT5Jan  Online Trf  314038 1701932627Transfer Fee         DBS Master JT5Jan</t>
  </si>
  <si>
    <t>Transfer Fee         DBS Master JT5Jan  Transfer Fee</t>
  </si>
  <si>
    <t>Citibank Visa JT5Jan   MCM Outw CN  David Harsamto</t>
  </si>
  <si>
    <t xml:space="preserve">Clearing Fee         Citibank Visa JT5Ja. Clearing Fee  </t>
  </si>
  <si>
    <t>Pin Buk BCA  5750489666/OI36000895293524</t>
  </si>
  <si>
    <t xml:space="preserve">Transfer Fee         Pin Buk BCA   </t>
  </si>
  <si>
    <t>Dipinjam PCMI   MCM InhouseTrf  DARI DAVID HARSAMTO</t>
  </si>
  <si>
    <t>Transfer Fee         TSel Paket Gundala Transfer Fee</t>
  </si>
  <si>
    <t>Telkomsel Webinar Q3    MCM Outw CN  Meirani</t>
  </si>
  <si>
    <t xml:space="preserve">Clearing Fee         Telkomsel Webinar Q. Clearing Fee  </t>
  </si>
  <si>
    <t>Inward RTGS  NURLAILA HUTABARATPT. BANK HSBC INDONESIA</t>
  </si>
  <si>
    <t>Pin Buk BCA   MCM Outw CN  RD Hidianitje</t>
  </si>
  <si>
    <t xml:space="preserve">Clearing Fee         Pin Buk BCA    Clearing Fee  </t>
  </si>
  <si>
    <t>Byr AP Loan 10Jan  MCM InhouseTrf  KE DAVID HARSAMTO</t>
  </si>
  <si>
    <t>TSel Webinar Q3   MCM Outw CN  Maria Imakulata Sandra Puspita  SPD</t>
  </si>
  <si>
    <t xml:space="preserve">Clearing Fee         TSel Webinar Q3  Clearing Fee  </t>
  </si>
  <si>
    <t>Daihatsu Sales Ops  MCM Outw CN  Randy Francis Budiono</t>
  </si>
  <si>
    <t xml:space="preserve">Clearing Fee         Daihatsu Sales Ops Clearing Fee  </t>
  </si>
  <si>
    <t>Daihatsu Sales Ops   MCM Outw CN  Randy Francis Budiono</t>
  </si>
  <si>
    <t>Vivo OpeningCeremony MCM Outw CN  Randy Francis Budiono</t>
  </si>
  <si>
    <t xml:space="preserve">Clearing Fee         Vivo OpeningCeremon.  Clearing Fee  </t>
  </si>
  <si>
    <t>CK 788323-OPERASIONAL  Transfer RTGS 00788323 PANCONVINCE MITRA INTERNATIONAL</t>
  </si>
  <si>
    <t xml:space="preserve">BY RTGS    Biaya rupa2  </t>
  </si>
  <si>
    <t xml:space="preserve">BY MATERAI   Biaya rupa2  </t>
  </si>
  <si>
    <t>Mandiri Visa JT17Jan   MCM InhouseTrf  KE DAVID HARSAMTO</t>
  </si>
  <si>
    <t>BRI HUT ke 125   MCM Outw CN  Hartono</t>
  </si>
  <si>
    <t xml:space="preserve">Clearing Fee         BRI HUT ke 125   Clearing Fee  </t>
  </si>
  <si>
    <t>BRI Ads Placement   MCM InhouseTrf  KE WASPADA ONLINE</t>
  </si>
  <si>
    <t>BRI HUT ke 125   MCM InhouseTrf  KE IBNU CHUZAYMAH</t>
  </si>
  <si>
    <t>B R I</t>
  </si>
  <si>
    <t>1125-01-0002-55301</t>
  </si>
  <si>
    <t>Pin Buk Mandiri</t>
  </si>
  <si>
    <t>Fee SINGLE CN BRI CMS 3162090  T:0374619:CMS</t>
  </si>
  <si>
    <t>RTGS#PAN CONVINCE MITRA I RTGS STP T:0369891:BRIRSS</t>
  </si>
  <si>
    <t>Tarik Cheque Tunai</t>
  </si>
  <si>
    <t>CASH IDR</t>
  </si>
  <si>
    <t>Meery Ferdian</t>
  </si>
  <si>
    <t>Non Cash - Non Bank</t>
  </si>
  <si>
    <t>Inter Accounts</t>
  </si>
  <si>
    <t>Mandiri to BCA</t>
  </si>
  <si>
    <t>BCA to Mandiri</t>
  </si>
  <si>
    <t>Account Receivable</t>
  </si>
  <si>
    <t>AR Others</t>
  </si>
  <si>
    <t>In Transit Mandiri to BCA</t>
  </si>
  <si>
    <t>Financial Expense</t>
  </si>
  <si>
    <t>Bank Charge</t>
  </si>
  <si>
    <t>Account Payable</t>
  </si>
  <si>
    <t>AP Expense</t>
  </si>
  <si>
    <t>Transportation</t>
  </si>
  <si>
    <t>AR Cash Advance</t>
  </si>
  <si>
    <t>Patrice</t>
  </si>
  <si>
    <t>AP Trade</t>
  </si>
  <si>
    <t>BRI Totem</t>
  </si>
  <si>
    <t>AP Temporary Loan</t>
  </si>
  <si>
    <t>David Harsamto</t>
  </si>
  <si>
    <t>BRI Video Mapping</t>
  </si>
  <si>
    <t>Telkomsel Webinar Q3</t>
  </si>
  <si>
    <t>Titing</t>
  </si>
  <si>
    <t>Telkomsel Best Agent CES</t>
  </si>
  <si>
    <t>Yogi</t>
  </si>
  <si>
    <t>BCA to Cash IDR</t>
  </si>
  <si>
    <t>Overtime</t>
  </si>
  <si>
    <t>BRI HUT ke 125</t>
  </si>
  <si>
    <t>BRI Himbara Mandiri Club</t>
  </si>
  <si>
    <t>BRI FGD Kempinski</t>
  </si>
  <si>
    <t>Telkomsel Bootcamp and Mentoring TINC</t>
  </si>
  <si>
    <t>Vivo Opening Ceremony</t>
  </si>
  <si>
    <t>Telephone Communication</t>
  </si>
  <si>
    <t>Cost of goods</t>
  </si>
  <si>
    <t>COGS</t>
  </si>
  <si>
    <t>AP Credit Card</t>
  </si>
  <si>
    <t>DBS Visa</t>
  </si>
  <si>
    <t>DBS Master</t>
  </si>
  <si>
    <t>Citibank Visa</t>
  </si>
  <si>
    <t>Mandiri Visa</t>
  </si>
  <si>
    <t>BRI to Mandiri</t>
  </si>
  <si>
    <t>Mandiri to BRI</t>
  </si>
  <si>
    <t>Adri - BRI</t>
  </si>
  <si>
    <t>TSel Paket Gundala A  Online Trf  380435 116101001830508</t>
  </si>
  <si>
    <t>Telkomsel Paket Gundala dan Archer</t>
  </si>
  <si>
    <t>HSBC</t>
  </si>
  <si>
    <t>Daihatsu Sales Operations (DSO)</t>
  </si>
  <si>
    <t>BRI Ads Placement</t>
  </si>
  <si>
    <t>Link Aja Pelatihan Agent CTP, BES dan e-KYT</t>
  </si>
  <si>
    <t>BRI RUPS LB       DP Tenda Dll      MA RUF</t>
  </si>
  <si>
    <t>BRI RUPS LB       DP Produksi       BAMBANG SUPRIYANTO</t>
  </si>
  <si>
    <t>BRI RUPS LB       Internet Gd BRI   MUHAMMAD FAJAR SAT</t>
  </si>
  <si>
    <t>BRI RUPS LB       Pawang Hujan 21JanW I L Y</t>
  </si>
  <si>
    <t>BRI RUPS LB       DP 500 Goodiebag  EDI SUCIPTO</t>
  </si>
  <si>
    <t>BRI RUPS LB       SewaPerlengkapan  VARDA LUMBUNG BERK</t>
  </si>
  <si>
    <t>BRI RUPS LB       40AC+2Genset      TOYIB ABDULLAH</t>
  </si>
  <si>
    <t>BRI RUPS LB       20 Aclyric PartisiSISCA QIFTYAH</t>
  </si>
  <si>
    <t>BRI RUPS LB       4 Amplop Keamanan MEERY ADRIAN</t>
  </si>
  <si>
    <t>CA-004/21 Merry   MEERY ADRIAN</t>
  </si>
  <si>
    <t>BRI Himbara PemRedQR CodeMediaInviteDHANI BASKHARA</t>
  </si>
  <si>
    <t>BRI Himbara PemRedSewaMeja+Barstool SAEPIH</t>
  </si>
  <si>
    <t>BRI HUT ke 125    DP2 Streaming     FAJAR FERYANSYAH</t>
  </si>
  <si>
    <t>BRI HUT ke 125    Sewa 7HT 2Days    ILHAM GUMELAR</t>
  </si>
  <si>
    <t>TSel BestAgent CESKartu Ucapan      PT ARTHA MILI KREA</t>
  </si>
  <si>
    <t>BRI HUT ke 125    IDCueLanCard+Sign PT ARTHA MILI KREA</t>
  </si>
  <si>
    <t>Vivo Annual Gath  4 LaptopCore i7 2DMARBANGUN WIDAKDO</t>
  </si>
  <si>
    <t>TSel MtgSnackSouv KartuUcapan HCXM  PT ARTHA MILI KREA</t>
  </si>
  <si>
    <t>Vivo Annual Gath  6 EarTech UltraligILHAM GUMELAR</t>
  </si>
  <si>
    <t>CA-005/21 Yogi    YOGI PURWO WIDODO</t>
  </si>
  <si>
    <t>BRI RUPS Luar Biasa</t>
  </si>
  <si>
    <t>Merry</t>
  </si>
  <si>
    <t>Vivo Annual Gathering</t>
  </si>
  <si>
    <t>Telkomsel Meeting Snack and Souvenir HCXM</t>
  </si>
  <si>
    <t>Pin Buk BCA      5750489666/OI36000895449253</t>
  </si>
  <si>
    <t xml:space="preserve">Transfer Fee         Pin Buk BCA      </t>
  </si>
  <si>
    <t>Pin Buk BCA       5750489666/OI36000895449261</t>
  </si>
  <si>
    <t>Pin Buk BCA      MCM Outw CN  RD Hidianitje</t>
  </si>
  <si>
    <t xml:space="preserve">Clearing Fee         Pin Buk BCA        Clearing Fee  </t>
  </si>
  <si>
    <t>Pin Buk BCA     MCM Outw CN  RD Hidianitje</t>
  </si>
  <si>
    <t>Telkomsel Webinar Q3       MCM Outw CN  Andi Mario</t>
  </si>
  <si>
    <t>Telkomsel Webinar Q3        MCM Outw CN  Andi Mario</t>
  </si>
  <si>
    <t>BRI RUPS LB      MCM InhouseTrf  KE AYU WULAN ANGGRENI</t>
  </si>
  <si>
    <t>BRI Himbara PemRed         MCM Outw CN  Hartono</t>
  </si>
  <si>
    <t xml:space="preserve">Clearing Fee         BRI Himbara PemRed   Clearing Fee  </t>
  </si>
  <si>
    <t>AR Trade</t>
  </si>
  <si>
    <t>Abonemen 012021 CMS PAN CONVINCE MI T:0374891:CMS</t>
  </si>
  <si>
    <t xml:space="preserve">67 COM EVT Art Instalation HUT BRI 125  </t>
  </si>
  <si>
    <t>Pajak</t>
  </si>
  <si>
    <t>Bunga Rekening</t>
  </si>
  <si>
    <t>BRI HUT ke 125    LunasProdStreamingFAJAR FERYANSYAH</t>
  </si>
  <si>
    <t>BRI RUPS LB       Lunas Tenda+Dekor MA RUF</t>
  </si>
  <si>
    <t>Vivo Ann GatheringSewa CDBS LiveCam BAMBANG SUBARI</t>
  </si>
  <si>
    <t>BRI Himbara PemRed50Pcs GoodieBags  EDI SUCIPTO</t>
  </si>
  <si>
    <t>BRI RUPS LB       Lunas 500GoodieBagEDI SUCIPTO</t>
  </si>
  <si>
    <t>BRI HUT ke 125    Sewa Meja+Kursi   SAEPIH</t>
  </si>
  <si>
    <t>Vivo Ann GatheringBumper Content    TEUKU DONNYA SYAHP</t>
  </si>
  <si>
    <t>BRI RUPS LB       Fee Crew Prod     ANDRI LUKITO RD</t>
  </si>
  <si>
    <t>TSel Best AgentCESInjectLinkAja 53X MEERY ADRIAN</t>
  </si>
  <si>
    <t>BRI Himbara PemRed3Unit LaptopCorei7MARBANGUN WIDAKDO</t>
  </si>
  <si>
    <t>BRI Himbara PemRed80KvaGenset+2AC   TOYIB ABDULLAH</t>
  </si>
  <si>
    <t>BRI Himbara PemRedSpundSys 5000Watt RISYAD FAUZIE</t>
  </si>
  <si>
    <t>TEO BENG LEEPhotocopy Des 2020Panconvince       12161848</t>
  </si>
  <si>
    <t>BRI RUPS LB       FeeLO+Rn Pot500Rb MOCH SUPRIYADI</t>
  </si>
  <si>
    <t>TSel BestAgent CES8Pax Konsumsi WS  MARIA PATRICIA SUG</t>
  </si>
  <si>
    <t>TSel BestAgent CESHadiah Quiz 1-2   YOGI PURWO WIDODO</t>
  </si>
  <si>
    <t>TSel BestAgent CESMeals 27Jan       INE INTAN SARI</t>
  </si>
  <si>
    <t>BRI RUPS LB       QR Code 21Jan     DHANI BASKHARA</t>
  </si>
  <si>
    <t>BRI RUPS LB       SPJ 2D 20-21Jan   SUTARNO</t>
  </si>
  <si>
    <t>BRI Himbara PemRedSPJ 1D 6Jan       MUHAMMAD UJER AWAL</t>
  </si>
  <si>
    <t>Vivo Ann GatheringSPJ 1D 15-Jan     SUPRIYADI</t>
  </si>
  <si>
    <t>BRI Himbara PemRedSPJ 1D 6Jan       SUPRIYADI</t>
  </si>
  <si>
    <t>BRI RUPS LB       SPJ 2D 20-21Jan   SUPRIYADI</t>
  </si>
  <si>
    <t>BRI RUPS LB       SPJ 1D 21Jan      ADUN SOPANDI</t>
  </si>
  <si>
    <t>BRI Video Mapping Fee MM Mgr+Rnr    DEKA BAHANA</t>
  </si>
  <si>
    <t>BRI HUT ke 125    SPJ Crew+StreamOp ALEXADRUS NULIADY</t>
  </si>
  <si>
    <t>BRI HUT ke 125    SPJ Crew+OpTrafficPRAJA SAPUTRA S</t>
  </si>
  <si>
    <t>BRI HimbaraPemRed Fee Runner 6Jan   MOCH SUPRIYADI</t>
  </si>
  <si>
    <t>BRI HUT ke 125    SPJ Crew+StreamingANALITA YULISTYA C</t>
  </si>
  <si>
    <t>BRI Himbara PemRedOps Cost          MARIA PATRICIA SUG</t>
  </si>
  <si>
    <t>BRI Himbara PemRedSPJ+Crew Event    MARIA PATRICIA SUG</t>
  </si>
  <si>
    <t>Vivo Ann GatheringSPJ+Crew Event    MARIA PATRICIA SUG</t>
  </si>
  <si>
    <t>BRI Himbara PemRedSPJ 1D 6Jan       FRIDA ACHMADI</t>
  </si>
  <si>
    <t>BRI RUPS LB       SPJ 2D 20-21Jan   FRIDA ACHMADI</t>
  </si>
  <si>
    <t>CA 004/2021       MEERY ADRIAN</t>
  </si>
  <si>
    <t>BRI MtgAnalyst TW4Internet Gd BRI-1 MUHAMMAD FAJAR SAT</t>
  </si>
  <si>
    <t>AP Refund NCB 2019eMail Merry 28Apr NY NURLAILA HUTABA</t>
  </si>
  <si>
    <t>Salary PCMI Jan   DAVID HARSAMTO</t>
  </si>
  <si>
    <t>Salary PCMI Jan   RD HIDIANITJE DRA</t>
  </si>
  <si>
    <t>SALAH TRANSFER    RD HIDIANITJE DRA</t>
  </si>
  <si>
    <t>TSel Best AgentCES+an Quiz 27Jan    REDIANI PRAMUDITA</t>
  </si>
  <si>
    <t>LINKAJA     08118116902</t>
  </si>
  <si>
    <t>LINKAJA     082210267347</t>
  </si>
  <si>
    <t>BRI RUPS LB       Lunas Produksi    BAMBANG SUPRIYANTO</t>
  </si>
  <si>
    <t>BRI HUT ke 125    DP Fee Juri AriTulRD HIDIANITJE DRA</t>
  </si>
  <si>
    <t>DR 008 PAN CONVINCE MITRAPLAZA MANDI</t>
  </si>
  <si>
    <t>KOREKSI BUNGA</t>
  </si>
  <si>
    <t>BUNGA</t>
  </si>
  <si>
    <t>PAJAK BUNGA</t>
  </si>
  <si>
    <t>BNI        TRANSFER VIA LLG  REF NO PPU :V0H1  Asep Kurniawan</t>
  </si>
  <si>
    <t>MANDIRI    TRANSFER VIA LLG  REF NO PPU :V0XY  Andhi Prabowo</t>
  </si>
  <si>
    <t>Photocopy</t>
  </si>
  <si>
    <t>BRI Meeting Analyst Triwulan 4</t>
  </si>
  <si>
    <t>AP Refund</t>
  </si>
  <si>
    <t>Intrareps</t>
  </si>
  <si>
    <t>Personnel Expense</t>
  </si>
  <si>
    <t>Salary and THR</t>
  </si>
  <si>
    <t>BCA to BCA</t>
  </si>
  <si>
    <t>Telkomsel Program Uplift Revenue</t>
  </si>
  <si>
    <t>Other I/E</t>
  </si>
  <si>
    <t>Interest Income</t>
  </si>
  <si>
    <t>BRI to BCA</t>
  </si>
  <si>
    <t>Telkomsel Paket Gundala and Archer</t>
  </si>
  <si>
    <t>Salary PCMI Jan    MCM Outw CN  David Harsamto</t>
  </si>
  <si>
    <t xml:space="preserve">Clearing Fee         Salary PCMI Jan   Clearing Fee  </t>
  </si>
  <si>
    <t>TSel Prog Uplift Rev   MCM Outw CN  Haryanto Samuel Laluyan</t>
  </si>
  <si>
    <t xml:space="preserve">Clearing Fee         TSel Prog Uplift Re. Clearing Fee  </t>
  </si>
  <si>
    <t>TSel Prog Uplift Rev    MCM Outw CN  Martinus Subiakto</t>
  </si>
  <si>
    <t>TSel Prog Uplift Rev    MCM Outw CN  Tonny</t>
  </si>
  <si>
    <t>DBS Master JT4Feb    MCM Outw CN  David Harsamto</t>
  </si>
  <si>
    <t xml:space="preserve">Clearing Fee         DBS Master JT4Feb  Clearing Fee  </t>
  </si>
  <si>
    <t>DBS Visa JT4Feb   MCM Outw CN  David Harsamto</t>
  </si>
  <si>
    <t xml:space="preserve">Clearing Fee         DBS Visa JT4Feb   Clearing Fee  </t>
  </si>
  <si>
    <t>Citibank Visa JT5Feb  MCM Outw CN  David Harsamto</t>
  </si>
  <si>
    <t xml:space="preserve">Clearing Fee         Citibank Visa JT5Fe.  Clearing Fee  </t>
  </si>
  <si>
    <t>Pin Buk BCA    5750489666/OI36000895591037</t>
  </si>
  <si>
    <t xml:space="preserve">Transfer Fee         Pin Buk BCA     </t>
  </si>
  <si>
    <t xml:space="preserve">Biaya Adm  </t>
  </si>
  <si>
    <t xml:space="preserve">Baya Saldo Min  </t>
  </si>
  <si>
    <t xml:space="preserve">unga  </t>
  </si>
  <si>
    <t xml:space="preserve">Pajak  </t>
  </si>
  <si>
    <t>Mandiri to Non Cash Bank</t>
  </si>
  <si>
    <t>LLG-MANDIRI PAN CONVINCE MITRAPin Buk BCA PCMI RD Hidia</t>
  </si>
  <si>
    <t>BRI HUT ke 125 Visual/LED 16Des. SRI WAHYUNI NAWI</t>
  </si>
  <si>
    <t>BRI HUT ke 125. AddCost VLI. FAJAR FERYANSYAH</t>
  </si>
  <si>
    <t>LLG-BRI           PAN CONVINCE MITRAPin Buk BCA</t>
  </si>
  <si>
    <t>PT. 3M INDONESIA - 031 INW.CN-SKN CR CA-MCS</t>
  </si>
  <si>
    <t>Pin Buk BCA PCMI MCM Outw CN (CS) RD Hidianitje</t>
  </si>
  <si>
    <t>Clearing Fee Pin Buk BCA PCMI MCM Outw CN (CS)</t>
  </si>
  <si>
    <t>3M Indonesia Anniversary 45 th</t>
  </si>
  <si>
    <t>Fee SINGLE CN BRI CMS 3238883  T:0374651:CMS</t>
  </si>
  <si>
    <t xml:space="preserve">Pin Buk BCA </t>
  </si>
  <si>
    <t>Fee SINGLE CN BRI CMS 3238910  T:0374666:CMS</t>
  </si>
  <si>
    <t>100 BOC Kebutuhan Meeting Himbara HS 01</t>
  </si>
  <si>
    <t>KEKURANGAN CA 010 2020              YOGI PURWO WIDODO</t>
  </si>
  <si>
    <t>BRI RUPS LB       SPJ 2D 20-21Jan   SUKANDA</t>
  </si>
  <si>
    <t>Refill Toner WarnaStar Ink          SUPARWONO</t>
  </si>
  <si>
    <t>Telp Allow Jan    NATHAUSIANI</t>
  </si>
  <si>
    <t>LAPORAN CA 005 THN 2021 YOGI        YOGI PURWO WIDODO</t>
  </si>
  <si>
    <t>UANG DEPOSIT PLATARAN               MARIA PATRICIA SUG</t>
  </si>
  <si>
    <t>KEMBALIAN CA 035  MARIA PATRICIA SUG</t>
  </si>
  <si>
    <t>DP-3 PDOT ATF     02/II/PR/20       NY NURLAILA HUTABA</t>
  </si>
  <si>
    <t>Vivo Ann GatheringFee ProdCrew+SPJ  FABIO KRISNAWANSYA</t>
  </si>
  <si>
    <t>BRI RUPS LB       Fee GakerDesignSP FABIO KRISNAWANSYA</t>
  </si>
  <si>
    <t>BRI KunKer Serang Fee Design        FABIO KRISNAWANSYA</t>
  </si>
  <si>
    <t>BRI MtgAnalystTW4 Fee Gaker+SupvProdFABIO KRISNAWANSYA</t>
  </si>
  <si>
    <t>BRI RUPS LB       Fee ProdCrew+SPJ  JANUAR CAHYO SURYA</t>
  </si>
  <si>
    <t>BRI RUPS LB       Fee PIC Keamanan  DEDE RIAN FIRDAUS</t>
  </si>
  <si>
    <t>BRI RUPS LB       Fee Show Mgt      TEUKU DONNYA SYAHP</t>
  </si>
  <si>
    <t>Vivo Ann GatheringSoundSystem       RISYAD FAUZIE</t>
  </si>
  <si>
    <t>BRI MtgAnalystTW4 SoundSystem       RISYAD FAUZIE</t>
  </si>
  <si>
    <t>Overtime Jan      SUKANDA</t>
  </si>
  <si>
    <t>Overtime Jan      SUPRIYADI</t>
  </si>
  <si>
    <t>Overtime Jan      MUHAMMAD UJER AWAL</t>
  </si>
  <si>
    <t>BRI Himbara PemRedLap Ops 2-5Jan    AHMAD WIDYA NUGRAH</t>
  </si>
  <si>
    <t>BRI KunKer Serang Lap Ops 22-25Jan  AHMAD WIDYA NUGRAH</t>
  </si>
  <si>
    <t>CA-55/20 Krg Byr  MARIA PATRICIA SUG</t>
  </si>
  <si>
    <t>Vivo Ann GatheringAdd Cost LED LightBAMBANG SUBARI</t>
  </si>
  <si>
    <t>BRI Himbara PemRedSewa Alat Video   BAMBANG SUBARI</t>
  </si>
  <si>
    <t>BRI RUPS LB       Sewa 5 LapTop 2D  MARBANGUN WIDAKDO</t>
  </si>
  <si>
    <t>BRI RUPS LB       Sewa Meja+Kursi   SAEPIH</t>
  </si>
  <si>
    <t>TSel ProgUpliftRevMtg dg Pegadaian  NURMAN MUNAF S SOS</t>
  </si>
  <si>
    <t>BRI FGD Kempinski Backdrop+Modul    IBNU CHUZAYMAH</t>
  </si>
  <si>
    <t>BRI RUPS LB       Lighting 21Jan    MASRUHIN</t>
  </si>
  <si>
    <t>BRI Himbara PemRedPawang Hujan 6Jan RD HIDIANITJE DRA</t>
  </si>
  <si>
    <t>TSel Best AgentCESSPJ PackReward+DisYOGI PURWO WIDODO</t>
  </si>
  <si>
    <t>Office Expense</t>
  </si>
  <si>
    <t>Computer Supplies</t>
  </si>
  <si>
    <t>AR Deposit to vendor</t>
  </si>
  <si>
    <t>PDOT Astindo Fair</t>
  </si>
  <si>
    <t>BRI Kunjungan Kerja ke Serang</t>
  </si>
  <si>
    <t>BRI KunKerSerang DekorTaman T:0374603:CMS</t>
  </si>
  <si>
    <t xml:space="preserve">PAN CONVINCE MITRA I - 002 INW.CN-SKN CR CA-MCS </t>
  </si>
  <si>
    <t>TSel Webinar Q3 MCM Outw CN (CS) Andi Mario</t>
  </si>
  <si>
    <t>Vivo Ann Gathering MCM Outw CN (CS) Alvin Antono</t>
  </si>
  <si>
    <t>Clearing Fee TSel Webinar Q3 MCM Outw CN (CS)</t>
  </si>
  <si>
    <t>Clearing Fee Vivo Ann Gathering MCM Outw CN (CS)</t>
  </si>
  <si>
    <t>Clearing Fee BRI Ads Placement. MCM Outw CN (CS)</t>
  </si>
  <si>
    <t>TSel Prog Uplift Rev. MCM InhouseTrf CS-CS KE NURMAN MUNAF</t>
  </si>
  <si>
    <t xml:space="preserve">0229052  0931 Cr Many to many  </t>
  </si>
  <si>
    <t xml:space="preserve">0229052  0931 Cr Many to many </t>
  </si>
  <si>
    <t>Fee SINGLE CN BRI CMS 3268973</t>
  </si>
  <si>
    <t>Fee SINGLE CN BRI CMS 3268974</t>
  </si>
  <si>
    <t>BRI Mtg Analyst TW4 DekorTaman</t>
  </si>
  <si>
    <t>BRI Ad Placement Trans BRIMO</t>
  </si>
  <si>
    <t>Cr Many to many</t>
  </si>
  <si>
    <t>BNI        TRANSFER VIA LLG  REF NO PPU :X2S9  Uci Apriac Sari</t>
  </si>
  <si>
    <t>BNI        TRANSFER VIA LLG  REF NO PPU :X3J5  Anggakara</t>
  </si>
  <si>
    <t>TOLAKAN KU :X3J5  NAMA DAN REK BEDA BIAYA</t>
  </si>
  <si>
    <t>TOLAKAN KU :X2S9  NAMA DAN REK BEDA BIAYA</t>
  </si>
  <si>
    <t>BRI BOD Retreat   Prod Head+SPJ4D   AHMAD WIDYA NUGRAH</t>
  </si>
  <si>
    <t>BRI PemKin TW4    Prod Spv+SPJ 2D   AHMAD WIDYA NUGRAH</t>
  </si>
  <si>
    <t>BRI LeadershipForuProd Head+SPJ5D   AHMAD WIDYA NUGRAH</t>
  </si>
  <si>
    <t>BRI NgobrolPakeHatSPJ2D 19-20Mar    AHMAD WIDYA NUGRAH</t>
  </si>
  <si>
    <t>BRI HBH PemRed    Prod Spv+SPJ 2D   AHMAD WIDYA NUGRAH</t>
  </si>
  <si>
    <t>BRI FGD Fairmont  Prod Spv+SPJ2D    AHMAD WIDYA NUGRAH</t>
  </si>
  <si>
    <t>BRI FGD MandiriCluProd Spv+SPJ 2D   AHMAD WIDYA NUGRAH</t>
  </si>
  <si>
    <t>BRI VideoMapping  Prod Spv+SPJ 2D   AHMAD WIDYA NUGRAH</t>
  </si>
  <si>
    <t>BRI Totem         Prod Spv+SPJ 2D   AHMAD WIDYA NUGRAH</t>
  </si>
  <si>
    <t>3M Ind Ann 45Th   Fee Proj Mgr      DEDI PURWANTO SE</t>
  </si>
  <si>
    <t>BRI MtgAnalyst TW4Fee Streaming CrewANDRY SURYADI</t>
  </si>
  <si>
    <t>BRI HUT ke-125    Biaya MUA 1x      RD HIDIANITJE DRA</t>
  </si>
  <si>
    <t>BRI MtgAnalyst TW4Crew GR+Cleaning  MARIA PATRICIA SUG</t>
  </si>
  <si>
    <t>BRI KunKerSerang  Lap Ops 22-25Jan  MARIA PATRICIA SUG</t>
  </si>
  <si>
    <t>TSel Best AgentCES8Pcs SeragamPria  YOGI PURWO WIDODO</t>
  </si>
  <si>
    <t>TEO BENG LEEPhotocopy Jan     -                 12161848</t>
  </si>
  <si>
    <t>Internet Februari Panconvince       MORA TELEMATIKA IN</t>
  </si>
  <si>
    <t>TSel Webinar Q3   SuppRewardBigClienPARULIAN LUMMY SIT</t>
  </si>
  <si>
    <t>BRI RUPS LB       Cetak Stationary  PT ARTHA MILI KREA</t>
  </si>
  <si>
    <t>BRI RUPS LB       EartechIcom V80V86ILHAM GUMELAR</t>
  </si>
  <si>
    <t>BRI RUPS LB       Furniture 21Jan   SAEPIH</t>
  </si>
  <si>
    <t>BRI RUPS LB       Meja+Kursi 21Jan  SAEPIH</t>
  </si>
  <si>
    <t>BRI MtgAnalystTW4 ServiceMeja+StikerBAMBANG SUPRIYANTO</t>
  </si>
  <si>
    <t>BRI RUPS LB       SoundSys 2D       RISYAD FAUZIE</t>
  </si>
  <si>
    <t>BRI HUT ke-125    Lunas Produksi    IBNU CHUZAYMAH</t>
  </si>
  <si>
    <t>BRI RUPS LB       Add sewa 2 Camera BAMBANG SUBARI</t>
  </si>
  <si>
    <t>LINKAJA     -                 -                 08111991822</t>
  </si>
  <si>
    <t>Internet and emails</t>
  </si>
  <si>
    <t xml:space="preserve">BRI HUT ke 125 </t>
  </si>
  <si>
    <t>BRI BOD Retreat</t>
  </si>
  <si>
    <t>BRI Meeting Pemaparan Kinerja Triwulan 4</t>
  </si>
  <si>
    <t>BRI Leadership Forum</t>
  </si>
  <si>
    <t>BRI Ngobrol Pakai Hati</t>
  </si>
  <si>
    <t>BRI Halal Bi Halal Pemimpin Redaksi</t>
  </si>
  <si>
    <t>BRI FGD Fairmont</t>
  </si>
  <si>
    <t>BRI FGD Mandiri Club</t>
  </si>
  <si>
    <t>Apotik Century Tebet Jakarta Selatan</t>
  </si>
  <si>
    <t>SPBU Rest Area Km 38 Bogor</t>
  </si>
  <si>
    <t>Zoom.us USD 60,49  @ 14.563.18</t>
  </si>
  <si>
    <t>Biaya Notifikasi Nov'20</t>
  </si>
  <si>
    <t>Zoom.us USD 16,49  @ 14.467.86</t>
  </si>
  <si>
    <t>SPBU Bogor ( kota )</t>
  </si>
  <si>
    <t>Indomaretdr Sahardjo Jakarta Selatan</t>
  </si>
  <si>
    <t>SPBU Hang Lekir Jakarta</t>
  </si>
  <si>
    <t>Midi MH 46 Benhil 2 Jakarta Pusat</t>
  </si>
  <si>
    <t>Alfamart PIK Jakarta Utara</t>
  </si>
  <si>
    <t>Bea materai lunas</t>
  </si>
  <si>
    <t>SPBU Casablanca</t>
  </si>
  <si>
    <t>Medical Allowance</t>
  </si>
  <si>
    <t>Subscription</t>
  </si>
  <si>
    <t>BRI Himbara Pemimpin Redaksi Gathering</t>
  </si>
  <si>
    <t>Tokopedia Jakarta Barat</t>
  </si>
  <si>
    <t>SPBU MT Haryono</t>
  </si>
  <si>
    <t xml:space="preserve">KFC Delivery Tebet Jakarta Selatan </t>
  </si>
  <si>
    <t>JNE Tomang</t>
  </si>
  <si>
    <t>SPBU Puri Kembangan</t>
  </si>
  <si>
    <t>Biaya Notifikasi Nov 2020</t>
  </si>
  <si>
    <t>Century Healthcare MKK Jakarta</t>
  </si>
  <si>
    <t>SPBU Supomo Jakarta Selatan</t>
  </si>
  <si>
    <t>Pagi Sore Jakarta Selatan</t>
  </si>
  <si>
    <t>Carrefour Kokas Jakarta</t>
  </si>
  <si>
    <t>TIKI JNE. Matraman , Jakarta Timur</t>
  </si>
  <si>
    <t>SPBU Jakarta Utara</t>
  </si>
  <si>
    <t>Gado Gado Boplo Tebet Jakarta Selatan</t>
  </si>
  <si>
    <t>Meals Allowance</t>
  </si>
  <si>
    <t>Culture Royal Indonesia Jakarta</t>
  </si>
  <si>
    <t>Uniqlo Lottee Shop in - HO Jakarta Slt</t>
  </si>
  <si>
    <t>Uniqlo Lippo Mall Puri Jakarta Barat</t>
  </si>
  <si>
    <t>Kahoot USD 480.00. 1 USD = Rp 14,431.98</t>
  </si>
  <si>
    <t>Restoran Sederhana</t>
  </si>
  <si>
    <t xml:space="preserve">Hutan Kota by Plataran Jakarta Pusat </t>
  </si>
  <si>
    <t>Skechers Kokas Jakarta Selatan</t>
  </si>
  <si>
    <t xml:space="preserve">BLIBLI.COM Jakarta Barat </t>
  </si>
  <si>
    <t>JD.ID Jakarta Pusat</t>
  </si>
  <si>
    <t>Stamp duty Chrg</t>
  </si>
  <si>
    <t>Telkomsel Education Challenge</t>
  </si>
  <si>
    <t>Adjustment</t>
  </si>
  <si>
    <t>PAYMENT IN 2020</t>
  </si>
  <si>
    <t>OUTSTANDING</t>
  </si>
  <si>
    <t>PAYABLE</t>
  </si>
  <si>
    <t>YEAR</t>
  </si>
  <si>
    <t>VENDOR</t>
  </si>
  <si>
    <t>KETERANGAN</t>
  </si>
  <si>
    <t>IDR</t>
  </si>
  <si>
    <t>USD</t>
  </si>
  <si>
    <t>BRI</t>
  </si>
  <si>
    <t>Cash IDR</t>
  </si>
  <si>
    <t>Non CB</t>
  </si>
  <si>
    <t>CitiBank</t>
  </si>
  <si>
    <t>Cash USD</t>
  </si>
  <si>
    <t>Anne Hidayat</t>
  </si>
  <si>
    <t>Temporary Loan for operation expense</t>
  </si>
  <si>
    <t>Elly Hutabarat</t>
  </si>
  <si>
    <t>Halim Indrakusuma</t>
  </si>
  <si>
    <t>H S B C</t>
  </si>
  <si>
    <t>AP Deposit from customer</t>
  </si>
  <si>
    <t>AP Others</t>
  </si>
  <si>
    <t>AP Leasing</t>
  </si>
  <si>
    <t>AP Tax</t>
  </si>
  <si>
    <t>PPh-23 2020</t>
  </si>
  <si>
    <t>Telkomsel Support Piloting Project Enterprise Costumer</t>
  </si>
  <si>
    <t>Sisa Budget</t>
  </si>
  <si>
    <t>Sisa Budget Saldo Akhir 2020 : Sesuai Meeting AH Yogi - 19-Jan-2021</t>
  </si>
  <si>
    <t xml:space="preserve">Telkomsel Loyalty Program </t>
  </si>
  <si>
    <t>Telkomsel JPP BTPN</t>
  </si>
  <si>
    <t>Telkomsel Training Semester II</t>
  </si>
  <si>
    <t>Mandiri</t>
  </si>
  <si>
    <t>Non Cash and Bank</t>
  </si>
  <si>
    <t>Tokopedia</t>
  </si>
  <si>
    <t>Telkomsel Securing Target 2019-2020</t>
  </si>
  <si>
    <t>Groceries and Household Misc</t>
  </si>
  <si>
    <t>Stationary</t>
  </si>
  <si>
    <t>Entertainment</t>
  </si>
  <si>
    <t>VAT</t>
  </si>
  <si>
    <t xml:space="preserve">Link Aja MICE </t>
  </si>
  <si>
    <t>Age</t>
  </si>
  <si>
    <t>Alex</t>
  </si>
  <si>
    <t>Analita</t>
  </si>
  <si>
    <t>Frieda</t>
  </si>
  <si>
    <t>Januar</t>
  </si>
  <si>
    <t>Kurang Bayar Laporan CA-55</t>
  </si>
  <si>
    <t>Randy</t>
  </si>
  <si>
    <t>Unknown</t>
  </si>
  <si>
    <t>eMail Merry 28-4-2020 PPn Masukan yang di klaim : Refund to PDOT/Ireps</t>
  </si>
  <si>
    <t>Building Management</t>
  </si>
  <si>
    <t>Kontribusi gedung Nov 2020</t>
  </si>
  <si>
    <t>Teo Beng Lee</t>
  </si>
  <si>
    <t>Sewa mesin fotocopy Dec 2020</t>
  </si>
  <si>
    <t>Kontribusi gedung Des 2020</t>
  </si>
  <si>
    <t>Bensin 12/10/20</t>
  </si>
  <si>
    <t>Bensin 7/11/20</t>
  </si>
  <si>
    <t>Bensin 27/10/20</t>
  </si>
  <si>
    <t>Meals team 23/11/20</t>
  </si>
  <si>
    <t>Meals team 9/11/20</t>
  </si>
  <si>
    <t>Bunga Pinjaman HSBC : Nop dan Des = Rp. 2.682.489 + Rp. 9.418.679</t>
  </si>
  <si>
    <t>Interest Loan</t>
  </si>
  <si>
    <t>Tidak ada di daftar AP</t>
  </si>
  <si>
    <t>Odhey</t>
  </si>
  <si>
    <t>Fee PM 3M Indonesia Anniversary 45th</t>
  </si>
  <si>
    <t>3M Indonesia Anniversary 45th</t>
  </si>
  <si>
    <t>Show director, SPJ 1 day 12 Nov 2020</t>
  </si>
  <si>
    <t>Production Head, SPJ 4 day 30-31 Jan &amp; 1-2 Feb 2020, Meals</t>
  </si>
  <si>
    <t xml:space="preserve">BRI BOD Retreat </t>
  </si>
  <si>
    <t>BRI FGD Jakarta and Bali</t>
  </si>
  <si>
    <t>Production SPV, SPJ 2 day 7-8 Oct 2020</t>
  </si>
  <si>
    <t>Production Head, SPJ 3 day 14-16 Oct 2020, Meals</t>
  </si>
  <si>
    <t>Production SPV, SPJ 2 day 30 Jun &amp; 1 Jul 2020</t>
  </si>
  <si>
    <t>Production SPV, SPJ 2 day 30 Nov &amp; 1 Dec 2020</t>
  </si>
  <si>
    <t>MAP</t>
  </si>
  <si>
    <t>Sewa Backdrop LED, Modul LED, Backdrop FOH</t>
  </si>
  <si>
    <t>Production SPV, SPJ 2 day 2-3 Jul 2020</t>
  </si>
  <si>
    <t>Production SPV, SPJ 2 day 4-5 Jun 2020</t>
  </si>
  <si>
    <t>BRI Halal Bihalal Pemimpin Redaksi</t>
  </si>
  <si>
    <t>Production SPV, SPJ 1 day 1 Dec 2020</t>
  </si>
  <si>
    <t>89 Auvi</t>
  </si>
  <si>
    <t>Sewa peralatan visual / LED , 16/12/20</t>
  </si>
  <si>
    <t>Dcom</t>
  </si>
  <si>
    <t>Sewa HT Sim 7unit 2 hari 15 - 16 Dec 2020 + transport</t>
  </si>
  <si>
    <t>Asamulti Production</t>
  </si>
  <si>
    <t>sewa meja dan kursi</t>
  </si>
  <si>
    <t>LAKU</t>
  </si>
  <si>
    <t>Cetak Id Card, Lanyard, Cuecard, dll</t>
  </si>
  <si>
    <t>Virtual Live Indonesia</t>
  </si>
  <si>
    <t>Pelunasan Streaming full set</t>
  </si>
  <si>
    <t xml:space="preserve">Pambayaran produksi </t>
  </si>
  <si>
    <t xml:space="preserve">Age </t>
  </si>
  <si>
    <t>Production SPV, SPJ 4 day 13-16 Dec 2020</t>
  </si>
  <si>
    <t>SPJ Crew (13-14 Dec) + Streaming Operator (15-16 Dec)</t>
  </si>
  <si>
    <t>Praja Saputra</t>
  </si>
  <si>
    <t>SPJ Crew (13-16 Dec) + Operator traffic bandwidth (15-16 Dec)</t>
  </si>
  <si>
    <t>AH</t>
  </si>
  <si>
    <t>Meals team 2/12/20</t>
  </si>
  <si>
    <t>Reimburse bu AH , fee Ay tulang</t>
  </si>
  <si>
    <t>Reimburse bu AH , bayar MUA 1 pax</t>
  </si>
  <si>
    <t>Production Head, SPJ 5 day 4-8 Mar 2020, Meals</t>
  </si>
  <si>
    <t>SPJ 2 day 19-20 Mei 2020</t>
  </si>
  <si>
    <t>Production SPV, SPJ 2 day 22-23 Jan 2020</t>
  </si>
  <si>
    <t>PT. Kabar Medan Global</t>
  </si>
  <si>
    <t>Pembayaran banner iklan BRI tampilan desktop dan mobile</t>
  </si>
  <si>
    <t>PT Harian Tribun Medan</t>
  </si>
  <si>
    <t>Transaksi BRIMO Tanpa Batas (Tambahan)</t>
  </si>
  <si>
    <t>PT Media Sumut Dua Empat Sukses</t>
  </si>
  <si>
    <t>Pembayaran banner iklan BRI tampilan desktop include PPn</t>
  </si>
  <si>
    <t>Fee PO, SPJ 2 day 9 &amp; 16 Dec 2020</t>
  </si>
  <si>
    <t>Victory Rent a Car</t>
  </si>
  <si>
    <t>Pembayaran Pemakaian Kendaraan BRI (periode 24 Oct - 01 Nov 2020)</t>
  </si>
  <si>
    <t>BRI Transport</t>
  </si>
  <si>
    <t>Deka Bahana</t>
  </si>
  <si>
    <t>Fee Multimedia Mgr &amp; Runner</t>
  </si>
  <si>
    <t>Production SPV, SPJ 2 day 16-17 Aug 2020</t>
  </si>
  <si>
    <t>Sisa Budget : eMail AH 27-Jan-2021</t>
  </si>
  <si>
    <t>KSEI Stakeholders Seminar 2020</t>
  </si>
  <si>
    <t>Sisa Budget  as per 7 Jan</t>
  </si>
  <si>
    <t>SPJ 2 day 24-25 Sep 2020, Pulsa</t>
  </si>
  <si>
    <t xml:space="preserve">Link Aja Syariah Webinar Tahun Baru Islam </t>
  </si>
  <si>
    <t>Production SPV, SPJ 2 day 20-21 Jan 2020</t>
  </si>
  <si>
    <t>Link Aja Ulang Tahun</t>
  </si>
  <si>
    <t>Production SPV, SPJ 1 day 20 Oct 2020</t>
  </si>
  <si>
    <t>Mandiri HUT ke 22</t>
  </si>
  <si>
    <t>Fee PO, SPJ 2 day 31 Jul &amp; 1 Aug 2020</t>
  </si>
  <si>
    <t>Mandiri HUT RI ke 75</t>
  </si>
  <si>
    <t>Fee PO, SPJ 5 day 7-9 Aug &amp; 12-13 Aug 2020</t>
  </si>
  <si>
    <t>PDOT Astindo Fair 2020</t>
  </si>
  <si>
    <t>Fee PO, SPJ 3 day 21-23 Feb 2020</t>
  </si>
  <si>
    <t>RH Professional</t>
  </si>
  <si>
    <t>Sewa 3 day LED screen, Kramer switcher, sound, Mic wareless, TV 43 inc event Astindo fair 2020</t>
  </si>
  <si>
    <t>Kreasi Ukasah</t>
  </si>
  <si>
    <t>Sewa Meja Barstool , kursi Barstool , meja dealing, kursi dealing, rak brosur, sign tripod</t>
  </si>
  <si>
    <t>Firman Maulana</t>
  </si>
  <si>
    <t>Sewa Paket Gear VR set 3 day</t>
  </si>
  <si>
    <t>Patricia</t>
  </si>
  <si>
    <t xml:space="preserve">Yogi </t>
  </si>
  <si>
    <t xml:space="preserve">Fee PO &amp; SPJ 2 days </t>
  </si>
  <si>
    <t>SPJ 19&amp; 22 Dec 2020</t>
  </si>
  <si>
    <t>cetak Kartu Ucapan</t>
  </si>
  <si>
    <t>Multimatics</t>
  </si>
  <si>
    <t xml:space="preserve">pembayaran Togaf 9 </t>
  </si>
  <si>
    <t>Telkomsel MICE UI/UX Academy Program</t>
  </si>
  <si>
    <t>Telkomsel Business outlook</t>
  </si>
  <si>
    <t>Cetak kartu Ucapan</t>
  </si>
  <si>
    <t>Sewa stage, dudukan LED, frame led depan, samping led, totem gate enterance, signing wall, photo wall, printing</t>
  </si>
  <si>
    <t>Production SPV, SPJ 2 day 10-11 Nov 2020</t>
  </si>
  <si>
    <t>Sales Incentive : BRI Video Mapping</t>
  </si>
  <si>
    <t>Sales Incentive : BRI HUT ke 125</t>
  </si>
  <si>
    <t>PPn-2020</t>
  </si>
  <si>
    <t>Value Added Tax</t>
  </si>
  <si>
    <t>Inv 51-2020</t>
  </si>
  <si>
    <t>Inv 57-2020</t>
  </si>
  <si>
    <t>Inv 70-2020</t>
  </si>
  <si>
    <t>Inv 71-2020</t>
  </si>
  <si>
    <t>Inv 77-2020</t>
  </si>
  <si>
    <t>Inv 79-2020</t>
  </si>
  <si>
    <t>Inv 80-2020</t>
  </si>
  <si>
    <t>Telkomsel MICE UI/UX Academy Program 2019</t>
  </si>
  <si>
    <t>Inv 81-2020</t>
  </si>
  <si>
    <t>Income Tax - PPh-23 : 2020</t>
  </si>
  <si>
    <t>PPh Badan 2020 = Kurang Bayar</t>
  </si>
  <si>
    <t>PPh-25 2020</t>
  </si>
  <si>
    <t>Sales</t>
  </si>
  <si>
    <t>Sales Invoice</t>
  </si>
  <si>
    <t>INVOICES</t>
  </si>
  <si>
    <t>pph-23</t>
  </si>
  <si>
    <t>No</t>
  </si>
  <si>
    <t>Date</t>
  </si>
  <si>
    <t>Year</t>
  </si>
  <si>
    <t>Billing To</t>
  </si>
  <si>
    <t>Project</t>
  </si>
  <si>
    <t>Description</t>
  </si>
  <si>
    <t>Basic Price</t>
  </si>
  <si>
    <t>Management Fee</t>
  </si>
  <si>
    <t>PPN</t>
  </si>
  <si>
    <t>Danamon</t>
  </si>
  <si>
    <t>Outstanding</t>
  </si>
  <si>
    <t>PPh-23</t>
  </si>
  <si>
    <t>Jan</t>
  </si>
  <si>
    <t>Feb</t>
  </si>
  <si>
    <t>KSEI</t>
  </si>
  <si>
    <t>Telkomsel</t>
  </si>
  <si>
    <t>Link Aja Syariah Webinar Tahun Baru Islam</t>
  </si>
  <si>
    <t>Telkomsel Office to Office</t>
  </si>
  <si>
    <t>Telkomsel Pilkada Racing</t>
  </si>
  <si>
    <t xml:space="preserve">BRI Kunjungan Kerja ke Serang </t>
  </si>
  <si>
    <t>Vivo Mobile</t>
  </si>
  <si>
    <t xml:space="preserve"> </t>
    <phoneticPr fontId="0" type="noConversion"/>
  </si>
  <si>
    <t>DESCRIPTION</t>
    <phoneticPr fontId="0" type="noConversion"/>
  </si>
  <si>
    <t>Oka - Ridwan</t>
  </si>
  <si>
    <t xml:space="preserve">Hutang Bunga Pinjaman HSBC s/d 31-Dec-2019 = 500Juta x 176 Hari </t>
  </si>
  <si>
    <t>Bali Victory</t>
  </si>
  <si>
    <t>Double Bayar</t>
  </si>
  <si>
    <t>Moch Supriyadi</t>
  </si>
  <si>
    <t>Irfan - Supomo</t>
  </si>
  <si>
    <t>In Transit</t>
  </si>
  <si>
    <t>InterestLoanNovDecRD HIDIANITJE DRA : Lebih Bayar Interest Loan</t>
  </si>
  <si>
    <t>AR Prepaid Tax</t>
  </si>
  <si>
    <t>PPn</t>
  </si>
  <si>
    <t>PPn Masukan 2020</t>
  </si>
  <si>
    <t>Saldo Akhir PPn</t>
  </si>
  <si>
    <t>AR Staff Loan</t>
  </si>
  <si>
    <t>Adun Sopandi</t>
  </si>
  <si>
    <t>Praja</t>
  </si>
  <si>
    <t>Sukanda</t>
  </si>
  <si>
    <t>Supriyadi</t>
  </si>
  <si>
    <t>Ujer</t>
  </si>
  <si>
    <t>Haryono Travel</t>
  </si>
  <si>
    <t>KSEI StakeholderSem   MCM Outw CN  PT Kustodian Sentral Efek Indonesia</t>
  </si>
  <si>
    <t>AR Temporary Notes</t>
  </si>
  <si>
    <t>AR Refund</t>
  </si>
  <si>
    <t>END OF 2020</t>
  </si>
  <si>
    <t>Premi polis Jaminan Pelaksanaan , BRI HUT ke 125</t>
  </si>
  <si>
    <t>Service AC di rg Yogi ( ganti kapasitas kompresor )</t>
  </si>
  <si>
    <t>Sewa motor massanger , Des 2020</t>
  </si>
  <si>
    <t>Ops massanger , Des 2020 ( bbm + parkir )</t>
  </si>
  <si>
    <t>B 2850 SOO - Ops 18/12-28/12/20</t>
  </si>
  <si>
    <t xml:space="preserve">Tambahan Cetak sertifikat BRI HUT ke 125 </t>
  </si>
  <si>
    <t>Medical pak Yadi, Mei &amp; Jun'2020</t>
  </si>
  <si>
    <t>Beli piring kertas +garpu plastik - makan2 tutup tahun 2020</t>
  </si>
  <si>
    <t>Beli kantong plastik 2 pak , BRI HUT ke 125</t>
  </si>
  <si>
    <t>Permen strapsil u/ bu AH, 8/1/21</t>
  </si>
  <si>
    <t>Toiletries  ( tambahan tissue ), 12/1/21</t>
  </si>
  <si>
    <t>Materai 30 lbr@ Rp 6000,- 6&amp;12/1/21</t>
  </si>
  <si>
    <t>Medical pak Ujer , 7/1/21</t>
  </si>
  <si>
    <t>Transport pak Kanda , BSD bengkel mercy-PCMI, 12/1/21</t>
  </si>
  <si>
    <t>E Toll B 114 NNE + Brizzi , 15/1/21</t>
  </si>
  <si>
    <t>B 2850 SOO - Ops 2/1-14/1/21</t>
  </si>
  <si>
    <t>Maintenance</t>
  </si>
  <si>
    <t>Post and stamps</t>
  </si>
  <si>
    <t>Premi polis Jaminan Pewawaran , BRI RUPSLB 2021</t>
  </si>
  <si>
    <t>Reimburse transport Alex, 13-16/12/21</t>
  </si>
  <si>
    <t>Refill toner printer warna di rg event, 14/1/21</t>
  </si>
  <si>
    <t>B 114 NNE - biaya tilang bayar dit4 , 12/1/21</t>
  </si>
  <si>
    <t>B 114 NNE - transport pak Kanda dr bengkel Mercy BSD-PCMI, 12/1/21</t>
  </si>
  <si>
    <t>B 114 NNE - transport pak Kanda dr PCMI - bengkel Mercy Gandaria, 18/1/21</t>
  </si>
  <si>
    <t>B 114 NNE - Biaya resiko sendiri, 18/1/21</t>
  </si>
  <si>
    <t>Meals bu FB &amp; team , 14/1/21</t>
  </si>
  <si>
    <t>Cetakan ( Januar )  6/1/21</t>
  </si>
  <si>
    <t>Cetakan ( Januar ) 21/1/21</t>
  </si>
  <si>
    <t>Reimburse bensin motor Praja , 5/1/21</t>
  </si>
  <si>
    <t>Lunch bu AH di PCMI  , 19/1/21</t>
  </si>
  <si>
    <t>Aqua galon 8/1-23/1/21+aqua botol bu AH +Londry 17 pcs</t>
  </si>
  <si>
    <t>B 2351 SKF - ops 22/12-16/1/21</t>
  </si>
  <si>
    <t>PT TELEKOMUNIKASI SELULAR - 031 : Total Rp. 607.773.931</t>
  </si>
  <si>
    <t>Other Income</t>
  </si>
  <si>
    <t>Other Expense</t>
  </si>
  <si>
    <t>BCA to Non Cash Bank</t>
  </si>
  <si>
    <t>CA-1/2021</t>
  </si>
  <si>
    <t>Non Cash Bank to BCA</t>
  </si>
  <si>
    <t>CA-2/2021</t>
  </si>
  <si>
    <t>Pembelian voucher Carefour</t>
  </si>
  <si>
    <t>CA-4/2021</t>
  </si>
  <si>
    <t>Cek fisik + Leg CF + Order</t>
  </si>
  <si>
    <t>Adm loket</t>
  </si>
  <si>
    <t>Ongkos + Jasa</t>
  </si>
  <si>
    <t>Pajak + STNK : B2351SKF</t>
  </si>
  <si>
    <t>License</t>
  </si>
  <si>
    <t>CA-5/2021</t>
  </si>
  <si>
    <t xml:space="preserve">Parkir Motor Lippo Puri </t>
  </si>
  <si>
    <t xml:space="preserve">Parkir Aeon BSD </t>
  </si>
  <si>
    <t xml:space="preserve">Pulsa Paket Data BRI Tablet Samsung </t>
  </si>
  <si>
    <t xml:space="preserve">Kartu Perdana Telkomsel 3 buah </t>
  </si>
  <si>
    <t xml:space="preserve">Bensin (BRI- Roxy - Ambasador - Lotte Avenue - Kokas ) </t>
  </si>
  <si>
    <t xml:space="preserve">Parkir BRI </t>
  </si>
  <si>
    <t xml:space="preserve">Parkir Mall Ambasador </t>
  </si>
  <si>
    <t xml:space="preserve">Parkir Lottee Shoping Avenue </t>
  </si>
  <si>
    <t xml:space="preserve">Parkir Kokas </t>
  </si>
  <si>
    <t xml:space="preserve">Parkir Lippo Puri Mall </t>
  </si>
  <si>
    <t xml:space="preserve">Parkir Mall Puri </t>
  </si>
  <si>
    <t xml:space="preserve">Kirim Tshirt to Bekasi </t>
  </si>
  <si>
    <t xml:space="preserve">Bayar Sablon 28 Pcs </t>
  </si>
  <si>
    <t xml:space="preserve">Ongkir dari Tempat sablon ke Kantor </t>
  </si>
  <si>
    <t xml:space="preserve">Ongkir Lion Parcel kirim Souvenir Pontianak an Adriyanto </t>
  </si>
  <si>
    <t xml:space="preserve">Bensin 24 Jan (Lippo - Kantor- Tomang ) </t>
  </si>
  <si>
    <t xml:space="preserve">kirim Paket Luar Kota dengan Lion Parcel </t>
  </si>
  <si>
    <t>Cetak Greeting Card dan Sticker Box</t>
  </si>
  <si>
    <t xml:space="preserve">Kirim JNE 7 Nama </t>
  </si>
  <si>
    <t xml:space="preserve">Meals team </t>
  </si>
  <si>
    <t xml:space="preserve">Pembayaran Mr Speedy </t>
  </si>
  <si>
    <t xml:space="preserve">Pembayaran Masker untuk BRI RUPSL </t>
  </si>
  <si>
    <t>Beli Plastik untuk Greeting Card</t>
  </si>
  <si>
    <t xml:space="preserve">Ongkir Pembayaran Masker BRI RUPSL </t>
  </si>
  <si>
    <t>Pembayaran Cashback Sisa Budget Urgent di pakai 27 Jan 2021</t>
  </si>
  <si>
    <t xml:space="preserve">JNE untuk 2 paxs an </t>
  </si>
  <si>
    <t xml:space="preserve">Parkir Thamrin City </t>
  </si>
  <si>
    <t>LO Fee Yadi Komeng 24 Jan 2021</t>
  </si>
  <si>
    <t>Pembayaran Bfast Bandung Dapur Masena</t>
  </si>
  <si>
    <t xml:space="preserve">Pembayaran Lunch Meeting  27 Jan Gyukakaku </t>
  </si>
  <si>
    <t xml:space="preserve">Biaya Transfer 27x transfer untuk Hadiah Quiz </t>
  </si>
  <si>
    <t>Pembayaran Kartu Halo 08119551111</t>
  </si>
  <si>
    <t>Pembayaran Kartu Halo 08118600611</t>
  </si>
  <si>
    <t>Pembayaran Kartu Halo 08119307360</t>
  </si>
  <si>
    <t>Lo Fee Yadi Komeng  23 Jan 2021</t>
  </si>
  <si>
    <t xml:space="preserve">  </t>
  </si>
  <si>
    <t>Income Tax</t>
  </si>
  <si>
    <t>PPh-23 2021</t>
  </si>
  <si>
    <t>PT. PANCONVINCE MITRA INTERNATIONAL</t>
  </si>
  <si>
    <t>SALES</t>
  </si>
  <si>
    <t>Gross</t>
  </si>
  <si>
    <t>AP VAT</t>
  </si>
  <si>
    <t>Credit Note</t>
  </si>
  <si>
    <t>AP Credit Note</t>
  </si>
  <si>
    <t>C O G S</t>
  </si>
  <si>
    <t>AP/AR/Others</t>
  </si>
  <si>
    <t>GROSS PROFIT</t>
  </si>
  <si>
    <t>EXPENSES</t>
  </si>
  <si>
    <t>Personal Expense</t>
  </si>
  <si>
    <t>Health Insurance</t>
  </si>
  <si>
    <t>Honorarium</t>
  </si>
  <si>
    <t>HR Development</t>
  </si>
  <si>
    <t>Incentive and Bonus</t>
  </si>
  <si>
    <t>Car Insurance</t>
  </si>
  <si>
    <t>Cleaning Service</t>
  </si>
  <si>
    <t>Internet &amp; emails</t>
  </si>
  <si>
    <t>Office Rent</t>
  </si>
  <si>
    <t>Post &amp; Stamps</t>
  </si>
  <si>
    <t>Marketing Expense</t>
  </si>
  <si>
    <t>Donation</t>
  </si>
  <si>
    <t>Notarial Fee</t>
  </si>
  <si>
    <t>Research,Training &amp; Prod Dev</t>
  </si>
  <si>
    <t>Sales Trip</t>
  </si>
  <si>
    <t>Other Income / Expense</t>
  </si>
  <si>
    <t>Forex Gain (Loss)</t>
  </si>
  <si>
    <t>Total Expense</t>
  </si>
  <si>
    <t>OPERATING PROFIT</t>
  </si>
  <si>
    <t>Depreciation</t>
  </si>
  <si>
    <t>PROFIT BEFORE TAX</t>
  </si>
  <si>
    <t>PROFIT AFTER TAX</t>
  </si>
  <si>
    <t>Mandiri HUT ke 22 Prod Spv+SPJ 1D   AHMAD WIDYA NUGRAH</t>
  </si>
  <si>
    <t>3M Ind Ann 45th   3M ShowD+SPJ1D    AHMAD WIDYA NUGRAH</t>
  </si>
  <si>
    <t>Link Aja Ultah    ProdSpv+SPJ2D     AHMAD WIDYA NUGRAH</t>
  </si>
  <si>
    <t>LinkAjaSyariahWTBISPJ 2D+Pulsa      AHMAD WIDYA NUGRAH</t>
  </si>
  <si>
    <t>BRI FGD SheratonB ProdSpv+SPJ2D     AHMAD WIDYA NUGRAH</t>
  </si>
  <si>
    <t>BRI FGD Bali      ProdHead+SPJ+MealsAHMAD WIDYA NUGRAH</t>
  </si>
  <si>
    <t>BRI Himbara MClub ProdSpv+SPJ 1D    AHMAD WIDYA NUGRAH</t>
  </si>
  <si>
    <t>BRI HUT ke 125    ProdSpv+SPJ 4D    AHMAD WIDYA NUGRAH</t>
  </si>
  <si>
    <t>TSel Best Agent   SPJ 2D            AHMAD WIDYA NUGRAH</t>
  </si>
  <si>
    <t>TSel Best AgentCESFee PO+SPJ 2D     YOGI PURWO WIDODO</t>
  </si>
  <si>
    <t>BRI RUPS LB       SPJ Cord+PIC Souv MARIA PATRICIA SUG</t>
  </si>
  <si>
    <t>BRI MtgAnalystTW4 Sewa 4+10 Meja    SAEPIH</t>
  </si>
  <si>
    <t>BRI MtgAnalystTW4 6 Eartech 2D      ILHAM GUMELAR</t>
  </si>
  <si>
    <t>Mandiri HUT RI ke 75 Prod Spv+SPJ 2D   AHMAD WIDYA NUGRAH</t>
  </si>
  <si>
    <t>Mandiri HUT RI ke 75    Prod Spv+SPJ 2D   AHMAD WIDYA NUGRAH</t>
  </si>
  <si>
    <t>LunasBungaPinjHSBCsd 17Des20        NY NURLAILA HUTABA</t>
  </si>
  <si>
    <t>ByrLoanDH CitilinkCitiVisa 14Dec    DAVID HARSAMTO</t>
  </si>
  <si>
    <t>BRI MtgAnalystTW4 13 Laptop iCore7  MARBANGUN WIDAKDO</t>
  </si>
  <si>
    <t>BRI MtgAnalystTW4 Sewa Video Equip  BAMBANG SUBARI</t>
  </si>
  <si>
    <t>BRI MtgAnalystTW4 LEDSwitcherTVM  SRI WAHYUNI NAWI</t>
  </si>
  <si>
    <t>BRI Transport     Inv-V1674         VICTORY GLOBAL MAN</t>
  </si>
  <si>
    <t>BRI RUPS LB       LunasSewaAC+GensetTOYIB ABDULLAH</t>
  </si>
  <si>
    <t>BRI RUPS LB       Sewa MultiCam 2D  BAMBANG SUBARI</t>
  </si>
  <si>
    <t>BRI RUPS LB       Streaming L21+Lap FAJAR FERYANSYAH</t>
  </si>
  <si>
    <t>BRI RUPS LB       Sewa Audio Visual SRI WAHYUNI NAWI</t>
  </si>
  <si>
    <t>JULIANA : Retur Pembelian Laptop Omen via Mandiri PCMI 15-Feb</t>
  </si>
  <si>
    <t>BRI Himbara PemRed MCM Outw CN BTS QQ Pan Convince Mitra International 99102</t>
  </si>
  <si>
    <t>Clearing Fee BRI Himbara PemRed Clearing Fee 99102</t>
  </si>
  <si>
    <t>BRI RUPS LB MCM InhouseTrf KE IBNU CHUZAYMAH 99102</t>
  </si>
  <si>
    <t>BRI Mtg Analyst TW4 MCM InhouseTrf KE IBNU CHUZAYMAH 99102</t>
  </si>
  <si>
    <t>Pin Buk BCA 5750489666/OI36000895748715 99102</t>
  </si>
  <si>
    <t>Transfer Fee Pin Buk BCA 99102</t>
  </si>
  <si>
    <t>PAN CONVINCE MITRA I - 002 12206</t>
  </si>
  <si>
    <t>TSel MICE UIUX AP MCM InhouseTrf KE LIFELONG LEARNING 99102</t>
  </si>
  <si>
    <t>LaptopOmen15EK0044TX 5380075956/OI36000895761532 99102</t>
  </si>
  <si>
    <t>Transfer Fee LaptopOmen15EK0044T 99102</t>
  </si>
  <si>
    <t>Laptop HewPeck MCM InhouseTrf KE YURIANTI CANDRA 99102</t>
  </si>
  <si>
    <t>Mandiri Visa JT17Feb MCM InhouseTrf KE DAVID HARSAMTO 99102</t>
  </si>
  <si>
    <t>Bayar AP Loan HSBC</t>
  </si>
  <si>
    <t>Expenditure</t>
  </si>
  <si>
    <t>Fixed Asset</t>
  </si>
  <si>
    <t>Laptop Hewlett Peckard Omen</t>
  </si>
  <si>
    <t>41 009 PCMI AR II 2021</t>
  </si>
  <si>
    <t xml:space="preserve">153 COM EVT Jasa EO Prescon Analyst IV  </t>
  </si>
  <si>
    <t>Fee SINGLE CN BRI CMS 3278986  T:0374615:CMS</t>
  </si>
  <si>
    <t>Fee SINGLE CN BRI CMS 3279000  T:0374606:CMS</t>
  </si>
  <si>
    <t>Fee SINGLE RTGS BRI CMS 1460680</t>
  </si>
  <si>
    <t>Fee SINGLE RTGS BRI CMS 1460688</t>
  </si>
  <si>
    <t>Fee SINGLE CN BRI CMS 3286423</t>
  </si>
  <si>
    <t>CA-006/21 Merry MEERY ADRIAN</t>
  </si>
  <si>
    <t>ReimburseKasKecil  MEERY ADRIAN</t>
  </si>
  <si>
    <t>AP Credit Cards</t>
  </si>
  <si>
    <t>Income Tax - PPh-23 : 2019</t>
  </si>
  <si>
    <t>Inv 159 - 2019</t>
  </si>
  <si>
    <t>Inv 51 - 2020</t>
  </si>
  <si>
    <t>Inv 57 - 2020</t>
  </si>
  <si>
    <t>Inv 70 - 2020</t>
  </si>
  <si>
    <t>Inv 71 - 2020</t>
  </si>
  <si>
    <t>Inv 77 - 2020</t>
  </si>
  <si>
    <t>Inv 79 - 2020</t>
  </si>
  <si>
    <t>Inv 80 - 2020</t>
  </si>
  <si>
    <t>Inv 81 - 2020</t>
  </si>
  <si>
    <t>Reimburse 342 kartu prepaid danamon+biaya edit BNI SDRI UCI APRIA SARI</t>
  </si>
  <si>
    <t>Pmbyrn kartu HALO 081181100143 BNI SDRI UCI APRIA SARI</t>
  </si>
  <si>
    <t>PANCONVINCE MITRA INTERNATIONAL</t>
    <phoneticPr fontId="0" type="noConversion"/>
  </si>
  <si>
    <t>ASSETS</t>
    <phoneticPr fontId="0" type="noConversion"/>
  </si>
  <si>
    <t>IDR</t>
    <phoneticPr fontId="0" type="noConversion"/>
  </si>
  <si>
    <t>USD</t>
    <phoneticPr fontId="0" type="noConversion"/>
  </si>
  <si>
    <t>Current Assets</t>
    <phoneticPr fontId="0" type="noConversion"/>
  </si>
  <si>
    <t>CASH</t>
  </si>
  <si>
    <t>Cash Other Currency</t>
  </si>
  <si>
    <t>BANK</t>
  </si>
  <si>
    <t>Citibank USD : 3000 588612</t>
    <phoneticPr fontId="0" type="noConversion"/>
  </si>
  <si>
    <t>Mandiri IDR : 122-00-0487556-6</t>
    <phoneticPr fontId="0" type="noConversion"/>
  </si>
  <si>
    <t>BCA IDR : 575-048-9666</t>
    <phoneticPr fontId="0" type="noConversion"/>
  </si>
  <si>
    <t>Danamon IDR : 003595159132</t>
  </si>
  <si>
    <t>Danamon IDR : 003619193729 - Flexi</t>
  </si>
  <si>
    <t>DEPOSIT</t>
  </si>
  <si>
    <t>Deposit to vendor</t>
  </si>
  <si>
    <t>ACCOUNT RECEIVABLE</t>
  </si>
  <si>
    <t xml:space="preserve"> </t>
    <phoneticPr fontId="0" type="noConversion"/>
  </si>
  <si>
    <t>AR Trade</t>
    <phoneticPr fontId="0" type="noConversion"/>
  </si>
  <si>
    <t>PREPAID TAX</t>
  </si>
  <si>
    <t>PPh-25 and PPh-29</t>
  </si>
  <si>
    <t>Total Current Assets</t>
    <phoneticPr fontId="0" type="noConversion"/>
  </si>
  <si>
    <t>Fixed Assets</t>
    <phoneticPr fontId="0" type="noConversion"/>
  </si>
  <si>
    <t>Office Equipment</t>
    <phoneticPr fontId="0" type="noConversion"/>
  </si>
  <si>
    <t>Vehicle</t>
    <phoneticPr fontId="0" type="noConversion"/>
  </si>
  <si>
    <t>Intangible property</t>
    <phoneticPr fontId="0" type="noConversion"/>
  </si>
  <si>
    <t>Depreciation &amp; Amortization</t>
    <phoneticPr fontId="0" type="noConversion"/>
  </si>
  <si>
    <t>Total Fixed Assets</t>
    <phoneticPr fontId="0" type="noConversion"/>
  </si>
  <si>
    <t>A S S E T S</t>
    <phoneticPr fontId="0" type="noConversion"/>
  </si>
  <si>
    <t>LIABILITIES</t>
    <phoneticPr fontId="0" type="noConversion"/>
  </si>
  <si>
    <t>Current Liabilities</t>
    <phoneticPr fontId="0" type="noConversion"/>
  </si>
  <si>
    <t>ACCOUNT PAYABLE</t>
  </si>
  <si>
    <t>AP Credit Notes</t>
  </si>
  <si>
    <t>AP Sales Discount</t>
  </si>
  <si>
    <t>Deposit from customer</t>
    <phoneticPr fontId="0" type="noConversion"/>
  </si>
  <si>
    <t>SHORT TERM LOAN</t>
  </si>
  <si>
    <t>Temporary Working Capital loan</t>
  </si>
  <si>
    <t>`</t>
  </si>
  <si>
    <t>Total Liabilities</t>
    <phoneticPr fontId="0" type="noConversion"/>
  </si>
  <si>
    <t>EQUITY</t>
    <phoneticPr fontId="0" type="noConversion"/>
  </si>
  <si>
    <t>Shared Capital</t>
    <phoneticPr fontId="0" type="noConversion"/>
  </si>
  <si>
    <t>Retained Earnings</t>
    <phoneticPr fontId="0" type="noConversion"/>
  </si>
  <si>
    <t>Previous years</t>
    <phoneticPr fontId="0" type="noConversion"/>
  </si>
  <si>
    <t>Dividend</t>
  </si>
  <si>
    <t>Total Equity</t>
    <phoneticPr fontId="0" type="noConversion"/>
  </si>
  <si>
    <t>LIABILITIES &amp; EQUITY</t>
    <phoneticPr fontId="0" type="noConversion"/>
  </si>
  <si>
    <t>Premi polis Jaminan Pelaksanaan , BRI RUPSLB 2021</t>
  </si>
  <si>
    <t>Cetakan ( Januar ) ,28/1/21</t>
  </si>
  <si>
    <t>Double tape , isi cutter, Cetakan ( Januar ) ,21/1/21</t>
  </si>
  <si>
    <t>Materai 33 lbr@ Rp 6.000,-+ materai 20 lbr@ Rp 10.000,-</t>
  </si>
  <si>
    <t>Kertas 5 rim 75 gram ,3/2/21</t>
  </si>
  <si>
    <t>Toiletries  ( tissue ),  3/2/21</t>
  </si>
  <si>
    <t>Reimburse transport Randy, 15/1/21</t>
  </si>
  <si>
    <t>Byr Excel pasca bayar bu AH, 27/1/21</t>
  </si>
  <si>
    <t>Byr Kartu HALO bu AH, 27/1/21</t>
  </si>
  <si>
    <t>B 114 NNE - Parkir Des'20 &amp; Jan'21</t>
  </si>
  <si>
    <t>Alex - reimburse parkir, 15/1/21</t>
  </si>
  <si>
    <t>B 2351 SKF - Ops 18/1/21- 4/2/21</t>
  </si>
  <si>
    <t>Tranport Praja , 19-21/1/21</t>
  </si>
  <si>
    <t>Tranport Praja , 29/1/21</t>
  </si>
  <si>
    <t>Transport Praja, cari laptop di Mg Dua, 2/2/21</t>
  </si>
  <si>
    <t>Print proposal &amp; lap. Kegiatan , 4/2/21</t>
  </si>
  <si>
    <t>Entertain bu Wenny - CBMM , 7/2/21</t>
  </si>
  <si>
    <t>B 2351 SKF - Bensin 5/2/21</t>
  </si>
  <si>
    <t>Reimb Ttiting, beli lakban , papan jln, ballpoint, kertas HVS 1rim, plastik klip, plastik sampah</t>
  </si>
  <si>
    <t>Patricia - beli masker u/ tema &amp; crew</t>
  </si>
  <si>
    <t>Gosend - bawa desinfektan dr rmh bu AH- PCMI , 11/2/21</t>
  </si>
  <si>
    <t>Transp Mui , antar invoice VIVO ke kost bu Gita ( pic ) , 11/2/21</t>
  </si>
  <si>
    <t>Reimb Hardiansyah -  meeting dg Enseval + Biaya trf dr BCA ke LinkAja</t>
  </si>
  <si>
    <t>Service AC , ruang event , 11/2/2021</t>
  </si>
  <si>
    <t xml:space="preserve">Reimb bu AH - Bensin  B 2850 SOO . 7/11/20 </t>
  </si>
  <si>
    <t>BRI Himbara Peminpin Redaksi Gathering</t>
  </si>
  <si>
    <t>BRI Totem Gambir</t>
  </si>
  <si>
    <t>Midtrans- The Harvest Jakarta Selatan</t>
  </si>
  <si>
    <t>Hutan Kota by Plataran Jakarta Pusat</t>
  </si>
  <si>
    <t>Centuy Healthcare MKK Jakarta</t>
  </si>
  <si>
    <t>Sederhana - Jakarta Pusat</t>
  </si>
  <si>
    <t xml:space="preserve">Carrefour-Kota kasablanka </t>
  </si>
  <si>
    <t xml:space="preserve">Midtrans- Tumi Jakarta </t>
  </si>
  <si>
    <t>SPBU Graha Raya Tangerang</t>
  </si>
  <si>
    <t>Kids Station Aeon - Tangerang</t>
  </si>
  <si>
    <t>BA 86 Midi Minagkabau Jakarta Selatan</t>
  </si>
  <si>
    <t>Lacoste Lippo Puri St MO Jakarta Barat</t>
  </si>
  <si>
    <t>Angkasa Raya Mbl, Jakarta</t>
  </si>
  <si>
    <t>TIKI JNE Jakarta Timur</t>
  </si>
  <si>
    <t>SPBU Jakarta Timur</t>
  </si>
  <si>
    <t>SPBU Jakarta Selatan</t>
  </si>
  <si>
    <t>Dynamic Natural Damai Jakarta Pusat</t>
  </si>
  <si>
    <t>Regina Putera Culinary Jakarta Pusat</t>
  </si>
  <si>
    <t>Tokpedia.com</t>
  </si>
  <si>
    <t>Giordano Kasablanka Jakarta Selatan</t>
  </si>
  <si>
    <t>Tokopedia.com Jakarta Barat</t>
  </si>
  <si>
    <t>Uniqlo Lippo MallPuri Jakarta Barat</t>
  </si>
  <si>
    <t>LMP-Yoshinoya Lippomall Jakarta Barat</t>
  </si>
  <si>
    <t>Traveloka Jakarta Barat</t>
  </si>
  <si>
    <t>Grand Lucky Superstore Jakarta Selatan</t>
  </si>
  <si>
    <t>Ratu Hotel - HO Serang</t>
  </si>
  <si>
    <t>Alfamart Kidang Serang</t>
  </si>
  <si>
    <t>Trx Notification Chrg</t>
  </si>
  <si>
    <t>Stamp duty / biaya materai</t>
  </si>
  <si>
    <t>Aji Waras Apotik Jakarta Selatan</t>
  </si>
  <si>
    <t>SPBU Casablanca Jakarta Selatan</t>
  </si>
  <si>
    <t>RS Prikasih Jakarta Selatan</t>
  </si>
  <si>
    <t>Cibiuk Bekasi</t>
  </si>
  <si>
    <t>Kedai Kopi Hedjo Jakarta Pusat</t>
  </si>
  <si>
    <t>Bakmi Naga - HO Jakarta Pusat</t>
  </si>
  <si>
    <t>Prodia Bona Indah Jakarta Selatan</t>
  </si>
  <si>
    <t>Groseries and Household Misc</t>
  </si>
  <si>
    <t>Pizza Hut Cibubur JunctioJakarta Timur : Business Lunch meeting 28/12/20 dg Alfian (Proc. Telkomsel)</t>
  </si>
  <si>
    <t>SC46-Minangkabau Jakarta Selatan - Belanja toiletries u/ PCMI</t>
  </si>
  <si>
    <t>Carrefour-Kota kasablanka - Belanja toiletries u/ PCMI</t>
  </si>
  <si>
    <t>Bangun Indah Gemilang Jakarta Selatan - Private bu AH</t>
  </si>
  <si>
    <t>Superindo Cinere Depok ( Kota ) - Private bu AH</t>
  </si>
  <si>
    <t>CA 006/ 2021      MEERY ADRIAN</t>
  </si>
  <si>
    <t>BIAYA TXN  KE 009 SDRI UCI APRIA SARKLIKBCA IND</t>
  </si>
  <si>
    <t>CA-07/21 Patrice  MARIA PATRICIA SUG</t>
  </si>
  <si>
    <t>PT TELEKOMUNIKASI SELULAR - 031 12206 : Total Rp. 408.206.260</t>
  </si>
  <si>
    <t>Abonemen 022021 CMS PAN CONVINCE MI T:0374891:CMS</t>
  </si>
  <si>
    <t>LAP CA 007 TAHUN 2020               YOGI PURWO WIDODO</t>
  </si>
  <si>
    <t>Fuel 27-Oct-20    B114NNE           RD HIDIANITJE DRA</t>
  </si>
  <si>
    <t>PCR Yadi Driver   RD HIDIANITJE DRA</t>
  </si>
  <si>
    <t>BRI MtgAnalyst TW4DP Fee Prod Fabio RD HIDIANITJE DRA</t>
  </si>
  <si>
    <t>Alex Wedding      RD HIDIANITJE DRA</t>
  </si>
  <si>
    <t>LINKAJA 08121090985 : Support Program Q1 Business Service</t>
  </si>
  <si>
    <t>LINKAJA  0811895879 : Support Program Q1 Business Service</t>
  </si>
  <si>
    <t>BRI  Upaya Purnabhakti : Biaya Swab Antigen di Plataran 6Jan'21</t>
  </si>
  <si>
    <t>TELKOM DIVRE302183700934     02RD HIDIANITJE DRA</t>
  </si>
  <si>
    <t>Pajak mobil + Biya Jasa - B114NNE</t>
  </si>
  <si>
    <t>Pajak mobil + Biya Jasa - B 2850 SOO</t>
  </si>
  <si>
    <t>CA-006/21 Merry Lebih Bayar</t>
  </si>
  <si>
    <t>Print Laporan kegiatan u/ lampiran invoice, 17/2/21</t>
  </si>
  <si>
    <t>Jasa pasang 4 lampu downlight+tarik kabel 17m u/ rg meeting , 13/2/21</t>
  </si>
  <si>
    <t xml:space="preserve">Reimb bu AH - Bensin  B 2850 SOO . 12/10/20 </t>
  </si>
  <si>
    <t>Reimb.bu AH - Meals team, 2/12/20</t>
  </si>
  <si>
    <t>Reimb.bu AH - Meals 23/11/20</t>
  </si>
  <si>
    <t>Reimb.bu AH - Meals team 09/11/20</t>
  </si>
  <si>
    <t>Reimb.bu AH - Pembelian sendal jepit, 21/01/21</t>
  </si>
  <si>
    <t>SPJ pak Ujer , 29/1/21</t>
  </si>
  <si>
    <t>Reimb. Praja - Parkir , bensin,  cari lap top , tools streaming 13-17/2/21</t>
  </si>
  <si>
    <t>Beli baterai u/ token BCA PCMI, 23/2/21</t>
  </si>
  <si>
    <t xml:space="preserve">Adun reimb , beli materai 4@ Rp 12,000,- di warung </t>
  </si>
  <si>
    <t>Adun , print , jilid proposal BTN Odhey , 25/2/21</t>
  </si>
  <si>
    <t>Materai 20 lbr @ Rp 10,000,- 25/2/21</t>
  </si>
  <si>
    <t>Adun , beli hand soap cair  + sirin kamar mandir bocor  17/2/21</t>
  </si>
  <si>
    <t>Adun patungan beli gas u/ kantin, 4/2,19/2,23/2/21 @ Rp 10,000,-</t>
  </si>
  <si>
    <t>Aqua galon PCMI , 27/1/21-25/2/21 - 8 galon @ Rp 19,000,-</t>
  </si>
  <si>
    <t>Aqua botol 330 mlm  1 dus u/ bu AH, 24/2/21</t>
  </si>
  <si>
    <t>Yogi, reimb Parkir M2 Square cari modem req Telkomsel, 6/2/21</t>
  </si>
  <si>
    <t>Yogi, reimb Bensin M2 Square cari modem,  req Telkomsel, 6/2/21</t>
  </si>
  <si>
    <t>Yogi , reimb beli snack meeting, req Telkomsel 11/2/21</t>
  </si>
  <si>
    <t>Gosend antar modem ke Serena Hills, 11/2/21</t>
  </si>
  <si>
    <t>Yogi , reimb SPJ Adun 23/1/21</t>
  </si>
  <si>
    <t>Reimb bu FB, gosend antar dokumen ke Notaris , 18/2/21</t>
  </si>
  <si>
    <t>Reimb bu FB , jilid proposal sponsorship u/ Faisal BRI</t>
  </si>
  <si>
    <t>PRAJA SAPUTRA S-112501000255301</t>
  </si>
  <si>
    <t>BRI FGD Kempinski - Fee Pinjam nama persh untuk invoice BRI</t>
  </si>
  <si>
    <t>VIVO MOBILE INDONESIA PT - 014 12206</t>
  </si>
  <si>
    <t>Listrik Feb MCM InhouseTrf KE PANTRAVEL 99102</t>
  </si>
  <si>
    <t>TSel Webinar Q3 MCM Outw CN Andi Mario 99102</t>
  </si>
  <si>
    <t>TSel Prog Uplift Rev MCM Outw CN Uci Apria Sari 99102</t>
  </si>
  <si>
    <t>Clearing Fee TSel Webinar Q3 Clearing Fee 99102</t>
  </si>
  <si>
    <t>Clearing Fee TSel Prog Uplift Re Clearing Fee 99102</t>
  </si>
  <si>
    <t>Listrik Januari MCM InhouseTrf KE PANTRAVEL 99102</t>
  </si>
  <si>
    <t>Vivo OpeningCeremony MCM InhouseTrf CS-CS KE IBNU CHUZAYMAH</t>
  </si>
  <si>
    <t>TSel PilkadaRacingVchr RewardCamp   SODEXO MOTIVATION</t>
  </si>
  <si>
    <t>BRI HimbaraPemRed Signage QRcard etcPT ARTHA MILI KREA</t>
  </si>
  <si>
    <t>VivoOpeningCere   Prod Supv SPJ 2D  AHMAD WIDYA NUGRAH</t>
  </si>
  <si>
    <t>BRI KunKer Serang SPJ Kord SPJ 2D   MARIA PATRICIA SUG</t>
  </si>
  <si>
    <t>TSel BestAgentCES SPJ Meals Handle  MARIA PATRICIA SUG</t>
  </si>
  <si>
    <t>BRI RUPS LB       CCTV Thermal EGA  YOGI PURWO WIDODO</t>
  </si>
  <si>
    <t>BRI Prescon Mikro License KeyVMix   RD HIDIANITJE DRA</t>
  </si>
  <si>
    <t>BRI RUPS LB       100 Sanitizer NuvoRD HIDIANITJE DRA</t>
  </si>
  <si>
    <t>BRI RUPS LB       3 ZoomPro Acc     RD HIDIANITJE DRA</t>
  </si>
  <si>
    <t>BRI MtgAnalystTW4 500 ZoomUpgrade   RD HIDIANITJE DRA</t>
  </si>
  <si>
    <t>BRI PresCon Mikro Sewa Laptop 2Days MARBANGUN WIDAKDO</t>
  </si>
  <si>
    <t>BRI PresCon Mikro SewaMultiCam 2D   BAMBANG SUBARI</t>
  </si>
  <si>
    <t>BRI FGD Kempinski Prod Supv+SPJ 2D  AHMAD WIDYA NUGRAH</t>
  </si>
  <si>
    <t>BRI FGD Kempinski PO Fee            MARIA PATRICIA SUG</t>
  </si>
  <si>
    <t>BRI FGD Kempinski KeamananKebersihanMARIA PATRICIA SUG</t>
  </si>
  <si>
    <t>BRI Press Conference Mikro SME</t>
  </si>
  <si>
    <t>LINKAJA   Pmbyrn BFMS Quiz inject LinkAja</t>
  </si>
  <si>
    <t>Salary PCMI Feb    MCM Outw CN  David Harsamto</t>
  </si>
  <si>
    <t>Salary PCMI Feb    Fee</t>
  </si>
  <si>
    <t>BRI Ads Placement   MCM InhouseTrf  KE WASPADA ONLINE include PPn</t>
  </si>
  <si>
    <t>BRI Ads Placement MCM Outw CN (CS) Kabar Medan Global PT : Incl PPn</t>
  </si>
  <si>
    <t>BRI Ad Placement Banne Iklan : Incl PPn</t>
  </si>
  <si>
    <t>Kompensasi PPn BRI Ads Placement for Intrareps</t>
  </si>
  <si>
    <t>Pin Buk BCA  MCM Outw CN  RD Hidianitje</t>
  </si>
  <si>
    <t xml:space="preserve">Clearing Fee         Pin Buk BCA  Clearing Fee  </t>
  </si>
  <si>
    <t xml:space="preserve">Bunga  </t>
  </si>
  <si>
    <t>Citibank Visa JT9Mar   MCM Outw CN  David Harsamto</t>
  </si>
  <si>
    <t xml:space="preserve">Clearing Fee         Citibank Visa JT9Mar  Clearing Fee  </t>
  </si>
  <si>
    <t>DBS Master JT-9Mar     MCM Outw CN  David Harsamto</t>
  </si>
  <si>
    <t xml:space="preserve">Clearing Fee         DBS Master JT-9Mar Clearing Fee  </t>
  </si>
  <si>
    <t>DBS Visa JT-9Mar  MCM Outw CN  David Harsamto</t>
  </si>
  <si>
    <t xml:space="preserve">Clearing Fee         DBS Visa JT-9Mar   Clearing Fee  </t>
  </si>
  <si>
    <t>Mandiri Visa JT20Mar    MCM InhouseTrf  KE DAVID HARSAMTO</t>
  </si>
  <si>
    <t>TSel OfficeToOffice      MCM Outw CN  Andi Mario</t>
  </si>
  <si>
    <t xml:space="preserve">Clearing Fee         TSel OfficeToOffice.  Clearing Fee  </t>
  </si>
  <si>
    <t>BTN RUPST     MCM InhouseTrf  KE AYU WULAN ANGGRENI</t>
  </si>
  <si>
    <t>3M Ind Ann 45th    MCM Outw CN  Randy Francis Budiono</t>
  </si>
  <si>
    <t xml:space="preserve">Clearing Fee         3M Ind Ann 45th    Clearing Fee  </t>
  </si>
  <si>
    <t>Telekomunikasi Feb       MCM Outw CN  Randy Francis Budiono</t>
  </si>
  <si>
    <t xml:space="preserve">Clearing Fee         Telekomunikasi Feb Clearing Fee  </t>
  </si>
  <si>
    <t>BTN RUPS Terbatas</t>
  </si>
  <si>
    <t>Telephone</t>
  </si>
  <si>
    <t>Salary PCMI Feb   DAVID HARSAMTO</t>
  </si>
  <si>
    <t>TELKOMSEL    08118171717       RD HIDIANITJE DRA</t>
  </si>
  <si>
    <t xml:space="preserve">TEO BENG LEEPhotocopy Feb     </t>
  </si>
  <si>
    <t>TSel ProgUpliftRevMtg PegadaianTelkoNURMAN MUNAF S SOS</t>
  </si>
  <si>
    <t>Overtime          MUHAMMAD UJER AWAL</t>
  </si>
  <si>
    <t>Overtime          SUKANDA</t>
  </si>
  <si>
    <t>BungaPapan P FerryMkt Telkomsel     YOGI PURWO WIDODO</t>
  </si>
  <si>
    <t>BTN RUPST         DP75% 72Acrylic   SUMARYANTI</t>
  </si>
  <si>
    <t>BTN RUPST         250 Goodie Bags   EDI SUCIPTO</t>
  </si>
  <si>
    <t>NPD Erafone Jakarta Slt</t>
  </si>
  <si>
    <t>Uniqlo Lippo Mal Puri Jakarta Barat</t>
  </si>
  <si>
    <t>KFC Terace Benhil Jakarta Pusat</t>
  </si>
  <si>
    <t>Midi SC 46 Mnk Minangka Jakarta Slt</t>
  </si>
  <si>
    <t>Over limit fee</t>
  </si>
  <si>
    <t>Stamp duty chrg</t>
  </si>
  <si>
    <t>Biaya notifikai Dec 2020</t>
  </si>
  <si>
    <t>PHD.CO.ID Jakarta Slt</t>
  </si>
  <si>
    <t xml:space="preserve">Nusa.com Jakarta Pusat : Mouse logitech wireless 2 pcs , usb external box, Usb hub 3,0 </t>
  </si>
  <si>
    <t>High Quality Jakarta Pusat : Cetak Greeting Cards</t>
  </si>
  <si>
    <t>J 874 Alfamart Bendunagn Jakarta Pusat</t>
  </si>
  <si>
    <t>HB 122 RH Benhil Jakarta</t>
  </si>
  <si>
    <t>Bazaar Ace Jakarta Slt</t>
  </si>
  <si>
    <t>Indomaret Jakarta Pusat</t>
  </si>
  <si>
    <t>Holland Bakery Benhil Jakarta Pusat</t>
  </si>
  <si>
    <t>Sederhana R.M -HO Jakarta Pusat</t>
  </si>
  <si>
    <t>SPBU Bogor</t>
  </si>
  <si>
    <t>Alfamart Jakarta Pusat</t>
  </si>
  <si>
    <t>Uniqlo GI Jakarta Pusat</t>
  </si>
  <si>
    <t>Internet and Emails</t>
  </si>
  <si>
    <t>Zoom.us USD 60,49@ 14,403.31 - Divisi Streaming PCMI</t>
  </si>
  <si>
    <t>Zoom.us USD 16,49 @ 14,409.40 : for PCMI Team</t>
  </si>
  <si>
    <t>Shop &amp; drive -HO Jakarta Slt : Ganti Oli B 2351 SKF</t>
  </si>
  <si>
    <t>The Gade Coffee &amp; Gold Jakarta Pusat</t>
  </si>
  <si>
    <t>MH46 Midi Benhil 2 Jakarta Pusat</t>
  </si>
  <si>
    <t>Sederhana RM-HO Jakarta Pusat</t>
  </si>
  <si>
    <t>Trx Notification charge</t>
  </si>
  <si>
    <t>Stamp duty /biaya materai</t>
  </si>
  <si>
    <t>Fakultas Kopi Mbl Jakarta : Meeting Pat dg Faisal BRI &amp; pak Adri BRI</t>
  </si>
  <si>
    <t>Angkasa raya Mbl Jakarta - Pembelian type-c 8 1 port, req bu AH</t>
  </si>
  <si>
    <t>The Gade Coffee &amp; Gold Jakarta Pusat - Pat meeting dg Faisal BRI</t>
  </si>
  <si>
    <t xml:space="preserve">The Gade Coffee &amp; Gold Jakarta Pusat - Pat ke Faisal BRI </t>
  </si>
  <si>
    <t>Nusa Com Jakarta Pusat - Kabel HDMI 10 m 3 pcs</t>
  </si>
  <si>
    <t>Nusa Com Jakarta Pusat -HDMI Video capture 2 pcs</t>
  </si>
  <si>
    <t>Nusa Com Jakarta Pusat - Kabel DP to HDMI 3 pcs &amp; kabel HDMI 10 m 2 pcs</t>
  </si>
  <si>
    <t>Angkasa raya Mbl Jakarta - Beli Flash Dsk 16GB &amp; 64 GB rq bu FB , beli SSD 128 GB</t>
  </si>
  <si>
    <t>RS Prikasih Jakarta Selatan - Sukanda</t>
  </si>
  <si>
    <t>Lewis &amp; Carroll Jakarta Slt - Sales interview</t>
  </si>
  <si>
    <t>Bumame Farmasi Jakarta Selatan - Ibu AH</t>
  </si>
  <si>
    <t>Aji Waras Karang Tengah Jakarta - Bu AH</t>
  </si>
  <si>
    <t>RS Khusus Mata Nusantara Jakarta Selatan - Bu AH</t>
  </si>
  <si>
    <t>Bayar premium note Jaminana Penawaran PCMI+CBMM (Pembanding) u/ BTN</t>
  </si>
  <si>
    <t>Medical pakYadi, 25/1/21</t>
  </si>
  <si>
    <t>B 114 NNE - E Toll , 21/2 + 1/3/21</t>
  </si>
  <si>
    <t>B 2850 SOO - Ops 15/1 -26/2/21</t>
  </si>
  <si>
    <t>Sewa motor massanger, Jan'21</t>
  </si>
  <si>
    <t>Ops massanger, Jan'21 ( BBM + Parkir )</t>
  </si>
  <si>
    <t>B 2351 SKF - Ops 4/2-1/3/21</t>
  </si>
  <si>
    <t>BNI           INTRAREPS         BRI Ads Placement-4</t>
  </si>
  <si>
    <t>BNI           INTRAREPS         BRI Ads Placement-3</t>
  </si>
  <si>
    <t>Dr BRI            LINLIN INDRAWATI T</t>
  </si>
  <si>
    <t>BTN RUPST         Portable CCTV TherSTEVEND</t>
  </si>
  <si>
    <t>BTN RUPST         7 Laptop Core i7  MARBANGUN WIDAKDO</t>
  </si>
  <si>
    <t>Internet March    Panconvince       MORA TELEMATIKA IN</t>
  </si>
  <si>
    <t>BTN RUPST         Portable Toilet   VARDA LUMBUNG BERK</t>
  </si>
  <si>
    <t>BTN RUPST         DP Streaming      FAJAR FERYANSYAH</t>
  </si>
  <si>
    <t>BTN RUPST         CurtainTendaFloor EDY KURNIAWAN</t>
  </si>
  <si>
    <t>BTN RUPST         EartechiCom V86  ILHAM GUMELAR</t>
  </si>
  <si>
    <t>BTN RUPST         Partisi Tix Booth RONY</t>
  </si>
  <si>
    <t>BTN RUPST         MejaKursi+Tools   SAEPIH</t>
  </si>
  <si>
    <t>LINKAJA     -                 -                 08116289011</t>
  </si>
  <si>
    <t>LINKAJA     -                 -                 08118116902</t>
  </si>
  <si>
    <t>LINKAJA     -                 -                 0811939969</t>
  </si>
  <si>
    <t>BRI HUT-125       Coord Acara+SPJ2D DEDI PURWANTO SE</t>
  </si>
  <si>
    <t>BRI RUPSLB        CoorAcara+SPJ2D   DEDI PURWANTO SE</t>
  </si>
  <si>
    <t>BTN RUPST   MCM InhouseTrf  KE IBNU CHUZAYMAH</t>
  </si>
  <si>
    <t>Byr AP Loan HSBC  MCM Outw CN  Nurlaila Hutabarat</t>
  </si>
  <si>
    <t xml:space="preserve">Clearing Fee         Byr AP Loan HSBC   Clearing Fee  </t>
  </si>
  <si>
    <t>UBP60215001201FFFFFF025074882446142 : PPh-21 Aug</t>
  </si>
  <si>
    <t>UBP60215001201FFFFFF025074882721011  : PPh-21 Sep</t>
  </si>
  <si>
    <t>UBP60215001201FFFFFF025074882877144 : PPh-21 Oct</t>
  </si>
  <si>
    <t>UBP60215001201FFFFFF025074883091000 : PPh-21 Nov</t>
  </si>
  <si>
    <t>UBP60215001201FFFFFF025074883228115 : PPh-21 Dec</t>
  </si>
  <si>
    <t>UBP60215001201FFFFFF025074883693060 : PPh-21 Jan 21</t>
  </si>
  <si>
    <t>UBP60215001201FFFFFF025074883851079 : PPh-21 Feb 21</t>
  </si>
  <si>
    <t>UBP60215001201FFFFFF025075068504115 : PPh-23 Aug 2020</t>
  </si>
  <si>
    <t>UBP60215001201FFFFFF025075068534031 : PPh-23 Sep 2020</t>
  </si>
  <si>
    <t>UBP60215001201FFFFFF025075068553086 : PPh-23 Oct 2020</t>
  </si>
  <si>
    <t>UBP60215001201FFFFFF025075068567073 : PPh-23 Nov 2020</t>
  </si>
  <si>
    <t>UBP60215001201FFFFFF025075068589031 : PPh-23 Dec 2020</t>
  </si>
  <si>
    <t>UBP60215001201FFFFFF025075068629011 : PPh-23 Jan 2021</t>
  </si>
  <si>
    <t>UBP60215001201FFFFFF025075068678051 : PPh-23 Feb 2021</t>
  </si>
  <si>
    <t>P46000065382021    Inward RTGS  PT TELEKOMUNIKASI SELULARCITIBANK, N.A.</t>
  </si>
  <si>
    <t>Adri BRI</t>
  </si>
  <si>
    <t>PT Intrareps</t>
  </si>
  <si>
    <t>Potongan PPh-23 langsung oleh BRI saat pembayaran ke Intrareps</t>
  </si>
  <si>
    <t>Inv 68/2020 Rp 786.670.500 di terima Intrareps Rp. 770.937.090 (Potongan PPh-23)</t>
  </si>
  <si>
    <t xml:space="preserve">57 012 PCMI AR II 2021  </t>
  </si>
  <si>
    <t xml:space="preserve">245 COM EVT Vnue Tlent Gath Media Nsionl  </t>
  </si>
  <si>
    <t xml:space="preserve">Retur Salah Transfer </t>
  </si>
  <si>
    <t>Fee SINGLE CN BRI CMS 3349285  T:0374632:CMS</t>
  </si>
  <si>
    <t>Fee SINGLE CN BRI CMS 3349289  T:0374699:CMS</t>
  </si>
  <si>
    <t>BRI RUPSLB Dekor+Bunga Meja T:0374641:CMS</t>
  </si>
  <si>
    <t>Bayar AP Loan HSBC  T:0374688:CMS</t>
  </si>
  <si>
    <t>Fee SINGLE RTGS BRI CMS 1477993  T:0374646:CMS</t>
  </si>
  <si>
    <t>INTRAREPS-BANK BNI-BRI Ads Placement-2 : Di retur tgl 8-Mar-2021</t>
  </si>
  <si>
    <t>INTRAREPS-BANK BNI-BRI Ads Placement-1 : Di retur tgl 8-Mar-2021</t>
  </si>
  <si>
    <t>BRI to BRI</t>
  </si>
  <si>
    <t>BRI Transport 2</t>
  </si>
  <si>
    <t>BTN</t>
  </si>
  <si>
    <t>Telkomsel Odading</t>
  </si>
  <si>
    <t>Telkomsel Monetize Business Sector</t>
  </si>
  <si>
    <t>Telkomsel Pengiriman Simcard Corporate</t>
  </si>
  <si>
    <t>BRI FGD Ayana 1</t>
  </si>
  <si>
    <t>BRI FGD Ayana 2</t>
  </si>
  <si>
    <t>BRI Sentra Vaksinasi BUMN</t>
  </si>
  <si>
    <t>Mar</t>
  </si>
  <si>
    <t>PPh-23 2019</t>
  </si>
  <si>
    <t>Nazar AH+PCMI 2020DAVID HARSAMTO</t>
  </si>
  <si>
    <t>TELKOM DIVRE302183700934     03RD HIDIANITJE DRA</t>
  </si>
  <si>
    <t>TSel ProgUpliftRevPrePaid BlueCollarMEERY ADRIAN</t>
  </si>
  <si>
    <t>TSel Odading      SupportProgOdadingMULYONO</t>
  </si>
  <si>
    <t>TSel ProgUpliftRevMtg Pegadaian     NURMAN MUNAF S SOS</t>
  </si>
  <si>
    <t>TSel PilkadaRacingiMac 256GB        PARULIAN LUMMY SIT</t>
  </si>
  <si>
    <t>BTN RUPST         SewaKamera+Tools  BAMBANG SUBARI</t>
  </si>
  <si>
    <t>BRI AnalystMtgTW4 Prod Steaming     FAJAR FERYANSYAH</t>
  </si>
  <si>
    <t>BTN RUPST         Lighting          MASRUHIN</t>
  </si>
  <si>
    <t>BTN RUPST         Fee 15 Freelancer MOCH SUPRIYADI</t>
  </si>
  <si>
    <t>BTN RUPST         Fee IT Internet 4DMUCHAMMAD ARDIYANS</t>
  </si>
  <si>
    <t>BTN RUPST         Fee 5 Ushers      DWITA SEPTIANA</t>
  </si>
  <si>
    <t>BRI FGD Ayana 2   Fee Crew 2Days    FELISA DHEA SUGAND</t>
  </si>
  <si>
    <t>BTN RUPST         SPJ Crew Log 4D   SUPRIYADI</t>
  </si>
  <si>
    <t>BTN RUPST         Lunas 72Aclyric   SUMARYANTI</t>
  </si>
  <si>
    <t>LINKAJA     081322222630</t>
  </si>
  <si>
    <t>LINKAJA     081291880391</t>
  </si>
  <si>
    <t>LINKAJA     081381319587</t>
  </si>
  <si>
    <t>BRI FGD Ayana 1   Fee CrewLog 2Days FELISA DHEA SUGAND</t>
  </si>
  <si>
    <t>Reimb Kas Kecil   MEERY ADRIAN,</t>
  </si>
  <si>
    <t>BTN RUPST         Runner Fee GR H7  MARIA PATRICIA SUG</t>
  </si>
  <si>
    <t>BRI Himbara PemRedSPJ+BandWidth Op  PRAJA SAPUTRA S</t>
  </si>
  <si>
    <t>BRI RUPSLB        SPJ+BandWidth Op  PRAJA SAPUTRA S</t>
  </si>
  <si>
    <t>BRI KunKer Serang SPJ Runner 2D     PRAJA SAPUTRA S</t>
  </si>
  <si>
    <t>BRI AnalystMtgTW4 SPJ+BandWidth Op  PRAJA SAPUTRA S</t>
  </si>
  <si>
    <t>BRI PresCon Mikro SPJ+BandWidth Op  PRAJA SAPUTRA S</t>
  </si>
  <si>
    <t>BTN RUPST         SPJ GR H7 + SPJ   PRAJA SAPUTRA S</t>
  </si>
  <si>
    <t>BTN RUPST         FloorMgt+SPJ GR   DEDI PURWANTO SE</t>
  </si>
  <si>
    <t>BRI AnalystMtgTW4 Fee Proj Off+SPJ2DDEDI PURWANTO SE</t>
  </si>
  <si>
    <t>Vivo Annual Gath  Fee ProjOff+SPJ   DEDI PURWANTO SE</t>
  </si>
  <si>
    <t>BRI Himbara PemRedFee ShowD + SPJ 2DDEDI PURWANTO SE</t>
  </si>
  <si>
    <t>TSel BestAgent CESFee ShowD+SPJ     DEDI PURWANTO SE</t>
  </si>
  <si>
    <t>BRI RUPS LB       MM Mgr + SPJ      DEKA BAHANA</t>
  </si>
  <si>
    <t>BTN RUPST         MM Mgr + SPJ      DEKA BAHANA</t>
  </si>
  <si>
    <t>BRI Analyst MtgTW4MM Mgr + SPJ      DEKA BAHANA</t>
  </si>
  <si>
    <t>BRI KunKer Serang MM Mgr + SPJ      DEKA BAHANA</t>
  </si>
  <si>
    <t>BRI Himbara PemRedMM Mgr + SPJ      DEKA BAHANA</t>
  </si>
  <si>
    <t>Vivo Ann Gath     MM Mgr + SPJ      DEKA BAHANA</t>
  </si>
  <si>
    <t>BTN RUPST         Fee ProdCrew+SPJ  JANUAR CAHYO SURYA</t>
  </si>
  <si>
    <t>BTN RUPST         Lap Ops 10Mar     FRIDA ACHMADI</t>
  </si>
  <si>
    <t>BTN RUPST         Lap Ops 10-Mar    AHMAD WIDYA NUGRAH</t>
  </si>
  <si>
    <t>BRI PresCon Mikro Lap Ops 18-Feb    AHMAD WIDYA NUGRAH</t>
  </si>
  <si>
    <t>BRI Analyst MrgTW4Lap Ops 28Jan     AHMAD WIDYA NUGRAH</t>
  </si>
  <si>
    <t>BRI SentraVaksinasSticker + Gosend  AHMAD WIDYA NUGRAH</t>
  </si>
  <si>
    <t>BTN RUPS LB       Swab Antigen      TEUKU DONNYA SYAHP</t>
  </si>
  <si>
    <t>BTN RUPST         SewaLapTop 17unit MARBANGUN WIDAKDO</t>
  </si>
  <si>
    <t>BRI KunKer Serang Sewa 22 Meja IBM  SAEPIH</t>
  </si>
  <si>
    <t>BRI KunKer Serang Sound Sys         RISYAD FAUZIE</t>
  </si>
  <si>
    <t>TEO BENG LEEPhotocopy Maret   12161848</t>
  </si>
  <si>
    <t>TSel ProgUpliftRevMtg SD WanSat+MifiI GUSTI G N GOWIND</t>
  </si>
  <si>
    <t>DR KOREKSI BUNGA</t>
  </si>
  <si>
    <t>BTN RUPST         28 Sofa+Barstoll  AHMAD WIDYA NUGRAH</t>
  </si>
  <si>
    <t>BRI PressCon MikroFl Mgr+SPJ 2D     MARIA PATRICIA SUG</t>
  </si>
  <si>
    <t>BTN RUPST         Runner 2D         MARIA PATRICIA SUG</t>
  </si>
  <si>
    <t>BRI HimbaraPemRed PO Fee            MARIA PATRICIA SUG</t>
  </si>
  <si>
    <t>BRI PressCon MikroPO Fee            MARIA PATRICIA SUG</t>
  </si>
  <si>
    <t>BRI Gambir        SPJ 1D 17Jan      MARIA PATRICIA SUG</t>
  </si>
  <si>
    <t>Vivo Ann GatheringSPJ MM Operator   ANALITA YULISTYA C</t>
  </si>
  <si>
    <t>BRI RUPS LB       SPJ MM Opr + GR   ANALITA YULISTYA C</t>
  </si>
  <si>
    <t>BRI Analyst MtgTW4SPJ MM Opr + GR   ANALITA YULISTYA C</t>
  </si>
  <si>
    <t>BRI PressCon MikroSPJ MM Opr + GR   ANALITA YULISTYA C</t>
  </si>
  <si>
    <t>BRI FGD Ayana 1   SPJ MM Opr + GR   ANALITA YULISTYA C</t>
  </si>
  <si>
    <t>BRI FGD Ayana 2   SPJ MM Opr + GR   ANALITA YULISTYA C</t>
  </si>
  <si>
    <t>BTN RUPS T        SPJ MM Opr + GR   ANALITA YULISTYA C</t>
  </si>
  <si>
    <t>BRI Himbara PemRedFee MM Opr + SPJ2DALEXADRUS NULIADY</t>
  </si>
  <si>
    <t>Vivo Ann GatheringFee MM Opr+SPJ 1D ALEXADRUS NULIADY</t>
  </si>
  <si>
    <t>BRI RUPS LB       Fee MM Opr+SPJ 2D ALEXADRUS NULIADY</t>
  </si>
  <si>
    <t>Fee MM Opr+SPJ 2D BRI Analyst MtgTW4ALEXADRUS NULIADY</t>
  </si>
  <si>
    <t>BRI PressCon MikroFee MM Opr+SPJ 2D ALEXADRUS NULIADY</t>
  </si>
  <si>
    <t>BRI FGD Ayana 1   Fee MM Opr+SPJ 3D ALEXADRUS NULIADY</t>
  </si>
  <si>
    <t>BRI FGD Ayana 2   Fee MM Opr+SPJ 3D ALEXADRUS NULIADY</t>
  </si>
  <si>
    <t>BTN RUPST         Fee MM Opr+SPJ 4D ALEXADRUS NULIADY</t>
  </si>
  <si>
    <t>BRI KunjKer SerangFee MM Opr+SPJ 2D ALEXADRUS NULIADY</t>
  </si>
  <si>
    <t>ReimburseKasKecil MEERY ADRIAN</t>
  </si>
  <si>
    <t>Telkomsel Odading Prog Support      NURDIANINGSIH</t>
  </si>
  <si>
    <t>BTN RUPST         DP II Streaming   FAJAR FERYANSYAH</t>
  </si>
  <si>
    <t>BRI FGD Ayana 2   3 Meja Kotak 2D   SAEPIH</t>
  </si>
  <si>
    <t>Akta PCMI 049-9FebIncl PPn          JIMMY TANAL SH</t>
  </si>
  <si>
    <t>LINKAJA     08118876727</t>
  </si>
  <si>
    <t>Eks B Plesk PCMI  24/4/21-23/4/22   MASTER WEB NETWORK</t>
  </si>
  <si>
    <t>TOKOPEDIA   08118876727</t>
  </si>
  <si>
    <t>BRI FGD Ayana 1   Lap Ops 5-Mar     AHMAD WIDYA NUGRAH</t>
  </si>
  <si>
    <t>BRI FGD Ayana 2   Lap Ops 13-Mar    AHMAD WIDYA NUGRAH</t>
  </si>
  <si>
    <t>Pengembalian uang LINLIN INDRAWATI T</t>
  </si>
  <si>
    <t>BTN RUPST         Masker+HS+FShield RD HIDIANITJE DRA</t>
  </si>
  <si>
    <t>BRI SentraVaksinasPouch+HandSanitizeRD HIDIANITJE DRA</t>
  </si>
  <si>
    <t>PCR 2Feb          RD HIDIANITJE DRA</t>
  </si>
  <si>
    <t>BTN RUPST         Antigen AH+SukandaRD HIDIANITJE DRA</t>
  </si>
  <si>
    <t>Test Prodia 5Mar  RD HIDIANITJE DRA</t>
  </si>
  <si>
    <t>Overtime Maret    MUHAMMAD UJER AWAL</t>
  </si>
  <si>
    <t>Overtime Maret    SUKANDA</t>
  </si>
  <si>
    <t>Overtime Maret    SUPRIYADI</t>
  </si>
  <si>
    <t>PT JARINGAN TSel Kirim SimCardDes 2020 BalNus A3066093</t>
  </si>
  <si>
    <t>PT JARINGAN TSel Kirim SimCardDes 2020 Jatim A3 065893</t>
  </si>
  <si>
    <t>PT JARINGAN TSel Kirim SimCardDes 2020 Jatim A3 064994</t>
  </si>
  <si>
    <t>3Rim KopSurat PCMIPT ARTHA MILI KREA</t>
  </si>
  <si>
    <t>DB TRANSFER   KE 009 SDR SIMON JOKO WIBKLIKBCA IND</t>
  </si>
  <si>
    <t>DB BIAYA TXN  KE 009 SDR SIMON JOKO WIBKLIKBCA IND</t>
  </si>
  <si>
    <t>TSel Best AgentCESTumpeng 12Apr     LENGGAWATI</t>
  </si>
  <si>
    <t>CA-008/21 Patrice MARIA PATRICIA SUG</t>
  </si>
  <si>
    <t>BTN RUPST         DP 50PCt AudVisualSRI WAHYUNI NAWI</t>
  </si>
  <si>
    <t>BRI FGD Ayana 3   Sewa 4 Unit LaptopMARBANGUN WIDAKDO</t>
  </si>
  <si>
    <t>TSel Onboarding   Sewa 2 LapTop     MARBANGUN WIDAKDO</t>
  </si>
  <si>
    <t>BRI FGD Ayana 3   SPJ Crew Log 2D   FELISA DHEA SUGAND</t>
  </si>
  <si>
    <t>TSel KrmSimCardCorLO Fee Runner     MOCH SUPRIYADI</t>
  </si>
  <si>
    <t>PT JARINGAN TSel KrmSimCardCorJan-Jateng A3     065893</t>
  </si>
  <si>
    <t>PT JARINGAN TSel KrmSimCardCorJan- BalNus A3    066093</t>
  </si>
  <si>
    <t>PT JARINGAN TSel KrmSimCardCorJan - HQ          069740</t>
  </si>
  <si>
    <t>PT JARINGAN TSel KrmSimCardCorJan - Jabar A2    066408</t>
  </si>
  <si>
    <t>PT JARINGAN TSel KrmSimCardCorJan - Jatim A3    064994</t>
  </si>
  <si>
    <t>PT JARINGAN TSel KrmSimCardCorJan-Jabotabek A2  062866</t>
  </si>
  <si>
    <t>TSel Onboarding   SPJ PICStream 4D  PRAJA SAPUTRA S</t>
  </si>
  <si>
    <t>BRI FGD Ayana 1   Runner 3D+Tips    MARIA PATRICIA SUG</t>
  </si>
  <si>
    <t>BRI FGD Ayana 3   Meals Team+Tips   MARIA PATRICIA SUG</t>
  </si>
  <si>
    <t>BRI FGD Ayana 3   SPJ 3D            MARIA PATRICIA SUG</t>
  </si>
  <si>
    <t>BRI FGD Ayana 4   SPJ 3D +Tips      MARIA PATRICIA SUG</t>
  </si>
  <si>
    <t>BRI FGD Ayana 2   Runner 3D+Tips    MARIA PATRICIA SUG</t>
  </si>
  <si>
    <t>BRI FGD Ayana 4   SPJ Streaming 2D  ANALITA YULISTYA C</t>
  </si>
  <si>
    <t>TSel Onboarding   SPJ PIC Stream 4D ANALITA YULISTYA C</t>
  </si>
  <si>
    <t>TELKOM DIVRE302183700934     04RD HIDIANITJE DRA</t>
  </si>
  <si>
    <t>Internet April    Panconvince       MORA TELEMATIKA IN</t>
  </si>
  <si>
    <t>TSel ProgUpliftRevMtg Pegadaian+GolfNURMAN MUNAF S SOS</t>
  </si>
  <si>
    <t>TSel KrmSimCardCorBungaPapan Tarta SSUGIYANTI</t>
  </si>
  <si>
    <t>BTN RUPST         Eartech Icom 2D   ILHAM GUMELAR</t>
  </si>
  <si>
    <t>BRI FGD Ayana 3   Sewa Meja IBM     SAEPIH</t>
  </si>
  <si>
    <t>BRI FGD Ayana 4   Sewa Meja IBM     SAEPIH</t>
  </si>
  <si>
    <t>PT JARINGAN TSel KrmSimCardCorFeb Jabar A2      066408</t>
  </si>
  <si>
    <t>PT JARINGAN TSel KrmSimCardCorFeb HQ            069740</t>
  </si>
  <si>
    <t>LINKAJA     08119611616</t>
  </si>
  <si>
    <t>LINKAJA     081298414862</t>
  </si>
  <si>
    <t>LINKAJA     08111882914</t>
  </si>
  <si>
    <t>DB TRANSFER   KE 008 PAN CONVINCE MITRAKLIKBCA IND</t>
  </si>
  <si>
    <t>DB BIAYA TXN  KE 008 PAN CONVINCE MITRAKLIKBCA IND</t>
  </si>
  <si>
    <t>TSel KrmSimCardCorMkn WShop EDM     SARI PUJIANTI</t>
  </si>
  <si>
    <t xml:space="preserve">BIAYA ADM </t>
  </si>
  <si>
    <t>TSel Best AgentCESFrozenFood 18Apr  SARI PUJIANTI</t>
  </si>
  <si>
    <t>DB TANGGAL :18/04    TRANSFER   KE 008 PAN CONVINCE MITRAKLIKBCA IND</t>
  </si>
  <si>
    <t>DB TANGGAL :18/04    BIAYA TXN  KE 008 PAN CONVINCE MITRAKLIKBCA IND</t>
  </si>
  <si>
    <t>Sisa BRI          LINLIN INDRAWATI T</t>
  </si>
  <si>
    <t>TSel KrmSimCardCorAdd PaketMakanan  SARI PUJIANTI</t>
  </si>
  <si>
    <t>TSel BestAgentCES Add FrozenFood    SARI PUJIANTI</t>
  </si>
  <si>
    <t>TSel KrmSimCardCorBungaPapanMax     SUGIYANTI</t>
  </si>
  <si>
    <t>LINKAJA     0811205600</t>
  </si>
  <si>
    <t>PT JARINGAN TSel KrmSimCardCorFeb Jabotabek Cent062866</t>
  </si>
  <si>
    <t>BRI Peng TeamElangPartisi+StikerViniBAMBANG SUPRIYANTO</t>
  </si>
  <si>
    <t>BRI Peng TeamElangLap Ops 12 April  AHMAD WIDYA NUGRAH</t>
  </si>
  <si>
    <t>Desain Astindo    HERI HERMAWAN</t>
  </si>
  <si>
    <t>BRI FGD Ayana 3   SPJ 3D            ALEXADRUS NULIADY</t>
  </si>
  <si>
    <t>BRI FGD Ayana 4   SPJ 3D            ALEXADRUS NULIADY</t>
  </si>
  <si>
    <t>BRI Peng TeamElangSPJ 2D            ALEXADRUS NULIADY</t>
  </si>
  <si>
    <t>TSel Onboarding   SPJ PIC Stream 3D DEKA BAHANA</t>
  </si>
  <si>
    <t>BRI Peng TeamElangSPJ 2D            DEKA BAHANA</t>
  </si>
  <si>
    <t>BRI Peng TeamElangSPJ 2D            PRAJA SAPUTRA S</t>
  </si>
  <si>
    <t>TSel KrmSimCardCorDP Hampers 23Apr  SARI PUJIANTI</t>
  </si>
  <si>
    <t>DB TRANSFER   KE 009 SDRI UCI APRIA SARKLIKBCA IND</t>
  </si>
  <si>
    <t>DB BIAYA TXN  KE 009 SDRI UCI APRIA SARKLIKBCA IND</t>
  </si>
  <si>
    <t>Cetak+Jilid 30BukuAHMAD WIDYA NUGRAH</t>
  </si>
  <si>
    <t>LinkAja Bincang SB60 Jaket LinkAja  NURAINI</t>
  </si>
  <si>
    <t>BTN RUPST         Lanyard ID SignagePT ARTHA MILI KREA</t>
  </si>
  <si>
    <t>CA-009/21 Yogi    YOGI PURWO WIDODO</t>
  </si>
  <si>
    <t>KR OTOMATIS LLG-MANDIRI       PAN CONVINCE MITRAPin Buk BCA           RD Hidia</t>
  </si>
  <si>
    <t>Salary PCMI April DAVID HARSAMTO</t>
  </si>
  <si>
    <t>PayBackSalaryCut  2020              DAVID HARSAMTO</t>
  </si>
  <si>
    <t>Retur SalPayBack  DAVID HARSAMTO</t>
  </si>
  <si>
    <t>BRI Peng TeamElangSewa 2 Camera     BAMBANG SUBARI</t>
  </si>
  <si>
    <t>BRI Peng TeamElangSewa 5 ClearCom   ILHAM GUMELAR</t>
  </si>
  <si>
    <t>BRI Peng TeamELangSewa Furniture    SAEPIH</t>
  </si>
  <si>
    <t>TSel MonetizeSectoBluecollarIndofoodYOGI PURWO WIDODO</t>
  </si>
  <si>
    <t>TSel KrmSimCardCorReimb Kirim ClientYOGI PURWO WIDODO</t>
  </si>
  <si>
    <t>BRI Peng TeamElangFee Runner RelawanMOCH SUPRIYADI</t>
  </si>
  <si>
    <t>BRI Peng TeamElangSPJ 2D 11-12Apr   MARIA PATRICIA SUG</t>
  </si>
  <si>
    <t>BRI Peng TeamElangSPJ 2D 11-12April DEDI PURWANTO SE</t>
  </si>
  <si>
    <t>KR OTOMATIS LLG-BNI           INTRAREPS         BRI Ads Placement-2</t>
  </si>
  <si>
    <t>KR OTOMATIS LLG-BNI           INTRAREPS         BRI Ads Placement-1</t>
  </si>
  <si>
    <t xml:space="preserve">FINTEK KARYA NUSANTARA - 009            </t>
  </si>
  <si>
    <t>Bunga HSBC Nov =MCM Outw CN  Nurlaila Hutabarat</t>
  </si>
  <si>
    <t xml:space="preserve">Clearing Fee         Bunga HSBC Nov Clearing Fee  </t>
  </si>
  <si>
    <t>Bunga HSBC Dec   MCM Outw CN  Nurlaila Hutabarat</t>
  </si>
  <si>
    <t xml:space="preserve">Clearing Fee         Bunga HSBC Dec     Clearing Fee  </t>
  </si>
  <si>
    <t>Bunga HSBC Jan            MCM Outw CN  Nurlaila Hutabarat</t>
  </si>
  <si>
    <t xml:space="preserve">Clearing Fee         Bunga HSBC Jan     Clearing Fee  </t>
  </si>
  <si>
    <t>Kontribusi Gdg Nov20 MCM InhouseTrf  KE PANTRAVEL</t>
  </si>
  <si>
    <t>Kontribusi Gdg Des20         MCM InhouseTrf  KE PANTRAVEL</t>
  </si>
  <si>
    <t>Kontribusi Gdg Jan     MCM InhouseTrf  KE PANTRAVEL</t>
  </si>
  <si>
    <t>Kontribusi Gdg Feb     MCM InhouseTrf  KE PANTRAVEL</t>
  </si>
  <si>
    <t>Kontribusi Gdg Mar     MCM InhouseTrf  KE PANTRAVEL</t>
  </si>
  <si>
    <t>BRI Gambir     MCM InhouseTrf  KE IBNU CHUZAYMAH</t>
  </si>
  <si>
    <t>BTN RUPST    MCM InhouseTrf  KE AYU WULAN ANGGRENI</t>
  </si>
  <si>
    <t>2Set Cetak Legalitas     MCM InhouseTrf  KE SUTARNO</t>
  </si>
  <si>
    <t>Listrik Maret  MCM InhouseTrf  KE PANTRAVEL</t>
  </si>
  <si>
    <t>TSel Prog Uplift Rev      MCM InhouseTrf  KE SATYA SRI NUGROHO</t>
  </si>
  <si>
    <t>TSel Prog Uplift Rev       MCM Outw CN  Azis Cahyono</t>
  </si>
  <si>
    <t xml:space="preserve">Clearing Fee         TSel Prog Uplift Re.  Clearing Fee  </t>
  </si>
  <si>
    <t>TSel Prog Uplift Rev    MCM Outw CN  Anggakara Dharmmika</t>
  </si>
  <si>
    <t>TSel Odading       MCM Outw CN  Andri</t>
  </si>
  <si>
    <t xml:space="preserve">Clearing Fee         TSel Odading       Clearing Fee  </t>
  </si>
  <si>
    <t>TSel Prog Uplift Rev    MCM Outw CN  Ferdian Ramadhan Suria</t>
  </si>
  <si>
    <t xml:space="preserve">Clearing Fee         TSel Prog Uplift Re   Clearing Fee  </t>
  </si>
  <si>
    <t xml:space="preserve">Clearing Fee         AP Expense         Clearing Fee  </t>
  </si>
  <si>
    <t>Salary PCMI Mar      MCM Outw CN  David Harsamto</t>
  </si>
  <si>
    <t xml:space="preserve">Clearing Fee         Salary PCMI Mar    Clearing Fee  </t>
  </si>
  <si>
    <t>TSel Pilkada Racing       MCM Outw CN  Andi Mario</t>
  </si>
  <si>
    <t xml:space="preserve">Clearing Fee         TSel Pilkada Racing.  Clearing Fee  </t>
  </si>
  <si>
    <t>Vivo Ann Gathering      MCM Outw CN  Randy Francis Budiono</t>
  </si>
  <si>
    <t xml:space="preserve">Clearing Fee         Vivo Ann Gathering  Clearing Fee  </t>
  </si>
  <si>
    <t>Telkomsel Odading        MCM Outw CN  Purwaningsih</t>
  </si>
  <si>
    <t xml:space="preserve">Clearing Fee         Telkomsel Odading  Clearing Fee  </t>
  </si>
  <si>
    <t>DBS Master JT-6Apr    MCM Outw CN  David Harsamto</t>
  </si>
  <si>
    <t xml:space="preserve">Clearing Fee         DBS Master JT-6Apr Clearing Fee  </t>
  </si>
  <si>
    <t>DBS Visa JT-6Apr      MCM Outw CN  David Harsamto</t>
  </si>
  <si>
    <t xml:space="preserve">Clearing Fee         DBS Visa JT-6Apr   Clearing Fee  </t>
  </si>
  <si>
    <t>Citibank Visa JT6Apr      MCM Outw CN  David Harsamto</t>
  </si>
  <si>
    <t xml:space="preserve">Clearing Fee         Citibank Visa JT6Ap.  Clearing Fee  </t>
  </si>
  <si>
    <t>RTR-0090-NMA TDK LNGKP-PURWANINGSIH  MTS-Trf-Kredit  201RTR-0090-NMA TDK LNGKP-PURWANINGSIH</t>
  </si>
  <si>
    <t>Reimb Comm - Mar    MCM Outw CN  Randy Francis Budiono</t>
  </si>
  <si>
    <t xml:space="preserve">Clearing Fee         Reimb Comm - Mar   Clearing Fee  </t>
  </si>
  <si>
    <t>TSel Pilkada Racing      MCM InhouseTrf  KE ANDI MARIO</t>
  </si>
  <si>
    <t>TSel Prog Uplift Rev   MCM Outw CN  Idwan August Wardhana</t>
  </si>
  <si>
    <t xml:space="preserve">Clearing Fee         TSel Prog Uplift Re Clearing Fee  </t>
  </si>
  <si>
    <t>TSel Kirim SimCard            MCM Outw CN  Meutia Farida</t>
  </si>
  <si>
    <t xml:space="preserve">Clearing Fee         TSel Kirim SimCard Clearing Fee  </t>
  </si>
  <si>
    <t>TSel Supp Pilot PEC      MCM Outw CN  Cherry Suciansyah Harahap</t>
  </si>
  <si>
    <t xml:space="preserve">Clearing Fee         TSel Supp Pilot PECClearing Fee  </t>
  </si>
  <si>
    <t>10Pcs Seragam PCMI        MCM InhouseTrf  KE ZENAL PATONI</t>
  </si>
  <si>
    <t>TSel ProgUpliftRev       MCM Outw CN  Anggakara Dharmmika</t>
  </si>
  <si>
    <t xml:space="preserve">Clearing Fee         TSel ProgUpliftRev Clearing Fee  </t>
  </si>
  <si>
    <t>TSel ProgUpliftRev       MCM Outw CN  Ferdian Ramadhan Suria</t>
  </si>
  <si>
    <t>PRMA CR Transf  1220004875566       6019004512791102</t>
  </si>
  <si>
    <t>TSel KrmSimCardCorp    MCM Outw CN  Sdri Aisa Indra Wahyuni</t>
  </si>
  <si>
    <t xml:space="preserve">Clearing Fee         TSel KrmSimCardCorp Clearing Fee  </t>
  </si>
  <si>
    <t>TSel KrmSimCardCorp  MCM Outw CN  Sdri Aisa Indra Wahyuni</t>
  </si>
  <si>
    <t>TSel KrmSimCardCorp   MCM Outw CN  Sdr Devito Putra Maharibhawa</t>
  </si>
  <si>
    <t xml:space="preserve">Clearing Fee         TSel KrmSimCardCorp. Clearing Fee  </t>
  </si>
  <si>
    <t>TSel KrmSimCardCorp   MCM Outw CN  Nurlaila Dahlan</t>
  </si>
  <si>
    <t>TSel KrmSimCardCorp    MCM Outw CN  Nurlaila Dahlan</t>
  </si>
  <si>
    <t xml:space="preserve">Clearing Fee         TSel KrmSimCardCorpClearing Fee  </t>
  </si>
  <si>
    <t>TSel KrmSimCardCorp    MCM Outw CN  Nanang Adhadi Yuda</t>
  </si>
  <si>
    <t>TSel KrmSimCardCorp     MCM Outw CN  Sdri Anis Marcela</t>
  </si>
  <si>
    <t>TSel KrmSimCardCorp    MCM Outw CN  Sdr Gemma Muchammad Aljzimah</t>
  </si>
  <si>
    <t>TSel KrmSimCardCorp    MCM Outw CN  Hemalina Sihombing</t>
  </si>
  <si>
    <t>TSel Odading       MCM Outw CN  Purwaningsih</t>
  </si>
  <si>
    <t xml:space="preserve">Clearing Fee         TSel Odading      Clearing Fee  </t>
  </si>
  <si>
    <t>MTS-Trf-Kredit  124RTR-0090-NMA TDK LNGKP-PURWANINGSIH</t>
  </si>
  <si>
    <t>TSel Odading    Online Trf  450203 14354738Transfer Fee         TSel Odading</t>
  </si>
  <si>
    <t>Transfer Fee         TSel Odading     Transfer Fee</t>
  </si>
  <si>
    <t>Mandiri Visa JT17Apr  MCM InhouseTrf  KE DAVID HARSAMTO</t>
  </si>
  <si>
    <t>Tsel KrmSimCardCorp  MCM InhouseTrf  KE FLYING VENES PERSADA</t>
  </si>
  <si>
    <t xml:space="preserve">Clearing Fee         TSel Prog Uplift ReClearing Fee  </t>
  </si>
  <si>
    <t>TSel KrmSimCardCorp     MCM Outw CN  Sdr Simon Joko Wibowo</t>
  </si>
  <si>
    <t>Listrik April         MCM InhouseTrf  KE PANTRAVEL</t>
  </si>
  <si>
    <t>Konstr Gedung April      MCM InhouseTrf  KE PANTRAVEL</t>
  </si>
  <si>
    <t>Pin Buk BTN       MCM Outw CN  Pan Convince Mitra International PT</t>
  </si>
  <si>
    <t xml:space="preserve">Clearing Fee         Pin Buk BTN      Clearing Fee  </t>
  </si>
  <si>
    <t>TSel KrmSimCardCorp      MCM Outw CN  Ibu Paskah Rinauli Purba</t>
  </si>
  <si>
    <t>TSel Pengadaan Vouch  MCM InhouseTrf  KE MOCH DRAJAT SYAWALUDDIN</t>
  </si>
  <si>
    <t>Salary PCMI April      MCM Outw CN  David Harsamto</t>
  </si>
  <si>
    <t xml:space="preserve">Clearing Fee         Salary PCMI April  Clearing Fee  </t>
  </si>
  <si>
    <t>Pin Buk BCA       MCM Outw CN  RD Hidianitje</t>
  </si>
  <si>
    <t xml:space="preserve">Clearing Fee         TSel Pilkada Racing. Clearing Fee  </t>
  </si>
  <si>
    <t>TSel Pilkada Racing    MCM Outw CN  Ayu Sri Hartati</t>
  </si>
  <si>
    <t>TSel KirimSimCardCor    MCM Outw CN  Widya Catur Kristanti Putri</t>
  </si>
  <si>
    <t xml:space="preserve">Clearing Fee         TSel KirimSimCardCo. Clearing Fee  </t>
  </si>
  <si>
    <t>TSel Onboarding  MCM Outw CN  Bpk Kenneth</t>
  </si>
  <si>
    <t xml:space="preserve">Clearing Fee         TSel Onboarding    Clearing Fee  </t>
  </si>
  <si>
    <t>Fee SINGLE RTGS BRI CMS 1495129  T:0374612:CMS</t>
  </si>
  <si>
    <t>AP Expense 2020  T:0374697:CMS</t>
  </si>
  <si>
    <t>20210331000692984533 037201166137574 Ret 037201166137574 T:0372891:CMS</t>
  </si>
  <si>
    <t>Fee SINGLE CN BRI CMS 3426675  T:0374652:CMS</t>
  </si>
  <si>
    <t>Fee SINGLE CN BRI CMS 3426674  T:0374603:CMS</t>
  </si>
  <si>
    <t>Fee SINGLE CN BRI CMS 3426500  T:0374649:CMS</t>
  </si>
  <si>
    <t xml:space="preserve">AP Expense 2020 </t>
  </si>
  <si>
    <t xml:space="preserve">Pin Buk Mandiri </t>
  </si>
  <si>
    <t>Abonemen 032021 CMS PAN CONVINCE MI T:0374891:CMS</t>
  </si>
  <si>
    <t xml:space="preserve">287 COM Nasional Bangga Buatan Indo  </t>
  </si>
  <si>
    <t xml:space="preserve">481 COM EVT Persmian Tim Elang BRI  </t>
  </si>
  <si>
    <t>Abonemen 042021 CMS PAN CONVINCE MI T:0374891:CMS</t>
  </si>
  <si>
    <t>Fee SINGLE CN BRI CMS 3487316  T:0374648:CMS</t>
  </si>
  <si>
    <t>XL Pasca byr bu AH,  2/3/21</t>
  </si>
  <si>
    <t>Materai 20 @ Rp 10,000,-, 5/3/21</t>
  </si>
  <si>
    <t>Materai 20 @ Rp 10,000,-, 15/3/21</t>
  </si>
  <si>
    <t>Service AC + Freon di rg div Streaming , 2/3/21</t>
  </si>
  <si>
    <t>Envelope coklat 6 pak @ Rp 7.500,- 2/3/21</t>
  </si>
  <si>
    <t>Panadol biasa&amp; panadol extra , 3/3/21</t>
  </si>
  <si>
    <t>Beli 2 rol lakban hitam req Age , 4/3/21</t>
  </si>
  <si>
    <t>Reimb.bu AH mkn siang team after meeting, 10/2/21</t>
  </si>
  <si>
    <t>Reimb. Titing, swab antigen 28/1/21 &amp; 22/2/21 @ Rp 250.000,-</t>
  </si>
  <si>
    <t>Lunch bu AH di kantor, 9/3/21</t>
  </si>
  <si>
    <t>B 114 NNE - Kanebo , 9/3/21</t>
  </si>
  <si>
    <t>Tissue rol, tissue towel u/ lt. 2 , 8/3/21</t>
  </si>
  <si>
    <t>Yogi - reimb, grab send antar voucher MAP ke Serpong, 8/3/21</t>
  </si>
  <si>
    <t>B 2850 SOO - Ops 2/3/21 -9/3/21</t>
  </si>
  <si>
    <t>Reimb kartu Halo Home Credit&amp; 300 Kartu OCBC Uci Apria Sari+fee trf</t>
  </si>
  <si>
    <t>Reimb. Titing - tissue, permen, plastik sampah di Indomret, 10/3/21</t>
  </si>
  <si>
    <t>Reimb.Age - beli  4 fiting + 4 lampu downligt u/ rg. meeting besar</t>
  </si>
  <si>
    <t xml:space="preserve">Novirawati - Bayar masker KN95 - 2 Box </t>
  </si>
  <si>
    <t>Bu AH - Harvest ,'day cake u/ Hayatin Nusur ,9/3/21</t>
  </si>
  <si>
    <t xml:space="preserve">Top up LinkAja an. Koperasi Telkomsel 0911008119003253+fee </t>
  </si>
  <si>
    <t>M. Ujer - SPJ 3D ( 3,9,10 Mar'21) @ Rp 150.000,-</t>
  </si>
  <si>
    <t>Supriyadi - SPJ 2D ( 11 &amp; 13 Mar'21 ) @ Rp 150.000,-</t>
  </si>
  <si>
    <t>Dhea - Fee crew logistik 1 D , 10 Mar'21 @ Rp 300,000,-</t>
  </si>
  <si>
    <t>Nova - Fee runner 1 D , 10 Mar'21 @ Rp 300,000,-+ fee trf Rp 6,500,-</t>
  </si>
  <si>
    <t>Premi polis Jaminan Pelaksanaan , BTN RUPST 2021</t>
  </si>
  <si>
    <t>Sukanda - SPJ 2D (3 &amp; 10 Mar'21 ) @ Rp 200.000,-</t>
  </si>
  <si>
    <t>Refill toner 2 buah u/ operation/back office , 25/3/21</t>
  </si>
  <si>
    <t>XL Pasca Bayar 0817171700 , JT 27/3/21</t>
  </si>
  <si>
    <t>Kartu HALO 08118171717 , bln Mar 21</t>
  </si>
  <si>
    <t>Baterai u/ mouse komp Age , 22/3/21</t>
  </si>
  <si>
    <t>Plastik besar, kecil, kardus u/ bungkus handsanitizer , 2/3/21</t>
  </si>
  <si>
    <t xml:space="preserve">Bensin motor Praja , 27/2/21 ( survey ) + 10/3 /21. </t>
  </si>
  <si>
    <t xml:space="preserve">Aqua 330 ml 1 dus u/ bu AH 18/3/21 </t>
  </si>
  <si>
    <t>Aqua 26/2, 1/3, 5/3, 6/3, 8/3, 15/3, 17/3, 18/3, 22/3'21 ( 9galon @ Rp 19.000 )</t>
  </si>
  <si>
    <t xml:space="preserve">Sabun pencuci tangan </t>
  </si>
  <si>
    <t>Londry seragam</t>
  </si>
  <si>
    <t>E- Toll B 114 NNE , 10/3/21</t>
  </si>
  <si>
    <t>Sarung tangan latex hitam via Tokopedia, 9/3/21</t>
  </si>
  <si>
    <t>B 2351 SKF - Operasional 1/3/21 - 23/3/21</t>
  </si>
  <si>
    <t>B 114 NNE - Parkir Feb &amp; 20 Mar'21 + gojek ke bengkel.</t>
  </si>
  <si>
    <t>SPJ Supriyadi , 4Mar'21</t>
  </si>
  <si>
    <t>SPJ Nova , runner 2hr 12&amp;13 Mar'21+ biaya trf ke BRI Syariah</t>
  </si>
  <si>
    <t>Service AC di rg bu AH &amp; rg event ( Pat Cs), 30/3/21</t>
  </si>
  <si>
    <t>Materai 20 lbr @ Rp 10,000,- 30/3/21</t>
  </si>
  <si>
    <t>Kertas 5 rim 70 gram ,1/4/21</t>
  </si>
  <si>
    <t>Hand soap, 31/3/21</t>
  </si>
  <si>
    <t>Tissue rol, tissue towel u/ lt. 2 , 1/4/21</t>
  </si>
  <si>
    <t>Tissue , 30 &amp; 31/3/21</t>
  </si>
  <si>
    <t>Lunch bu AH  di kantor , 29/3/21</t>
  </si>
  <si>
    <t>Medical pak Ujer , 25/3/21</t>
  </si>
  <si>
    <t>Medical Sutarno , 29/3/21</t>
  </si>
  <si>
    <t>B 114 NNE - E Toll , 4/4/21</t>
  </si>
  <si>
    <t>SPJ Helmi , 10/3/21</t>
  </si>
  <si>
    <t>SPJ Nico , 10/3/21.</t>
  </si>
  <si>
    <t>B 2850 SOO - Ops 9/3/21-6/4/21</t>
  </si>
  <si>
    <t>Lunch bu AH , 5/4/21 &amp; 6/4/21</t>
  </si>
  <si>
    <t>Sewa motor massanger, Mar'21</t>
  </si>
  <si>
    <t>BBM massanger, Mar'21</t>
  </si>
  <si>
    <t>Parkir massanger, Mar'21</t>
  </si>
  <si>
    <t>Print Compro ( sample ) - 1 exemplar</t>
  </si>
  <si>
    <t>Jarot Valentinus - Reimb.POC Project Pengadaan+ trf fee ke LinkAja</t>
  </si>
  <si>
    <t>Analita - Reimb transp BTN Tower- Rmh ( Bekasi ) - selesai GR</t>
  </si>
  <si>
    <t xml:space="preserve">Analita - Reimb.transport  Rmh (Bekasi) - BTN Tower - event </t>
  </si>
  <si>
    <t>Praja - Reimb. Parkir Harco Mg 2 beli hardisk u/ komp Januar , 6/4/21</t>
  </si>
  <si>
    <t>Supriyadi - SPJ 1/4/21 @ Rp 150.000,-</t>
  </si>
  <si>
    <t>Supriyadi - SPJ 4/4/21 @ Rp 150.000,-</t>
  </si>
  <si>
    <t>Dhea - Fee crew logistik 1 D , 3/4/211 @ Rp 300,000,-</t>
  </si>
  <si>
    <t>Yogi - reimb.coffee break team streaming, 6/4/21</t>
  </si>
  <si>
    <t>B 2351 SKF - Operasional 23/5-16/4/21</t>
  </si>
  <si>
    <t>Cetak &amp; jilid Compro 2 buku , 16/4/21</t>
  </si>
  <si>
    <t>Materai 20 lbr @ Rp 10,000,- 12/4/21</t>
  </si>
  <si>
    <t>Baterai u/ mouse Alex &amp; Lita , 8/4/21</t>
  </si>
  <si>
    <t>Sanitizer aerozol eucalyptus 2 botol , 12/4/21</t>
  </si>
  <si>
    <t>Age - reimb. Meals team streaming 30/3/21</t>
  </si>
  <si>
    <t>Age - reimb. Print &amp; jilid proposal KSEI , 12/3/21</t>
  </si>
  <si>
    <t>Alex - reimb. Parkir 18/2/21</t>
  </si>
  <si>
    <t>Alex - reimb. Parkir 27/2/21, 2/3/21, 3/3/21</t>
  </si>
  <si>
    <t xml:space="preserve">Alex - reimb. Bensin 4/3/21 + Parkir </t>
  </si>
  <si>
    <t xml:space="preserve">Alex - reimb. Bensin 12/3/21 </t>
  </si>
  <si>
    <t>Uci Apria Sari - Cash back E + Adira + trf fee BCA ke LinkAja</t>
  </si>
  <si>
    <t>Patricia - Reimb. Mkn siang team &amp; Brimedika, 3/4/21</t>
  </si>
  <si>
    <t xml:space="preserve">B 114 NNE - Top up Toll + flaz u/ parkir, 16/4/21 </t>
  </si>
  <si>
    <t>Recondition toner u/ printer di ruang event , 19/4/21</t>
  </si>
  <si>
    <t xml:space="preserve">Jilid laporan FGD Ayana </t>
  </si>
  <si>
    <t>Karya Kreasi Adv - cetak Legalitas PCMI , 1 set  ,+ trf fee ke Mandiri</t>
  </si>
  <si>
    <t>Adun - Aqua Galon 24/3-23/4/21 - 11 galon @ Rp 19,000,-</t>
  </si>
  <si>
    <t>Adun - Baygon 26/4/21</t>
  </si>
  <si>
    <t>Adun - Baterai Alkaline u/ mouse Deka, 8/4/21</t>
  </si>
  <si>
    <t>Adun - Jilid proposal , 20/4/21</t>
  </si>
  <si>
    <t>XL Pasca bayar , 0817171700 , 27/4/21</t>
  </si>
  <si>
    <t>Kartu HALO , 08118171717 , 27/4/21</t>
  </si>
  <si>
    <t>Top Up E Toll B 114 NE , 27/4/21</t>
  </si>
  <si>
    <t>B 2850 SOO - Ops 7/4- 22/4/21</t>
  </si>
  <si>
    <t>Odhey - Pembelian KabelAudio, 11/4/21</t>
  </si>
  <si>
    <t>Helmi - Rapid Antigen -sales ke Pelindo , 22/4/21</t>
  </si>
  <si>
    <t>Hemi - Parkir Centennial Tower ( BNI Life &amp; BNI Asset Management )  26/4/21-  E-money pak Yadi kosong</t>
  </si>
  <si>
    <t>Helmi - Tiket masuk ke Pelindo, 22/4/21</t>
  </si>
  <si>
    <t xml:space="preserve">Yogi - Parkir, Bensin , Tol -  Bawa mobil sendiri , krn hari libur , Minggu 4/4/21 </t>
  </si>
  <si>
    <t>Yogi - Parkir BTN , 10/3/21 - Bawa mobil sendiri krn lsg dr rmh ke BTN</t>
  </si>
  <si>
    <t>Materai 20 lbr@ Rp 6,000,- 4/5/21</t>
  </si>
  <si>
    <t>Perlengkapan kebersihan di PCMI ( tissue dll ) , 3/5/21</t>
  </si>
  <si>
    <t>Biaya pengantaran Harvest Cake pak Adnan, 20/4/21</t>
  </si>
  <si>
    <t>Print kartu ucapan workshop ECX di Snapy , 19/4/21</t>
  </si>
  <si>
    <t>Gosend piring rotan ke Serenia Hills, 30/4/21</t>
  </si>
  <si>
    <t>Kirim dompet TUMI via JNE ke pak Rony , 29/4/21</t>
  </si>
  <si>
    <t>Sewa motor massanger, Apr'21</t>
  </si>
  <si>
    <t>Ops massanger, Apr'21 ( BBM + Parkir )</t>
  </si>
  <si>
    <t>B 2351 SKF - Bensin 6/5/21</t>
  </si>
  <si>
    <t>Hariyanto - Fee Floor Crew , 12/4/21</t>
  </si>
  <si>
    <t>Supriyadi - SPJ 2 D ( 11&amp;12/4/21 ) @ Rp 150,000,-</t>
  </si>
  <si>
    <t>Januar - SPJ 1 D  11/4/21.</t>
  </si>
  <si>
    <t>Mandiri to Mandiri</t>
  </si>
  <si>
    <t>Mandiri to BTN</t>
  </si>
  <si>
    <t>DJP Online</t>
  </si>
  <si>
    <t>PPh-21 : Aug - Dec 2020</t>
  </si>
  <si>
    <t>PCMI Team</t>
  </si>
  <si>
    <t>Salary Cut PayBack - 3 Months</t>
  </si>
  <si>
    <t>Bonus 2020</t>
  </si>
  <si>
    <t>AP Trade  BRI HUT ke-125      MCM Outw CN  RD Hidianitje (Total 300Mio)</t>
  </si>
  <si>
    <t>AP Trade  BRI Video Mapping      MCM Outw CN  RD Hidianitje (Total 300Mio)</t>
  </si>
  <si>
    <t>UBP60215001201FFFFFF025075068340126 : PPh-23 Jan 2020 : Dbl Bayar 30Jul2020</t>
  </si>
  <si>
    <t>UBP60215001201FFFFFF025075068375148 : PPh-23 Feb 2020 : Dbl Bayar 30Jul2020</t>
  </si>
  <si>
    <t>UBP60215001201FFFFFF025075068395122 : PPh-23 Mar 2020 : Dbl Bayar 30Jul2020</t>
  </si>
  <si>
    <t>UBP60215001201FFFFFF025075068415139 : PPh-23 Apr 2020 : Dbl Bayar 30Jul2020</t>
  </si>
  <si>
    <t>UBP60215001201FFFFFF025075068432020 : PPh-23 May 2020 : Dbl Bayar 30Jul2020</t>
  </si>
  <si>
    <t>UBP60215001201FFFFFF025075068456159 ; PPh-23 Jun 2020 : Dbl Bayar 30Jul2020</t>
  </si>
  <si>
    <t>UBP60215001201FFFFFF025075068482155 : PPh-23 Jul 2020 : Dbl Bayar 30Jul2020</t>
  </si>
  <si>
    <t>00001-01-30-001293-5</t>
  </si>
  <si>
    <t>Inw CN Trf to CA Bch SKN/PAN CONVINCE MITRA INTERNATIONAL/PIN</t>
  </si>
  <si>
    <t>Biaya buku Cek/BG</t>
  </si>
  <si>
    <t>Biaya Meterai</t>
  </si>
  <si>
    <t>BRI PresConLeb    MC+Kebersihan     MARIA PATRICIA SUG</t>
  </si>
  <si>
    <t>CA-010/21 Merry   MEERY ADRIAN</t>
  </si>
  <si>
    <t>CA-011/21 Meery   MEERY ADRIAN</t>
  </si>
  <si>
    <t>BTN RUPST         2LED TV Switcher  SRI WAHYUNI NAWI</t>
  </si>
  <si>
    <t>CITIBANK   TRANSFER VIA LLG  REF NO PPU :L6G5  David Harsamto</t>
  </si>
  <si>
    <t>BANK DBS   TRANSFER VIA LLG  REF NO PPU :L6JN  David Harsamto</t>
  </si>
  <si>
    <t>BANK DBS   TRANSFER VIA LLG  REF NO PPU :L6KK  David Harsamto</t>
  </si>
  <si>
    <t>TSel Best AgentCESSPJ 2D 27-28Apr   ADUN SOPANDI</t>
  </si>
  <si>
    <t>CR TRANSFER   DR 008 PAN CONVINCE MITRAPLAZA MANDI</t>
  </si>
  <si>
    <t>TSel Odading      Req Didith CLO A2 MULYONO</t>
  </si>
  <si>
    <t>Dipinjam PCMI     NY NURLAILA HUTABA</t>
  </si>
  <si>
    <t>TSel Odading      Req Didith CLO A2 NURDIANINGSIH</t>
  </si>
  <si>
    <t>TSel MonetizeSectoOrbit Bank MandiriFAJAR RAMDHANI KUR</t>
  </si>
  <si>
    <t>BRI FGDLintasKemenCatering BukBer   AKASYA CATERING CV</t>
  </si>
  <si>
    <t>Overtime          SUPRIYADI</t>
  </si>
  <si>
    <t>Internet May      Panconvince       MORA TELEMATIKA IN</t>
  </si>
  <si>
    <t>TEO BENG LEEPhotocopy April   12161848</t>
  </si>
  <si>
    <t>PT PAN CONVINCE MITRF DANA</t>
  </si>
  <si>
    <t>THR PCMI 2021     DAVID HARSAMTO</t>
  </si>
  <si>
    <t>TSel PilkadaRacingReimb 28Apr       RONNY WILIMAS SUGI</t>
  </si>
  <si>
    <t>LINKAJA     08118512333</t>
  </si>
  <si>
    <t>Website Revamp    PCMI              DHANI BASKHARA</t>
  </si>
  <si>
    <t>BTN RUPST         Lunas Streaming   FAJAR FERYANSYAH</t>
  </si>
  <si>
    <t>BTN RUPST         MejaKursi 9-10Mar SAEPIH</t>
  </si>
  <si>
    <t>BRI PengTeamElang Fee Proj Officer  DEDI PURWANTO SE</t>
  </si>
  <si>
    <t>BRI PresConLebaranFee PIC 3May      DEDI PURWANTO SE</t>
  </si>
  <si>
    <t>BRI PresConLebaranFee PIC 3May      PRAJA SAPUTRA S</t>
  </si>
  <si>
    <t>BRI PresConLebaranFee PIC 3May      ALEXADRUS NULIADY</t>
  </si>
  <si>
    <t>BRI PresConLebaranFee PIC 3May      ANALITA YULISTYA C</t>
  </si>
  <si>
    <t>BRI PresConLebaranFee PIC 3May      MARIA PATRICIA SUG</t>
  </si>
  <si>
    <t>BRI PresConLebaranFee PIC 3May      DEKA BAHANA</t>
  </si>
  <si>
    <t>LAPORAN CA 09 THN 2021 YOGI         YOGI PURWO WIDODO</t>
  </si>
  <si>
    <t>TELKOM DIVRE302183700934     05RD HIDIANITJE DRA</t>
  </si>
  <si>
    <t>CA 010 / 2021     MEERY ADRIAN</t>
  </si>
  <si>
    <t>BTN RUPST         Sewa AC+Genset    TOYIB ABDULLAH</t>
  </si>
  <si>
    <t>TSel PilkadaRacingSalesMtg Dec-Apr  PRABA SUNAR ARISTY</t>
  </si>
  <si>
    <t>TSel GoodtoGreat  8 BigBoxPlusPizza YOGI PURWO WIDODO</t>
  </si>
  <si>
    <t>BRI FGD LintasKemeMaskerNexcareTopedMARIA PATRICIA SUG</t>
  </si>
  <si>
    <t>Byr AP Loan 6 Mei NY NURLAILA HUTABA</t>
  </si>
  <si>
    <t>TSel PilkadaRacingSalesMtg Des-Apr  PARULIAN LUMMY SIT</t>
  </si>
  <si>
    <t>SALAH TRANSFER    PRABA SUNAR ARISTY</t>
  </si>
  <si>
    <t>PAN CONVINCE MITRAPLAZA MANDI</t>
  </si>
  <si>
    <t>Cetak 30 ComPro   AHMAD WIDYA NUGRAH</t>
  </si>
  <si>
    <t>TSel GoodToGreat  Fee LO Hampers    WAHYU TRI HARYADI</t>
  </si>
  <si>
    <t>BRI FGD LintasKemeFee Runner+Load   MOCH SUPRIYADI</t>
  </si>
  <si>
    <t>TSel PilkadaRacingHampers Kareem B  SANDRA MAWAWATI</t>
  </si>
  <si>
    <t>TSel PilkadaRacingReimb BukBer 6-MayPARULIAN LUMMY SIT</t>
  </si>
  <si>
    <t>BRI PengTeamElang SoundSys 12-Apr   RISYAD FAUZIE</t>
  </si>
  <si>
    <t>BTN RUPST         SoundSys 3+10 Mar RISYAD FAUZIE</t>
  </si>
  <si>
    <t>BRI PresCon Leb   Cameraman+Video   BAMBANG SUPRIYANTO</t>
  </si>
  <si>
    <t>BRI PresCon Leb   EarTech+iCom V86  ILHAM GUMELAR</t>
  </si>
  <si>
    <t>BRI PresCon Leb   SewaFurniture 3MeiSAEPIH</t>
  </si>
  <si>
    <t>BRI PresCon Leb   Cameraman+Video   BAMBANG SUBARI</t>
  </si>
  <si>
    <t>BRI FGD LintasKemeSewa Alat Visual  SRI WAHYUNI NAWI</t>
  </si>
  <si>
    <t>BRI PresCon TW1   UangKebersihan    MARIA PATRICIA SUG</t>
  </si>
  <si>
    <t>RTGS-PT. BANK RAKYBRINIDJA/007004   PAN CONVINCE MITRAPin Buk BCA</t>
  </si>
  <si>
    <t>Byr AP Loan 7 Mei IReps             NY NURLAILA HUTABA</t>
  </si>
  <si>
    <t>BRI Himbara PemRedAirport Handling  NOFRI HADI</t>
  </si>
  <si>
    <t>BRI FGD Ayana 1+4 DP1 Lebih Bayar   MEERY ADRIAN</t>
  </si>
  <si>
    <t>BRI           PAN CONVINCE MITRAPin Buk BCA       210528000717698617</t>
  </si>
  <si>
    <t>BRI FGD Ayana 1+4 Lunas Lebih Bayar MEERY ADRIAN</t>
  </si>
  <si>
    <t>Salary PCMI May   DAVID HARSAMTO</t>
  </si>
  <si>
    <t>TSel InnoXtion    Award Anti Viral  ALIEF NUGRAHA</t>
  </si>
  <si>
    <t>TSel MonetizeSectoMtg Pegadaian20MeiNURMAN MUNAF S SOS</t>
  </si>
  <si>
    <t>BRI PresConLebaranSoundSys 3May     RISYAD FAUZIE</t>
  </si>
  <si>
    <t>TEO BENG LEEPhotocopy May     12161848</t>
  </si>
  <si>
    <t>Virtual AITF      Dee Design        FABIO KRISNAWANSYA</t>
  </si>
  <si>
    <t>3M Pitching       Fee Design        FABIO KRISNAWANSYA</t>
  </si>
  <si>
    <t>RUPST BRI         Fee Design        FABIO KRISNAWANSYA</t>
  </si>
  <si>
    <t>Virtual AITF      DesignWalkthrough FARHAN ARDIANSYAH</t>
  </si>
  <si>
    <t>BRI Transport 2   Inv 1686          VICTORY GLOBAL MAN</t>
  </si>
  <si>
    <t>BRI Peng TeamElangLapTop 30Mar 11AprMARBANGUN WIDAKDO</t>
  </si>
  <si>
    <t>Balon Ultah       Anak Randi BRI    SURYADI RAMADANA</t>
  </si>
  <si>
    <t>TSel InnoXtion    Award Sikats P064 JUAN FITRIANTO ST</t>
  </si>
  <si>
    <t>TSel InnoXtion    Award Albatrost TEADHI HIDAYATULLAH</t>
  </si>
  <si>
    <t>TSel InnoXtion    Award Aveny B020  RUDY IRAWAN</t>
  </si>
  <si>
    <t>Salary PCMI April Kekurangan        DAVID HARSAMTO</t>
  </si>
  <si>
    <t>LLG-BRI           PAN CONVINCE MITRAPin Buk BCA       210531000718250311</t>
  </si>
  <si>
    <t>SalaryCutPayback2020Pct Lunas       DAVID HARSAMTO</t>
  </si>
  <si>
    <t>InterestLoanNovDecRD HIDIANITJE DRA : Lebih Bayar Interest Loan utk bayar Jan Feb</t>
  </si>
  <si>
    <t>Jan - Feb</t>
  </si>
  <si>
    <t xml:space="preserve">LLG-BRI           PAN CONVINCE MITRAPin Buk BCA </t>
  </si>
  <si>
    <t>BRI HimbaraPemRed Cash Bayu u/FutsalMARIA PATRICIA SUG</t>
  </si>
  <si>
    <t>TSel MonetizeSectoLinkAja 12a200Rb  YOGI PURWO WIDODO</t>
  </si>
  <si>
    <t xml:space="preserve">TARIKAN PEMINDAHAN </t>
  </si>
  <si>
    <t>ND-PROVISI BY SET ANTAR CAB</t>
  </si>
  <si>
    <t>BRI LaunchDblCare UM Team Marcel S  FRIDA ACHMADI</t>
  </si>
  <si>
    <t>BRI LaunchDblCare DP FeeTalent DevaMFRIDA ACHMADI</t>
  </si>
  <si>
    <t>BRI LaunchDblCare DP FeeTalentMarcelFRIDA ACHMADI</t>
  </si>
  <si>
    <t>BRI LaunchDblCare Digital LED GalihMFRIDA ACHMADI</t>
  </si>
  <si>
    <t>BRI LaunchDblCare Fee MC BungaHarum BUNGA HARUM DANI D</t>
  </si>
  <si>
    <t>BRI LaunchDblCare Lunas Fee Deva M  RISSA NOOR FAUZIAH</t>
  </si>
  <si>
    <t>BRI LaunchDblCare Lunas Fee Marcel SGANJAR TRI BOWO</t>
  </si>
  <si>
    <t>MANULIFE UL  4255291629        RD HIDIANITJE DRA</t>
  </si>
  <si>
    <t>Internet Jun      Panconvince       MORA TELEMATIKA IN</t>
  </si>
  <si>
    <t>BRI PresCon TW1   Sewa 2 Camera 25/5BAMBANG SUBARI</t>
  </si>
  <si>
    <t>BungaUltah TSel-26Idola Florist     MUH NURHIDAYAT TAU</t>
  </si>
  <si>
    <t>TSel MICEInnoXtionSnackMtgNgobras   REDIANI PRAMUDITA</t>
  </si>
  <si>
    <t>RTGS-PT BANK HSBC HSBCIDJA/003191   NURLAILA HUTABARAT</t>
  </si>
  <si>
    <t>RTGS-PT. BANK TABUBTANIDJA/006365   PT PANCONVINCE MITTRF DANA</t>
  </si>
  <si>
    <t>Asuransi FPG      B2351SKF 21/22    JOBAKA JASAPRATAMA</t>
  </si>
  <si>
    <t>Svc 5 Unit AC     Jasa Tehnik       BAHRUDIN</t>
  </si>
  <si>
    <t>TSel BestAgent CESBeli Keramik      NURLITA</t>
  </si>
  <si>
    <t>TSel MonetizeSecto5000 Kartu PTSeinoMUHAMMAD HAFIDZ OE</t>
  </si>
  <si>
    <t>Byr AP Loan 7-Jun BCA               DAVID HARSAMTO</t>
  </si>
  <si>
    <t>Byr AP Loan 4-Jun BCA               NY NURLAILA HUTABA</t>
  </si>
  <si>
    <t>Byr AP Loan 14-JunBCA               NY NURLAILA HUTABA</t>
  </si>
  <si>
    <t>PAN CONVINCE MITRAKLIKBCA IND</t>
  </si>
  <si>
    <t>BIAYA TXN  KE 008 PAN CONVINCE MITRAKLIKBCA IND</t>
  </si>
  <si>
    <t>AP Others IRep 20 PPn BRI AdsPlacemeNY NURLAILA HUTABA</t>
  </si>
  <si>
    <t>CITIBANK   TRANSFER VIA LLG  REF NO PPU :XRJL  David Harsamto</t>
  </si>
  <si>
    <t>MANDIRI    TRANSFER VIA LLG  REF NO PPU :XRKZ  David Harsamto</t>
  </si>
  <si>
    <t>CA-15/21 Yogi     YOGI PURWO WIDODO</t>
  </si>
  <si>
    <t>TSel MonetizeSectoTambahanHampers   LESTARI INOVASI CE</t>
  </si>
  <si>
    <t>TSel Best AgentCESLO FeeRunner 14JunMOCH SUPRIYADI</t>
  </si>
  <si>
    <t>BRI LaunchDblCare PIC Streaming 2D  PRAJA SAPUTRA S</t>
  </si>
  <si>
    <t>BRI PresCon TW1   PIC Streaming 2D  ANALITA YULISTYA C</t>
  </si>
  <si>
    <t>BRI LaunchDblCare PIC Streaming 2D  ANALITA YULISTYA C</t>
  </si>
  <si>
    <t>BRI PressCon TW1  PIC Streaming 2D  ALEXADRUS NULIADY</t>
  </si>
  <si>
    <t>BRI LaunchDblCare PIC Streaming 2D  ALEXADRUS NULIADY</t>
  </si>
  <si>
    <t>BRI Lauch Dbl CareSPJ 1D 9Jun       FRIDA ACHMADI</t>
  </si>
  <si>
    <t>TSel BestAgentCES PIC VIP Handling  FRIDA ACHMADI</t>
  </si>
  <si>
    <t>BRI PressCon TW1  SPJ 2D            MARIA PATRICIA SUG</t>
  </si>
  <si>
    <t>BRI FGD Ayana 1   PO Fee            MARIA PATRICIA SUG</t>
  </si>
  <si>
    <t>BRI FGD Ayana 2   PO Fee            MARIA PATRICIA SUG</t>
  </si>
  <si>
    <t>BRI FGD Ayana 3   PO Fee            MARIA PATRICIA SUG</t>
  </si>
  <si>
    <t>BRI FGD Ayana 4   PO Fee            MARIA PATRICIA SUG</t>
  </si>
  <si>
    <t>BRI FGD LintasKemeProduksi 10May    BAMBANG SUPRIYANTO</t>
  </si>
  <si>
    <t>PT ASIA UTAMPsiTest Helmi+Nico</t>
  </si>
  <si>
    <t>LINKAJA     0811820118</t>
  </si>
  <si>
    <t>InterestLoan      Mar-Apr-May-Lunas RD HIDIANITJE DRA</t>
  </si>
  <si>
    <t>Byr AP Loan 7-Jun BCA               NY NURLAILA HUTABA</t>
  </si>
  <si>
    <t>Byr AP Loan 8-Jun BCA               NY NURLAILA HUTABA</t>
  </si>
  <si>
    <t>TumpengNyHendrawanUltah Ibu AH      MARIA PATRICIA SUG</t>
  </si>
  <si>
    <t>TELKOM DIVRE302183700934     06RD HIDIANITJE DRA</t>
  </si>
  <si>
    <t>TSel Best AgentCESLinkAja ESEM Dec  YOGI PURWO WIDODO</t>
  </si>
  <si>
    <t>BRI PresConLebaran3 LapTop i7 3May  MARBANGUN WIDAKDO</t>
  </si>
  <si>
    <t>BRI FGD LintasKeme3 LapTop i7 11May MARBANGUN WIDAKDO</t>
  </si>
  <si>
    <t>BRI PresCon TW1   5 LapTop i7 24May MARBANGUN WIDAKDO</t>
  </si>
  <si>
    <t>BRI Launch DblCareSewaWhiteCurtain  EDY KURNIAWAN</t>
  </si>
  <si>
    <t>BRI Launch DblCareFee MC Crew 9Jun  YUNITA ARIYANI</t>
  </si>
  <si>
    <t>BRI Launch DblCareFee LO+StageCrew  MOCH SUPRIYADI</t>
  </si>
  <si>
    <t>BRI FGD LintasKemeDig Mix+Mic 11May RISYAD FAUZIE</t>
  </si>
  <si>
    <t>TSel MonetizeSectoPrepaid SimCard   MUHAMMAD HAFIDZ OE</t>
  </si>
  <si>
    <t>BRI Launch DblCareSPJ 2D + Show D   DEDI PURWANTO SE</t>
  </si>
  <si>
    <t>BRI RUPS LB       SPJ Runner 3D     YOGI PURWO WIDODO</t>
  </si>
  <si>
    <t>BTN RUPST         SPJ Registrasi    YOGI PURWO WIDODO</t>
  </si>
  <si>
    <t>TSel Onboarding   SPJ EventStreamingYOGI PURWO WIDODO</t>
  </si>
  <si>
    <t>TSel KrmSimCardCorPIC Mtg GM+VP Div YOGI PURWO WIDODO</t>
  </si>
  <si>
    <t>TSel KrmSimCardCorPIC EventPraWSEDM YOGI PURWO WIDODO</t>
  </si>
  <si>
    <t>TSel BestAgentCES PIC EventPraWSECX YOGI PURWO WIDODO</t>
  </si>
  <si>
    <t>TSel BestAgentCES SPJ Pack+Delivery YOGI PURWO WIDODO</t>
  </si>
  <si>
    <t>BRI Launch DblCareOpsExpEvent 8-9JunAHMAD WIDYA NUGRAH</t>
  </si>
  <si>
    <t>SETORAN TRSF DR 5750270737LOAN PCMI</t>
  </si>
  <si>
    <t>CA-17/21 Yogi     YOGI PURWO WIDODO</t>
  </si>
  <si>
    <t>Salary PCMI Jun   DAVID HARSAMTO</t>
  </si>
  <si>
    <t>AR Staff Loan UjerDAVID HARSAMTO</t>
  </si>
  <si>
    <t>AR StafLoan Yadi  DAVID HARSAMTO</t>
  </si>
  <si>
    <t>HSBC       TRANSFER VIA LLG  REF NO PPU :0CTC  Nurlaila Hutabarat</t>
  </si>
  <si>
    <t>HSBC       TRANSFER VIA LLG  REF NO PPU :0R6D  Nurlaila Hutabarat</t>
  </si>
  <si>
    <t xml:space="preserve">PAJAK BUNGA </t>
  </si>
  <si>
    <t>HSBC       TRANSFER VIA LLG  REF NO PPU :04BN  Nurlaila Hutabarat</t>
  </si>
  <si>
    <t>HSBC       TRANSFER VIA LLG  REF NO PPU :04CG  Nurlaila Hutabarat</t>
  </si>
  <si>
    <t>BRI PresCon TW1   5 Wireless 25May  ILHAM GUMELAR</t>
  </si>
  <si>
    <t>BRI Launch DblCare7 Wireless 9Jun   ILHAM GUMELAR</t>
  </si>
  <si>
    <t>BRI Launch DblCare3 Camera 9Jun     BAMBANG SUBARI</t>
  </si>
  <si>
    <t>BRI Launch DblCareVisual MM 9Jun    IBRAHIM SALADDIN</t>
  </si>
  <si>
    <t>BRI Launch DblCareFoto Acara 9Jun   AGUS WIJAYA</t>
  </si>
  <si>
    <t>BRI Launch DblCarePartisi + Stage   BAMBANG SUPRIYANTO</t>
  </si>
  <si>
    <t>BRI Launch DblCare3 TV Prompter 43" SRI WAHYUNI NAWI</t>
  </si>
  <si>
    <t>BRI FGD Bali      005484 Mobil 15OctBPW SAHADEWA BASUN</t>
  </si>
  <si>
    <t>TSel KrmSimCardCor1692 CGK-FaveGatsuVICTORY GLOBAL MAN</t>
  </si>
  <si>
    <t>Tsel FrmGood2GreatSPJ 1D 18Jun      MARIA PATRICIA SUG</t>
  </si>
  <si>
    <t>BRI PresConLebaranPO Fee            MARIA PATRICIA SUG</t>
  </si>
  <si>
    <t>BRI Launch DblCareFee Pinner 9Jun   THOMAS CHRISTYAWAN</t>
  </si>
  <si>
    <t>BRI Launch DblCareFee Pinner YohChriREGINA NULIADY</t>
  </si>
  <si>
    <t>BRI Transport 3   1693 Alphard 4D   VICTORY GLOBAL MAN</t>
  </si>
  <si>
    <t>BRI Transport     1682-83 Alphard 6DVICTORY GLOBAL MAN</t>
  </si>
  <si>
    <t>Reimburse KasKecilMEERY ADRIAN</t>
  </si>
  <si>
    <t>TSel PilkadaRacingTU LinkAja AlfianDYOGI PURWO WIDODO</t>
  </si>
  <si>
    <t>TSel PilkadaRacingHASNA ANDIANI H</t>
  </si>
  <si>
    <t>TSel PilkadaRacingBeli Air Purifier PARULIAN LUMMY SIT</t>
  </si>
  <si>
    <t>TSel MICEInnoXtionTrainingPubSpeakinARGA BANGUN BANGSA</t>
  </si>
  <si>
    <t>BRI LaunchDblCare SoundS+Band+Light RISYAD FAUZIE</t>
  </si>
  <si>
    <t>BRI Investor UME  3 MultiCam 16Jun  BAMBANG SUBARI</t>
  </si>
  <si>
    <t>Overtime Jun      SUKANDA</t>
  </si>
  <si>
    <t>Overtime Jun      MUHAMMAD UJER AWAL</t>
  </si>
  <si>
    <t>Overtime Jun      SUPRIYADI</t>
  </si>
  <si>
    <t>BRI Investor UME  Fee PIC Streaming ALEXADRUS NULIADY</t>
  </si>
  <si>
    <t>BRI Investor UME  Fee PIC Streaming PRAJA SAPUTRA S</t>
  </si>
  <si>
    <t>BRI Launch DblCareSofa CTable Meja  SAEPIH</t>
  </si>
  <si>
    <t>BRI Launch DblCare7 Laptop Core i7  MARBANGUN WIDAKDO</t>
  </si>
  <si>
    <t>CA-16/21 Analita  ANALITA YULISTYA C</t>
  </si>
  <si>
    <t>Mdr Aks Vak Nas   Fee MC            DEWI NOOR KUMALASA</t>
  </si>
  <si>
    <t>TSel BestAgentCES 21 Hadiah InjectLAYOGI PURWO WIDODO</t>
  </si>
  <si>
    <t>BRI KunKer DPR BdgSewa 3Laptop i7   MARBANGUN WIDAKDO</t>
  </si>
  <si>
    <t>BRI KunKer DPR BdgSewa Audo Equip   ADHI SETYO NUGROHO</t>
  </si>
  <si>
    <t>CA-018/21 Analita ANALITA YULISTYA C</t>
  </si>
  <si>
    <t>BNI SigningCeremonFee MC + PCR      DEWI NOOR KUMALASA</t>
  </si>
  <si>
    <t>BRI RUPS LB Jul   DP Produksi       BAMBANG SUPRIYANTO</t>
  </si>
  <si>
    <t>BRI RUPS LB Jul   DP Produksi       IBNU CHUZAYMAH</t>
  </si>
  <si>
    <t>TEO BENG LEEPhotocopy Juni    Panconvince       12161848</t>
  </si>
  <si>
    <t>BRI RUPS LB Jul   DP Streaming      FAJAR FERYANSYAH</t>
  </si>
  <si>
    <t>Reimb Kas Kecil   MEERY ADRIA</t>
  </si>
  <si>
    <t>TELKOM DIVRE302183700934     07RD HIDIANITJE DRA</t>
  </si>
  <si>
    <t>Internet Juli     Panconvince       MORA TELEMATIKA IN</t>
  </si>
  <si>
    <t>10102012104836    B2850SOO 21/22    JOBAKA JASAPRATAMA</t>
  </si>
  <si>
    <t>CA 016 / 2021     MEERY ADRIAN</t>
  </si>
  <si>
    <t>CA 018 / 2021     MEERY ADRIAN</t>
  </si>
  <si>
    <t>LAPORAN CA NO 015 TH 2021           YOGI PURWO WIDODO</t>
  </si>
  <si>
    <t>CA-20/21 Yogi     YOGI PURWO WIDODO</t>
  </si>
  <si>
    <t>TSel BestAgentCES 63 LinkAja ESEM   YOGI PURWO WIDODO</t>
  </si>
  <si>
    <t>TSel Onboarding   Tagihan Kartu HaloYOGI PURWO WIDODO</t>
  </si>
  <si>
    <t>BTN RUPST         Zoom Pro 4 Akun   RD HIDIANITJE DRA</t>
  </si>
  <si>
    <t>Mdr AkselerasiVaksSPJ PIC 2D        DEDI PURWANTO SE</t>
  </si>
  <si>
    <t>Mdr AkselerasiVaksSPJ PIC 2Days     DEKA BAHANA</t>
  </si>
  <si>
    <t>Mdr AkselerasiVaksSPJ PIC 2Days     PRAJA SAPUTRA S</t>
  </si>
  <si>
    <t>Mdr AkselerasiVaksFee Runner 2Days  HARIYANTO</t>
  </si>
  <si>
    <t>BNI SigningCeremonSPJ PIC 2Days     DEDI PURWANTO SE</t>
  </si>
  <si>
    <t>BNI SigningCeremonSPJ PIC 2Days     DEKA BAHANA</t>
  </si>
  <si>
    <t>BNI SigningCeremonSPJ PIC 2Days     ANALITA YULISTYA C</t>
  </si>
  <si>
    <t>BNI SigningCeremonSPJ PIC 2Days     ALEXADRUS NULIADY</t>
  </si>
  <si>
    <t>BNI SigningCeremonSPJ PIC 2Days     PRAJA SAPUTRA S</t>
  </si>
  <si>
    <t>BRI Investor UME  3Laptop i7 3Days  MARBANGUN WIDAKDO</t>
  </si>
  <si>
    <t>UangDuka Ayah IyanJANUAR CAHYO SURYA</t>
  </si>
  <si>
    <t>Salary PCMI Jul   DAVID HARSAMTO</t>
  </si>
  <si>
    <t>BRI FGD LintasKemePouch+Sanitizer   RD HIDIANITJE DRA</t>
  </si>
  <si>
    <t>BNI SigningCeremonGreenScreenToped  AHMAD WIDYA NUGRAH</t>
  </si>
  <si>
    <t>BNI SigningCeremonFee Design        FABIO KRISNAWANSYA</t>
  </si>
  <si>
    <t>Fee GakerTotemMdr FABIO KRISNAWANSYA</t>
  </si>
  <si>
    <t>BRI RUPS LB Jul   Fee Gaker FA Load FABIO KRISNAWANSYA</t>
  </si>
  <si>
    <t>BRI RUPS LB Jul   SPJ PIC 2Days     DEDI PURWANTO SE</t>
  </si>
  <si>
    <t>BRI RUPS LB Jul   SPJ PIC 2 Days    DEKA BAHANA</t>
  </si>
  <si>
    <t>BRI RUPS LB Jul   SPJ PIC 2Days     ALEXADRUS NULIADY</t>
  </si>
  <si>
    <t>BRI RUPS LB Jul   SPJ PIC 2Days     PRAJA SAPUTRA S</t>
  </si>
  <si>
    <t>BRI RUPS LB Jul   SPJ PIC 2 Days    MARIA PATRICIA SUG</t>
  </si>
  <si>
    <t>BRI RUPS LB Jul   SPJ PIC 2Days     JANUAR CAHYO SURYA</t>
  </si>
  <si>
    <t>BRI RUPS LB Jul   SPJ PIC 2 Days    FRIDA ACHMADI</t>
  </si>
  <si>
    <t>BRI RUPS LB Jul   SPJ PIC 2 Days    SUTARNO</t>
  </si>
  <si>
    <t>BRI RUPS LB Jul   Fee 15 Crew 2D    MOCH SUPRIYADI</t>
  </si>
  <si>
    <t>BRI RUPS LB Jul   Refill Toner PrintSUPARWONO</t>
  </si>
  <si>
    <t>AR StafLoan Ujer  DAVID HARSAMTO</t>
  </si>
  <si>
    <t>BRI RUPLS LB Jul  Req Cash P Adri   MEERY ADRIAN</t>
  </si>
  <si>
    <t xml:space="preserve">BUNGA </t>
  </si>
  <si>
    <t>TSel Odading                            
MCM Outw CN  Andri</t>
  </si>
  <si>
    <t xml:space="preserve">Clearing Fee         TSel Odading       
Clearing Fee  </t>
  </si>
  <si>
    <t xml:space="preserve">Transfer Fee         Pin Buk BCA        
  </t>
  </si>
  <si>
    <t xml:space="preserve">Clearing Fee         TSel Monetize Secto
Clearing Fee  </t>
  </si>
  <si>
    <t xml:space="preserve">PT TELEKOMUNIKASI SELULAR - 031         </t>
  </si>
  <si>
    <t xml:space="preserve">MEERY ADRIAN - 014                      </t>
  </si>
  <si>
    <t>TRF DANA  Inward RTGS  PT PAN CONVINCE MITRA INTERNATIONALPT. BANK TABUNGAN NEGARA (PERSERO), TBK</t>
  </si>
  <si>
    <t>THR PCMI 2021    MCM Outw CN  David Harsamto</t>
  </si>
  <si>
    <t xml:space="preserve">Clearing Fee         THR PCMI 2021     Clearing Fee  </t>
  </si>
  <si>
    <t>TSel KrmSimCardCorp   MCM Outw CN  Sdri Anis Marcela</t>
  </si>
  <si>
    <t>TSel Sos NewFiturMyE   MCM Outw CN  Sdri Anis Marcela</t>
  </si>
  <si>
    <t xml:space="preserve">Clearing Fee         TSel Sos NewFiturMyClearing Fee  </t>
  </si>
  <si>
    <t>TSel Monetize Sector      MCM Outw CN  Azis Cahyono</t>
  </si>
  <si>
    <t xml:space="preserve">Clearing Fee         TSel Monetize SectoClearing Fee  </t>
  </si>
  <si>
    <t>TSel KrmSimCardCorp     MCM Outw CN  Sdri Aisa Indra Wahyuni</t>
  </si>
  <si>
    <t>BTN RUPST MCM InhouseTrf  KE IBNU CHUZAYMAH</t>
  </si>
  <si>
    <t>BTN RUPST   MCM Outw CN  Hartono</t>
  </si>
  <si>
    <t xml:space="preserve">Clearing Fee         BTN RUPST      Clearing Fee  </t>
  </si>
  <si>
    <t xml:space="preserve">  BRI FGD Lintas Kemen  MCM Outw CN  Puncak Lembah Hijau QQ Brilian Caf¿ PT</t>
  </si>
  <si>
    <t xml:space="preserve">Clearing Fee         BRI FGD Lintas KemeClearing Fee  </t>
  </si>
  <si>
    <t>TSel FromGoodToGreat     MCM Outw CN  Gabriella Frandita Dien</t>
  </si>
  <si>
    <t>TSel Monetize Sector       MCM Outw CN  Gilang Prasada Putra</t>
  </si>
  <si>
    <t xml:space="preserve">Clearing Fee         TSel FromGoodToGreaClearing Fee  </t>
  </si>
  <si>
    <t>TSel FromGoodtoGreat        MCM Outw CN  Gabriella Frandita Dien</t>
  </si>
  <si>
    <t xml:space="preserve">Clearing Fee         TSel FromGoodtoGreaClearing Fee  </t>
  </si>
  <si>
    <t>BRI Hampers PemRed     4199068976/OI36000896848066</t>
  </si>
  <si>
    <t xml:space="preserve">Transfer Fee         BRI Hampers PemRed </t>
  </si>
  <si>
    <t>TSel KrmSimCardCorp   MCM Outw CN  Nanang Adhadi Yuda</t>
  </si>
  <si>
    <t xml:space="preserve">BY REF BANK TGL 5/4          Biaya rupa2  </t>
  </si>
  <si>
    <t>Listrik Mei    MCM InhouseTrf  KE PANTRAVEL</t>
  </si>
  <si>
    <t>Konstr Build Mgt Mei      MCM InhouseTrf  KE PANTRAVEL</t>
  </si>
  <si>
    <t>TSel KrmSimCardCorp    MCM Outw CN  Sdr Simon Joko Wibowo</t>
  </si>
  <si>
    <t>Pin Buk BCA        5750489666/OI36000896919157</t>
  </si>
  <si>
    <t xml:space="preserve">Transfer Fee         Pin Buk BCA        </t>
  </si>
  <si>
    <t>Pin Buk BCA    5750489666/OI36000896919222</t>
  </si>
  <si>
    <t xml:space="preserve">Transfer Fee         Pin Buk BCA    </t>
  </si>
  <si>
    <t>TSel KrmSimCardCorp       MCM Outw CN  Meutia Farida</t>
  </si>
  <si>
    <t>TSel Odading     MCM Outw CN  Galuh Ela Dita Sari Anwar</t>
  </si>
  <si>
    <t xml:space="preserve">Clearing Fee         TSel Odading    Clearing Fee  </t>
  </si>
  <si>
    <t>TSel Pengadaan Vchr     MCM Outw CN  Sdri Siti Maratus Sholikhah</t>
  </si>
  <si>
    <t xml:space="preserve">Clearing Fee         TSel Pengadaan VchrClearing Fee  </t>
  </si>
  <si>
    <t>TSel Pengadaan Vchr        MCM Outw CN  Sdri Siti Maratus Sholikhah</t>
  </si>
  <si>
    <t>Pin Buk Mandiri    Inward RTGS  PAN CONVINCE MITRA IPT. BANK RAKYAT INDONESIA (PERSERO), TBK</t>
  </si>
  <si>
    <t>Mandiri Visa JT18May    MCM InhouseTrf  KE DAVID HARSAMTO</t>
  </si>
  <si>
    <t>Salary PCMI May    MCM Outw CN  David Harsamto</t>
  </si>
  <si>
    <t xml:space="preserve">Clearing Fee         Salary PCMI May   Clearing Fee  </t>
  </si>
  <si>
    <t>BRI Himbara PemRed     MCM InhouseTrf  KE FLYING VENES PERSADA</t>
  </si>
  <si>
    <t>BRI Peng Team Elang     MCM Outw CN  Alvin Antono</t>
  </si>
  <si>
    <t xml:space="preserve">Clearing Fee         BRI Peng Team ElangClearing Fee  </t>
  </si>
  <si>
    <t>TSel Monetize Sector      MCM Outw CN  Gilang Prasada Putra</t>
  </si>
  <si>
    <t>TSel InnoXtion    MCM Outw CN  Sdr Agung Handoko</t>
  </si>
  <si>
    <t xml:space="preserve">Clearing Fee         TSel InnoXtionClearing Fee  </t>
  </si>
  <si>
    <t>TSel InnoXtion    MCM Outw CN  Ilham Muhamad Lufi</t>
  </si>
  <si>
    <t xml:space="preserve">Clearing Fee         TSel InnoXtion  Clearing Fee  </t>
  </si>
  <si>
    <t>TSel InnoXtion     MCM InhouseTrf  KE ANANDA BUDI MULIA</t>
  </si>
  <si>
    <t>TSel InnoXtion     MCM Outw CN  Irawan</t>
  </si>
  <si>
    <t xml:space="preserve">Clearing Fee         TSel InnoXtion    Clearing Fee  </t>
  </si>
  <si>
    <t>TSel InnoXtion     MCM Outw CN  Yusuf Septiawan</t>
  </si>
  <si>
    <t xml:space="preserve">Clearing Fee         TSel InnoXtion   Clearing Fee  </t>
  </si>
  <si>
    <t>TSel InnoXtion     MCM InhouseTrf  KE SAIFUDDIN NOOR AFIFI</t>
  </si>
  <si>
    <t>TSel Monetize Sector  MCM Outw CN  Noldy Adrianus Paneo</t>
  </si>
  <si>
    <t>Pin Buk BCA       5750489666/OI36000897009662</t>
  </si>
  <si>
    <t>DBS Visa JT4Jun       MCM Outw CN  David Harsamto</t>
  </si>
  <si>
    <t xml:space="preserve">Clearing Fee         DBS Visa JT4Jun    \Clearing Fee  </t>
  </si>
  <si>
    <t>DBS Master JT4Jun  MCM Outw CN  David Harsamto</t>
  </si>
  <si>
    <t xml:space="preserve">Clearing Fee         DBS Master JT4Jun  Clearing Fee  </t>
  </si>
  <si>
    <t>Pin Buk BCA    5750489666/OI36000897081432</t>
  </si>
  <si>
    <t xml:space="preserve">REF BANK      Biaya rupa2  </t>
  </si>
  <si>
    <t>TSel From Good2Great   MCM Outw CN  Gabriella Frandita Dien</t>
  </si>
  <si>
    <t xml:space="preserve">Clearing Fee         TSel From Good2GreaClearing Fee  </t>
  </si>
  <si>
    <t>TSel Monetize Sector     MCM Outw CN  Sdri Uci Apria Sari</t>
  </si>
  <si>
    <t>TSel Pilkada Racing   MCM InhouseTrf  KE ANDI MARIO</t>
  </si>
  <si>
    <t>BRI Launch Dbl Care MCM InhouseTrf  KE AYU WULAN ANGGRENI</t>
  </si>
  <si>
    <t>TSel BestAgentCES     MCM InhouseTrf  KE AYU WULAN ANGGRENI</t>
  </si>
  <si>
    <t>Pajak Reklame 21/22   MCM InhouseTrf  KE PANTRAVEL</t>
  </si>
  <si>
    <t>Listrik June      MCM InhouseTrf  KE PANTRAVEL</t>
  </si>
  <si>
    <t>KontribusiGedung Jun   MCM InhouseTrf  KE PANTRAVEL</t>
  </si>
  <si>
    <t>TSel Monetize Sector    MCM Outw CN  Azis Cahyono</t>
  </si>
  <si>
    <t>TSel Monetize Sector  MCM Outw CN  Anggakara Dharmmika</t>
  </si>
  <si>
    <t>TSel MICE InnoXtion   MCM InhouseTrf  KE IDE DICONIC INDONESIA</t>
  </si>
  <si>
    <t>Clearing Fee         TSel Monetize Secto</t>
  </si>
  <si>
    <t>TSel Monetize Sector   MCM Outw CN  Gilang Prasada Putra</t>
  </si>
  <si>
    <t>TSel Monetize Sector     MCM Outw CN  Sdr Titus Siswandono</t>
  </si>
  <si>
    <t>TSel Best Agent CES    MCM Outw CN  Sdri Nova Ahirani Puteri</t>
  </si>
  <si>
    <t>Clearing Fee         TSel Best Agent CES</t>
  </si>
  <si>
    <t>BRI Pres Con Lebaran   MCM Outw CN  Alvin Antono</t>
  </si>
  <si>
    <t>Clearing Fee         BRI Pres Con Lebara</t>
  </si>
  <si>
    <t>TSel Monetize Sector      \MCM Outw CN  Moch Deo Saputra</t>
  </si>
  <si>
    <t>Salary PCMI Jun  MCM Outw CN  David Harsamto</t>
  </si>
  <si>
    <t xml:space="preserve">Clearing Fee         Salary PCMI Jun    </t>
  </si>
  <si>
    <t>Byr AP Loan HSBC   MCM Outw CN  Nurlaila Hutabarat</t>
  </si>
  <si>
    <t xml:space="preserve">Clearing Fee         Byr AP Loan HSBC   </t>
  </si>
  <si>
    <t>DBS Visa JT-6Jul       Online Trf  259501 1701932627Transfer Fee         DBS Visa JT-6Jul</t>
  </si>
  <si>
    <t>Transfer Fee         DBS Visa JT-6Jul   Transfer Fee</t>
  </si>
  <si>
    <t>DBS Master JT-6Jul   Online Trf  259503 1701932627Transfer Fee         DBS Master JT-6Jul</t>
  </si>
  <si>
    <t xml:space="preserve">Transfer Fee         DBS Master JT-6Jul </t>
  </si>
  <si>
    <t>Citibank Visa JT6Jul     MCM Outw CN  David Harsamto</t>
  </si>
  <si>
    <t xml:space="preserve">Clearing Fee         Citibank Visa JT6Ju  </t>
  </si>
  <si>
    <t>TSel Monetize Sector  MCM Outw CN  Gilang Prasada Putra</t>
  </si>
  <si>
    <t xml:space="preserve">Clearing Fee         TSel Monetize Secto  </t>
  </si>
  <si>
    <t>TSel MICE InnoXtion MCM Outw CN  Bpk Kenneth</t>
  </si>
  <si>
    <t>Clearing Fee         TSel MICE InnoXtion</t>
  </si>
  <si>
    <t>TSel Monetize Sector    MCM Outw CN  Ferdian Ramadhan Suria</t>
  </si>
  <si>
    <t>BRI RUPS LB   MCM Outw CN  Banu Kreatif Indonesia PT</t>
  </si>
  <si>
    <t xml:space="preserve">Clearing Fee         BRI RUPS LB        </t>
  </si>
  <si>
    <t>Cetak Buku Legalitas    MCM InhouseTrf  KE SUTARNO</t>
  </si>
  <si>
    <t>TSel Pilkada Racing    MCM InhouseTrf  KE ANDI MARIO</t>
  </si>
  <si>
    <t>Listrik Juli     MCM InhouseTrf  KE PANTRAVEL</t>
  </si>
  <si>
    <t>Kons Gedung Jul      MCM InhouseTrf  KE PANTRAVEL</t>
  </si>
  <si>
    <t>Dipinjam PCMI     MCM InhouseTrf  DARI DAVID HARSAMTO</t>
  </si>
  <si>
    <t>CA-019/21 Merry   MCM Outw CN  Meery Adrian</t>
  </si>
  <si>
    <t xml:space="preserve">Clearing Fee         CA-019/21 Merry     </t>
  </si>
  <si>
    <t>Byr AP Loan 22Jul    MCM InhouseTrf  KE DAVID HARSAMTO</t>
  </si>
  <si>
    <t>Mandiri Visa JT18Jul  MCM InhouseTrf  KE DAVID HARSAMTO</t>
  </si>
  <si>
    <t>Salary PCMI Jul    MCM Outw CN  David Harsamto</t>
  </si>
  <si>
    <t>Clearing Fee         Salary PCMI Jul</t>
  </si>
  <si>
    <t>Dipinjam PCMI    MCM InhouseTrf  DARI DAVID HARSAMTO</t>
  </si>
  <si>
    <t>Pin Buk BRI      MCM Outw CN  PT Pan Convince Mitra International</t>
  </si>
  <si>
    <t xml:space="preserve">Clearing Fee         Pin Buk BRI   </t>
  </si>
  <si>
    <t xml:space="preserve">Biaya Saldo Min  </t>
  </si>
  <si>
    <t>Fee SINGLE CN BRI CMS 3548175  T:0374628:CMS</t>
  </si>
  <si>
    <t xml:space="preserve">557 CSM Kunker Stakeholder Banten  </t>
  </si>
  <si>
    <t>Fee SINGLE CN BRI CMS 3627820  T:0374633:CMS</t>
  </si>
  <si>
    <t>TSel Monetize Sector Prepaid Card T:0374655:CMS</t>
  </si>
  <si>
    <t>BRI RUPSLB Antigen Crew T:0374656:CMS</t>
  </si>
  <si>
    <t>BRI Peng Team Elang Antigen Lita T:0374654:CMS</t>
  </si>
  <si>
    <t>BRI PresConLebaran Dekor Taman T:0374654:CMS</t>
  </si>
  <si>
    <t>Fee SINGLE CN BRI CMS 3622078  T:0374629:CMS</t>
  </si>
  <si>
    <t>Fee SINGLE RTGS BRI CMS 1536872  T:0374635:CMS</t>
  </si>
  <si>
    <t>Fee SINGLE RTGS BRI CMS 1536873  T:0374628:CMS</t>
  </si>
  <si>
    <t>Pin Buk BCA  T:0374625:CMS</t>
  </si>
  <si>
    <t>Pin Buk Mandiri  T:0374623:CMS</t>
  </si>
  <si>
    <t>BRI LintasKemen - Add Catering T:0374620:CMS</t>
  </si>
  <si>
    <t>BRI PengTeamElang DekorTaman T:0374604:CMS</t>
  </si>
  <si>
    <t>Abonemen 052021 CMS PAN CONVINCE MI T:0374891:CMS</t>
  </si>
  <si>
    <t xml:space="preserve">162 031 PCMI AR V 2021  </t>
  </si>
  <si>
    <t xml:space="preserve">841 COM MED HImbara Media  </t>
  </si>
  <si>
    <t>Fee SINGLE CN BRI CMS 3742155  T:0374612:CMS</t>
  </si>
  <si>
    <t xml:space="preserve">Byr AP Loan HSBC </t>
  </si>
  <si>
    <t xml:space="preserve">839 COM MED Pmsnan Pngrman Hampers Wrtwn  </t>
  </si>
  <si>
    <t xml:space="preserve">835 COM MED Rapat Bersama BRI Group  </t>
  </si>
  <si>
    <t xml:space="preserve">837 COM MED Pmsnn Pngrimn Hampers Pemred  </t>
  </si>
  <si>
    <t>BRI FGD LintasKemen DekorTamanBRIliant C T:0374611:CMS</t>
  </si>
  <si>
    <t>BRI KunKer DPR Bdg - SwanAntigen T:0374633:CMS</t>
  </si>
  <si>
    <t>Abonemen 062021 CMS PAN CONVINCE MI T:0374891:CMS</t>
  </si>
  <si>
    <t xml:space="preserve">539 CSM Kgiatan di Vaksin Istora Senayan  </t>
  </si>
  <si>
    <t>Fee SINGLE CN BRI CMS 3646736  T:0374640:CMS</t>
  </si>
  <si>
    <t xml:space="preserve">PAN CONVINCE MITRA INTERNATIONAL-BANK MA  </t>
  </si>
  <si>
    <t>Fee SINGLE CN BRI CMS 3813554  T:0374648:CMS</t>
  </si>
  <si>
    <t>BRI RUPS LB Jul - Tenda T:0374634:CMS</t>
  </si>
  <si>
    <t>Abonemen 072021 CMS PAN CONVINCE MI T:0374891:CMS</t>
  </si>
  <si>
    <t xml:space="preserve">941 COM MED Keg Lap Keu BRI TW 1 Analyst  </t>
  </si>
  <si>
    <t>Fee SINGLE CN BRI CMS 3804259  T:0374626:CMS</t>
  </si>
  <si>
    <t xml:space="preserve">Tel CIMA SCS Training Agustus 202 </t>
  </si>
  <si>
    <t>Fee SINGLE CN BRI CMS 3804245  T:0374632:CMS</t>
  </si>
  <si>
    <t xml:space="preserve">Tsel CIMA Workshop sttrategy business </t>
  </si>
  <si>
    <t>BRI KunKer DPR Bdg - Dekor Taman T:0374618:CMS</t>
  </si>
  <si>
    <t>Fee SINGLE CN BRI CMS 3790588  T:0374638:CMS</t>
  </si>
  <si>
    <t xml:space="preserve">230 047 PCMI AR VII 2021  </t>
  </si>
  <si>
    <t>BRI Launch DblCare Dekor Taman 9Jun T:0374627:CMS</t>
  </si>
  <si>
    <t>TSel MICE InnoXition Plth PerlindunganDP T:0374635:CMS</t>
  </si>
  <si>
    <t xml:space="preserve">879 CSM COM Project Cyperus Int. UMi  </t>
  </si>
  <si>
    <t>TSel MICE InnoXition Pelatihan 13Org T:0374646:CMS</t>
  </si>
  <si>
    <t>Fee SINGLE CN BRI CMS 3752900  T:0374600:CMS</t>
  </si>
  <si>
    <t>BRI FGD Ayana 1 Antigen 46 Org T:0374626:CMS</t>
  </si>
  <si>
    <t xml:space="preserve">WMG 8C BRI Life Double Care  </t>
  </si>
  <si>
    <t>FEE OUR BRIUker#033505000848691 6 PERSON CIMA EXAM T:0301891:BRIFASTCORE</t>
  </si>
  <si>
    <t>FEE BRIUker#033505000848691 6 PERSON CIMA EXAM T:0335060:BRIFASTCORE</t>
  </si>
  <si>
    <t>BRIUker#033505000848691 6 PERSON CIMA EXAM T:0301891:BRIFASTCORE</t>
  </si>
  <si>
    <t>Reimb.Ongkir Orbit an. Ferdian Ramadhan Suria, 14/5/21(+trf fee )</t>
  </si>
  <si>
    <t>Aqua galon 28/4-11/5/21 , 5 galon @ Rp 19.000,-</t>
  </si>
  <si>
    <t>Hand wash cair , 27/4/21</t>
  </si>
  <si>
    <t xml:space="preserve">Kotak plastik u/ tempat tissue dll , 100 pcs , 10/5/21 </t>
  </si>
  <si>
    <t xml:space="preserve">Takjil  12 bungkus , PCMI 27/4/21 </t>
  </si>
  <si>
    <t>Jilid Laporan Kegiatan FGD Ayana , 5/5/21</t>
  </si>
  <si>
    <t>BRI FGD Ayana 4</t>
  </si>
  <si>
    <t>Amplop folio coklat,  2 pak , 4/5/21</t>
  </si>
  <si>
    <t>Biaya RTGS Pemindahbukuan dr BTN ke BCA &amp; Mandiri , 10/5/21 , @ Rp 30.000,-</t>
  </si>
  <si>
    <t>Reimb. Yogi - Meals team selama event 1 &amp; 6 Apr'21</t>
  </si>
  <si>
    <t>B 114 NNE - Top up Toll  , 7/5/21</t>
  </si>
  <si>
    <t>Gosend Form Pemindahan Dana BTN ke Serena Hill,u/ ditandatangani ,  7/5/21</t>
  </si>
  <si>
    <t>B 2850 SOO - Ops 23/4/21 - 6/5/21</t>
  </si>
  <si>
    <t>B 2351 SKF - Ops 16/4/21 - 6/5/21</t>
  </si>
  <si>
    <t>B 114 NNE - Top up Toll  , 20/5/21</t>
  </si>
  <si>
    <t>B 2850 SOO - Ops 10/5/21-17/5/21</t>
  </si>
  <si>
    <t>Meutia Telkomsel - Reimburse ATK &amp; Ops Sulawesi &amp; Kalimantan , Feb-Mar'21</t>
  </si>
  <si>
    <t>Dhea - Fee Crew Logistik , 11/5/21</t>
  </si>
  <si>
    <t>Nova - Fee Crew Logistik , 11/5/21+trf fee dr BCA-BRI Syariah</t>
  </si>
  <si>
    <t>Deka - Fee PIC , 11/5/21</t>
  </si>
  <si>
    <t>Pnbyrn Kartu HALO no. 08118171717 , 24/5/21</t>
  </si>
  <si>
    <t>Pmbyrn Kartu XL pasca byr no. 0817171700 , 24/5/21</t>
  </si>
  <si>
    <t>Medical Sutarno , 20/5/21</t>
  </si>
  <si>
    <t>Service AC di ruangan Yogi + ganti kapasitor outdoor&amp;kompresor , 24/5/21</t>
  </si>
  <si>
    <t>SPJ Supriyadi , 3 Mei '21</t>
  </si>
  <si>
    <t>Meals bu AH di kantor , 24/5/21 -  9/6/21</t>
  </si>
  <si>
    <t>B 2850 SOO - Ops 18/5/21-25/5/21</t>
  </si>
  <si>
    <t>B 2351 SKF - Ops 7/5/21-28/5/21</t>
  </si>
  <si>
    <t>Medical Muh. Ujer , 29/5/21</t>
  </si>
  <si>
    <t>B 114 NNE - E Toll , 01/06/21 , 9/6/21</t>
  </si>
  <si>
    <t>B 114 NNE - Parkir2 Apr &amp; Mei 2021</t>
  </si>
  <si>
    <t>Praja - Ops - Bensin motor 11/5/2021</t>
  </si>
  <si>
    <t>Praja - Ops - Tol Sunter, Kapuk, Cengkareng, Parkir Term 3 , 26/5/2021</t>
  </si>
  <si>
    <t>Praja - Ops ( Parkir + bensin ) beli hardisk u/ BRI di Harco Mangga 2 , 8/5/2021</t>
  </si>
  <si>
    <t>Tissue u/ toilet llt. 2 , 4/6/21</t>
  </si>
  <si>
    <t>Koyo Salonpas bu AH , 3/6/21</t>
  </si>
  <si>
    <t>Materai 20 lbr @ Rp 10,000,-, 8/6/21</t>
  </si>
  <si>
    <t>Aqua galon PCMI 19/5/21-8/6/21 ( 9 galon @ Rp 19,000,- )</t>
  </si>
  <si>
    <t>Aqua 600 ml 2 dus bu AH , 17/5/21&amp;4/6/21 @ Rp 45,000,-</t>
  </si>
  <si>
    <t>Amplop coklat u/ t4 uang, 7/6/21</t>
  </si>
  <si>
    <t>Yogi - Reimb Starbucks u/ Syahran Mustafa , 9/6/21</t>
  </si>
  <si>
    <t>Biaya RTGS pemindahbukuan dr BTN ke BCA , 16/6/21 , @ Rp 30.000,-</t>
  </si>
  <si>
    <t>Beli obat Degirol tablet &amp; FG Troches, eq. pak DH , 18/6/21</t>
  </si>
  <si>
    <t>Lunch bu AH , 14/6/21 , 5/6/21</t>
  </si>
  <si>
    <t>Beli Trigonal clip 1 pak , 16/6/21</t>
  </si>
  <si>
    <t>Beli sarung tangan plastik ,di Apotik Century 9/3/21</t>
  </si>
  <si>
    <t>Beli baterai A3 1 plastik isi 3 di Alfa PSPT Tebet, 14/6/21</t>
  </si>
  <si>
    <t>Refill toner HP printer Patricia , 15/6/21</t>
  </si>
  <si>
    <t>Ribbon Epson Printer PV Admin , 17/6/21</t>
  </si>
  <si>
    <t>B 114 NNE- E Toll 17/6/21</t>
  </si>
  <si>
    <t>B 2850 SOO - Operasional (toll/parkir) JKT-BDO , 9-11/6/21</t>
  </si>
  <si>
    <t>B 2850 SOO - Operasional JKT 29/5/21- 17/6/21</t>
  </si>
  <si>
    <t>Praja- Bensin motor , 9/6/21</t>
  </si>
  <si>
    <t>Praja - Parkir motor di BRI , 9/6/21 , 05.58-19.57 wib</t>
  </si>
  <si>
    <t>Praja- Lakban hitam2 2 Rp 15.000,- di Alfamidi ,16/6/21</t>
  </si>
  <si>
    <t>Praja -Aqua 750 ml 5 botol @ Rp 6.700,- di Alfamidi , 16/6/21</t>
  </si>
  <si>
    <t>Sewa motor massanger bln Mei 2021</t>
  </si>
  <si>
    <t>Ops Massanger ( BBM &amp; parkir ), bln Mei 2021</t>
  </si>
  <si>
    <t>B 2351 SKF - Ops 28/5/21 - 18/6/21</t>
  </si>
  <si>
    <t>PV 16214 - SPJ Dhea - airport handling ( 4 jam ) , 27/5/21</t>
  </si>
  <si>
    <t>Medical Sutarno ( pemeriksaan+obat ), 21/6/21</t>
  </si>
  <si>
    <t>Beli sendok bening,piring plastik, box plastik -acara ultah bu AH, 21/6/21</t>
  </si>
  <si>
    <t>PV 16327 -  SPJ M.Ujer , 9/6/21</t>
  </si>
  <si>
    <t>PV 16328 - SPJ Supriyadi , 9/6/21</t>
  </si>
  <si>
    <t>PV 16217 - SPJ Praja , 27/5/21 - Airport handling keberangkatan (lbh dr 4 jam )- Antigen, lunch, departure</t>
  </si>
  <si>
    <t>PV 16235 - SPJ Praja , 29/5/21 - Airport handling kepulangan (kurang dr 4 jam )</t>
  </si>
  <si>
    <t>PV 16215 - SPJ Analita , 27/5/21 -Airport handling keberangkatan (lbh dr 4 jam ) - Antigen, lunch, departure</t>
  </si>
  <si>
    <t>PV 16216 - SPJ Alex , 27/5/21 - Airport handling keberangkatan ( lbh dr 4 jam ) - Antigen, Lunch, Departure</t>
  </si>
  <si>
    <t>PV 16326 - SPJ Nova, 9/6/21</t>
  </si>
  <si>
    <t>PV 16318 - Reimb.bu FB - pembelian snack, buah , sarapan team ,9/6/21 di Indomaret</t>
  </si>
  <si>
    <t>PV 16303 - Reimb Breakfast meeting SAT , I Gusti Gde , 9/6/21 ( LinkAja )</t>
  </si>
  <si>
    <t>PV 16351 - Reimb. Loyalti pak IU &amp; pak Yusron , 11/6/21 ( BNI)</t>
  </si>
  <si>
    <t>Kartu HALO 08118171717 - JT 10/7/21</t>
  </si>
  <si>
    <t>XL Pasca 0817171700 - paid 3/7/21</t>
  </si>
  <si>
    <t>Materai 20 lbr @ Rp 10,000,-, 30/6/21</t>
  </si>
  <si>
    <t>SPJ pak Yadi , 16 &amp; 17 Jun'21</t>
  </si>
  <si>
    <t>PV 16329 - Praja -  Fee PIC Streaming , 2/6/21</t>
  </si>
  <si>
    <t>PV 16330 - Analita - Fee PIC Streaming, 2/6/21</t>
  </si>
  <si>
    <t>PV 16331 - Deka - Fee PIC Streaming , 2/6/21</t>
  </si>
  <si>
    <t>PV 16465 - Uci Apria Sari -Reimb 500 kartu SAT, 30/6/21+trf fee ke BNI</t>
  </si>
  <si>
    <t>PV 16466 - Gilang Putra - Reimb print fotocopy+ trf fee ke LinkAja</t>
  </si>
  <si>
    <t>B 114 NNE - E Toll , 11/7/21</t>
  </si>
  <si>
    <t>Jaminan Penawaran BRI RUPS - Premi + biaya polis + materai</t>
  </si>
  <si>
    <t>Jaminan Pelaksanaan BRI RUPS - Premi + biaya polis + materai</t>
  </si>
  <si>
    <t>Januar - Reimburse`meals Sabtu / Minggu 3 &amp; 4 Juli'21 ( design BRI/Mandiri )</t>
  </si>
  <si>
    <t>Januar - Reimburse`meals Sabtu 10 Juli'21 (design BRI/Mandiri )</t>
  </si>
  <si>
    <t>Januar + Odhey - Reimburse meals Minggu 11/7/21 ( BRI/Mandiri )</t>
  </si>
  <si>
    <t xml:space="preserve">Januar - Cetak cue card , Mandiri </t>
  </si>
  <si>
    <t>Mandiri Akselerasi Vaksinasi Nasional</t>
  </si>
  <si>
    <t>Materai 25 lbr`@ Rp 10.000,-</t>
  </si>
  <si>
    <t>PV 16334 - Deka - PIC , 9 Jun'21</t>
  </si>
  <si>
    <t>PV 16468 - Dhea - Runner snack &amp; lunch box , 37 lokasi , 30/6/21</t>
  </si>
  <si>
    <t>PV 16469 - Nova - Runner snack &amp; lunch box, 37 lokasi, 30/6/21</t>
  </si>
  <si>
    <t>PV 16540 - Supriyadi driver - SPJ 12 &amp; 13 Juli 2021</t>
  </si>
  <si>
    <t>PV 16547 - Supriyadi driver - SPJ 15 &amp; 16 Juli 2021</t>
  </si>
  <si>
    <t>BNI Signing Ceremony</t>
  </si>
  <si>
    <t>XL Pasca Bayar 0817171700 JT 27/7/21</t>
  </si>
  <si>
    <t>Aqua2 galon PCMI , 14 &amp; 15/7/21</t>
  </si>
  <si>
    <t>Aqua 600 ml 2 dus u/ di ruangan bu AH ,22/7/21</t>
  </si>
  <si>
    <t>Lunch bu AH  di kantor , 29/6/21</t>
  </si>
  <si>
    <t>Aqua galon 14/6/2/6/21, 5 galon @ Rp 19,000,-</t>
  </si>
  <si>
    <t>Aqua 600 ml 1 dus bu AH , 21/6/21</t>
  </si>
  <si>
    <t>Kamfer , handwash ( toiletries ) 21/6/21</t>
  </si>
  <si>
    <t>Tissue roll dll toiletries , 26/7/21</t>
  </si>
  <si>
    <t>Bendera Merah Putih 1 + 2 Umbul2  u/ Gedung Pantravel , 23/7/21</t>
  </si>
  <si>
    <t>Swab antigen Adun, 1/7/21 &amp; 26/7/21 @ Rp 140,000,-</t>
  </si>
  <si>
    <t>Sutarno Titing - Medical 13/7/21</t>
  </si>
  <si>
    <t>Sewa motor massanger, Jun'21</t>
  </si>
  <si>
    <t>Ops massanger ( Bensin +Parkir motor ) Jun'21</t>
  </si>
  <si>
    <t>B 2850 SOO - Ops 24/6/21-22/7/21</t>
  </si>
  <si>
    <t>Transport Mery - PCMI-Mandiri Mid Plaza-PCMI , 26/7/21- Urus pmbyrn Telkomsel CIMA</t>
  </si>
  <si>
    <t>MANDIRI    TRANSFER VIA LLG  REF NO PPU :M3GQ  Cipta Konsultan In : Tsel Onboarding</t>
  </si>
  <si>
    <t>LINKAJA     0811852121 : Telkomsel Monetize Sector</t>
  </si>
  <si>
    <t>LINKAJA     0811540015 : Telkomsel from Good to Great 2021</t>
  </si>
  <si>
    <t>LINKAJA     081288085355 : Telkomsel Best Agent CES 2020</t>
  </si>
  <si>
    <t>LINKAJA     08118876727 : Telkomsel Best Agent CES 2020</t>
  </si>
  <si>
    <t>LINKAJA     0811939969 : Entertainment</t>
  </si>
  <si>
    <t>LINKAJA     08111006474 : Tsel Monetize Sector</t>
  </si>
  <si>
    <t>LINKAJA     081384202391 : Telkomsel Program Games Publishing</t>
  </si>
  <si>
    <t>LINKAJA     082122036978 : Telkomsel Program Games Publishing</t>
  </si>
  <si>
    <t>Pin Buk BCA   5750489666/OI36000896766611</t>
  </si>
  <si>
    <t>MCM InhouseTrf  DARI FLYING VENES PERSADA</t>
  </si>
  <si>
    <t>WWW.Grabtaxi.com. Jakarta</t>
  </si>
  <si>
    <t>Rolin Bakery-HO Jakarta Barat</t>
  </si>
  <si>
    <t>Paper clip Kota Kasablanka</t>
  </si>
  <si>
    <t>High Quality Jakarta Pusat</t>
  </si>
  <si>
    <t>TIKI JNE Jakarta Barat</t>
  </si>
  <si>
    <t>BTN to Mandiri</t>
  </si>
  <si>
    <t>Yadi</t>
  </si>
  <si>
    <t>CA Credit SPM 021/CSD/21 INV 014/PCMI/AR/IV</t>
  </si>
  <si>
    <t>Statement Stamp duty</t>
  </si>
  <si>
    <t>By Materai/JKK/ICEK</t>
  </si>
  <si>
    <t>CA Credit GL Debit - 025/CSD/100621. INV. 029/PCMI/AR/VI/21</t>
  </si>
  <si>
    <t>CA Cash Withdrawal  CK TO 39776 SUTARNO 0819-05646116</t>
  </si>
  <si>
    <t>Biaya Administrasi</t>
  </si>
  <si>
    <t>Statement Stamp Duty</t>
  </si>
  <si>
    <t xml:space="preserve">BNI DIV KMP - 009                       </t>
  </si>
  <si>
    <t xml:space="preserve">BNI DIVISI KMP - 009                    </t>
  </si>
  <si>
    <t xml:space="preserve">INV.050/PCMI/AR/IX/2021 - PELAKSANAAN EV
Kredit SAP  </t>
  </si>
  <si>
    <t xml:space="preserve">Clearing Fee         Pin Buk BRI        
Clearing Fee  </t>
  </si>
  <si>
    <t xml:space="preserve">Clearing Fee         BRI Cyperos Bali   
Clearing Fee  </t>
  </si>
  <si>
    <t>Transfer Fee         TSel Onboarding    
Transfer Fee</t>
  </si>
  <si>
    <t>Pin Buk BCA                             
  5750489666/OI36000899107321</t>
  </si>
  <si>
    <t>BRI SMESCO - Cushions T:0374634:CMS</t>
  </si>
  <si>
    <t>Abonemen 082021 CMS PAN CONVINCE MI T:0374891:CMS</t>
  </si>
  <si>
    <t>BRI RUPSLB Jul Dekor Taman T:0374666:CMS</t>
  </si>
  <si>
    <t>Fee SINGLE CN BRI CMS 3902758  T:0374632:CMS</t>
  </si>
  <si>
    <t>Fee SINGLE CN BRI CMS 3892462  T:0374630:CMS</t>
  </si>
  <si>
    <t xml:space="preserve">1024 COM EVT Keg Vaksin OJK Kemenkes  </t>
  </si>
  <si>
    <t>TSel InnoXtion Training CIA T:0374657:CMS</t>
  </si>
  <si>
    <t>ATMLTRBCA B9501 000797848 11250100025530 TRF PRIMA FROM RD HIDIANITJE DR</t>
  </si>
  <si>
    <t>Fee SINGLE CN BRI CMS 3856891  T:0374619:CMS</t>
  </si>
  <si>
    <t>BRI FGD Ayana 2 Antigen 54 Org T:0374669:CMS</t>
  </si>
  <si>
    <t>BRI FGD Ayana 3 Swab Crew T:0374668:CMS</t>
  </si>
  <si>
    <t>6032989914875566#000000435441#ATM #TRFLA TRF BERSAMA FROM PAN CONVINCE MIT LA   112501000255301ATM 6032989914875566</t>
  </si>
  <si>
    <t>Abonemen 092021 CMS PAN CONVINCE MI T:0374891:CMS</t>
  </si>
  <si>
    <t>BRI SMESCO Dekor taman T:0374647:CMS</t>
  </si>
  <si>
    <t>Fee SINGLE CN BRI CMS 3985566  T:0374612:CMS</t>
  </si>
  <si>
    <t>Mdr Launch Android EDC - Dekor T:0374654:CMS</t>
  </si>
  <si>
    <t>BRI SMESCO-Masker Kain Motif T:0374629:CMS</t>
  </si>
  <si>
    <t>4 Tumbler Starbucks Mkt T:0374639:CMS</t>
  </si>
  <si>
    <t>EDC  BAGIAN PROTOKOL TO PT PAN CONVINCE  FROM020601163332504 TO112501000255301EDC</t>
  </si>
  <si>
    <t>Fee SINGLE CN BRI CMS 4143775  T:0374662:CMS</t>
  </si>
  <si>
    <t>Fee SINGLE CN BRI CMS 4143768  T:0374617:CMS</t>
  </si>
  <si>
    <t xml:space="preserve">1355 CSM SPS SDGS Indonesia  </t>
  </si>
  <si>
    <t>Fee SINGLE CN BRI CMS 4139334  T:0374611:CMS</t>
  </si>
  <si>
    <t xml:space="preserve">061/PCMI/AR/X/2021 JASA LAUNCHING EDC AN
Kredit SAP  </t>
  </si>
  <si>
    <t>BRI AGRO-PT.BRI AGRONIAGA TBK-PEMBY JASA</t>
  </si>
  <si>
    <t>Fee SINGLE CN BRI CMS 4304415 ESB:T:0374601:CMS</t>
  </si>
  <si>
    <t>Pin Buk BCA ESB:T:0374602:CMS</t>
  </si>
  <si>
    <t>Abonemen 102021 CMS PAN CONVINCE MI T:0374891:CMS</t>
  </si>
  <si>
    <t>Abonemen 112021 CMS PAN CONVINCE MI T:0374891:CMS</t>
  </si>
  <si>
    <t>INDONESIA POWER-BANK BNI-PMT 342522</t>
  </si>
  <si>
    <t>Fee SINGLE CN BRI CMS 4287300 T:0374639:CMS</t>
  </si>
  <si>
    <t>BRI Transport Retur PPn WAPU T:0374661:CMS</t>
  </si>
  <si>
    <t>Fee SINGLE CN BRI CMS 4281406 T:0374662:CMS</t>
  </si>
  <si>
    <t>Pin Buk BCA</t>
  </si>
  <si>
    <t>Fee SINGLE CN BRI CMS 4261179 T:0374644:CMS</t>
  </si>
  <si>
    <t>Fee SINGLE CN BRI CMS 4249861 T:0374611:CMS</t>
  </si>
  <si>
    <t>Fee SINGLE RTGS BRI CMS 1675366 T:0374640:CMS</t>
  </si>
  <si>
    <t>Pin Buk Mandiri T:0374618:CMS</t>
  </si>
  <si>
    <t>1491 COM EVT Webinar FHBUMN</t>
  </si>
  <si>
    <t>BRI SouvenirDubai Teko Set T:0374605:CMS</t>
  </si>
  <si>
    <t>0229053 0931 Cr Many to many</t>
  </si>
  <si>
    <t>PV 16615 - Supriyadi - SPJ 21 &amp; 22 Jul'21</t>
  </si>
  <si>
    <t>PV 16616 - M. Ujer - SPJ 21 &amp; 22 Jul'21</t>
  </si>
  <si>
    <t>Reimb. Biaya materai dari BRI saat Trf pmbyrn Tsel CIMA , 28/7/21</t>
  </si>
  <si>
    <t>Reimb Yogi trf dr BCA ke BRI PCMI , 28/7/21</t>
  </si>
  <si>
    <t>Bu Frida - reimb. Mkn siang Hokben , bersm team, apprv bu AH 22/7/21</t>
  </si>
  <si>
    <t>B 2351 SKF - Ops 18/6/21 - 26/6/21 ( tol,parkir, cuci steam, tissue, shampo mobil, angin)</t>
  </si>
  <si>
    <t>Age - Reimb. Cetak /jilid / fotocopy proposal  BRI RUPSLB Juli 2021 , 7/7/21</t>
  </si>
  <si>
    <t xml:space="preserve">Alex- Reimburse cetak / jilid dokumentasi event Mandiri &amp;  BNI  ( 4 rangkap ) </t>
  </si>
  <si>
    <t>PV 16507 - Dhea - SPJ 9/7/21</t>
  </si>
  <si>
    <t>PV 16509 - Nova - SPJ 9/7/21 + Trf fee dr BCA ke BNI</t>
  </si>
  <si>
    <t>PV 16631 - Dhea - SPJ 27/7/21</t>
  </si>
  <si>
    <t>Pmbyrna Kartu HALO 08118171717 JT 10/8/21</t>
  </si>
  <si>
    <t>Kertas A4 5 Rim ( 1 box ) u/ PCMI, 3/8/21</t>
  </si>
  <si>
    <t>Materai 20 lbr @Rp 10.000,-  3/8/21</t>
  </si>
  <si>
    <t>B 2850 SOO - Ops 26/7/21-2/8/21</t>
  </si>
  <si>
    <t>Odhey&amp; Deka -  Reimb. Swab antigen  survey Mandiri , 2/8/21</t>
  </si>
  <si>
    <t xml:space="preserve">Yogi- Reimb. parkir di Tacobel 27/5/21 </t>
  </si>
  <si>
    <t>Yogi - Reimb. bensin opersional event 1/6/21 ( weekend )</t>
  </si>
  <si>
    <t>Yogi - Reimb. parkir valley di Plataran Menteng, 1/6/21</t>
  </si>
  <si>
    <t>Yogi - Reimb. bensin ops persiapan acara 14/6/21</t>
  </si>
  <si>
    <t>Yogi - Reimb.parkir Grand Indonesia, 11/6/21</t>
  </si>
  <si>
    <t>Yogi - Reimb. kopi , lembur urus merchandise, 13/6/21</t>
  </si>
  <si>
    <t>Yogi - Reimb.`parkir mobil Pondok Indah Mall 2 , 13/6/21</t>
  </si>
  <si>
    <t>Yogi - Reimb.bensin, PCMI-Grand Indonesia-PIM 2-Central Park-Ritz Carlton-PCMI (13&amp; 14Jun'21)</t>
  </si>
  <si>
    <t>Yogi - Reimb,pembelian Tom &amp; Jerry, 13/6/21</t>
  </si>
  <si>
    <t xml:space="preserve">Yogi- Reimb. parkir Pacific Place Jakarta, 13/6/21 </t>
  </si>
  <si>
    <t>Yogi - Reimb.parkir Benhil, 13/6/21</t>
  </si>
  <si>
    <t>Yogi - Reimb.meals team lembur urus merchandise , 13/6/21</t>
  </si>
  <si>
    <t>Yogi - Reimb.Pacific Place Jkt, 14/6/21</t>
  </si>
  <si>
    <t>PV 16694 - Supriyadi - SPJ 5 &amp; 6 Aug'21</t>
  </si>
  <si>
    <t>PV 16633 - Domain panconvince.com 17/12/2021-16/12/2022 (Inv 1838528 )- Rp 175,500+PPN10%</t>
  </si>
  <si>
    <t>Materai 20 lbr @ Rp 10,000,-, 12/8/21</t>
  </si>
  <si>
    <t>Kertas kado 3 lembar , di pasar Benhil , 6/8/21</t>
  </si>
  <si>
    <t>Print Cue Card  , di Print top solusi media , 6/8/21</t>
  </si>
  <si>
    <t>B 2850 SOO - Ops 3/8/21-10/8/21</t>
  </si>
  <si>
    <t>Sutarno Titing - Medical 7/8/21</t>
  </si>
  <si>
    <t>Sewa motor massanger, Jul'21</t>
  </si>
  <si>
    <t>Ops massanger ( Bensin +Parkir motor ) Jul'21</t>
  </si>
  <si>
    <t>PV 16722 - Supriyadi - SPJ 12/8/21</t>
  </si>
  <si>
    <t>Lunch bu AH di kantor , 16/8/21</t>
  </si>
  <si>
    <t>B 114 NNE - Parkir2 cash  1/6/21- 30/7/21</t>
  </si>
  <si>
    <t>Lunch bu AH / pak DH di kantor , 19/8/21 ( Grabfood - Nanny's Pavillon Kokas)</t>
  </si>
  <si>
    <t>Lunch bu AH di kantor , 19/8/21 - Paket Ayam komplit</t>
  </si>
  <si>
    <t>PV 16725 - Dhea - SPJ 3/8/21</t>
  </si>
  <si>
    <t>PV 16726 - Nova - SPJ 3/8/21+ trf fee dr BCA ke BNI</t>
  </si>
  <si>
    <t>Baterai Alkaline A3 req Age , 2/8/21</t>
  </si>
  <si>
    <t>Londry 20 pcs kaos / polo kerah , 28/7/21</t>
  </si>
  <si>
    <t>Tali Bendera , req Age , 3/8/21</t>
  </si>
  <si>
    <t xml:space="preserve">Refill toner warna u/ printer di rg event </t>
  </si>
  <si>
    <t xml:space="preserve">Kartu nama 1 box a/n Rimeyka Wirza </t>
  </si>
  <si>
    <t>Aqua galon PCMi 31/7/21 - 20/8/21 + 25 &amp; 26/8/21</t>
  </si>
  <si>
    <t xml:space="preserve">Jilid laporan BNI &amp; Mandiri </t>
  </si>
  <si>
    <t>B 2351 SKF - Ops 26/7/21-23/8/21</t>
  </si>
  <si>
    <t>B 2850 SOO - Ops 12/8/21-20/8/21</t>
  </si>
  <si>
    <t xml:space="preserve">Perlengkapan toilet / kebersihan / baygon dll  </t>
  </si>
  <si>
    <t>XL Pasca bayar ( 0817171700 )</t>
  </si>
  <si>
    <t>Materai 20 lbr @ Rp 10,000,-</t>
  </si>
  <si>
    <t>B 2850 SOO - Ops 23/8/21- 30/8/21</t>
  </si>
  <si>
    <t>PV 16836 - Supriyadi - SPJ 23 &amp; 24 Aug'21</t>
  </si>
  <si>
    <t>PV 16837 - Muh. Ujer - SPJ 23 &amp; 24 Aug'21</t>
  </si>
  <si>
    <t>B 114 NNE - E toll , 3/9/21</t>
  </si>
  <si>
    <t>Pmbyrn Kartu HALO 08118171717 JT 10/9/21</t>
  </si>
  <si>
    <t xml:space="preserve">PV 16906 - Beli ke Semomondeezy , Croosed Body Pouch+ ongkir , 6/9/21 </t>
  </si>
  <si>
    <t>Lunch bu AH di kantor 8/9/21 ( Grabfood / Bakmi GM )</t>
  </si>
  <si>
    <t>B 2850 SOO - Ops 31/8/21 - 7/9/21</t>
  </si>
  <si>
    <t>PV 16905 - Reimb bu Frida beli hanger &amp; snack , 3/9/21</t>
  </si>
  <si>
    <t xml:space="preserve">PV 16885 - Reimb. Analita beli Colokan , minuman &amp; snack crew , 3/9/21 </t>
  </si>
  <si>
    <t>Medical Sutarno , 11/8/21</t>
  </si>
  <si>
    <t>PV 16842 - Reimb Age - CA 025/2021</t>
  </si>
  <si>
    <t>Reimb Yogi - Beli mouse , 5/9/21</t>
  </si>
  <si>
    <t>Biaya pengiriman Orbit ke luar kota ( 7 kota ) by JNE , 4/9/21</t>
  </si>
  <si>
    <t>Medical Nina ( putri Sutarno ), 3/9/21 - ada copy resep</t>
  </si>
  <si>
    <t>Sewa motor massanger, Aug'21</t>
  </si>
  <si>
    <t>Ops massanger ( Bensin +Parkir motor ) Aug'21</t>
  </si>
  <si>
    <t>B 2850 SOO - Ops 10/9/21 -13/9/21</t>
  </si>
  <si>
    <t>B 2351 SKF - Ops 23/8/21- 10/9/21</t>
  </si>
  <si>
    <t>PV 16894 - Reimb. CA 023 /024 th 2021 a/n Patricia</t>
  </si>
  <si>
    <t>PV 16892 - Supriyadi - SPJ 2 &amp; 3 Sept'21</t>
  </si>
  <si>
    <t>PV 16893 - Muh.Ujer - SPJ 3 Sept'21</t>
  </si>
  <si>
    <t>B 114 NNE - E Toll , 10/9/21</t>
  </si>
  <si>
    <t>Materai 25 lbr @ Rp 10,000,- 16/9/21</t>
  </si>
  <si>
    <t>Aqua galon 31/8/21-16/9/21</t>
  </si>
  <si>
    <t>B 114 NNE - Top Up E Tol , 20/9/21 &amp; 30/9/21</t>
  </si>
  <si>
    <t>B 2850 SOO - Ops 16/9/21 -22/9/21</t>
  </si>
  <si>
    <t>PV 16952 - Supriyadi - SPJ 10 Sept'21</t>
  </si>
  <si>
    <t>Premium Note Jaminan Penawaran BRI RUPSLB Oktober 2021</t>
  </si>
  <si>
    <t>Medical Muh. Ujer , 21/9/21</t>
  </si>
  <si>
    <t>Kartu HALO 08118171717 - JT 10/10/21</t>
  </si>
  <si>
    <t>Lunch bu AH , 27/9/21</t>
  </si>
  <si>
    <t>Kertas F4 1Rim u/ PPH 23 , 27/9/21</t>
  </si>
  <si>
    <t>Materai 30 lbr @ Rp 10,000,- , 1/10/21</t>
  </si>
  <si>
    <t>B 2351 SKF - Ops 10/9/21 - 30/9/21</t>
  </si>
  <si>
    <t>Helmi - entertain.Jofan &amp; team di Gudi Kopi , 30/9/21</t>
  </si>
  <si>
    <t>Adun reimb.Kopi gula , aqua galon 21/9-3/10/21</t>
  </si>
  <si>
    <t>Praja reimb transport ambil Compro &amp; cari PC , 23 &amp; 25/9/21</t>
  </si>
  <si>
    <t>B 2850 SOO - Bensin 6/10/21</t>
  </si>
  <si>
    <t>B 114 NNE - E toll 8/10/21</t>
  </si>
  <si>
    <t>Ops massanger ( Bensin +Parkir motor ) Sept'21</t>
  </si>
  <si>
    <t>Sewa motor massanger, Sept'21</t>
  </si>
  <si>
    <t>B 2850 SOO - Ops 24/9/21 - 5/10/21</t>
  </si>
  <si>
    <t>XL Pasca bayar ( 0817171700 ), JT 9/10/21</t>
  </si>
  <si>
    <t>Swab Antigen Odhey, 11/10/21</t>
  </si>
  <si>
    <t>Muh. Ujer - SPJ 4/10/21</t>
  </si>
  <si>
    <t>Meals AH &amp; team - Soto Kudus , 30/9/21</t>
  </si>
  <si>
    <t>Glue stick 1 pak isi 12 pcs , 12/10/21</t>
  </si>
  <si>
    <t>Refill toner printer back office , 21/10/21</t>
  </si>
  <si>
    <t>Materai 25 lbr @ Rp 10,000,- 25/10/21</t>
  </si>
  <si>
    <t>Tissue dll ( toiletries ) , 12/10/21 , 28/10/21</t>
  </si>
  <si>
    <t>Kertas HVS 70 gram , 5 rim ( 1 dus ) , 21/10/21</t>
  </si>
  <si>
    <t>Clear leeve Daiichi A4 2 pack, 21/10/21</t>
  </si>
  <si>
    <t>Tas kain 4 pcs req bu FB , 20/10/21</t>
  </si>
  <si>
    <t>Kirim proposal ke Bandung, req bu AH via JNE, 19/10/21</t>
  </si>
  <si>
    <t>Print rek.koran a/n Sutarno cek transferan req Andi Mario Tsel, 25/10/21</t>
  </si>
  <si>
    <t>Aqua botol 600 ml 1 dus u/ bu AH , 11/10/21</t>
  </si>
  <si>
    <t>Aqua 10 galon, 5/10/21 - 27/10/21</t>
  </si>
  <si>
    <t>Kopi , gula , 5/10/21 &amp; 25/10/21</t>
  </si>
  <si>
    <t>Meals bu AH / Gado2 , 20/10/21 &amp; 28/10/21</t>
  </si>
  <si>
    <t>Januar - Meals 9.10, 13 Okt'21</t>
  </si>
  <si>
    <t>Januar - Meals 11, 12,17 Okt'21</t>
  </si>
  <si>
    <t>B 2850 SOO - Ops 6/10/21 - 18/10/21</t>
  </si>
  <si>
    <t>Praja - Reimb. Toll Apo handling, 21/10/21</t>
  </si>
  <si>
    <t>Lakban Hitam 10 rol @ Rp 20,000,- ,u/ kegiatan event</t>
  </si>
  <si>
    <t>Ujer - Medical 23/10/21</t>
  </si>
  <si>
    <t>B 2850 SOO - Ops 19/10/21 -28/10/21</t>
  </si>
  <si>
    <t>B 114 NNE - Kanebo , 26/10/21</t>
  </si>
  <si>
    <t>Biaya RTGS pemindabukuan pmbyrn inv dr BRI bu Frida ke BCA kantor , 1/11/21</t>
  </si>
  <si>
    <t>B 2850 SOO - Ops 01-26 Okt'21</t>
  </si>
  <si>
    <t>Praja - E Toll Apo handling 31/10/21</t>
  </si>
  <si>
    <t>B 114 NNE - E Toll , 2/11/21</t>
  </si>
  <si>
    <t>Sewa motor massanger, Okt'21</t>
  </si>
  <si>
    <t>Ops massanger ( Bensin +Parkir motor ) Okt'21</t>
  </si>
  <si>
    <t xml:space="preserve">Print 2 buah buku lap. Kegiatan BRI UMKM </t>
  </si>
  <si>
    <t>Supriyadi - SPJ 22 Okt'21</t>
  </si>
  <si>
    <t>Kartu HALO 08118171717 - JT 10/11/21</t>
  </si>
  <si>
    <t>XL Pasca bayar ( 0817171700 ), JT 9/11/21</t>
  </si>
  <si>
    <t>Sutarno - Medical a/n Malika ( putri Sutarno ) , 7/10/21</t>
  </si>
  <si>
    <t>Telkomsel CIMA</t>
  </si>
  <si>
    <t>Mandiri Dekorasi HUT RI 76 Thn</t>
  </si>
  <si>
    <t>Mandiri Launching Android EDC</t>
  </si>
  <si>
    <t>BRI Raker BUMN Labuan Bajo</t>
  </si>
  <si>
    <t>BRI Cyperos Bali</t>
  </si>
  <si>
    <t>CA 014/21         MEERY ADRIAN</t>
  </si>
  <si>
    <t>Mdr Dekor HUT RI  Umbul2 Rmh Dir    ANDRIS JULIA RISWA</t>
  </si>
  <si>
    <t>Mdr Launch AndroidDP 3-Aug          BAMBANG SUPRIYANTO</t>
  </si>
  <si>
    <t>CITIBANK   TRANSFER VIA LLG  REF NO PPU :8SLC  David Harsamto</t>
  </si>
  <si>
    <t>BANK DBS   TRANSFER VIA LLG  REF NO PPU :8SL7  David Harsamto</t>
  </si>
  <si>
    <t>BANK DBS   TRANSFER VIA LLG  REF NO PPU :8SNF  David Harsamto</t>
  </si>
  <si>
    <t>LAPORAN CA YOGI NO 017 TH 2021      YOGI PURWO WIDODO</t>
  </si>
  <si>
    <t>BRI PresCon TW2   Req Cash Faisal   MARIA PATRICIA SUG</t>
  </si>
  <si>
    <t>BNI SigningCeremonSPJ 1D 16Jul      MARIA PATRICIA SUG</t>
  </si>
  <si>
    <t>BRI PresCon TW1   Fee PO            MARIA PATRICIA SUG</t>
  </si>
  <si>
    <t>BRI Investor UME  4 Meals Team      DEKA BAHANA</t>
  </si>
  <si>
    <t>Overtime Jul KandaSUKANDA</t>
  </si>
  <si>
    <t>Overtime Jul Ujer MUHAMMAD UJER AWAL</t>
  </si>
  <si>
    <t>Overtime Jul Yadi SUPRIYADI</t>
  </si>
  <si>
    <t>WedCard Faisal BRISales Mkt         AHMAD WIDYA NUGRAH</t>
  </si>
  <si>
    <t>TSel ProgGamesPub Reward Engagement SUGIYANTI</t>
  </si>
  <si>
    <t>BRI RUPS LB Jul   150 GoodieBags    EDI SUCIPTO</t>
  </si>
  <si>
    <t>BNI SigningCeremonSoundSystem       RISYAD FAUZIE</t>
  </si>
  <si>
    <t>Mdr AkselerasiVaks5 EartechWireless ILHAM GUMELAR</t>
  </si>
  <si>
    <t>DB TRANSFER   KE 002 PT PAN CONVINCE MIKLIKBCA IND</t>
  </si>
  <si>
    <t>DB BIAYA TXN  KE 002 PT PAN CONVINCE MIKLIKBCA IND</t>
  </si>
  <si>
    <t>CA 013/21         MEERY ADRIAN</t>
  </si>
  <si>
    <t>Reimb Kas Kecil   Salah trf dr IRepsNY NURLAILA HUTABA</t>
  </si>
  <si>
    <t>TSel PilkadaRacingBiz Mtg Apr-Jun   PARULIAN LUMMY SIT</t>
  </si>
  <si>
    <t>TSel PilkadaRacingAmazoneKindlePW   PARULIAN LUMMY SIT</t>
  </si>
  <si>
    <t>BNI SigningCeremonSingleCam 15-16JulBAMBANG SUBARI</t>
  </si>
  <si>
    <t>Mdr AkselerasiVaks3MultiCam 12-13JulBAMBANG SUBARI</t>
  </si>
  <si>
    <t>BRI RUPS LB Jul   4MultiCam 21-22JulBAMBANG SUBARI</t>
  </si>
  <si>
    <t>Internet Aug      Panconvince       MORA TELEMATIKA IN</t>
  </si>
  <si>
    <t>TEO BENG LEEPhotocopy Jul     12161848</t>
  </si>
  <si>
    <t>BRI RUPS LB Jul   Fee Show Mgt      TEUKU DONNYA SYAHP</t>
  </si>
  <si>
    <t>Mdr AkselerasiVaks6Laptop i7 12-13JuMARBANGUN WIDAKDO</t>
  </si>
  <si>
    <t>Mdr AkselerasiVaksLighting 13Jul    RISYAD FAUZIE</t>
  </si>
  <si>
    <t>BRI RUPS LB Jul   2Ricoh CopyMach   ARIEF RACHMAN</t>
  </si>
  <si>
    <t>BRI RUPS LB Jul   Eartech iCom v86  ILHAM GUMELAR</t>
  </si>
  <si>
    <t>BRI RUPS LB Jul   Lighting 22Jul    MASRUHIN</t>
  </si>
  <si>
    <t>BRI RUPS LB Jul   Meja+Futura 22Jul SAEPIH</t>
  </si>
  <si>
    <t>BRI RUPS LB Jul   Lap Ops 14-22Jul  AHMAD WIDYA NUGRAH</t>
  </si>
  <si>
    <t>BRI Himbara PemRedFee PO - Bali     MARIA PATRICIA SUG</t>
  </si>
  <si>
    <t>BRI RUPS LB Jul   Visual Equip 22JulSRI WAHYUNI NAWI</t>
  </si>
  <si>
    <t>BRI PresCon TW2   SPJ PIC 2Days     MARIA PATRICIA SUG</t>
  </si>
  <si>
    <t>BRI PresCon TW2   SPJ PIC 2Days     PRAJA SAPUTRA S</t>
  </si>
  <si>
    <t>BRI PresCon TW2   SPJ PIC 2Days     ALEXADRUS NULIADY</t>
  </si>
  <si>
    <t>BRI PresCon TW2   SPJ PIC 2Days     DEKA BAHANA</t>
  </si>
  <si>
    <t>BRI PresCon TW2   SPJ PIC 2Days     ANALITA YULISTYA C</t>
  </si>
  <si>
    <t>TSel Onboarding   Fee PO April      YOGI PURWO WIDODO</t>
  </si>
  <si>
    <t>Kurang Bayar      UCI -TSEL BS      PURWANTI PUJI LEST</t>
  </si>
  <si>
    <t xml:space="preserve">LLG-MANDIRI       PAN CONVINCE MITRAPin Buk BCA  </t>
  </si>
  <si>
    <t>Byr AP Loan 21-JulIReps BCA         NY NURLAILA HUTABA</t>
  </si>
  <si>
    <t>Byr AP Loan 29-JulIReps BCA         NY NURLAILA HUTABA</t>
  </si>
  <si>
    <t>Byr AP Loan 6-Aug IReps BCA         NY NURLAILA HUTABA</t>
  </si>
  <si>
    <t>BRI RUPS LB Jul   DP-II Streaming   FAJAR FERYANSYAH</t>
  </si>
  <si>
    <t>Mdr Launch AndroidDesign + Gaker    FABIO KRISNAWANSYA</t>
  </si>
  <si>
    <t>Mdr Lauch Android Fee MC KikySaputriRIZHKY NURASLY SAP</t>
  </si>
  <si>
    <t>Mdr LaunchAndroid Fee MC Ronal S    RONAL SUNANDAR</t>
  </si>
  <si>
    <t>TSel PilkadaRacingRewardProgChallengYOGI PURWO WIDODO</t>
  </si>
  <si>
    <t>TSel Inj PaketDataPulsaCharHDAdmin  YOGI PURWO WIDODO</t>
  </si>
  <si>
    <t>BRI Launch DblCareFee Proj Officer  DEDI PURWANTO SE</t>
  </si>
  <si>
    <t>Mdr LaunchAndrEDC 50Mbps Internet   DEDI PURWANTO SE</t>
  </si>
  <si>
    <t>Mdr LaunchAndrEDC Media Lumpsum     DEDI PURWANTO SE</t>
  </si>
  <si>
    <t>CA-22/21 Analita  ANALITA YULISTYA C</t>
  </si>
  <si>
    <t>TELKOM DIVRE302183700934     08RD HIDIANITJE DRA</t>
  </si>
  <si>
    <t>LLG-MANDIRI       PAN CONVINCE MITRAPin Buk BCA</t>
  </si>
  <si>
    <t>Byr AP Loan 6Aug  BCA               NY NURLAILA HUTABA</t>
  </si>
  <si>
    <t>CA24/21 Patrice   MARIA PATRICIA SUG</t>
  </si>
  <si>
    <t>CA-25/21 Age      AHMAD WIDYA NUGRAH</t>
  </si>
  <si>
    <t>BRI Launch Liga-1 SPJ PIC 21Aug     MARIA PATRICIA SUG</t>
  </si>
  <si>
    <t>BRI Launch Liga-1 Ops Exp           MARIA PATRICIA SUG</t>
  </si>
  <si>
    <t>BRI Launch Liga-1 SPJ PIC 12Aug     PRAJA SAPUTRA S</t>
  </si>
  <si>
    <t>BRI Launch Liga-1 SPJ PIC 12Aug     ALEXADRUS NULIADY</t>
  </si>
  <si>
    <t>BRI Launch Liga-1 SPJ PIC 12Aug     ANALITA YULISTYA C</t>
  </si>
  <si>
    <t>BRI Launch Liga-1 SPJ PIC 12Aug     DEKA BAHANA</t>
  </si>
  <si>
    <t>BRI Investor UME  Fee Proj Officer  DEKA BAHANA</t>
  </si>
  <si>
    <t>TSel Best AgentCESBirthdayCakeRayhanYOGI PURWO WIDODO</t>
  </si>
  <si>
    <t>Mdr Dekor HUT RI  Bendera MerahPutihAHMAD WIDYA NUGRAH</t>
  </si>
  <si>
    <t>BRI Launch Liga-1 Fee VJ 12Aug      RIZKY ALIF</t>
  </si>
  <si>
    <t>TSel BestAgentCES 5Hadiah LinkAja   YOGI PURWO WIDODO</t>
  </si>
  <si>
    <t>TSel PilkadaRacingTunai Shop+Drive  MEERY ADRIAN</t>
  </si>
  <si>
    <t>BRI Launch Liga-1 GreenScreen+Lampu ADHI SETYO NUGROHO</t>
  </si>
  <si>
    <t>BNI SigningCeremonSewa 6 LapTop i7  MARBANGUN WIDAKDO</t>
  </si>
  <si>
    <t>BRI RUPS LB Jul   Lunas Streaming   FAJAR FERYANSYAH</t>
  </si>
  <si>
    <t>BRI KunKer Jogja  DP-1 Inv004/SAPA  ROBERTUS BELLARMIN</t>
  </si>
  <si>
    <t>Salary PCMI Aug   DAVID HARSAMTO</t>
  </si>
  <si>
    <t xml:space="preserve">LLG-MANDIRI       PAN CONVINCE MITRAPin Buk BCA </t>
  </si>
  <si>
    <t>TSel Office2OfficeTunai AsiaWisata  MEERY ADRIAN</t>
  </si>
  <si>
    <t>BRI SMESCO        3 PillowCase      NAGAWATI SURYA OR</t>
  </si>
  <si>
    <t>TSel MICE UIUX    Inject LinkAja 10xYOGI PURWO WIDODO</t>
  </si>
  <si>
    <t>TSel BestAgentCES Inject LinkAja 5x YOGI PURWO WIDODO</t>
  </si>
  <si>
    <t>Mdr LaunchAndroidEFee Team Show     TEUKU DONNYA SYAHP</t>
  </si>
  <si>
    <t>Mdr Dekor HUT RI  SPJ PsgDekor+Bend ALEXADRUS NULIADY</t>
  </si>
  <si>
    <t>Mdr LaunchAndroidESPJ PIC 2Days     DEDI PURWANTO SE</t>
  </si>
  <si>
    <t>Mdr LaunchAndroidESPJ PIC 2Days     DEKA BAHANA</t>
  </si>
  <si>
    <t>Mdr LaunchAndroidESPJ PIC 2Days     ALEXADRUS NULIADY</t>
  </si>
  <si>
    <t>Mdr LaunchAndroidESPJ PIC 2Days     PRAJA SAPUTRA S</t>
  </si>
  <si>
    <t>Mdr LaunchAndroidESPJ PIC 2Days     FRIDA ACHMADI</t>
  </si>
  <si>
    <t>Mdr LaunchAndroidESPJ PIC 2Days     MARIA PATRICIA SUG</t>
  </si>
  <si>
    <t>TSel Good2Great   PIC FeeBagiHampersYOGI PURWO WIDODO</t>
  </si>
  <si>
    <t>TSel PilkadaRacingPIC Mtg GM+VP     YOGI PURWO WIDODO</t>
  </si>
  <si>
    <t>TSel Good2Great   PIC Handle FittingYOGI PURWO WIDODO</t>
  </si>
  <si>
    <t>TSel BestAgentCES SPJ PIC 2Days     YOGI PURWO WIDODO</t>
  </si>
  <si>
    <t>TSel Good2Great   PIC Snack+LunBox  YOGI PURWO WIDODO</t>
  </si>
  <si>
    <t>BNI SigningCeremonFee Proj Officer  DEDI PURWANTO SE</t>
  </si>
  <si>
    <t>CR 09/03 95031       JUAL HP EX P ABUD BRI               RD HIDIANITJE DRA</t>
  </si>
  <si>
    <t>BRI SMESCO        Prod Booth UMKM   MICKEY NASUTION</t>
  </si>
  <si>
    <t xml:space="preserve">LLG-BRI           PAN CONVINCE MITRAPin Buk BCA  </t>
  </si>
  <si>
    <t>TSel Office2OfficeTunai Shop+Drive  MEERY ADRIAN</t>
  </si>
  <si>
    <t>BRI Launch Liga   Sewa TV Prompter  SRI WAHYUNI NAWI</t>
  </si>
  <si>
    <t>Mdr LaunchAndroidELunas Produksi    BAMBANG SUPRIYANTO</t>
  </si>
  <si>
    <t>BRI RUPS LB Jul   16 Laptop i7 2DaysMARBANGUN WIDAKDO</t>
  </si>
  <si>
    <t>TSel Moana Aug    Htl Zuri Damai    YOGI PURWO WIDODO</t>
  </si>
  <si>
    <t>BRI PresCon TW2   Fee Proj Officer  ALEXADRUS NULIADY</t>
  </si>
  <si>
    <t>BRI Launch Liga 1 Sewa 5 ClearComm  ILHAM GUMELAR</t>
  </si>
  <si>
    <t>Mdr LaunchAndroidESewa 5 PuffChair  SAEPIH</t>
  </si>
  <si>
    <t>BRI Launch Liga 1 Sewa 12 Meja      SAEPIH</t>
  </si>
  <si>
    <t>Mdr AkselerasiVaks500 ZoomPro AddOn RD HIDIANITJE DRA</t>
  </si>
  <si>
    <t>Meals Team 19AprilRD HIDIANITJE DRA</t>
  </si>
  <si>
    <t>Meals Team 18Jun  RD HIDIANITJE DRA</t>
  </si>
  <si>
    <t>BRI Launch Liga 1 5 LiveCam+LightingBAMBANG SUBARI</t>
  </si>
  <si>
    <t>CA 022 / 2021     MEERY ADRIAN</t>
  </si>
  <si>
    <t>CA NO 020 TH 2021 YOGI PURWO WIDODO</t>
  </si>
  <si>
    <t>BRI Launch Liga 1 SoundSys 3K Watt  RISYAD FAUZIE</t>
  </si>
  <si>
    <t>BRI Launch Liga 1 3 Laptop core i7  MARBANGUN WIDAKDO</t>
  </si>
  <si>
    <t>BRI PresCon TW2   6 Laptop core i7  MARBANGUN WIDAKDO</t>
  </si>
  <si>
    <t>BRI KunKer DPS Jog3 Laptop Core i7  MARBANGUN WIDAKDO</t>
  </si>
  <si>
    <t>Mdr LaunchAndroidE5 Laptop i7 2Days MARBANGUN WIDAKDO</t>
  </si>
  <si>
    <t>Mdr LaunchAndroidEMM Contents       IBRAHIM SALADDIN</t>
  </si>
  <si>
    <t>BRI KunKer DPR JogT2 Lunas Mtg Kom 6ROBERTUS BELLARMIN</t>
  </si>
  <si>
    <t>Mdr LaunchAndroidESewa 6 Clear com  ILHAM GUMELAR</t>
  </si>
  <si>
    <t>BRI RUPS LB Jul   LED + Lampu Godox ABSOLUTE PICTURE I</t>
  </si>
  <si>
    <t>Mdr LaunchAndroidELighting 24Aug    MASRUHIN</t>
  </si>
  <si>
    <t>BRI PresCon TW2   4 LiveCam 2Days   BAMBANG SUBARI</t>
  </si>
  <si>
    <t>BDay Tumpeng 21JunDAVID HARSAMTO</t>
  </si>
  <si>
    <t>BRI SMESCO        Tambahan KainMotifAHMAD WIDYA NUGRAH</t>
  </si>
  <si>
    <t>PDOT AITF 2020    Paket VR Gear 3D  FIRMAN MAULANA</t>
  </si>
  <si>
    <t>TEO BENG LEEPhotocopy August  Panconvince</t>
  </si>
  <si>
    <t>LINKAJA     081315250817</t>
  </si>
  <si>
    <t>BRI MOU UMI       Internet+InstalasiRIZKI ISNAN SYUHAD</t>
  </si>
  <si>
    <t>PDOT AITF 20      Sewa MejaKursi    AGUNG RISWANDA</t>
  </si>
  <si>
    <t>Overtime Aug      SUKANDA</t>
  </si>
  <si>
    <t>Overtime Aug      SUPRIYADI</t>
  </si>
  <si>
    <t>Overtime Aug      MUHAMMAD UJER AWAL</t>
  </si>
  <si>
    <t>CA-26/21 Merry    MEERY ADRIAN</t>
  </si>
  <si>
    <t>Mdr LaunchAndroidE3 Camera 23-24Aug BAMBANG SUBARI</t>
  </si>
  <si>
    <t>CA-27/21 Patrice  MARIA PATRICIA SUG</t>
  </si>
  <si>
    <t>CR TRANSFER   DR 008 HIDIANITJE        PLAZA MANDI</t>
  </si>
  <si>
    <t>Mdr AkselerasiVaksFee Proj Officer  DEDI PURWANTO SE</t>
  </si>
  <si>
    <t>PDOT ATF 20       LEDSwitcherSoundADHI SETYO NUGROHO</t>
  </si>
  <si>
    <t>Byr AP Loan 30Aug BCA               NY NURLAILA HUTABA</t>
  </si>
  <si>
    <t>Byr AP Loan 6Sep  BCA               NY NURLAILA HUTABA</t>
  </si>
  <si>
    <t>CR 09/17 95031       SISA CA 27        MARIA PATRICIA SUG</t>
  </si>
  <si>
    <t>TSel PilkadaRacingReimb Biz Mtg Sep PARULIAN LUMMY SIT</t>
  </si>
  <si>
    <t>TSel Racing Comp  CashBack FBO Rew  LANGITPAY DIGITAL</t>
  </si>
  <si>
    <t>BRI SMESCO        CoverBackDrop Dll BAMBANG SUPRIYANTO</t>
  </si>
  <si>
    <t>Refill Toner PrintStationary        SUPARWONO</t>
  </si>
  <si>
    <t>BRI SMESCO        SPJ PIC 2+3 Sep   ANALITA YULISTYA C</t>
  </si>
  <si>
    <t>BRI SMESCO        SPJ PIC 2+3 Sep   FRIDA ACHMADI</t>
  </si>
  <si>
    <t>BRI SMESCO        SPJ PIC 2+3 Sep   MARIA PATRICIA SUG</t>
  </si>
  <si>
    <t>BRI SMESCO        SPJ PIC 2+3 Sep   PRAJA SAPUTRA S</t>
  </si>
  <si>
    <t>BRI SMESCO        SPJ PIC 2+3 Sep   ALEXADRUS NULIADY</t>
  </si>
  <si>
    <t>BRI MOU UMI       SPJ PIC 12+13 Sep MARIA PATRICIA SUG</t>
  </si>
  <si>
    <t>BRI MOU UMI       SPJ PIC 12+13 Sep ALEXADRUS NULIADY</t>
  </si>
  <si>
    <t>BRI MOU UMI       SPJ PIC 12+13 Sep ANALITA YULISTYA C</t>
  </si>
  <si>
    <t>BRI MOU UMI       SPJ PIC 12+13 Sep DEDI PURWANTO SE</t>
  </si>
  <si>
    <t>BRI MOU UMI       SPJ PIC 12+13 Sep DEKA BAHANA</t>
  </si>
  <si>
    <t>BRI MOU UMI       SPJ 12+13 Sep     SUPRIYADI</t>
  </si>
  <si>
    <t>BRI MOU UMI       SPJ 11-13 Sep     MUHAMMAD UJER AWAL</t>
  </si>
  <si>
    <t>TELKOM DIVRE302183700934     09RD HIDIANITJE DRA</t>
  </si>
  <si>
    <t>BRI MOU UMI       SPJ PIC 2D+Meals  PRAJA SAPUTRA S</t>
  </si>
  <si>
    <t>BRI No Hoax       SPJ PIC 10Sep     MARIA PATRICIA SUG</t>
  </si>
  <si>
    <t>BRI No Hoax       SPJ PIC 10Sep     PRAJA SAPUTRA S</t>
  </si>
  <si>
    <t>BRI No Hoax       SPJ PIC 10Sep     ALEXADRUS NULIADY</t>
  </si>
  <si>
    <t>TSel BestAgentCES HadiahLinkAja 5X  YOGI PURWO WIDODO</t>
  </si>
  <si>
    <t>TSel InjectPktDataPulsa TeamNonOrg  YOGI PURWO WIDODO</t>
  </si>
  <si>
    <t>TSel MICE UIUX AP Speaker Kominfo   MEERY ADRIAN</t>
  </si>
  <si>
    <t>TSel MICE UIUX AP SpeakerKominfo 2  MEERY ADRIAN</t>
  </si>
  <si>
    <t>TSel TransacProgQ2Freelance Salary  NADIA WULANDARI</t>
  </si>
  <si>
    <t>25/01</t>
  </si>
  <si>
    <t>BRI RUPS LB       3 Ushers          DWITA SEPTIANA</t>
  </si>
  <si>
    <t>BRI Himbara PemRedSPJ 1D 6Jan       SUTARNO</t>
  </si>
  <si>
    <t>BRI RUPS LB       SPJ 2D 20-21Jan   MUHAMMAD UJER AWAL</t>
  </si>
  <si>
    <t>TSel Prog Uplift RTrfs ke Pelanggan KENJI NOV MATSUSHI</t>
  </si>
  <si>
    <t>BRI HimbaraPemRed Fee ProdCrew+SPJ  JANUAR CAHYO SURYA</t>
  </si>
  <si>
    <t>Vivo Ann GatheringFee SD + GR       TEUKU DONNYA SYAHP</t>
  </si>
  <si>
    <t>BRI MtgAnalyst TW4SPJ Kord FB       MARIA PATRICIA SUG</t>
  </si>
  <si>
    <t>SK Kehakiman Akta No 49 PCMI        JIMMY TANAL</t>
  </si>
  <si>
    <t>BTN RUPST         13TitikStopKontak BAMBANG SUPRIYANTO</t>
  </si>
  <si>
    <t>BTN RUPST         Fee Gaker         FABIO KRISNAWANSYA</t>
  </si>
  <si>
    <t>BTN RUPST         SPJ Logistik 4DaysSUTARNO</t>
  </si>
  <si>
    <t>BTN RUPST         Fee Show Mgt      TEUKU DONNYA SYAHP</t>
  </si>
  <si>
    <t>Vivo Ann Gath     SPJ+BandWidth Op  PRAJA SAPUTRA S</t>
  </si>
  <si>
    <t>BRI PresCon Mikro MM Mgr + SPJ      DEKA BAHANA</t>
  </si>
  <si>
    <t>BTN RUPST         SPJ GR+FeeHandlingFRIDA ACHMADI</t>
  </si>
  <si>
    <t>BRI KunKer Serang PO Fee            MARIA PATRICIA SUG</t>
  </si>
  <si>
    <t>BRI HimbaraPemRed SPJ MM Operator   ANALITA YULISTYA C</t>
  </si>
  <si>
    <t>TSel KrmSimCardCorTopUpLinkAja 29X  YOGI PURWO WIDODO</t>
  </si>
  <si>
    <t>TSel InnoXtion    LinkAja 32 Orang  YOGI PURWO WIDODO</t>
  </si>
  <si>
    <t>BRI FGD LintasKemeMejaRndTableSignSAEPIH</t>
  </si>
  <si>
    <t>Tsel FrmGood2GreatAntigen Dharma 3X GABRIELLA FRANDITA</t>
  </si>
  <si>
    <t>BRI Investor UME  Fee PIC Streaming DEKA BAHANA</t>
  </si>
  <si>
    <t>BRI Investor UME  Fee PIC Streaming ANALITA YULISTYA C</t>
  </si>
  <si>
    <t>BRI RUPS LB Jul   Internet Lapangan MUHAMMAD FAJAR SAT</t>
  </si>
  <si>
    <t>TSel BestAgentCES Reimb Ops ESEM    REDIANI PRAMUDITA</t>
  </si>
  <si>
    <t>Mdr AkselerasiVaksSPJ PIC 2Days     ANALITA YULISTYA C</t>
  </si>
  <si>
    <t>Mdr AkselerasiVaksSPJ PIC 2Days     ALEXADRUS NULIADY</t>
  </si>
  <si>
    <t>BRI RUPS LB Jul   SPJ PIC 2 Days    ANALITA YULISTYA C</t>
  </si>
  <si>
    <t>BRI RUPS LB Jul   Lunas Produksi    BAMBANG SUPRIYANTO</t>
  </si>
  <si>
    <t>BRI RUPS LB Jul   SoundSys 21-22Jul RISYAD FAUZIE</t>
  </si>
  <si>
    <t>BRI RUPS LB Jul   AddCost BackDrop  IBNU CHUZAYMAH</t>
  </si>
  <si>
    <t>Mdr LaunchAndroidESPJ PIC 2Days     ANALITA YULISTYA C</t>
  </si>
  <si>
    <t>BRI SMESCO        pouch dan handbag MIRA LISMAWATI</t>
  </si>
  <si>
    <t>TSel OBC SurveyMktPetty Cash        MOCH TAUFIK SYAWAL</t>
  </si>
  <si>
    <t>TSel ProgMediaAgenTunai AsiaWisata  MEERY ADRIAN</t>
  </si>
  <si>
    <t>Medical           Prodia 21Jul      RD HIDIANITJE DRA</t>
  </si>
  <si>
    <t>Internet SeptemberPanconvince       MORA TELEMATIKA IN</t>
  </si>
  <si>
    <t>PV 16787          Mand Android EDC  MEERY ADRIAN</t>
  </si>
  <si>
    <t>TSel ProgMediaAgenCashBackAsiaWisataMEERY ADRIAN</t>
  </si>
  <si>
    <t>BRI MOU UMI       Produksi TrishaeM BAMBANG SUPRIYANTO</t>
  </si>
  <si>
    <t>BRI SMESCO        Lap Ops 2-3Sep    AHMAD WIDYA NUGRAH</t>
  </si>
  <si>
    <t>TSel MICEInnoXtionSPJ Onboarding    YOGI PURWO WIDODO</t>
  </si>
  <si>
    <t>TSel BestAgentCES SPJ PIC MealsNas  YOGI PURWO WIDODO</t>
  </si>
  <si>
    <t>TSel BestAgentCES SPJ KirimSouvenir YOGI PURWO WIDODO</t>
  </si>
  <si>
    <t>TSel BestAgentCES PIC ManPower 13SepYOGI PURWO WIDODO</t>
  </si>
  <si>
    <t>InjectLinkAjAlfianMkt TSel          YOGI PURWO WIDODO</t>
  </si>
  <si>
    <t>BRI MOU UMI       Fee All Crews     MOCH SUPRIYADI</t>
  </si>
  <si>
    <t>CA-30/21 Patrice  MARIA PATRICIA SUG</t>
  </si>
  <si>
    <t>BRI IDX RightIssue100Mbps BOD InternSYAHRA BUDI PUTRAN</t>
  </si>
  <si>
    <t>Salary PCMI Sep   DAVID HARSAMTO</t>
  </si>
  <si>
    <t>AR StaffLoan Yadi DAVID HARSAMTO</t>
  </si>
  <si>
    <t>BRI MOU UMI       Beli TSel Orbit   FERA NELFIANTI</t>
  </si>
  <si>
    <t>BRI Launch Liga I PO Fee            ANALITA YULISTYA C</t>
  </si>
  <si>
    <t>Med RS Omni 1Apr  RD HIDIANITJE DRA</t>
  </si>
  <si>
    <t>Med Prodia 13Jul  RD HIDIANITJE DRA</t>
  </si>
  <si>
    <t>Mdr LaunchAndroidEZoom 1000X        RD HIDIANITJE DRA</t>
  </si>
  <si>
    <t>Mdr LaunchAndroidEZoom Pro 500X     RD HIDIANITJE DRA</t>
  </si>
  <si>
    <t>BRI SMESCO        Barang2 Produksi  RD HIDIANITJE DRA</t>
  </si>
  <si>
    <t>BRI SMESCO        Produk UMKM       RD HIDIANITJE DRA</t>
  </si>
  <si>
    <t>BRI MOU UMI       SoundSys 11-13Sep RISYAD FAUZIE</t>
  </si>
  <si>
    <t>CR 10/01 95031       PENGEMBALIAN CA 030                 MARIA PATRICIA SUG</t>
  </si>
  <si>
    <t>CR 10/01 95031       TIKA              DIASTIN YUTIKA</t>
  </si>
  <si>
    <t>TSel TractionProQ240KonsumsiTesting YOGI PURWO WIDODO</t>
  </si>
  <si>
    <t>CA-31/21 Yogi     YOGI PURWO WIDODO</t>
  </si>
  <si>
    <t>CA-32/21 Merry    MEERY ADRIAN</t>
  </si>
  <si>
    <t>TSel ProgMediaAgenCashBackShopDrive MEERY ADRIAN</t>
  </si>
  <si>
    <t>CR TANGGAL :02/10    TRANSFER   DR 008 PAN CONVINCE MITRAPLAZA MANDI</t>
  </si>
  <si>
    <t>TSel OBCSurveyMM  Lacoste 22Sep     MOCH TAUFIK SYAWAL</t>
  </si>
  <si>
    <t>2SetBukuLegalitas Mkt               SRI LESTARI</t>
  </si>
  <si>
    <t>BRI MOU UMI       Fee Show Mgt      TEUKU DONNYA SYAHP</t>
  </si>
  <si>
    <t>BRI MOU UMI       LapOps 13Sep      AHMAD WIDYA NUGRAH</t>
  </si>
  <si>
    <t>BRI MOU UMI       SoundSys BRI Ckrg RISYAD FAUZIE</t>
  </si>
  <si>
    <t>BRI Agro RUPS LB  Produksi          BAMBANG SUPRIYANTO</t>
  </si>
  <si>
    <t>BRI Agro RUPS LB  Fee Show Mgt      MASKUR ALAS AD</t>
  </si>
  <si>
    <t>BRI Agro RUPS LB  Lighting          MASRUHIN</t>
  </si>
  <si>
    <t>BRI Agro RUPS LB  SPJ PIC 3Days     DEDI PURWANTO SE</t>
  </si>
  <si>
    <t>BRI Agro RUPS LB  SPJ PIC 3Days     ALEXADRUS NULIADY</t>
  </si>
  <si>
    <t>BRI Agro RUPS LB  SPJ PIC 3Days     DEKA BAHANA</t>
  </si>
  <si>
    <t>BRI Agro RUPS LB  SPJ PIC 3Days     ANALITA YULISTYA C</t>
  </si>
  <si>
    <t>BRI Agro RUPS LB  SPJ PIC 3Days     PRAJA SAPUTRA S</t>
  </si>
  <si>
    <t>BRI Agro RUPS LB  SPJ PIC 2Days     MARIA PATRICIA SUG</t>
  </si>
  <si>
    <t>BRI Agro RUPS LB  SPJ PIC 2 Days    HELMI MARDIASTUTI</t>
  </si>
  <si>
    <t>BRI Agro RUPS LB  SPJ PIC 27Sep     FRIDA ACHMADI</t>
  </si>
  <si>
    <t>BRI Agro RUPS LB  Fee Crew 3Org 3D  MOCH SUPRIYADI</t>
  </si>
  <si>
    <t>BRI Agro RUPS LB  SPJ 25-27Sep      SUPRIYADI</t>
  </si>
  <si>
    <t>BRI Agro RUPS LB  SPJ 26-27 Sep     MUHAMMAD UJER AWAL</t>
  </si>
  <si>
    <t>Indo Power HUT26  DP Streaming      FAJAR FERYANSYAH</t>
  </si>
  <si>
    <t>BRI Agro RUPS LB  Gaker a/n Fabio   FABIO KRISNAWANSYA</t>
  </si>
  <si>
    <t>LLG-MANDIRI       PAN CONVINCE MITRAPin Buk BCA       211004000773338619</t>
  </si>
  <si>
    <t>cicilan hutang Wahyu                WAHYU WIDODO</t>
  </si>
  <si>
    <t>Retur Wahyu       Coll Fee          DAVID HARSAMTO</t>
  </si>
  <si>
    <t>Byr AP Loan 4Oct  BCA               NY NURLAILA HUTABA</t>
  </si>
  <si>
    <t>CA-33/21 Patrice  MARIA PATRICIA SUG</t>
  </si>
  <si>
    <t>SGI GyprocMigratioDP MigrasiWebsite DHANI BASKHARA</t>
  </si>
  <si>
    <t>TSel SuppCampOutleSaldo MyAds       MEERY ADRIAN</t>
  </si>
  <si>
    <t>TSel TractionProQ2Konsumsi Test 9OktYOGI PURWO WIDODO</t>
  </si>
  <si>
    <t>BRI Raker BUMN LB DP Gigi Band 13OktSETIA BERSAMA MENC</t>
  </si>
  <si>
    <t>TSel TractionProQ2+an Konsumsi10Okt YOGI PURWO WIDODO</t>
  </si>
  <si>
    <t>BRI Agro RUPS LB  SewaLCD+Tools27SepSRI WAHYUNI NAWI</t>
  </si>
  <si>
    <t>BRI IDX OpBellRIssFee Show Mgt 29SepSASTRA DEWANGGA</t>
  </si>
  <si>
    <t>BRI IDX OpBellRIssLap Ops 26-29Sep  MARIA PATRICIA SUG</t>
  </si>
  <si>
    <t>BRI IDX OpBellRIssSPJ PIC 28-29Sep  ALEXADRUS NULIADY</t>
  </si>
  <si>
    <t>BRI IDX OpBellRIssSPJ PIC 28029Sep  DEKA BAHANA</t>
  </si>
  <si>
    <t>BRI IDX OpBellRIssSPJ PIC 28-29Sep  ANALITA YULISTYA C</t>
  </si>
  <si>
    <t>BRI IDX OpBellRIssSPJ PIC 28-29Sep  MARIA PATRICIA SUG</t>
  </si>
  <si>
    <t>BRI IDX OpBellRIssSPJ PIC 28-29Sep  PRAJA SAPUTRA S</t>
  </si>
  <si>
    <t>Ind Power HUT 26  SPJ PIC 3-4Okt    DEDI PURWANTO SE</t>
  </si>
  <si>
    <t>Ind Power HUT 26  SPJ PIC 3-4Okt    ALEXADRUS NULIADY</t>
  </si>
  <si>
    <t>Ind Power HUT 26  SPJ PIC 3-4Okt    ANALITA YULISTYA C</t>
  </si>
  <si>
    <t>Ind Power HUT 26  SPJ PIC 3-4Okt    PRAJA SAPUTRA S</t>
  </si>
  <si>
    <t>Ind Power HUT 26  SPJ PIC 3-4Okt    MARIA PATRICIA SUG</t>
  </si>
  <si>
    <t>Ind Power HUT 26  SPJ PIC 3-4Okt    HELMI MARDIASTUTI</t>
  </si>
  <si>
    <t>Ind Power HUT 26  SPJ PIC 3-4Okt    FRIDA ACHMADI</t>
  </si>
  <si>
    <t>Ind Power HUT 26  SPJ PIC 2-4Okt    SUPRIYADI</t>
  </si>
  <si>
    <t>Ind Power HUT 26  Runner 3-4 Okt    MOCH SUPRIYADI</t>
  </si>
  <si>
    <t>BRI Raker BUMN LB Antigen Crew GIGI REZA GUMILAR</t>
  </si>
  <si>
    <t>CA-35/21 Patrice  MARIA PATRICIA SUG</t>
  </si>
  <si>
    <t>LLG-MANDIRI       PAN CONVINCE MITRA211012000777542875</t>
  </si>
  <si>
    <t>BRI Raker BUMN LB Lunas GIGI 13Okt  SETIA BERSAMA MENC</t>
  </si>
  <si>
    <t>BRI Raker BUMN LB Lunas SoundSys    MARTINUS IRIANTO</t>
  </si>
  <si>
    <t>BRI Raker BUMN LB DP SounsSys BajoEvDEDI PURWANTO SE</t>
  </si>
  <si>
    <t>DB TRANSFER   KE 009 SDR IGNASIUS  SURAKLIKBCA IND</t>
  </si>
  <si>
    <t>DB BIAYA TXN  KE 009 SDR IGNASIUS  SURAKLIKBCA IND</t>
  </si>
  <si>
    <t>LLG-BRI           PAN CONVINCE MITRAPin Buk BCA       211013000778304537</t>
  </si>
  <si>
    <t>CA36/21 Meery     MEERY ADRIAN</t>
  </si>
  <si>
    <t>CA-37/21 Alex     ALEXADRUS NULIADY</t>
  </si>
  <si>
    <t>TSel SupCampOutletSaldo MyAds       MEERY ADRIAN</t>
  </si>
  <si>
    <t>BRI Lombok        ApoHandling 14Okt NOFRI HADI</t>
  </si>
  <si>
    <t>LLG-BRI           PAN CONVINCE MITRAPin Buk BCA       211014000778826216</t>
  </si>
  <si>
    <t>Byr AP Loan 11Okt NY NURLAILA HUTABA</t>
  </si>
  <si>
    <t>Byr AP Loan 13 OktDAVID HARSAMTO</t>
  </si>
  <si>
    <t>CR TANGGAL :14/10    TRANSFER   DR 008 PAN CONVINCE MITRAPLAZA MANDI</t>
  </si>
  <si>
    <t>Bunga Ultah EH    AGUS SETIAWAN</t>
  </si>
  <si>
    <t>BungaPapan Ultah  Mandiri+IndPower  MUH NURHIDAYAT TAU</t>
  </si>
  <si>
    <t>Overtime Sep      MUHAMMAD UJER AWAL</t>
  </si>
  <si>
    <t>Overtime Sep      SUPRIYADI</t>
  </si>
  <si>
    <t>Overtime Sep      SUKANDA</t>
  </si>
  <si>
    <t>Internet Okt      Panconvince       MORA TELEMATIKA IN</t>
  </si>
  <si>
    <t>BRI IDX OpBellRIssSPJ 27-29 Sep     SUPRIYADI</t>
  </si>
  <si>
    <t>TSel OBC SurveyMktSPJ 7-8 Okt       ADUN SOPANDI</t>
  </si>
  <si>
    <t>BRI IDX OpBellRIssSwabAntigen 25Sep PRAJA SAPUTRA S</t>
  </si>
  <si>
    <t>LLG-MANDIRI       PAN CONVINCE MITRAPin Buk BCA       211015000779499157</t>
  </si>
  <si>
    <t>BRI KunKerDPR Bdo CashAditDiv SKP   MEERY ADRIAN</t>
  </si>
  <si>
    <t>TELKOM DIVRE302183700934     10RD HIDIANITJE DRA</t>
  </si>
  <si>
    <t>TSel TranscProQ2  SnackMtg 16-17Okt YOGI PURWO WIDODO</t>
  </si>
  <si>
    <t>BRI Cyperos Bali  DP Djampiro Band  INGE SUTANTO</t>
  </si>
  <si>
    <t>BRI Cyperos Bali  DP MC Putri Gorda DESAK PUTRI ARYANI</t>
  </si>
  <si>
    <t>Reimb KasKecil    MEERY ADRIAN</t>
  </si>
  <si>
    <t>TSel SupCampOutletSaldo My Ads      MEERY ADRIAN</t>
  </si>
  <si>
    <t>TSel ProgWithLegalSnack Mtg 14Oct   YOGI PURWO WIDODO</t>
  </si>
  <si>
    <t>BRI Cyperos Bali  DP Tenda+F Light  ADI H BDN UD MULTI</t>
  </si>
  <si>
    <t>BRI Cyperos Bali  Cash 5x20 Isti BRIMEERY ADRIAN</t>
  </si>
  <si>
    <t>BRI Cyperos Bali  DP Drumlight      RULAND YANUAR BOY</t>
  </si>
  <si>
    <t>BRI Agro RUPS LB  4 MultiCam 2Days  BAMBANG SUBARI</t>
  </si>
  <si>
    <t>CA-39/21 Frida    FRIDA ACHMADI</t>
  </si>
  <si>
    <t>CA-40/21 Patrice  MARIA PATRICIA SUG</t>
  </si>
  <si>
    <t>CR TANGGAL :20/10    TRANSFER   DR 008 PAN CONVINCE MITRAPLAZA MANDI</t>
  </si>
  <si>
    <t>CA-38/21 Yogi     YOGI PURWO WIDODO</t>
  </si>
  <si>
    <t>BRI Cyperos Bali  Lunas LEDvideo   RICHART FERNANDO</t>
  </si>
  <si>
    <t>BRI Cyperos Bali  55GoodieBags+Tas  EDI SUCIPTO</t>
  </si>
  <si>
    <t>BRI Cyperos Bali  Lunas SoundsLight PUTU CALVIN WIRATH</t>
  </si>
  <si>
    <t>BRI Cyperos Bali  DP VideoCam dll   RICHART FERNANDO</t>
  </si>
  <si>
    <t>BRI Cyperos Bali  Lunas Drumlight   RULAND YANUAR BOY</t>
  </si>
  <si>
    <t>BRI Cyperos Bali  Lunas DjampiroBandINGE SUTANTO</t>
  </si>
  <si>
    <t>BRI Cyperos Bali  DP1 Cycling.VWSafaBPW SAHADEWA BASUN</t>
  </si>
  <si>
    <t>CR 10/24 95031       LAPORAN CA NO 028 2021              YOGI PURWO WIDODO</t>
  </si>
  <si>
    <t>CR 10/24 95031       LAPORAN CA NO 031 TH 2021           YOGI PURWO WIDODO</t>
  </si>
  <si>
    <t>CR 10/24 95031       LAPORAN CA NO 038 THN 2021          YOGI PURWO WIDODO</t>
  </si>
  <si>
    <t>TSel TranscProgQ2 Salary Oktober    NADIA WULANDARI</t>
  </si>
  <si>
    <t>TSel InjectPktData65Org Okt         YOGI PURWO WIDODO</t>
  </si>
  <si>
    <t>SUMITAN ARTHA VALU</t>
  </si>
  <si>
    <t>BRI Cyperos Bali  CostingLO 22-24OktZETH JOHNNY ERTANT</t>
  </si>
  <si>
    <t>Salary PCMI Oct   DAVID HARSAMTO</t>
  </si>
  <si>
    <t>BRI Lombok        SewaMobil+PCR     SUHAELI</t>
  </si>
  <si>
    <t>Jotun Bali Trip   7KmrPadmaUbud12DecPURI ZUQNI PT</t>
  </si>
  <si>
    <t>BRI Cyperos Bali  Fee Gaker         FABIO KRISNAWANSYA</t>
  </si>
  <si>
    <t>BRI ParaOlimpiade Fee Design        FABIO KRISNAWANSYA</t>
  </si>
  <si>
    <t>BRI Cyperos Bali  Lunas MC PutriGordDESAK PUTRI ARYANI</t>
  </si>
  <si>
    <t>TSel ProgMediaAgenOps Sep-Okt       PARULIAN LUMMY SIT</t>
  </si>
  <si>
    <t>BRI Cyperos Bali  Tix GA CGKDPS     MAHMUD</t>
  </si>
  <si>
    <t>BRI KunKerDPR Bdg PO Fee            MARIA PATRICIA SUG</t>
  </si>
  <si>
    <t>RTGS-PT. BANK RAKYBRINIDJA/005117   FRIDA ACHMADI JAKATRANSFER</t>
  </si>
  <si>
    <t>BRI Cyperos Bali  Cash Wisnu BRI    RD HIDIANITJE DRA</t>
  </si>
  <si>
    <t xml:space="preserve">TARIKAN TUNAI </t>
  </si>
  <si>
    <t>CR 11/02 95031       SISA CA 41        MARIA PATRICIA SUG</t>
  </si>
  <si>
    <t>BRI PresCon TW3   Fee ApoHandling   NOFRI HADI</t>
  </si>
  <si>
    <t>TSel MICEInnoXtionCerti PubSpk 4Pax ARGA BANGUN BANGSA</t>
  </si>
  <si>
    <t>BRI Mikro Bali    Fee LO 7-9Oct     ZETH JOHNNY ERTANT</t>
  </si>
  <si>
    <t>BRI SouvenirDubai Silk Scraft 20Pcs MARIA PATRICIA SUG</t>
  </si>
  <si>
    <t>BRI Cyperos Bali  TK-7456-7472      FLYING VENES PERSA</t>
  </si>
  <si>
    <t>BRI Lombok        7179/80/94-7215/86FLYING VENES PERSA</t>
  </si>
  <si>
    <t>TSel RacingCompProCashBackAsiaWisataMEERY ADRIAN</t>
  </si>
  <si>
    <t>TSel InjectPktDataTokenListrikOkt   YOGI PURWO WIDODO</t>
  </si>
  <si>
    <t>BRI Cyperos Bali  IV-005725 LnsOleh2BPW SAHADEWA BASUN</t>
  </si>
  <si>
    <t>BRI IDX OpBellRIss3 Cam 28-29Sep    BAMBANG SUBARI</t>
  </si>
  <si>
    <t>Ind Power HUT 26  Lunas Streaming   FAJAR FERYANSYAH</t>
  </si>
  <si>
    <t>BRI MOU UMI       LED TV 11-13 Apr  SRI WAHYUNI NAWI</t>
  </si>
  <si>
    <t>BRI Agro RUPS LB  SoundSys 26-27Sep RISYAD FAUZIE</t>
  </si>
  <si>
    <t>BRI Cyperos Bali  Lunas VidCam dll  RICHART FERNANDO</t>
  </si>
  <si>
    <t>BRI Cyperos Bali  +an GoodieBags    EDI SUCIPTO</t>
  </si>
  <si>
    <t>BRI Cyperos Bali  MultiMedia ContentIBRAHIM SALADDIN</t>
  </si>
  <si>
    <t>BRI Cyperos Bali  100 Balon LED     SURYADI RAMADANA</t>
  </si>
  <si>
    <t>BRI Agro RUPS LB  9 Wireless EartechILHAM GUMELAR</t>
  </si>
  <si>
    <t>BRI MOU UMI       10 Laptop i7      MARBANGUN WIDAKDO</t>
  </si>
  <si>
    <t>BRI MOU UMI       SewaMeja Dll 12SepSAEPIH</t>
  </si>
  <si>
    <t>BRI IDX OpBellRIss6 CoffeeTable29SepSAEPIH</t>
  </si>
  <si>
    <t>BRI Agro RUPS LB  Meja IBM 27Sep    SAEPIH</t>
  </si>
  <si>
    <t>Medical 29Jul     RD HIDIANITJE DRA</t>
  </si>
  <si>
    <t>BRI Cyperos Bali  Ops Produksi FikriRD HIDIANITJE DRA</t>
  </si>
  <si>
    <t>BRI Cyperos Bali  6 PCR Test 19Oct  RD HIDIANITJE DRA</t>
  </si>
  <si>
    <t>TSel OBC Survey   22Pack MusangKing RD HIDIANITJE DRA</t>
  </si>
  <si>
    <t>CA-033/21         BRI Mikro Bali    MARIA PATRICIA SUG</t>
  </si>
  <si>
    <t>BRI Raker BUMN LB ProdSupv+SPJ 3D   DEDI PURWANTO SE</t>
  </si>
  <si>
    <t>BRI Cyperos Bali  Fl Mgr+SPJ 3D     DEDI PURWANTO SE</t>
  </si>
  <si>
    <t>BRI Cyperos Bali  Lap Ops 21-23Okt  DEDI PURWANTO SE</t>
  </si>
  <si>
    <t>BRI Raker BUMN LB Lap Ops 12-15Okt  DEDI PURWANTO SE</t>
  </si>
  <si>
    <t>CA-037/21 Alex    BRI Lombok        ALEXADRUS NULIADY</t>
  </si>
  <si>
    <t>BRI Mikro Bali    Lap Ops 7-10 Okt  ALEXADRUS NULIADY</t>
  </si>
  <si>
    <t>Lap Ops 21-24Okt  BRI Cyperos Bali  ALEXADRUS NULIADY</t>
  </si>
  <si>
    <t>BRI Lombok        SPJ PIC 14-15Okt  ANALITA YULISTYA C</t>
  </si>
  <si>
    <t>CR TRANSFER   DR 008 NITYASA CATUR PRIMPLAZA MANDI</t>
  </si>
  <si>
    <t>BRI IDX OpBellRIssFee All Crew 2DaysMOCH SUPRIYADI</t>
  </si>
  <si>
    <t>BRI IDX OpBellRIssLap Ops 27-29Sep  AHMAD WIDYA NUGRAH</t>
  </si>
  <si>
    <t>BRI Agro RUPS LB  Lap Ops 26Sep     AHMAD WIDYA NUGRAH</t>
  </si>
  <si>
    <t>BRI IDX OpBellRIssSwab 3 Pax        SASTRA DEWANGGA</t>
  </si>
  <si>
    <t>Indo Power HUT-26 Lap Ops 2-4Okt    DEDI PURWANTO SE</t>
  </si>
  <si>
    <t>Indo Power HUT-26 Fee ShowMgt 3-4OktTEUKU DONNYA SYAHP</t>
  </si>
  <si>
    <t>Indo Power HUT-26 SewaPeralatanVisuaSRI WAHYUNI NAWI</t>
  </si>
  <si>
    <t>BRI Cyperos Bali  DP Produksi       ROBERTUS BELLARMIN</t>
  </si>
  <si>
    <t>BRI Cyperos Bali  Lap Ops 21-24Okt  ANALITA YULISTYA C</t>
  </si>
  <si>
    <t>TSel e-Comm Prg Q4Koin Shopee ByuIndYOGI PURWO WIDODO</t>
  </si>
  <si>
    <t>BRI Cyperos Bali  Apo Handling 22OktPRAJA SAPUTRA S</t>
  </si>
  <si>
    <t>BRI Cyperos Bali  Add Rm PktMtg Dnr GRAHA ALAM LESTARI</t>
  </si>
  <si>
    <t>Byr Loan $10K     SAV-BCA 28Oct     DAVID HARSAMTO</t>
  </si>
  <si>
    <t>Retur Salah Trfs  DAVID HARSAMTO</t>
  </si>
  <si>
    <t>BANK DBS   TRANSFER VIA LLG  REF NO PPU :YWVR  David Harsamto</t>
  </si>
  <si>
    <t>BANK DBS   TRANSFER VIA LLG  REF NO PPU :YWW2  David Harsamto</t>
  </si>
  <si>
    <t>BANK DBS   TRANSFER VIA LLG  REF NO PPU :YWYY  David Harsamto</t>
  </si>
  <si>
    <t>BANK DBS   TRANSFER VIA LLG  REF NO PPU :YWZY  David Harsamto</t>
  </si>
  <si>
    <t>CITIBANK   TRANSFER VIA LLG  REF NO PPU :YW08  David Harsamto</t>
  </si>
  <si>
    <t>TSel ChangeChampioKonten 4-Nov      MUHAMAD MIRZA</t>
  </si>
  <si>
    <t>HSBC       TRANSFER VIA LLG  REF NO PPU :Y9JH  Nurlaila Hutabarat</t>
  </si>
  <si>
    <t>CA-042/21 Patrice MARIA PATRICIA SUG</t>
  </si>
  <si>
    <t>BRI Cyperos Bali  Lunas Produksi    ROBERTUS BELLARMIN</t>
  </si>
  <si>
    <t>TSel BestAgent CESLiwetanUltahHanangNINA HASILAH</t>
  </si>
  <si>
    <t>BRI MOU UMI       Sewa 5 Kamera 2D  BAMBANG SUBARI</t>
  </si>
  <si>
    <t>BRI Raker BUMN LB Pjk Gigi+Tix Mgr  SETIA BERSAMA MENC</t>
  </si>
  <si>
    <t>TSel RacingComp   CashBack ShopDriveMEERY ADRIAN</t>
  </si>
  <si>
    <t>TSel RacingComp   CashBackAsiaWisataMEERY ADRIAN</t>
  </si>
  <si>
    <t>TSel InjectPktDataOps PMD Jul-Aug   YOGI PURWO WIDODO</t>
  </si>
  <si>
    <t>BRI Cyperos Bali  IV-005727 PktOleh2BPW SAHADEWA BASUN</t>
  </si>
  <si>
    <t>BRI Cyperos Bali  Lunas TendaFairy LADI H BDN UD MULTI</t>
  </si>
  <si>
    <t>BRI Lombok        CA-036/21 Patrice MARIA PATRICIA SUG</t>
  </si>
  <si>
    <t>BRI IDX OpBaliRIssSw 8 Laptop i7 2D MARBANGUN WIDAKDO</t>
  </si>
  <si>
    <t>BRI Agro RUPS LB  Sw 9 Laptop 2Days MARBANGUN WIDAKDO</t>
  </si>
  <si>
    <t>BRI MOU UMI       9 Wireless ET 2D  ILHAM GUMELAR</t>
  </si>
  <si>
    <t>BRI MOU UMI       9 Wireless 2D CkrgILHAM GUMELAR</t>
  </si>
  <si>
    <t>BRI Cyperos Bali  SPJ 2D 23-24Okt   PRAJA SAPUTRA S</t>
  </si>
  <si>
    <t>BRI PresCon TW3   SPJ 2D 26-27Okt   PRAJA SAPUTRA S</t>
  </si>
  <si>
    <t>BRI PresCon TW3   SPJ 2D 26-27Okt   ANALITA YULISTYA C</t>
  </si>
  <si>
    <t>BRI PresCon TW3   SPJ 2D 26-27Okt   ALEXADRUS NULIADY</t>
  </si>
  <si>
    <t>BRI PresCon TW3   SPJ 1D 27Okt      MARIA PATRICIA SUG</t>
  </si>
  <si>
    <t>BRI PresCon TW3   SPJ 2D 26-27Okt   DEKA BAHANA</t>
  </si>
  <si>
    <t>BRI PresCon TW3   SPJ 2D 26-27Okt   SUPRIYADI</t>
  </si>
  <si>
    <t>BRI Cyperos Bali  Reimb Printingan  ALEXADRUS NULIADY</t>
  </si>
  <si>
    <t>BRI KunKer DPR JogPO Fee            MARIA PATRICIA SUG</t>
  </si>
  <si>
    <t>TEO BENG LEEPhotocopy Sept    -                 12161848</t>
  </si>
  <si>
    <t>CA-43/21 Frida    FRIDA ACHMADI</t>
  </si>
  <si>
    <t>HSBC       TRANSFER VIA LLG  REF NO PPU :ZN82  Nurlaila Hutabarat</t>
  </si>
  <si>
    <t>ByrAPLoan 27-Okt  BCA               NY NURLAILA HUTABA</t>
  </si>
  <si>
    <t>Pirelli 255/55/R182BanScorpionVerde TEDDY KARUCI</t>
  </si>
  <si>
    <t>CA-44/21 Yogi     YOGI PURWO WIDODO</t>
  </si>
  <si>
    <t>TSel PengGimPayloa4545 Utube PremiumSARANA YUKTI BANDH</t>
  </si>
  <si>
    <t>CA-45/21 Yogi     YOGI PURWO WIDODO</t>
  </si>
  <si>
    <t>CR 11/15 95031       PENGEMBALIAN CA 35MARIA PATRICIA SUG</t>
  </si>
  <si>
    <t>BRI FGD K BUMN    40 MicConfBosch900ADITYA CHANDRA KUS</t>
  </si>
  <si>
    <t>BRI FGD K BUMN    Genset 40KVA      CV INOVASI ENERGI</t>
  </si>
  <si>
    <t>Byr AP Loan 11Nop BCA               DAVID HARSAMTO</t>
  </si>
  <si>
    <t>Byr AP Loan 12-NopBCA               DAVID HARSAMTO</t>
  </si>
  <si>
    <t>Byr AP Loan 15-NopBCA               DAVID HARSAMTO</t>
  </si>
  <si>
    <t>TSel RacingCompProCashBackShop+DriveMEERY ADRIAN</t>
  </si>
  <si>
    <t>LINKAJA     -                 -                 08118035454</t>
  </si>
  <si>
    <t>TEO BENG LEEPhotocopy Oktober -                 12161848</t>
  </si>
  <si>
    <t>Internet Nopember Panconvince       MORA TELEMATIKA IN</t>
  </si>
  <si>
    <t>BRI No Hoax       Cam+Tripod+Light  BAMBANG SUBARI</t>
  </si>
  <si>
    <t>BRI IDX OpBellRIssSoundSys 5KW 2D   RISYAD FAUZIE</t>
  </si>
  <si>
    <t>BRI Cyperos Bali  Add Cost Produksi ROBERTUS BELLARMIN</t>
  </si>
  <si>
    <t>BRI MOU UMI       SewaKainHitam 13/9PURWANTO</t>
  </si>
  <si>
    <t>BRI IDX OpBellRIss9 WireslessEartechILHAM GUMELAR</t>
  </si>
  <si>
    <t>Jotun Bali Trip   TK-8185           FLYING VENES PERSA</t>
  </si>
  <si>
    <t>Overtime Oktober  SUKANDA</t>
  </si>
  <si>
    <t>Overtime Oktober  MUHAMMAD UJER AWAL</t>
  </si>
  <si>
    <t>Overtime Oktober  SUPRIYADI</t>
  </si>
  <si>
    <t>BRI Mikro Bali    Ops Exp Age 8-Okt AHMAD WIDYA NUGRAH</t>
  </si>
  <si>
    <t>BRI PresCon TW3   Kcmt StLaurentAdriRD HIDIANITJE DRA</t>
  </si>
  <si>
    <t>TSel BestAgentCES HarvestCake ESEM  RD HIDIANITJE DRA</t>
  </si>
  <si>
    <t>TSel OBC Survey   5 Lacoste         RD HIDIANITJE DRA</t>
  </si>
  <si>
    <t>LinkAjaPelatihanAg274 NewNormalKit  RD HIDIANITJE DRA</t>
  </si>
  <si>
    <t>BRI Cyperos Bali  Google Nest Mini  RD HIDIANITJE DRA</t>
  </si>
  <si>
    <t>BRI Cyperos Bali  75 Pouch Bening   RD HIDIANITJE DRA</t>
  </si>
  <si>
    <t>BRI MonthlyMtgAg  SPJ PIC 2D        ALEXADRUS NULIADY</t>
  </si>
  <si>
    <t>BRI MonthlyMtgAg  SPJ PIC 2D        ANALITA YULISTYA C</t>
  </si>
  <si>
    <t>BRI MonthlyMtgAg  SPJ PIC 2D        PRAJA SAPUTRA S</t>
  </si>
  <si>
    <t>BRI MonthlyMtgAg  SPJ PIC 1D 10-Nop FRIDA ACHMADI</t>
  </si>
  <si>
    <t>BRI MonthlyMtgAg  SPJ Driver 2D     SUPRIYADI</t>
  </si>
  <si>
    <t>BRI MonthlyMtgAg  SPJ Driver 1D     MUHAMMAD UJER AWAL</t>
  </si>
  <si>
    <t>BRI IDX OpBellRIssSPJ Driver 1D     MUHAMMAD UJER AWAL</t>
  </si>
  <si>
    <t>BRI Cyperos Bali  52 PortableAirPuriRD HIDIANITJE DRA</t>
  </si>
  <si>
    <t>CR 11/17 95031       SISA BS FRIDA BRI CYPERUS BALI      FRIDA ACHMADI</t>
  </si>
  <si>
    <t>CR 11/19 95031       LAPORAN CA 044 TH 2021 YOGIWIDOD    YOGI PURWO WIDODO</t>
  </si>
  <si>
    <t>TSel SalesColabAEMOps Project       YOGI PURWO WIDODO</t>
  </si>
  <si>
    <t>LINKAJA     -                 -                 9903883534</t>
  </si>
  <si>
    <t>TELKOM DIVRE302183700934     11RD HIDIANITJE DRA 6019009502943712</t>
  </si>
  <si>
    <t>AR StafLoan Kanda NikahAnak 12xAngs SUKANDA</t>
  </si>
  <si>
    <t>Byr AP Loan 17Nop BCA               DAVID HARSAMTO</t>
  </si>
  <si>
    <t>Byr AP Loan 19-NopBCA               DAVID HARSAMTO</t>
  </si>
  <si>
    <t>Byr AP Loan 20-NopBCA               DAVID HARSAMTO</t>
  </si>
  <si>
    <t>CR 11/22 95031       SISA CA 040       MARIA PATRICIA SUG</t>
  </si>
  <si>
    <t>TSel Onboarding MCM InhouseTrf  KE FLYING VENES PERSADA</t>
  </si>
  <si>
    <t xml:space="preserve">Clearing Fee         Pin Buk BCA       Clearing Fee  </t>
  </si>
  <si>
    <t>BRI RUPS LB Jul    MCM InhouseTrf  KE IBNU CHUZAYMAH</t>
  </si>
  <si>
    <t>Mandiri Visa JT17Aug     MCM InhouseTrf  KE DAVID HARSAMTO</t>
  </si>
  <si>
    <t>Pin Buk BCA 5750489666/OI36000898102040</t>
  </si>
  <si>
    <t>Pin Buk BCA MCM Outw CN  RD Hidianitje</t>
  </si>
  <si>
    <t xml:space="preserve">Clearing Fee         Pin Buk BCA     Clearing Fee  </t>
  </si>
  <si>
    <t>Tsel Onboarding     MCM InhouseTrf  KE FLYING VENES PERSADA</t>
  </si>
  <si>
    <t>Konstr Gedung Aug    MCM InhouseTrf  KE PANTRAVEL</t>
  </si>
  <si>
    <t>Listrik PCMI Aug   MCM InhouseTrf  KE PANTRAVEL</t>
  </si>
  <si>
    <t xml:space="preserve">PENGEMBALIAN DANA OPERATION Setor Tunai  </t>
  </si>
  <si>
    <t>Pin Buk BCA   5750489666/OI36000898215066</t>
  </si>
  <si>
    <t xml:space="preserve">Transfer Fee         Pin Buk BCA       </t>
  </si>
  <si>
    <t>Salary PCMI Aug  MCM Outw CN  David Harsamto</t>
  </si>
  <si>
    <t xml:space="preserve">Clearing Fee         Salary PCMI Aug  Clearing Fee  </t>
  </si>
  <si>
    <t>Pin Buk BCA    MCM Outw CN  RD Hidianitje</t>
  </si>
  <si>
    <t xml:space="preserve">Clearing Fee         Pin Buk BCA Clearing Fee  </t>
  </si>
  <si>
    <t>Mdr LaunchAndroidEDC   MCM InhouseTrf  KE AYU WULAN ANGGRENI</t>
  </si>
  <si>
    <t>DBS Visa JT6Sep  MCM Outw CN  David Harsamto</t>
  </si>
  <si>
    <t xml:space="preserve">Clearing Fee         DBS Visa JT6Sep Clearing Fee  </t>
  </si>
  <si>
    <t>DBS Master JT6Sep   MCM Outw CN  David Harsamto</t>
  </si>
  <si>
    <t xml:space="preserve">Clearing Fee         DBS Master JT6Sep  Clearing Fee  </t>
  </si>
  <si>
    <t>Citi Visa JT-7Sep     MCM Outw CN  David Harsamto</t>
  </si>
  <si>
    <t xml:space="preserve">Clearing Fee         Citi Visa JT-7Sep  Clearing Fee  </t>
  </si>
  <si>
    <t>BRI KunKer Jogja    MCM InhouseTrf  KE FLYING VENES PERSADA</t>
  </si>
  <si>
    <t>TSel PengadaanVchr    MCM InhouseTrf  KE DWINE FATIMAH AZZAHRA</t>
  </si>
  <si>
    <t>TSel Pengadaan Vchr   MCM InhouseTrf  KE DWINE FATIMAH AZZAHRA</t>
  </si>
  <si>
    <t>TSel Prog Media Agen    MCM InhouseTrf  KE ANDI MARIO</t>
  </si>
  <si>
    <t>Mandiri Visa JT17Sep    MCM InhouseTrf  KE DAVID HARSAMTO</t>
  </si>
  <si>
    <t>Kontribusi BM Sept    MCM InhouseTrf  KE PANTRAVEL</t>
  </si>
  <si>
    <t>Pin Buk BRI   Online Trf  435441 112501000255301Transfer Fee         Pin Buk BRI</t>
  </si>
  <si>
    <t>Transfer Fee         Pin Buk BRI      Transfer Fee</t>
  </si>
  <si>
    <t>Listrik September MCM InhouseTrf  KE PANTRAVEL</t>
  </si>
  <si>
    <t>TSel MICE InnoXtion MCM InhouseTrf  KE PERSEKUTUAN PERDATA BP PARTNERSHIP</t>
  </si>
  <si>
    <t>TSel TranscProgQ2    MCM Outw CN  Umiyati</t>
  </si>
  <si>
    <t xml:space="preserve">Clearing Fee         TSel TranscProgQ2  Clearing Fee  </t>
  </si>
  <si>
    <t>Salary PCMI Sep   MCM Outw CN  David Harsamto</t>
  </si>
  <si>
    <t xml:space="preserve">Clearing Fee         Salary PCMI Sep    Clearing Fee  </t>
  </si>
  <si>
    <t>Pin Buk BCA  5750489666/OI36000898718661</t>
  </si>
  <si>
    <t>TSel Office2Office    MCM InhouseTrf  KE ANDI MARIO</t>
  </si>
  <si>
    <t xml:space="preserve">2 REF BANK   Biaya rupa2  </t>
  </si>
  <si>
    <t>Citibank Visa JT6Oct  Online Trf  425862 8013431560Transfer Fee         Citibank Visa JT6Oc</t>
  </si>
  <si>
    <t>Transfer Fee         Citibank Visa JT6Oc. Transfer Fee</t>
  </si>
  <si>
    <t>DBS Master JT5Oct  MCM Outw CN  David Harsamto</t>
  </si>
  <si>
    <t xml:space="preserve">Clearing Fee         DBS Master JT5Oct  Clearing Fee  </t>
  </si>
  <si>
    <t>DBS Visa JT5Oct  MCM Outw CN  David Harsamto</t>
  </si>
  <si>
    <t xml:space="preserve">Clearing Fee         DBS Visa JT5Oct    Clearing Fee  </t>
  </si>
  <si>
    <t xml:space="preserve">Clearing Fee         Pin Buk BRI      Clearing Fee  </t>
  </si>
  <si>
    <t>Pin Buk BRI    MCM Outw CN  PT Pan Convince Mitra International</t>
  </si>
  <si>
    <t>Pin Buk BCA  5750489666/OI36000898843330</t>
  </si>
  <si>
    <t>BRI Raker BUMN LB    MCM InhouseTrf  KE NITYASA CATUR PRIMA</t>
  </si>
  <si>
    <t>MCM Outw CN  RD Hidianitje</t>
  </si>
  <si>
    <t xml:space="preserve">Clearing Fee         202110111709489484 Clearing Fee  </t>
  </si>
  <si>
    <t>Pin Buk BCA   5750489666/OI36000898871823</t>
  </si>
  <si>
    <t>SALAH TRF  Transfer  DARI DAVID HARSAMTO</t>
  </si>
  <si>
    <t>BRI Cyperos Bali   MCM Outw CN  Graha Alam Lestari PT</t>
  </si>
  <si>
    <t xml:space="preserve">Clearing Fee         BRI Cyperos Bali   Clearing Fee  </t>
  </si>
  <si>
    <t>Pin Buk BCA     5750489666/OI36000898895688</t>
  </si>
  <si>
    <t>TSel ProgWithLegalOn    MCM Outw CN  Iskandar Syahpura</t>
  </si>
  <si>
    <t xml:space="preserve">Clearing Fee         TSel ProgWithLegalO. Clearing Fee  </t>
  </si>
  <si>
    <t>Transfer Fee         TSel Evaluasi PK   Transfer Fee</t>
  </si>
  <si>
    <t>TSel Evaluasi PK    Online Trf  145193 0016544080Transfer Fee         TSel Evaluasi PK</t>
  </si>
  <si>
    <t>Dipinjam PCMI  MCM InhouseTrf  DARI DAVID HARSAMTO</t>
  </si>
  <si>
    <t>BRI Cyperos Bali   MCM Outw CN  Anak Agung Manik Kartika Apriliasari</t>
  </si>
  <si>
    <t>TSel ProgGamesPublis    MCM InhouseTrf  KE IBRAHIM MAULANA</t>
  </si>
  <si>
    <t>Mandiri Visa JT-7Nop   MCM InhouseTrf  KE DAVID HARSAMTO</t>
  </si>
  <si>
    <t xml:space="preserve"> PRMA CR Transf  1220004875566       6019009502943712</t>
  </si>
  <si>
    <t>BRI Cyperos Bali  MCM Outw CN  Maliana</t>
  </si>
  <si>
    <t>BRI Cyperos Bali  MCM InhouseTrf  KE FLYING VENES PERSADA</t>
  </si>
  <si>
    <t>BRI Cyperos Bali    MCM InhouseTrf  KE FLYING VENES PERSADA</t>
  </si>
  <si>
    <t>BRI Cyperos Bali   MCM InhouseTrf  KE FLYING VENES PERSADA</t>
  </si>
  <si>
    <t>BRI Lombok    MCM InhouseTrf  KE FLYING VENES PERSADA</t>
  </si>
  <si>
    <t>RTR-0090-NM BDA-ISKANDAR SYAH    MTS-Trf-Kredit  385RTR-0090-NM BDA-ISKANDAR SYAH</t>
  </si>
  <si>
    <t>BRI Cyperos Bali    \MCM Outw CN  Graha Alam Lestari PT</t>
  </si>
  <si>
    <t>BRI Raker BUMN LB  MCM InhouseTrf  KE FLYING VENES PERSADA</t>
  </si>
  <si>
    <t>TSel MICE InnoXtion      MCM InhouseTrf  KE BASANI SITUMORANG</t>
  </si>
  <si>
    <t>BRI Cyperos Bali     MCM InhouseTrf  KE RIZKY SULISTYOWATI</t>
  </si>
  <si>
    <t>BRI Mikro Bali    MCM InhouseTrf  KE FLYING VENES PERSADA</t>
  </si>
  <si>
    <t>Visa Mandiri 18-Oct   MCM InhouseTrf  KE DAVID HARSAMTO</t>
  </si>
  <si>
    <t>Pin Buk BCA 5750489666/OI36000898949373</t>
  </si>
  <si>
    <t>BRI Cyperos Bali      MCM Outw CN  Graha Alam Lestari PT</t>
  </si>
  <si>
    <t>BRI Mikro Bali   MCM InhouseTrf  KE ROBERTUS BELLARMINO DHANY AS</t>
  </si>
  <si>
    <t>TSel MICE InnoXtion  MCM Outw CN  Ekipa Agile Consultancy PT</t>
  </si>
  <si>
    <t xml:space="preserve">Clearing Fee         TSel MICE InnoXtion.  Clearing Fee  </t>
  </si>
  <si>
    <t>Pin Buk BCA     5750489666/OI36000898964429</t>
  </si>
  <si>
    <t>Pin Buk BCA   5750489666/OI36000898969181</t>
  </si>
  <si>
    <t>TSel ProgWithLegalOP    MCM Outw CN  Iskandar Syahputra</t>
  </si>
  <si>
    <t>BRI Cyperos Bali  MCM InhouseTrf  KE RIZKY SULISTYOWATI</t>
  </si>
  <si>
    <t>Dipinjam PCMI      MCM InhouseTrf  DARI DAVID HARSAMTO</t>
  </si>
  <si>
    <t>TSel Pengadaan Vchr  MCM InhouseTrf  KE DWINE FATIMAH AZZAHRA</t>
  </si>
  <si>
    <t>TSel Onboarding    Online Trf  479857 0899769084Transfer Fee         TSel Onboarding</t>
  </si>
  <si>
    <t>MCM InhouseTrf  DARI SUMITAN ARTHA VALUTAMA</t>
  </si>
  <si>
    <t>Salary PCMI Okt     MCM Outw CN  David Harsamto</t>
  </si>
  <si>
    <t xml:space="preserve">Clearing Fee         Salary PCMI Okt    Clearing Fee  </t>
  </si>
  <si>
    <t>BRI Cyperos Bali    MCM Outw CN  BPK FIKRI  MAGITUF</t>
  </si>
  <si>
    <t>Listrik Okt     MCM InhouseTrf  KE PANTRAVEL</t>
  </si>
  <si>
    <t>BM Konstribusi Okt    MCM InhouseTrf  KE PANTRAVEL</t>
  </si>
  <si>
    <t>BRI Cyperos Bali     MCM Outw CN  Indah Putri Handayani</t>
  </si>
  <si>
    <t>BRI Raker BUMN LB  MCM Outw CN  Ignasius Suradin</t>
  </si>
  <si>
    <t xml:space="preserve">Clearing Fee         BRI Raker BUMN LB  Clearing Fee  </t>
  </si>
  <si>
    <t>Pin Buk Mandir Inward RTGS  PAN CONVINCE MITRA IPT. BANK RAKYAT INDONESIA (PERSERO), TBK</t>
  </si>
  <si>
    <t>ByrAPLoanHSBC-15Okt MCM Outw CN  Nurlaila Hutabarat</t>
  </si>
  <si>
    <t xml:space="preserve">Clearing Fee         ByrAPLoanHSBC-15Okt. Clearing Fee  </t>
  </si>
  <si>
    <t>TSel IK Dubai Expo   MCM InhouseTrf  KE AMOS TOUR INDONESIA</t>
  </si>
  <si>
    <t xml:space="preserve">Clearing Fee         ByrAPLoan US$10K  Clearing Fee  </t>
  </si>
  <si>
    <t>GM TRIP TO BALI      0068827   MCM InhouseTrf  DARI JOTUN INDONESIA</t>
  </si>
  <si>
    <t>BRI Agro RUPS LB    MCM InhouseTrf  KE IBNU CHUZAYMAH</t>
  </si>
  <si>
    <t xml:space="preserve"> Cost of goods </t>
  </si>
  <si>
    <t>Ayat Silang</t>
  </si>
  <si>
    <t xml:space="preserve"> Personnel Expense </t>
  </si>
  <si>
    <t>Telkomsel Program Games Publishing</t>
  </si>
  <si>
    <t>BCA to BRI</t>
  </si>
  <si>
    <t>Bank charge</t>
  </si>
  <si>
    <t>a</t>
  </si>
  <si>
    <t>BRI Cyperos Bali  Fee MM+SPJ 3D     DEKA BAHANA</t>
  </si>
  <si>
    <t>Ind Power HUT-26  Multimedia        IBRAHIM SALADDIN</t>
  </si>
  <si>
    <t>LINKAJA     9903883534</t>
  </si>
  <si>
    <t>Salary PCMI Nop   DAVID HARSAMTO</t>
  </si>
  <si>
    <t>CA 046/2021       MEERY ADRIAN</t>
  </si>
  <si>
    <t>SDR IGNASIUS  SURA46.46.46.46</t>
  </si>
  <si>
    <t>AR Staf Loan Ujer DAVID HARSAMTO</t>
  </si>
  <si>
    <t>AR Staf Loan KandaDAVID HARSAMTO</t>
  </si>
  <si>
    <t>AR Staf Loan Yadi DAVID HARSAMTO</t>
  </si>
  <si>
    <t>Salary PCMI Nov   ME to 100%        DAVID HARSAMTO</t>
  </si>
  <si>
    <t>BRI VidMappingUAE DP 50Pct Shooting ANDRA GUNAWAN</t>
  </si>
  <si>
    <t>DIPINJAM PCMI     DAVID HARSAMTO</t>
  </si>
  <si>
    <t>BRI Launch OVO UC DP Artis RAN      CAKRAWALA INDONESI</t>
  </si>
  <si>
    <t>Jotun Bali Trip   7Rms 2Nt HD Mtg   KARANG MAS SEJAHTE</t>
  </si>
  <si>
    <t>Jotun Bali Trip   1Rm 1Nt TL        PESONA BALI RAYA A</t>
  </si>
  <si>
    <t>KPEI TeamBulidVirtDP Chaplin Band   DENNI PRATOMOAJI</t>
  </si>
  <si>
    <t>BRI Monthly MAS   SPJ PIC 2D        DEKA BAHANA</t>
  </si>
  <si>
    <t>BRI Monthly MAS   Fee 6 Ushers      DWITA SEPTIANA</t>
  </si>
  <si>
    <t>BRI Monthly MAS   Fee 5 All Crews   MOCH SUPRIYADI</t>
  </si>
  <si>
    <t>TSel OBC SurveyMMTRunner Meals 15NovWAHYU TRI HARYADI</t>
  </si>
  <si>
    <t>TSel OBC SurveyMMTSPJ PIC 2Days     ALEXADRUS NULIADY</t>
  </si>
  <si>
    <t>TSel OBC SurveyMMTSPJ PIC 2Days     ANALITA YULISTYA C</t>
  </si>
  <si>
    <t>TSel OBC SurveyMMTSPJ PIC 2Days     PRAJA SAPUTRA S</t>
  </si>
  <si>
    <t>TSel OBC SurveyMMTSPJ PIC 2 Days    DEKA BAHANA</t>
  </si>
  <si>
    <t>BRI FGD K BUMN    SPJ PIC 2Days     DEKA BAHANA</t>
  </si>
  <si>
    <t>BRI FGD K BUMN    SPJ Driver 2Days  SUPRIYADI</t>
  </si>
  <si>
    <t>BRI FGD K BUMN    SPJ PIC 2 Days    PRAJA SAPUTRA S</t>
  </si>
  <si>
    <t>BRI FGD K BUMN    Lap Ops 16-17 Nop MARIA PATRICIA SUG</t>
  </si>
  <si>
    <t>TSel e-CommProgQ4 TopUpKoinShopee   YOGI PURWO WIDODO</t>
  </si>
  <si>
    <t>Ind Power HUT-26  SoundSys 3-4 Okt  RISYAD FAUZIE</t>
  </si>
  <si>
    <t>BRI Mikro Bali    Sewa Mobil dll    BPW SAHADEWA BASUN</t>
  </si>
  <si>
    <t>TSel Onboarding   Inv 309498        SEJAHTERA KARYA IN</t>
  </si>
  <si>
    <t>Ind Power HUT-26  10 Laptop i7 2DaysMARBANGUN WIDAKDO</t>
  </si>
  <si>
    <t>Ind Power HUT-26  9 WirelessEartech ILHAM GUMELAR</t>
  </si>
  <si>
    <t>TSel TransProg Q2 UI/UX Muh Salim   MUHAMMAD SALIM</t>
  </si>
  <si>
    <t>TSel TransProg Q2 FreelanceSalaryNovNADIA WULANDARI</t>
  </si>
  <si>
    <t>TSel TranscProgQ2 UI/UX Fajrin Arr  FAJRIN ARRAHMAN BI</t>
  </si>
  <si>
    <t>KPEI TeamBuildVirtDP StudioSepat    HERWIEN</t>
  </si>
  <si>
    <t>Konstr Gedung Nop  MCM InhouseTrf  KE PANTRAVEL</t>
  </si>
  <si>
    <t>Listrik Nopember    MCM InhouseTrf  KE PANTRAVEL</t>
  </si>
  <si>
    <t>TSe Pengadaan Vchr    MCM InhouseTrf  KE DWINE FATIMAH AZZAHRA</t>
  </si>
  <si>
    <t>TSel MICE InnoXtion    MCM InhouseTrf  KE PERSEKUTUAN PERDATA BP PARTNERSHIP</t>
  </si>
  <si>
    <t>BRI Raker BUMN Lbajo MCM InhouseTrf  KE FLYING VENES PERSADA</t>
  </si>
  <si>
    <t>TSel MICE InnoXtion   MCM InhouseTrf  KE ANDIKA MARTANTO</t>
  </si>
  <si>
    <t>TSel Transc Prog Q2    MCM Outw CN  Sdri Feidora Nadia Putri</t>
  </si>
  <si>
    <t xml:space="preserve">Clearing Fee         TSel Transc Prog Q2. Clearing Fee  </t>
  </si>
  <si>
    <t>TSel Transc Prog Q2  MCM Outw CN  Sdri Indirawati Maulina Darwis</t>
  </si>
  <si>
    <t xml:space="preserve">Clearing Fee         TSel Transc Prog Q2 Clearing Fee  </t>
  </si>
  <si>
    <t>Pin Buk BCA    5750489666/OI36000899541750</t>
  </si>
  <si>
    <t>Salary PCMI Nop   MCM Outw CN  David Harsamto</t>
  </si>
  <si>
    <t xml:space="preserve">Clearing Fee         Salary PCMI Nop    Clearing Fee  </t>
  </si>
  <si>
    <t>DBS VisaBlackJT30Nop     MCM Outw CN  David Harsamto</t>
  </si>
  <si>
    <t xml:space="preserve">Clearing Fee         DBS VisaBlackJT30No. Clearing Fee  </t>
  </si>
  <si>
    <t>BRI VideoMapping UAE      MCM InhouseTrf  KE ALIMUDIN</t>
  </si>
  <si>
    <t>Pin Buk BCA    5750489666/OI36000899607011</t>
  </si>
  <si>
    <t>TSel UIUX AcademyPro   MCM InhouseTrf  KE FLYING VENES PERSADA</t>
  </si>
  <si>
    <t>Fee SINGLE CN BRI CMS 4315387  ESB:T:0374651:CMS</t>
  </si>
  <si>
    <t>Pin Buk Mandiri  ESB:T:0374661:CMS</t>
  </si>
  <si>
    <t>BTN to BCA</t>
  </si>
  <si>
    <t>TRF BERSAMA FROM YOGI PURWO WIDOD LA   112501000255301ATM 5307952028102896</t>
  </si>
  <si>
    <t>Inv via CBMM</t>
  </si>
  <si>
    <t>4a</t>
  </si>
  <si>
    <t xml:space="preserve">Add Cost </t>
  </si>
  <si>
    <t>Telkomsel Program Media Agency</t>
  </si>
  <si>
    <t>Telkomsel Pengadaan Voucher</t>
  </si>
  <si>
    <t>BRI FGD Ayana 3</t>
  </si>
  <si>
    <t>Phase I</t>
  </si>
  <si>
    <t>Gladi Bersih</t>
  </si>
  <si>
    <t>BRI Transport  3</t>
  </si>
  <si>
    <t>Telkomsel byU Delivery With Joy</t>
  </si>
  <si>
    <t>Telkomsel Sosialisasi New Fitur MyEnterprise</t>
  </si>
  <si>
    <t xml:space="preserve">Telkomsel Program Games Publishing </t>
  </si>
  <si>
    <t>Invoice Produksi ke Div Marcomm</t>
  </si>
  <si>
    <t>Invoice Talent - Div WMG</t>
  </si>
  <si>
    <t>Inv . Titipan BAYU</t>
  </si>
  <si>
    <t>BRI Transport  4</t>
  </si>
  <si>
    <t xml:space="preserve">Telkomsel CIMA </t>
  </si>
  <si>
    <t>Produksi</t>
  </si>
  <si>
    <t>Fee MC</t>
  </si>
  <si>
    <t>BRI RUPST LB  Juli 2021</t>
  </si>
  <si>
    <t>BNI</t>
  </si>
  <si>
    <t xml:space="preserve">BNI Signing Ceremony </t>
  </si>
  <si>
    <t>Phase 2</t>
  </si>
  <si>
    <t>Telkomsel Inject Paket Data/Top Up Pulsa/ Token Listrik</t>
  </si>
  <si>
    <t>Invoice III - dibuat th 2021</t>
  </si>
  <si>
    <t>Telkomsel Sales Colaboration with EAM Team</t>
  </si>
  <si>
    <t>Telkomsel Racing Competition Program</t>
  </si>
  <si>
    <t>Telkomsel OBC Survey Market &amp; Modern Trade</t>
  </si>
  <si>
    <t>Telkomsel Program With Legal On Policy &amp; Compliance</t>
  </si>
  <si>
    <t>Saint Gobain Indonesia</t>
  </si>
  <si>
    <t>SGI Gyproc Migration</t>
  </si>
  <si>
    <t>BRI Agro</t>
  </si>
  <si>
    <t>Telkomsel Sewa Mobil</t>
  </si>
  <si>
    <t>BRI IDX Opening Bell Right Issue</t>
  </si>
  <si>
    <t>Indonesia Power</t>
  </si>
  <si>
    <t>BRI Mikro Bali</t>
  </si>
  <si>
    <t>Telkomsel Change Champion</t>
  </si>
  <si>
    <t>Telkomsel Campaign Outlet via MyAds</t>
  </si>
  <si>
    <t>Telkomsel High Value Costumer Online Rewards</t>
  </si>
  <si>
    <t>BRI Transport 5</t>
  </si>
  <si>
    <t>Akomodasi</t>
  </si>
  <si>
    <t>BRI Souvenir Dubai</t>
  </si>
  <si>
    <t>Telkomsel E-Commerce Program Q4</t>
  </si>
  <si>
    <t>Telkomsel Pengadaan Gimmicks Payload User</t>
  </si>
  <si>
    <t>Jotun Indonesia</t>
  </si>
  <si>
    <t>Jotun Bali Trip</t>
  </si>
  <si>
    <t>Invoice I</t>
  </si>
  <si>
    <t xml:space="preserve">BRI FIT SKP Media </t>
  </si>
  <si>
    <t>Invoice II</t>
  </si>
  <si>
    <t>BRI Iwabri Bandung</t>
  </si>
  <si>
    <t>Telkom</t>
  </si>
  <si>
    <t>Telkom Indonesia Keren Dubai Expo</t>
  </si>
  <si>
    <t>Telkomsel Meeting Joint Program BNI 2022</t>
  </si>
  <si>
    <t>Apr</t>
  </si>
  <si>
    <t>May</t>
  </si>
  <si>
    <t>Jun</t>
  </si>
  <si>
    <t>Jul</t>
  </si>
  <si>
    <t>Aug</t>
  </si>
  <si>
    <t>Sep</t>
  </si>
  <si>
    <t>Oct</t>
  </si>
  <si>
    <t>Nov</t>
  </si>
  <si>
    <t>BRI FGD K BUMN</t>
  </si>
  <si>
    <t>BRI Hampers Pemimpin Redaksi</t>
  </si>
  <si>
    <t>BRI Himbara Pemimpin Redaksi Bali</t>
  </si>
  <si>
    <t>BRI Launching Double Care</t>
  </si>
  <si>
    <t>BRI Kunjungan Kerja DPR Bandung</t>
  </si>
  <si>
    <t xml:space="preserve">BRI Investor Ultra Micro Ecosystem </t>
  </si>
  <si>
    <t>BRI Kunjungan Kerja DPR Jogja</t>
  </si>
  <si>
    <t>BRI Launching Liga 1</t>
  </si>
  <si>
    <t>BRI Lombok</t>
  </si>
  <si>
    <t>BRI Hampers</t>
  </si>
  <si>
    <t>BRI FGD Lintas Kementerian</t>
  </si>
  <si>
    <t>BRI Monthly Meeting Agenda Setting</t>
  </si>
  <si>
    <t xml:space="preserve">BRI Kunjungan Kerja Serang </t>
  </si>
  <si>
    <t xml:space="preserve">BRI Press Conference Triwulan I </t>
  </si>
  <si>
    <t>BRI Press Conference Triwulan 2</t>
  </si>
  <si>
    <t>BRI Press Conference Triwulan 3</t>
  </si>
  <si>
    <t>BRI Transport 1</t>
  </si>
  <si>
    <t>Telkomsel MICE InnoXtion</t>
  </si>
  <si>
    <t>PDOT Astindo Travel Fair</t>
  </si>
  <si>
    <t>BRI Kunjungan Kerja Serang</t>
  </si>
  <si>
    <t>Telkomsel Onboarding</t>
  </si>
  <si>
    <t>BRI Pengukuhan Team Elang</t>
  </si>
  <si>
    <t>BRI Press Conference Lebaran</t>
  </si>
  <si>
    <t>Telkomsel From Good to Great</t>
  </si>
  <si>
    <t>Telkomsel from Good to Great</t>
  </si>
  <si>
    <t>Link Aja Bincang Sinergi BUMN</t>
  </si>
  <si>
    <t>BRI SMESCO</t>
  </si>
  <si>
    <t>BRI MOU UMI</t>
  </si>
  <si>
    <t>BRI Agro RUPS Luar Biasa</t>
  </si>
  <si>
    <t>Indonesia Power HUT ke 26 Tahun</t>
  </si>
  <si>
    <t>BRI Transport 3</t>
  </si>
  <si>
    <t>BRI No Hoax</t>
  </si>
  <si>
    <t>Telkomsel Transaction Program Q2</t>
  </si>
  <si>
    <t>BRI Mikro Bali     DP Produksi       ROBERTUS BELLARMIN</t>
  </si>
  <si>
    <t>Telkomsel Moana Agustus</t>
  </si>
  <si>
    <t>BRI Paralimpiade</t>
  </si>
  <si>
    <t>KPEI Team Building Virtual</t>
  </si>
  <si>
    <t>BRI Video Mapping UEA</t>
  </si>
  <si>
    <t>Telkomsel MICE InnoXtion 2019</t>
  </si>
  <si>
    <t>BRI Video Mapping UAE</t>
  </si>
  <si>
    <t>BRI FGD Ayana 4 - SwabCrew T:0374662:CMS</t>
  </si>
  <si>
    <t>BRI RUPS Luar Biasa Juli</t>
  </si>
  <si>
    <t>BRI RUPST Luar Biasa  Juli</t>
  </si>
  <si>
    <t>Cash withdrawal to 359777 Meery Adrian : Total Rp. 800.000.000</t>
  </si>
  <si>
    <t>MUTASI 2021</t>
  </si>
  <si>
    <t>PT TELEKOMUNIKASI SELULAR - 031 : Total Rp. 427.231.096</t>
  </si>
  <si>
    <t>Other income</t>
  </si>
  <si>
    <t>PT TELEKOMUNIKASI SELULAR - 031 : Total Rp. 427.231.096 = Lebih Bayar</t>
  </si>
  <si>
    <t>Inward RTGS  PT TELEKOMUNIKASI SELULARCITIBANK, N.A.: Rp. 1.091.304.480</t>
  </si>
  <si>
    <t>286 COM Jasa EO BRI Mikro SME Index  : Rp. 204.909.091</t>
  </si>
  <si>
    <t>585 COM EVT Jasa EO Press Conf Layanan : Rp. 267.272.728</t>
  </si>
  <si>
    <t>592 CSM SPS Strategi Pemulihan Ekonomi  : Rp. 846.363.637</t>
  </si>
  <si>
    <t>592 CSM SPS Strategi Pemulihan Ekonomi  : Rp. 846.363.637 : Lebih Bayar</t>
  </si>
  <si>
    <t>1035 COM EVT Jasa EO Inv Comm Cyperus  : Rp. 262.818.182</t>
  </si>
  <si>
    <t>1144 COM EVT Meeting Presscon TW 2 2021  : Rp. 258.288.800</t>
  </si>
  <si>
    <t>1275 COM EVT Press Conf BRI Liga 1 : Rp. 249.454.546</t>
  </si>
  <si>
    <t>1472 CSM Keg Kunker Komisis VI DPR RI : Rp. 311.779.160</t>
  </si>
  <si>
    <t>1492 COM EVT Penataan BRI Lounge Smesco : RP. 258.363.637</t>
  </si>
  <si>
    <t>1541 CSM IDX Opning Bell Right Issue BRI : Rp. 311.177.636</t>
  </si>
  <si>
    <t>BPW Sahadewa Basundari</t>
  </si>
  <si>
    <t>005484 Mobil 15Oct</t>
  </si>
  <si>
    <t>Nuraini</t>
  </si>
  <si>
    <t>LinkAja Bincang SB60 Jaket LinkAja</t>
  </si>
  <si>
    <t xml:space="preserve">Telkomsel MICE InnoXtion </t>
  </si>
  <si>
    <t>Materai 2x 25 lbr @ Rp10.000,- , 8/11/21 &amp; 1/12/21</t>
  </si>
  <si>
    <t>Gosend kirim file2 kerjaan dr PCMI-Cawang (rmh Mery krn sakit) 18/11/21</t>
  </si>
  <si>
    <t>JNE kirim dokumen PCMI ( bu AH) ke Bandung , 15/11/21</t>
  </si>
  <si>
    <t>Praja - Reimb, Bensin ambil printingan req Age , 10/11/21</t>
  </si>
  <si>
    <t>Jilid lap.kegiatan 11/11/21 , u/ dikirim ke pak Wisnu BRI</t>
  </si>
  <si>
    <t xml:space="preserve">Adun - Aqua 600 ml 5 botol u/ tamu, 2/9/21 </t>
  </si>
  <si>
    <t>Adun - Aqua 600 ml 1 dus u/ bu AH , 9/11/21</t>
  </si>
  <si>
    <t>Adun - Gas Kantin , 8/11/21</t>
  </si>
  <si>
    <t>Adun - Kopi Gula , 1/11/21</t>
  </si>
  <si>
    <t>Aqua galon 29/10/21 - 16/11/21, 9 galon@Rp 19.000,-</t>
  </si>
  <si>
    <t>B 2850 SOO - Ops 2/11/21 - 11/11/21</t>
  </si>
  <si>
    <t>B 2351 SKF - Ops 26/10/21 - 17/11/21</t>
  </si>
  <si>
    <t>Tissue rol dll ( toiletries ) , 24/11/21</t>
  </si>
  <si>
    <t>Aqua botol 600 ml 1 dus u/ bu AH , 25/11/21</t>
  </si>
  <si>
    <t>Aqua galon 18/11/21-30/11/21 - 6 galon @ Rp 19,000,-</t>
  </si>
  <si>
    <t>Beli kunci gerbang 4 pcs u/ Adun, Alex, Age, pak Yadi , 16/11/21</t>
  </si>
  <si>
    <t>Jilid lap. Kegiatan event Monthly meeting , 29/11/21</t>
  </si>
  <si>
    <t>Kopi , gula , 18/11/21</t>
  </si>
  <si>
    <t>Gas kantin , 22/11/21 &amp; 30/11/21 @ Rp 15,000,-</t>
  </si>
  <si>
    <t>Buat minuman jahe empon2 u/ bu AH , 25/11/21 &amp; 30/11/21 @ Rp 30,000,-</t>
  </si>
  <si>
    <t>Incidal 10 mg 10 tablet u/ pak DH , 2/12/21</t>
  </si>
  <si>
    <t>Lunch bu AH di kantor, 30/11/21</t>
  </si>
  <si>
    <t>Lunch bu AH &amp; pak DH di kantor , 2/12/21</t>
  </si>
  <si>
    <t>B 2351 SKF - Biaya montir service 24/11/21</t>
  </si>
  <si>
    <t>B 2850 SOO - Ops 12/11/21- 24/11/21</t>
  </si>
  <si>
    <t>DBS Visa Black</t>
  </si>
  <si>
    <t>SBUX Kemanggisan Jakarta Barat</t>
  </si>
  <si>
    <t xml:space="preserve">Kipling Kokas </t>
  </si>
  <si>
    <t>Non Cash Bank to Non Cash Bank</t>
  </si>
  <si>
    <t>Shop &amp; Drive - HO Jakarta Selatan</t>
  </si>
  <si>
    <t>Zoom.us USD 60.49 @ 14,483.24</t>
  </si>
  <si>
    <t>Biaya notifikasi Jan'21</t>
  </si>
  <si>
    <t>Sederhana Jakarta Pusat</t>
  </si>
  <si>
    <t>SPBU Hm Wrk Jakarta Barat</t>
  </si>
  <si>
    <t>Zoom us  USD 16,49 @ 14,659.49</t>
  </si>
  <si>
    <t>Klinik Utama Fakhira Jakarta Selatan</t>
  </si>
  <si>
    <t>Holland Bakery Sahardjo Jakarta Selatan</t>
  </si>
  <si>
    <t>SPBU Hym Wrk Jakarta Barat</t>
  </si>
  <si>
    <t>Starbucks Café Jakarta Pusat</t>
  </si>
  <si>
    <t>Pizza Hut Jakarta Pusat</t>
  </si>
  <si>
    <t>Annual membership fee</t>
  </si>
  <si>
    <t>Gramedia Matraman Jakarta Timur</t>
  </si>
  <si>
    <t>SOGO Department Store Jakarta Selatan</t>
  </si>
  <si>
    <t>MIDI Minangkabau Jakarta Selatan</t>
  </si>
  <si>
    <t>Century Healthcare Jakarta Selatan</t>
  </si>
  <si>
    <t>KFC Hayam Wuruk Jakarta Pusat</t>
  </si>
  <si>
    <t>Holland Bakery Jakarta Selatan</t>
  </si>
  <si>
    <t>Alfamart Suryopranoto Jakarta Pusat</t>
  </si>
  <si>
    <t>Sederhana R.M HO Jakarta Pusat</t>
  </si>
  <si>
    <t>HB 107 Gjh Mada Jakarta</t>
  </si>
  <si>
    <t>Medistra RS , Jakarta Selatan</t>
  </si>
  <si>
    <t>Transmart ITC Kuningan Jakarta</t>
  </si>
  <si>
    <t>Bakmi GM SGB UN Jakarta</t>
  </si>
  <si>
    <t>Midi Menteng Wadas Jakarta Selatan</t>
  </si>
  <si>
    <t>Alfamart Jembatan Lima Jakarta Barat</t>
  </si>
  <si>
    <t>HWR-Yoshinoya Hayam Wuruk, Jakarta Barat</t>
  </si>
  <si>
    <t>Ayana - Midplaza Jakarta HO Jakarta Pusat</t>
  </si>
  <si>
    <t>Brimedika Jakarta Pusat</t>
  </si>
  <si>
    <t>Membership fee</t>
  </si>
  <si>
    <t>Ayana Midplaza-HO Jakarta Pusat</t>
  </si>
  <si>
    <t>QQ - Mid Plaza Jakarta Pusat</t>
  </si>
  <si>
    <t>Family Mart Mid Plaza Jakarta Pusat</t>
  </si>
  <si>
    <t xml:space="preserve">Century Healthcare Jakarta </t>
  </si>
  <si>
    <t>Fakultas kopi mbl Jakarta</t>
  </si>
  <si>
    <t>Kado Restorant Jakarta Pusat</t>
  </si>
  <si>
    <t>SPBU Jakarta Pusat</t>
  </si>
  <si>
    <t>Stamp duty/ biaya materai</t>
  </si>
  <si>
    <t>Garuda Restaurant Jakarta Barat</t>
  </si>
  <si>
    <t>Ikkudo Ichi Kokas -HO Jakarta Selatan</t>
  </si>
  <si>
    <t>WMS - Yoshinoya Wolter Monginsidi Jakarta Selatan</t>
  </si>
  <si>
    <t>Apotek Aji Waras Jakarta Selatan</t>
  </si>
  <si>
    <t>Siloam Hospitals SMTPNG Jakarta Selatan</t>
  </si>
  <si>
    <t>Pro Motor Jakarta Selatan</t>
  </si>
  <si>
    <t>Trx Notification Charge</t>
  </si>
  <si>
    <t>Adjusment</t>
  </si>
  <si>
    <t>Kipling Kota Kasablanka Jakarta Selatan</t>
  </si>
  <si>
    <t>Sawana Suites -HO Jakarta Pusat</t>
  </si>
  <si>
    <t>TUMI Kota Kasablanka</t>
  </si>
  <si>
    <t>TIKI Tomang Jakarta Barat</t>
  </si>
  <si>
    <t>Stamp duty/ Biaya materai</t>
  </si>
  <si>
    <t>Siloam Hospital Jakarta Selatan</t>
  </si>
  <si>
    <t>Social Affair Jakarta Selatan</t>
  </si>
  <si>
    <t>Ajiwaras Apotik Jakarta Selatan</t>
  </si>
  <si>
    <t>Tokopedia.com Jakarta Barat :  Cooler Laptop Analita PCMI</t>
  </si>
  <si>
    <t>Angkasa Raya Mbl Jakarta : Hardisk u/ komputer Januar PCMI</t>
  </si>
  <si>
    <t>Tokopedia.com Jakarta Barat : Konektor USB C to RJ 45 u/ laptop Lenovo Yogi PCMI</t>
  </si>
  <si>
    <t>Digimap Jakarta Selatan : Charger IPAD bu AH</t>
  </si>
  <si>
    <t>Biaya Notifikasi Mar'21</t>
  </si>
  <si>
    <t>Zoom.us USD 60,49 @ Rp14.898,38</t>
  </si>
  <si>
    <t>SPBU Rest Area Bogor</t>
  </si>
  <si>
    <t>Zoom.us USD 16,49 @ Rp14.817,40</t>
  </si>
  <si>
    <t>Clairmont Patisserie Jakarta Selatan</t>
  </si>
  <si>
    <t>The Harvest Kebon Jeruk Jakarta</t>
  </si>
  <si>
    <t>Angkasa Raya mobile Jakarta : Hardisk untuk event2 BRI</t>
  </si>
  <si>
    <t>Biaya Notifikasi Mar 2021</t>
  </si>
  <si>
    <t>SPBU MT Haryono Jakarta Selatan</t>
  </si>
  <si>
    <t>Shop &amp; Drive HO Jakarta Selatan : B 2351 SKF - ganti oli ( Oli persneling, oli gardan , oli mesin )</t>
  </si>
  <si>
    <t>Zoom.us  23/5/21, USD 60,49@ Rp 14.746,67</t>
  </si>
  <si>
    <t>Biaya Notifikasi Apr'21</t>
  </si>
  <si>
    <t>Taco Bell senopati Jakarta Selatan</t>
  </si>
  <si>
    <t>Zoom.us  , 30/5/21 , USD 16,49@ Rp 14.675,92</t>
  </si>
  <si>
    <t>Indomaret Tangerang kota</t>
  </si>
  <si>
    <t>Plataran Menteng Mbl Jakarta</t>
  </si>
  <si>
    <t>Kopi Kenangan Jakarta Selatan</t>
  </si>
  <si>
    <t>Zoom us , 6/6/21, USD 55,00 @ Rp 14.680,04</t>
  </si>
  <si>
    <t>Global Apotik Jakarta Barat</t>
  </si>
  <si>
    <t>All Fresh Jakarta Barat</t>
  </si>
  <si>
    <t>Capital fruit -HO Jakarta Pusat</t>
  </si>
  <si>
    <t>The Ritz Carlto Kota Jakarta</t>
  </si>
  <si>
    <t>Pancious-GI Jakarta</t>
  </si>
  <si>
    <t>Zara Grand Indonesia Jakarta Pusat</t>
  </si>
  <si>
    <t>Gojek Jakarta Selatan</t>
  </si>
  <si>
    <t>Biaya Notifikasi Apr 2021</t>
  </si>
  <si>
    <t>DANA Jakarta</t>
  </si>
  <si>
    <t>Restaurant Taman Teras Jakarta Selatan</t>
  </si>
  <si>
    <t>Midi Benhil 2 Jakarta</t>
  </si>
  <si>
    <t>Guardian - Gedung Jakarta Selatan</t>
  </si>
  <si>
    <t>K24 Apotek Tebet Jakarta Selatan</t>
  </si>
  <si>
    <t>Alfamart Jakarta</t>
  </si>
  <si>
    <t>KFC Tebet Benhil Jakarta Pusat</t>
  </si>
  <si>
    <t>Pagi Sore Sahardjo Jakarta Selatan</t>
  </si>
  <si>
    <t>Sbux T3 Ultimate Tangerang</t>
  </si>
  <si>
    <t>Late charge assessment</t>
  </si>
  <si>
    <t>Midi Minangkabau Jakarta Selatan</t>
  </si>
  <si>
    <t>Yomart, Dago Pojok Bandung</t>
  </si>
  <si>
    <t>Toastina Bandung</t>
  </si>
  <si>
    <t>Vio Hotel Bandung</t>
  </si>
  <si>
    <t>Sheraton Bandung Hotel, Bandung</t>
  </si>
  <si>
    <t>Pullman Bdg Bandung</t>
  </si>
  <si>
    <t>Kimia Farma Unpad Bandung</t>
  </si>
  <si>
    <t>Intercontinental Bandung</t>
  </si>
  <si>
    <t>Zara central Park, Jakarta Barat</t>
  </si>
  <si>
    <t>Zara Jakarta Selatan</t>
  </si>
  <si>
    <t>Zara Grand inonesia Jakarta Pusat</t>
  </si>
  <si>
    <t>H&amp;M Pacific Placae Jakarta Selatan</t>
  </si>
  <si>
    <t>PT.Sarana Transaksi Jakarta</t>
  </si>
  <si>
    <t>Interest</t>
  </si>
  <si>
    <t>Atjeh connection Benhil Jakarta Pusat : dg Pak Adri BRI</t>
  </si>
  <si>
    <t>The Anvaya Beach resort Denpasar ID</t>
  </si>
  <si>
    <t>Potato head Beach Club Badung</t>
  </si>
  <si>
    <t>Sbux T3ultimate Tangerang</t>
  </si>
  <si>
    <t xml:space="preserve">Grab Food Jakarta </t>
  </si>
  <si>
    <t>WWW.Grabtaxi.com Jakarta</t>
  </si>
  <si>
    <t>SPBU Bandung</t>
  </si>
  <si>
    <t>Tiket.com Jakarta Pusat</t>
  </si>
  <si>
    <t>Zara grand Indonesia Jakarta Pusat</t>
  </si>
  <si>
    <t>The Ritz Carlton Jakarta Selatan</t>
  </si>
  <si>
    <t>Shell Antasari Jakarta Selatan</t>
  </si>
  <si>
    <t>Maikeru Jakarta Selatan</t>
  </si>
  <si>
    <t>Stamp duty</t>
  </si>
  <si>
    <t>Apotek Century Tebet Mas Jakarta Selatan : Bu AH - obat Nexium 20 mg, 10 tablet .</t>
  </si>
  <si>
    <t>HHB Benhil Jakarta Pusat : Patricia , Age, Supriyadi -Survey BRI Pemred , 14/6/21</t>
  </si>
  <si>
    <t>Black pond Tavern Jakarta Pusat : Patricia , Age, Pak Adri ( BRI  Pusat ) , 14/6/21</t>
  </si>
  <si>
    <t>Warung Leko Jakarta Pusat : Patricia , Bayu , Flo ( BRI ), 16/6/21</t>
  </si>
  <si>
    <t>The Gadecoffee &amp; Gold Jakarta Pusat : Patricia dg pak Adri, pak Abud, pak Rano ( BRI Pusat ), 16/6/21</t>
  </si>
  <si>
    <t>Kedai Kopi Hedjo Jakarta Pusat : Patricia dg pak Adri, pak Abud, pak Rano ( BRI Pusat ) , 16/6/21</t>
  </si>
  <si>
    <t>Nasa - Samsung Store Jakarta ( 002/012 ) : 1 buah Samsung Galaxy tab S6 Lite 126 Gb : Rp 20,997,000,</t>
  </si>
  <si>
    <t>Bumame farmasi Jakarta Selatan : PCR Ibu AH</t>
  </si>
  <si>
    <t>Dapur Solo , Semanggi Jakarta</t>
  </si>
  <si>
    <t>Nasa - Samsung Store Jakarta ( 003/012 )</t>
  </si>
  <si>
    <t>Late payment fee</t>
  </si>
  <si>
    <t>Stamp duty/biaya materai</t>
  </si>
  <si>
    <t>BRIMedika Jakarta Pusat</t>
  </si>
  <si>
    <t>Aji Waras Karang Tengah Jakarta</t>
  </si>
  <si>
    <t>Aji Waras Klinik Jakarta Selatan</t>
  </si>
  <si>
    <t>Medistra Farmasi Jakarta Selatan</t>
  </si>
  <si>
    <t>RS Siloam TB Simatupang Jakarta Selatan</t>
  </si>
  <si>
    <t xml:space="preserve">Interest </t>
  </si>
  <si>
    <t>Alfamart Bendungan Jakarta</t>
  </si>
  <si>
    <t>Alfamart Benhil Tangerang</t>
  </si>
  <si>
    <t>HB 122 RK Benhil Jakarta</t>
  </si>
  <si>
    <t>Sederhana RMHO Jakarta Pusat</t>
  </si>
  <si>
    <t>Bakmi GM MLW Jakarta</t>
  </si>
  <si>
    <t>Midi MA88 Benhil Jakarta Pusat</t>
  </si>
  <si>
    <t>Bakmi GM MKK UN Jakarta</t>
  </si>
  <si>
    <t>Gojek Jakarta Slt</t>
  </si>
  <si>
    <t>PT Aplikasi Karya Anak Jakarta</t>
  </si>
  <si>
    <t>Zoom.us 30/7/21 USD16,49@Rp 14.835.84</t>
  </si>
  <si>
    <t>www.blibli.com Jakarta</t>
  </si>
  <si>
    <t>Ayam Tulang Lunak Hayam Wuruk Jakarta Selatan</t>
  </si>
  <si>
    <t>Late charges</t>
  </si>
  <si>
    <t>SC46 Midi Minangkabau Jakarta Selatan</t>
  </si>
  <si>
    <t>Finance charges</t>
  </si>
  <si>
    <t>SPBU SNTLSTPN Bogor</t>
  </si>
  <si>
    <t>Finance charge</t>
  </si>
  <si>
    <t>B2 Comp -HO Jakarta Pusat : 2 hardisk SSD u/ event BRI 120GB Sparta</t>
  </si>
  <si>
    <t>Angkasa Raya Mbl Jakarta : 1 unit Switch hub Gigabyte u/ ruangan streaming</t>
  </si>
  <si>
    <t>KFC Cikini Jakarta Pusat : Selesai Auction BSI RUPSLB Aug'21</t>
  </si>
  <si>
    <t>BRIMedika Jakarta Pusat : Auction BSI RUPSLB</t>
  </si>
  <si>
    <t xml:space="preserve">Auto 2000 Sahardjo Jakarta Selatan : B 2351 SKF - Service penggantian disk brake include setting </t>
  </si>
  <si>
    <t>KFC Terace Benhill Jakarta Pusat</t>
  </si>
  <si>
    <t>SBUX GKBI  Jakarta Selatan</t>
  </si>
  <si>
    <t>WWW.tokopedia.com Jakarta</t>
  </si>
  <si>
    <t>Late charge Assesment</t>
  </si>
  <si>
    <t>HB 122 RK Benhill Jakarta</t>
  </si>
  <si>
    <t>IDM TJMG Jakarta Pusat</t>
  </si>
  <si>
    <t>MH 46 Midi Benhil 2 Jakarta Pusat</t>
  </si>
  <si>
    <t>Ibox Kota Kasablanka Jakarta ( 004:012 )</t>
  </si>
  <si>
    <t>Nasa Samsung Kokas Jakarta ( 004:012 )</t>
  </si>
  <si>
    <t>Others</t>
  </si>
  <si>
    <t>Tiki Tomang 6 Jakarta Barat</t>
  </si>
  <si>
    <t>Crystal Mobile Jakarta Pusat</t>
  </si>
  <si>
    <t>Brighttech 1 mbl Jakarta</t>
  </si>
  <si>
    <t>Nasa - Samsung Store Jakarta ( 004/012 )</t>
  </si>
  <si>
    <t>Bakmi GM, SCBD Jakarta Selatan</t>
  </si>
  <si>
    <t>MIDI SC 46 Minangkabau Jakarta Selatan</t>
  </si>
  <si>
    <t>KA Pariwisata Gambir Jakarta Pusat</t>
  </si>
  <si>
    <t>SPBU Tendean Jakarta Selatan</t>
  </si>
  <si>
    <t>SBUX Purwakarta</t>
  </si>
  <si>
    <t>Tanamera Coffee Jakarta Selatan</t>
  </si>
  <si>
    <t>Alun Alun Indonesia Jakarta Pusat</t>
  </si>
  <si>
    <t>Galeri Pot Kemang Jakarta Selatan</t>
  </si>
  <si>
    <t>Lungsin - HO Jakarta Pusat</t>
  </si>
  <si>
    <t>Kem Chicks Jakarta</t>
  </si>
  <si>
    <t>FMI Smesco Tower Jakarta Selatan</t>
  </si>
  <si>
    <t>Informa Lippo Kemang Jakarta Selatan</t>
  </si>
  <si>
    <t>Ace Hardware -PPM Jakarta</t>
  </si>
  <si>
    <t>Ace Hardware -Kemang Villa Jakarta</t>
  </si>
  <si>
    <t>BRI Smescoffee Jakarta Selatan</t>
  </si>
  <si>
    <t>Intercontinental Kota Jakarta</t>
  </si>
  <si>
    <t>The Harvest Jakarta</t>
  </si>
  <si>
    <t>The Synergy Lounge Jakarta</t>
  </si>
  <si>
    <t>Synergy Lounge Jakarta Pusat</t>
  </si>
  <si>
    <t>Bale Bengong Jakarta Timur</t>
  </si>
  <si>
    <t>MiDI MH 46 Benhil 2 Jakarta Pusat</t>
  </si>
  <si>
    <t>Sederhana RM HO</t>
  </si>
  <si>
    <t>Www.tokopedia.com Jakarta</t>
  </si>
  <si>
    <t>Ibox kota Kasablanka Jakarta ( 005:012 )</t>
  </si>
  <si>
    <t>Nasa Samsung Kokas Jakarta ( 005:012 )</t>
  </si>
  <si>
    <t>SPBU Matraman Jakarta Timur</t>
  </si>
  <si>
    <t>Biaya notifikasi Jul 2021</t>
  </si>
  <si>
    <t>Burger King Grand Indonesia Jakarta Pusat</t>
  </si>
  <si>
    <t>SPBU Cikini Jakarta Pusat</t>
  </si>
  <si>
    <t>SPBU Tntpljr Jakarta Selatan</t>
  </si>
  <si>
    <t>Bunga Rampai Restaurant Jakarta Pusat</t>
  </si>
  <si>
    <t>Gramedia GI Jakarta</t>
  </si>
  <si>
    <t>HHB 104 Sabang Jakarta Pusat</t>
  </si>
  <si>
    <t>SPBU STNLSTPN Bogor</t>
  </si>
  <si>
    <t>Bea Materai lunas</t>
  </si>
  <si>
    <t>Shop &amp; Drive HO Jakarta Selatan : B 2351 SKF -Service rutin ganti oli&amp; ganti shockbreaker</t>
  </si>
  <si>
    <t>Angkasa Raya Mbl Jakarta : hardisk 1tb 2 unit u/ Analita &amp; Deka</t>
  </si>
  <si>
    <t>PHD 24, TIS Jakarta Selatan : AH + FB</t>
  </si>
  <si>
    <t>SPBU Casablanca Jakarta Slt</t>
  </si>
  <si>
    <t>Biaya notifikasi Juli 2021</t>
  </si>
  <si>
    <t>Zoom.us 30/8/21 USD 16,40@Rp 14.768,16</t>
  </si>
  <si>
    <t>Berdikari Jakarta Selatan</t>
  </si>
  <si>
    <t>Gojek Jakarta</t>
  </si>
  <si>
    <t>Angkasa Raya Mbl Jakarta : Hardisk External 1 TB u/ Alex</t>
  </si>
  <si>
    <t>CFU WD-Apotik Tebet MA Jakarta : AH</t>
  </si>
  <si>
    <t>Nasa - Samsung Store Jakarta ( 005/012 )</t>
  </si>
  <si>
    <t>Lacoste Lippo Puri St Morits Jakarta Barat</t>
  </si>
  <si>
    <t>Olatte Jakarta Selatan</t>
  </si>
  <si>
    <t>Aptik Aji Waras Jakarta Selatan : AH</t>
  </si>
  <si>
    <t>Prodia Bona Indah II Jakarta Selatan : AH</t>
  </si>
  <si>
    <t>Bumame Cloud Jakarta : AH</t>
  </si>
  <si>
    <t>Medistra Farmasi Jakarta Selatan : AH</t>
  </si>
  <si>
    <t>Medistra RS Kasir Lt.Jakarta Selatan : AH</t>
  </si>
  <si>
    <t>Apotek Aji Waras Jakarta Selatan : AH</t>
  </si>
  <si>
    <t>BRIMedika</t>
  </si>
  <si>
    <t>Ayana Mid Plaza Jakarta</t>
  </si>
  <si>
    <t>IDM TIR-Sahid Office Jakarta</t>
  </si>
  <si>
    <t>QQ - Mid Plaza Jakarta</t>
  </si>
  <si>
    <t>Family Mart Mid Plaza Jakarta</t>
  </si>
  <si>
    <t>Grand Lucy Jakarta</t>
  </si>
  <si>
    <t>Indomaret Hybrid Jakarta Pusat</t>
  </si>
  <si>
    <t>Sederhana Palmerah Jakarta Selatan</t>
  </si>
  <si>
    <t>The Gade Coffe &amp; Gold Jakarta : Ngopi dgn pak Adri, Faisal &amp; team</t>
  </si>
  <si>
    <t>Okky Toko kue &amp; Roti Jakarta Selatan : Snack pagi meeting PCMI ,8/4/2021</t>
  </si>
  <si>
    <t>Zoom.us USD 60,49 @ Rp 14,809.19</t>
  </si>
  <si>
    <t>Zoom.us USD 16,49 @ Rp 14,859.37</t>
  </si>
  <si>
    <t>Kipling Kokas Jakarta</t>
  </si>
  <si>
    <t>BRIMedika Jakarta Pusat : Swab antigen Supriyadi (driver ) , 22/2/21</t>
  </si>
  <si>
    <t>Auto 2000, Sahardjo, Jakarta Selatan : Service berlaka B 2850 SOO, 30/3/21</t>
  </si>
  <si>
    <t>High Quality : Cetak Company Profile (2 set)</t>
  </si>
  <si>
    <t>DANA Jakarta Selatan</t>
  </si>
  <si>
    <t>Biaya Notifikasi Feb 2021</t>
  </si>
  <si>
    <t>Century Healthcare Jakarta</t>
  </si>
  <si>
    <t>Kipling Kokas Jakarta Selatan</t>
  </si>
  <si>
    <t>Flowerhouse Jakarta Selatan</t>
  </si>
  <si>
    <t>Fish N Co PP Jakarta Selatan</t>
  </si>
  <si>
    <t>Pancious Tirta Jaya, PP</t>
  </si>
  <si>
    <t>Paul Bakery Pacific Place</t>
  </si>
  <si>
    <t>Telkomsel Business Outlook 2020</t>
  </si>
  <si>
    <t>Gramedia Matraman : 3 Outner Bantex u/ file PV</t>
  </si>
  <si>
    <t>Angkasa Raya Jakarta :  2 pcs Hardisk SSD Colorfull u/ client</t>
  </si>
  <si>
    <t>Nusacomm-HO : 2 pcs tempat Hardisk  u/ client</t>
  </si>
  <si>
    <t>E Birra Kota Kasablanka Jakarta Selatan</t>
  </si>
  <si>
    <t>Sederhana</t>
  </si>
  <si>
    <t>Clairmont Jakarta Selatan</t>
  </si>
  <si>
    <t>SPBU Cempaka Putih Jakarta Pusat</t>
  </si>
  <si>
    <t>SPBU Pramuka Jakarta Pusat</t>
  </si>
  <si>
    <t>Indomaret Hybrid BRI Jakarta Pusat</t>
  </si>
  <si>
    <t>Pullman Jakarta , Jakarta Pusat</t>
  </si>
  <si>
    <t>I Box Kokas Jakarta ( 001:012 )</t>
  </si>
  <si>
    <t>Nasa Samsung Koas Jakarta ( 001:012 )</t>
  </si>
  <si>
    <t>The Harvest Jakarta: Buka Puasa team 27/4/21</t>
  </si>
  <si>
    <t>KFC Tebet Jakarta Selatan : Entertaint dg  pak Adri, BRI, 28/4/21</t>
  </si>
  <si>
    <t>LinkAja Plth AgentProd 10 Pcs PlakatPUJO WIYANTO</t>
  </si>
  <si>
    <t>LINKAJA     -                 -                 082129916306</t>
  </si>
  <si>
    <t>LINKAJA     -                 -                 087825931137</t>
  </si>
  <si>
    <t>LINKAJA     -                 -                 081323820373</t>
  </si>
  <si>
    <t>LINKAJA     -                 -                 081320609934</t>
  </si>
  <si>
    <t>LINKAJA     -                 -                 081290571069</t>
  </si>
  <si>
    <t>LINKAJA     -                 -                 082128075720</t>
  </si>
  <si>
    <t>LINKAJA     -                 -                 081212748483</t>
  </si>
  <si>
    <t>LINKAJA     -                 -                 081320403500</t>
  </si>
  <si>
    <t>LINKAJA     -                 -                 0895800091937</t>
  </si>
  <si>
    <t xml:space="preserve">Biaya Cetak Sertifikat  10 Lembar </t>
  </si>
  <si>
    <t>38a</t>
  </si>
  <si>
    <t>Dec</t>
  </si>
  <si>
    <t>KPEI</t>
  </si>
  <si>
    <t>DPR RI</t>
  </si>
  <si>
    <t>PT.Sarana Yukti Badhana</t>
  </si>
  <si>
    <t>PT Fintek Karya Nusantara</t>
  </si>
  <si>
    <t xml:space="preserve">Invoice III </t>
  </si>
  <si>
    <t>Invoice Hotel ke pak Adnan</t>
  </si>
  <si>
    <t>BRI FGD DPR Komisi VI</t>
  </si>
  <si>
    <t>BRI Launching OVO U Card</t>
  </si>
  <si>
    <t xml:space="preserve">Invoice II </t>
  </si>
  <si>
    <t>Invoice III</t>
  </si>
  <si>
    <t>Telkomsel Office to Office Q4</t>
  </si>
  <si>
    <t>Telkomsel Undian Jelajah Nusantara</t>
  </si>
  <si>
    <t xml:space="preserve">PRMA CR Transf  </t>
  </si>
  <si>
    <t>UBP60215001201FFFFFF025594578495011 : SPT Tahun 2020</t>
  </si>
  <si>
    <t>UBP60215001201FFFFFF8951790007248328 : Membership Kadin</t>
  </si>
  <si>
    <t>PPh-25/29 SPT 2020 - Pajak Badan</t>
  </si>
  <si>
    <t>UBP60215001201FFFFFF025179595270062 : PPN Masa Feb 2021</t>
  </si>
  <si>
    <t>PPN Keluaran - PPn Masukan</t>
  </si>
  <si>
    <t>UBP60218951701FFFFFF8951790007248328 : Membership fee keanggotaan s/d th 2020</t>
  </si>
  <si>
    <t>UBP60215001201FFFFFF025076737312011 : PPh-21 Masa Des 2020</t>
  </si>
  <si>
    <t>PPh-21 2020</t>
  </si>
  <si>
    <t>Cash Advanced</t>
  </si>
  <si>
    <t>CA-6/2021</t>
  </si>
  <si>
    <t>CA-7/2021</t>
  </si>
  <si>
    <t>Uang kebersihan u/ 18/2/21 pagi</t>
  </si>
  <si>
    <t>CA-8/2021</t>
  </si>
  <si>
    <t>Uang kebersihan &amp; MC</t>
  </si>
  <si>
    <t>CA-9/2021</t>
  </si>
  <si>
    <t>Parkir Kokas</t>
  </si>
  <si>
    <t>Beli lakban</t>
  </si>
  <si>
    <t>Beli wraping</t>
  </si>
  <si>
    <t>Parkir Benhil</t>
  </si>
  <si>
    <t>Makan malam team packaging until midnight</t>
  </si>
  <si>
    <t>Beli chatime</t>
  </si>
  <si>
    <t>Grab Express Souvenir ke mbka DeaTelkomsel</t>
  </si>
  <si>
    <t>Bensin mobil Odhey ke JNE Tomang</t>
  </si>
  <si>
    <t>Parkir JNE Tomang</t>
  </si>
  <si>
    <t>Pengiriman souvenir an. Ardiyanto-Kalimantan ( Lion Parcel )</t>
  </si>
  <si>
    <t>Pengiriman souvenir an. Dodik-Dadirejo ( Lion Parcel )</t>
  </si>
  <si>
    <t>Pengiriman souvenir an.Rudi Hermawan Siregar ( Lion Parcel )</t>
  </si>
  <si>
    <t>Pengiriman souvenir an. Peni Setyoningrum ( Lion Parcel )</t>
  </si>
  <si>
    <t>Pengiriman souvenir an.Gabriella Dien ( JNE )</t>
  </si>
  <si>
    <t>Pengiriman souvenir an.Himawan F Ramansyah ( Paxel )</t>
  </si>
  <si>
    <t>Pengiriman souvenir an.Dharma ( Paxel )</t>
  </si>
  <si>
    <t>Pengiriman souvenir an. Haga ( Paxel )</t>
  </si>
  <si>
    <t>Pulsa Yogi</t>
  </si>
  <si>
    <t>Top up Privy ID</t>
  </si>
  <si>
    <t>Pembuatan Kartu Ucapan u/ Hampers Clairmont</t>
  </si>
  <si>
    <t>Bensin Cipondoh - Harvest Kebon Jeruk - Clairmont - Kantor</t>
  </si>
  <si>
    <t>Parkir Harvest ( mobil )</t>
  </si>
  <si>
    <t>Pembelian ATK u/ packaging</t>
  </si>
  <si>
    <t>Parkir Clairmont ( mobil )</t>
  </si>
  <si>
    <t>Pmbyrn Lion Parcel u/ paket an. Titi, Cun Cahya, Ismed Eka</t>
  </si>
  <si>
    <t>Pmbyrn Mr. Speedy u/ Idul Fitri</t>
  </si>
  <si>
    <t>Pembelian modem kantor u/ opearsional</t>
  </si>
  <si>
    <t>Pmbyrn Lion Parcel u/ Parcel Lebaran</t>
  </si>
  <si>
    <t>Pmbyrn Mr. Speedy u/ Kirim Paket Buka Puasa, total 43 pax</t>
  </si>
  <si>
    <t>SPJ pak Ujer 6/5/21 Distribusi Hampers</t>
  </si>
  <si>
    <t>LinkAja pengganti PHD u/ 2 org an. Reyhan &amp; Dwi Antika</t>
  </si>
  <si>
    <t>Pembelian PHD an. Sonny Sintong Panutur</t>
  </si>
  <si>
    <t>Bensin anter Hampers Debora</t>
  </si>
  <si>
    <t>Tol Gerbang Kayu Besar</t>
  </si>
  <si>
    <t>Tol Pondok Ranji</t>
  </si>
  <si>
    <t>Tol Meruya Selatan</t>
  </si>
  <si>
    <t>Cetak Kartu Ucapan Hampers 10 Mei 2021</t>
  </si>
  <si>
    <t>CA-10/2021</t>
  </si>
  <si>
    <t>Angpao 44 hampers @ Rp 1,000,000,-</t>
  </si>
  <si>
    <t xml:space="preserve">SPJ Yadi Komeng antar hampers 2 hari + bensin </t>
  </si>
  <si>
    <t>SPJ pak Yadi  antar hampers 2 hari.</t>
  </si>
  <si>
    <t>SPJ pak Ujer antar hampers 1 hari</t>
  </si>
  <si>
    <t>Pulsa Pat</t>
  </si>
  <si>
    <t>Bayar Gosend pengiriman Hampers + tipping</t>
  </si>
  <si>
    <t xml:space="preserve">SPJ Dagol 2 hr antar hampers wilayah Jakarta Timur (12 Hampers ) </t>
  </si>
  <si>
    <t>Beli makanan u/ pak Kus &amp; Fam, pulang kampung</t>
  </si>
  <si>
    <t>Bayar minuman u/ Buka Puasa team &amp; BRI</t>
  </si>
  <si>
    <t>Tipping Akasya Catering 15 crew</t>
  </si>
  <si>
    <t>Tipping Lembah Hijau Catering 5 crew</t>
  </si>
  <si>
    <t>Tipping Pullman Banquet</t>
  </si>
  <si>
    <t>SPJ Pat</t>
  </si>
  <si>
    <t>SPJ Age</t>
  </si>
  <si>
    <t>SPJ Alex</t>
  </si>
  <si>
    <t>SPJ Praja</t>
  </si>
  <si>
    <t>SPJ Analita</t>
  </si>
  <si>
    <t>SPJ pak Yadi</t>
  </si>
  <si>
    <t>CA-11/2021</t>
  </si>
  <si>
    <t>Pemberian tunai - pengadaan Hampers Idul Fitri 2021 , 30 org @ Rp 1,000,000,-</t>
  </si>
  <si>
    <t>CA-12/21 BRI Himbara PemRedBiaya Operasional MARIA PATRICIA SUG</t>
  </si>
  <si>
    <t>CA-13/21 BRI Himbara PemRedPettyCash P`Adri  NYOMAN OKA WIJAYA</t>
  </si>
  <si>
    <t>CA-12/2021</t>
  </si>
  <si>
    <t>CA-13/2021</t>
  </si>
  <si>
    <t>Erlangga Djumena, GA , CGK-DPS, 26/5/21, 20:54:06 WIB</t>
  </si>
  <si>
    <t>Erlangga Djumena, GA , CGK-DPS, 26/5/21, 21:43:32 WIB</t>
  </si>
  <si>
    <t>Dina Mirayanti Hutauruk, GA, CGK-DPS, 26/5/21, 21:43:32 WIB</t>
  </si>
  <si>
    <t xml:space="preserve">Term 3 CGK ( Jetlg coffee) -  Beli kopi </t>
  </si>
  <si>
    <t>Pulsa operasional Patricia</t>
  </si>
  <si>
    <t>Airport handling VIP kedatangan &amp; Keberangkatan grp Himbara 27-29 Mei 21 ke Pak Masnyur AL</t>
  </si>
  <si>
    <t>Tipping porter, antar bagasi ke 8 room</t>
  </si>
  <si>
    <t xml:space="preserve">Bayar minuman di Lafafela, Seminyak, Bali </t>
  </si>
  <si>
    <t>Beli es di Gusto Gelato, Badung, Bali</t>
  </si>
  <si>
    <t>Diambil Rp 34jt o/ pak Bayu PIC BRI</t>
  </si>
  <si>
    <t>Tipping porter bawa barang di hotel 14 pcs</t>
  </si>
  <si>
    <t>Tipping driver Bali</t>
  </si>
  <si>
    <t>Bali Banana - beli pisang u/ tamu</t>
  </si>
  <si>
    <t>BRIMedika Bali  - byr swab 17 pax</t>
  </si>
  <si>
    <t xml:space="preserve">GA Lounge Bali  ( GA 411 / 11 pax ) </t>
  </si>
  <si>
    <t>Airport handling JKT Arrival , 17 pax , GA 411, ke pak Noury Hadi</t>
  </si>
  <si>
    <t>SPJ Patricia 3 hari ( 27, 28, 29 Mei 2021) @ Rp 400.000/hr + uang makan Rp 100.000/hr</t>
  </si>
  <si>
    <t>Bali Victory - bayar oleh2 PIC BRI</t>
  </si>
  <si>
    <t>Bali Victory - bayar Sewa kendaraan 27-29 May 2021</t>
  </si>
  <si>
    <t>CA-14/21 : TARIKAN PEMINDAHAN : BRI Kunjungan Kerja DPR Bandung 2021</t>
  </si>
  <si>
    <t>CA-14/21 : TARIKAN TUNAI : BRI Kunjungan Kerja DPR Bandung 2021</t>
  </si>
  <si>
    <t>CA-14/2021</t>
  </si>
  <si>
    <t>Hotel The Silk - Akomodasi crew &amp; driver BRI</t>
  </si>
  <si>
    <t>Riz's Florist - 10 pot centerpiece</t>
  </si>
  <si>
    <t>Uang amplop</t>
  </si>
  <si>
    <t>Uang golf ,  pak Abud rqst</t>
  </si>
  <si>
    <t>Uang amplop, mas Adit rqst</t>
  </si>
  <si>
    <t>Htl Dago Pakar - Akomodasi pak Arif , req Obeth</t>
  </si>
  <si>
    <t>Tipping banquet</t>
  </si>
  <si>
    <t>Pulsa Patricia</t>
  </si>
  <si>
    <t>SPJ Patricia - 9s/d 11 Jun'21 @ Rp 400.000,-+Meals 3D @ Rp 100.000,-</t>
  </si>
  <si>
    <t>SPJ Alex  - 10 s/d 11 Jun'21 @ Rp 400.000,-+ Meals 2D @ Rp 50.000,-</t>
  </si>
  <si>
    <t>SPJ Age  - 10 s/d 11 Jun'21 @ Rp 400.000,-+ Meals 3D @ Rp 50.000,-</t>
  </si>
  <si>
    <t>SPJ Dhea  9 s/d 11 Jun'21</t>
  </si>
  <si>
    <t>SPJ pak Yadi  9 s/d 11 Jun'21</t>
  </si>
  <si>
    <t>Oleh2 roti Bagelen</t>
  </si>
  <si>
    <t>Benisn mobil Age ke Bandung 9/6/21</t>
  </si>
  <si>
    <t>E toll mobil Age ke Bandung 9/6/21</t>
  </si>
  <si>
    <t xml:space="preserve">Tok0pedia - toko Dunia karaoke -Foam busa mic 35 pcs+ongkir  </t>
  </si>
  <si>
    <t>SPJ LO Bandung 10 Jun'21 di registrasi</t>
  </si>
  <si>
    <t>PV 16554- Titipan mas Bayu ( dr Invoice no. 046 /2021 )</t>
  </si>
  <si>
    <t xml:space="preserve">PV 16555 - Fee mas Bayu </t>
  </si>
  <si>
    <t>CA-15/2021</t>
  </si>
  <si>
    <t>Sewa Jas , celana dan dasi ( Bpk Hanang dan Pak Darma )</t>
  </si>
  <si>
    <t xml:space="preserve">Jasa Setrika Uap Laundry 4 stel Jas Bapak Hanang dan Bpk Dharma </t>
  </si>
  <si>
    <t>Tender SAP di Coffee bean TSO  tgl 18 Jun 2021</t>
  </si>
  <si>
    <t xml:space="preserve">Parkir TSO ( fitting Jas Pak Hanang dan Pak Dharma </t>
  </si>
  <si>
    <t xml:space="preserve">Parkir 2 x Gandaria </t>
  </si>
  <si>
    <t xml:space="preserve">Kirim Parcel Buah ke Kantor </t>
  </si>
  <si>
    <t xml:space="preserve">Ambil Jas Pak Hanang di TSO </t>
  </si>
  <si>
    <t xml:space="preserve">Ambil Jas Pak Dharma di Rumah </t>
  </si>
  <si>
    <t xml:space="preserve">Refreshment dan tools prokes untuk VP pak Dharma dan Pak Hanang </t>
  </si>
  <si>
    <t>Parkir Pasar Puri untuk beli Vitamin</t>
  </si>
  <si>
    <t xml:space="preserve">Beli Materei 500 rb </t>
  </si>
  <si>
    <t>Inject LinkAja Bulanan ESEM an Bobby Varyne Fernando</t>
  </si>
  <si>
    <t>Pembelian Kopi Lain Hati an Risa Hutasoit</t>
  </si>
  <si>
    <t>Pembelian Kopi Lain Hati an Tama Alamsyah H</t>
  </si>
  <si>
    <t>Pembelian Kopi Lain Hati an Addi Siswo Haryono</t>
  </si>
  <si>
    <t>Pembelian Kopi Lain Hati an Sihol Untung Pardamean</t>
  </si>
  <si>
    <t>Pembelian Kopi Lain Hati an R. Hasan Kurdi</t>
  </si>
  <si>
    <t>Pembelian Kopi Lain Hati an S. Handoyo Hadi</t>
  </si>
  <si>
    <t>Pembelian Kopi Lain Hati an Zaid Muttaqin</t>
  </si>
  <si>
    <t>Pembelian Kopi Lain Hati an Sulistijono</t>
  </si>
  <si>
    <t>Pembelian Kopi Lain Hati an Krislestyo Atsianti</t>
  </si>
  <si>
    <t>Pembelian Kopi Lain Hati an Nana D. Arianti</t>
  </si>
  <si>
    <t xml:space="preserve">Snack 30 Jun 2021 an Ceppy Hermana </t>
  </si>
  <si>
    <t xml:space="preserve">Pembelian Meals Team tgl 02 Jul 2021 Lembur </t>
  </si>
  <si>
    <t xml:space="preserve">Grab Express anter Stempel dan Materei ke rumah Mbak Gabriella </t>
  </si>
  <si>
    <t xml:space="preserve">Pengiriman Air Purifier dan Filter ke Jogja </t>
  </si>
  <si>
    <t>CA-16/2021</t>
  </si>
  <si>
    <t>Klinik Hanuro Jatiasih - Swab Antigen Analita</t>
  </si>
  <si>
    <t>Indomret - Snack &amp; meals siang ( GR )</t>
  </si>
  <si>
    <t>Alfamidi - Aqua 330 ml 1 dus</t>
  </si>
  <si>
    <t>Hokben - Dinner  (GR)</t>
  </si>
  <si>
    <t>SPBU MT Haryono - Bensin mobil Alex</t>
  </si>
  <si>
    <t>Mandiri Plaza`- Parkir mobil Alex</t>
  </si>
  <si>
    <t>Indomaret - Baterai Alkaline u/ mouse komp Analita</t>
  </si>
  <si>
    <t>Circle K - Meals pagi &amp; Acara</t>
  </si>
  <si>
    <t>Indomaret - Snack Acara</t>
  </si>
  <si>
    <t>Suramadu Sahardjo - Mkn mlm team</t>
  </si>
  <si>
    <t>Tipping Security &amp; IT Mandiri</t>
  </si>
  <si>
    <t>CA-17/2021</t>
  </si>
  <si>
    <t>DP Dapur Solo untuk pengiriman Lunch box 30 Jun 2021</t>
  </si>
  <si>
    <t>Pembelian Kopi Lain Hati an  Sonny Sintong Panutur (Dea)</t>
  </si>
  <si>
    <t>Pembelian Kopi Lain Hati an  Novarita Fitria (Dea)</t>
  </si>
  <si>
    <t>Pembelian Kopi Lain Hati an  Gabriella Frandita Dien (Dea)</t>
  </si>
  <si>
    <t>Pembelian Kopi Lain Hati an  Farischa Indri Kumala (Dea)</t>
  </si>
  <si>
    <t>Pembelian Kopi Lain Hati an  Anka Prasetya Djatmiko (Dea)</t>
  </si>
  <si>
    <t>Pembelian Kopi Lain Hati an  Iskandar Syahputra (Dea)</t>
  </si>
  <si>
    <t>Pembelian Kopi Lain Hati an  Indra Gusviyandi (Dea)</t>
  </si>
  <si>
    <t>Pembelian Kopi Lain Hati an Rini Apriliani (Dea)</t>
  </si>
  <si>
    <t>Pembelian Kopi Lain Hati an  Muhammad F. Mahdi (Dea)</t>
  </si>
  <si>
    <t>Pembelian Kopi Lain Hati an  Maryati (Dea)</t>
  </si>
  <si>
    <t xml:space="preserve">Pembelian Materei untuk Mbak Gabrielle </t>
  </si>
  <si>
    <t xml:space="preserve">Birthday cake untuk Ibu Risa </t>
  </si>
  <si>
    <t xml:space="preserve">Pembelian Tumpeng Melalui Tokopedia untuk Yudi Nugraha </t>
  </si>
  <si>
    <t xml:space="preserve">Pembelian Parcel Buah Vitamin melalui Tokped Untuk Debora </t>
  </si>
  <si>
    <t xml:space="preserve">Pembuatan Stempel Telkomsel 1 warna </t>
  </si>
  <si>
    <t>Pembelian Bangket Bunga untuk Pak Dharma dikirim 07 Jul 2021</t>
  </si>
  <si>
    <t xml:space="preserve">Pembelian tambahan Parcel Buah Johanes Simorangkir </t>
  </si>
  <si>
    <t xml:space="preserve">Taxi pengiriman Cake union ke Pak dharma </t>
  </si>
  <si>
    <t xml:space="preserve">Taxi tambahan pengiriman ke Robin Panjaitan </t>
  </si>
  <si>
    <t xml:space="preserve">Kopi Lain hati pak Dharma 1 liter </t>
  </si>
  <si>
    <t xml:space="preserve">Pembayaran Revisi Stempel </t>
  </si>
  <si>
    <t xml:space="preserve">Pembelian Disinfektan Spray untuk Ibu Dien </t>
  </si>
  <si>
    <t xml:space="preserve">Pengiriman Parcel Buah dan Vitamin untuk Gabrielle F Dien </t>
  </si>
  <si>
    <t>Pembelian Snack Holland Bakery An Irwan Cahya Hermawan (Nova)</t>
  </si>
  <si>
    <t>Pembelian Snack Holland Bakery An Paskah Rinauli Purba (Nova)</t>
  </si>
  <si>
    <t>Pembelian Snack Holland Bakery + Tip An Renni Selvira (Nova)</t>
  </si>
  <si>
    <t>Pembelian Snack Holland Bakery An Fauziah Intan Pertiwi (Nova)</t>
  </si>
  <si>
    <t>Pembelian Snack Holland Bakery An Zhajang Lili Charli (Nova)</t>
  </si>
  <si>
    <t>Pembelian Snack Holland Bakery An M Afwan R Lazuardi (Nova)</t>
  </si>
  <si>
    <t>Pembelian Snack Holland Bakery An Muhammad R Krisnadi (Nova)</t>
  </si>
  <si>
    <t>Pembelian Snack Holland Bakery An Rifki Ridwan (Nova)</t>
  </si>
  <si>
    <t>Pembelian Snack Holland Bakery An Ardian Prasetyono (Nova)</t>
  </si>
  <si>
    <t>Pembelian Snack Rita  Bakery An Himawan F. Rahmansyah (Nova)</t>
  </si>
  <si>
    <t>Pembelian Snack Holland Bakery An Helmi Gunawan (Nova)</t>
  </si>
  <si>
    <t>Pembelian Snack Brasserie  Bakery An Nadrayeni (Nova)</t>
  </si>
  <si>
    <t>Pembelian Snack Holland Bakery + Tip An Ratu HTambunan (Nova)</t>
  </si>
  <si>
    <t>Pembelian Snack Holland Bakery An Suhardoko (Nova)</t>
  </si>
  <si>
    <t>Pembelian Holland Bakery An Jayusman (Dea)</t>
  </si>
  <si>
    <t>Pembelian Holland Bakery An Nina Amalia (Dea)</t>
  </si>
  <si>
    <t>Pembelian Holland Bakery An Sri Rahayu (Dea)</t>
  </si>
  <si>
    <t>Pembelian Holland Bakery An Abdurrahman Azzam (Dea)</t>
  </si>
  <si>
    <t>Pembelian Holland Bakery + Tip  An Siti C. Salim (Dea)</t>
  </si>
  <si>
    <t>Pembelian Holland Bakery An Esther M Sembiring (Dea)</t>
  </si>
  <si>
    <t>Pembelian Holland Bakery An Monalisa Vera (Dea)</t>
  </si>
  <si>
    <t>Pembelian Holland Bakery An Farid Kurniawan (Dea)</t>
  </si>
  <si>
    <t>Pembelian Holland Bakery An Reny Rachmasari (Dea)</t>
  </si>
  <si>
    <t>Pembelian Holland Bakery An Nyulis Widiastuti (Dea)</t>
  </si>
  <si>
    <t>Pembelian Majestik Bakery An Ninda K. Sari (Dea)</t>
  </si>
  <si>
    <t>Pembelian JONS Boulangeri An Rudi Hermawan Siregar (Dea)</t>
  </si>
  <si>
    <t xml:space="preserve">Pembelian Kartu Ucapan Get Well Soon via Tokped </t>
  </si>
  <si>
    <t xml:space="preserve">Pembelian Susu Beruang Via Tokped untuk Saripudin </t>
  </si>
  <si>
    <t xml:space="preserve">Beli Papper bag untuk Vitamin ibu Rina Aryani </t>
  </si>
  <si>
    <t xml:space="preserve">Pengiriman Susu beruang dan Vitamin untuk Saripudin </t>
  </si>
  <si>
    <t xml:space="preserve">Grab Express Parcel Buah an Sulistijono </t>
  </si>
  <si>
    <t>Grab Express Parcel Buah an Caca Abdiansyah</t>
  </si>
  <si>
    <t xml:space="preserve">Grab Express Parcel Buah an Alvina Tri Buana </t>
  </si>
  <si>
    <t>Grab Express Parcel Buah an Yuniarto</t>
  </si>
  <si>
    <t xml:space="preserve">Grab Express Parcel Buah an Akhmad Isnaedi </t>
  </si>
  <si>
    <t>Grab Express Parcel Buah an Agus Suryadinata</t>
  </si>
  <si>
    <t>Pembelian Vitamin Nature E 4 box untuk Nestle dan BRI melalui Tokped</t>
  </si>
  <si>
    <t xml:space="preserve">Pembelian kertas Shredded Papper melalui Tokped </t>
  </si>
  <si>
    <t xml:space="preserve">Pembelian Tali Kado Bakers Twine Merah dan sticker label Melalui Tokped </t>
  </si>
  <si>
    <t xml:space="preserve">Pembelian Box untuk Parcel Business Corporate Nestle &amp; BRI Melalui Tokped </t>
  </si>
  <si>
    <t xml:space="preserve">Pembelian Paket Isoman Ayam Tiktok untuk Ibu Rina Aryani melalui Tokped </t>
  </si>
  <si>
    <t xml:space="preserve">Pembelian Hand sanitizer 4 buah </t>
  </si>
  <si>
    <t xml:space="preserve">Print Kartu Ucapan  untuk Nestle dan BRI </t>
  </si>
  <si>
    <t xml:space="preserve">Pembelian Kartu Ucapan untuk Ibu Rina </t>
  </si>
  <si>
    <t xml:space="preserve">Grab Expres mengantar Parsel Sehat ke Rumah Ibu Rina Aryani </t>
  </si>
  <si>
    <t>Beli Goodybag dan Plastik klip</t>
  </si>
  <si>
    <t xml:space="preserve">Beli Pulpen Permanent Marker dan isolasi </t>
  </si>
  <si>
    <t>Bensin anter parcel ke Nestle ( Mona)  dan BRI ( Faisal)</t>
  </si>
  <si>
    <t xml:space="preserve">Pembelian Box  45 pcs untuk Parcel tanggal 05 Agustus 2021 by Tokped </t>
  </si>
  <si>
    <t>Pembelian Plastik wrap untuk packaging 06 Agustus 2021</t>
  </si>
  <si>
    <t>Bensin -belanja dan kirim barang keluar kota via JNE acara Ngobras 06Aug 2021</t>
  </si>
  <si>
    <t>CA-18/2021</t>
  </si>
  <si>
    <t xml:space="preserve">Makan pagi team </t>
  </si>
  <si>
    <t>SPBU Mingangkabau -Bensin mobil Odhey</t>
  </si>
  <si>
    <t xml:space="preserve">Tipping security &amp; IT </t>
  </si>
  <si>
    <t xml:space="preserve">Parkir mobil Odhey di Grha BNI </t>
  </si>
  <si>
    <t>Go Food - Meals crew</t>
  </si>
  <si>
    <t>CA-20/2021</t>
  </si>
  <si>
    <t>meals Team tanggal 02 Juli 2021</t>
  </si>
  <si>
    <t>Grab Express pengambilan Stempel di Benhill</t>
  </si>
  <si>
    <t xml:space="preserve">Pengiriman Paket Parcel Buah an Ratih Arum Sari </t>
  </si>
  <si>
    <t xml:space="preserve">Pengiriman Paket Parcel Buah an Paulus Hendra </t>
  </si>
  <si>
    <t xml:space="preserve">Parkir Apartemen Kebagusan City </t>
  </si>
  <si>
    <t xml:space="preserve">Gofood Snack meeting tgl 27 Juli 2021 8 Lokasi </t>
  </si>
  <si>
    <t xml:space="preserve">Tipping Yogi Gofood tanggal 27 Juli 8 lokasi </t>
  </si>
  <si>
    <t xml:space="preserve">Top Up LinkAja Ngobras  Kahoot sesi 2 tgl 23 Juli 2021 total 5 paxs </t>
  </si>
  <si>
    <t>Hotel Jakarta - Airport 07-08 Aug an Ramadhan Maulana Abdul by Tiket.com</t>
  </si>
  <si>
    <t>Pembelian Zegavit dan Becomtez untuk acara Ngobras 06 Aug 2021</t>
  </si>
  <si>
    <t xml:space="preserve">Parkir Pasar Puri pembelian Zegavit dan becomtech </t>
  </si>
  <si>
    <t>Pengiriman 22 Titik Jadetabek Parcel Vitamin untuk Acara Ngobras 06Aug 2021</t>
  </si>
  <si>
    <t xml:space="preserve">Biaya reroute dan revalidate an Ramadhan Maulan BDJ-CGK-AMQ Garuda </t>
  </si>
  <si>
    <t>Pembelian Tom and Jerry , Lakban untuk Packaging ngobras 06 Aug 2021</t>
  </si>
  <si>
    <t>Pembelian Holland Bakery an Sugeng Riyadi Snack Meeting ESM 09 Aug 2021</t>
  </si>
  <si>
    <t>Pembelian Holland Bakery an Herman Wahyudi Snack Meeting ESM 09 Aug 2021</t>
  </si>
  <si>
    <t>Pembelian Holland Bakery an Idwan a wardhana Snack Meeting ESM 09 Aug 2021</t>
  </si>
  <si>
    <t>Pembelian Holland Bakery an Tulus Budianto Snack Meeting ESM 09 Aug 2021</t>
  </si>
  <si>
    <t>Pembelian Holland Bakery an Charles Efendi Snack Meeting ESM 09 Aug 2021</t>
  </si>
  <si>
    <t>Pembelian Big John an Tama A Hutasuhut  Snack Meeting ESM 09 Aug 2021</t>
  </si>
  <si>
    <t>Pembelian Birthday Cake Harvest untuk Mas Rayhan 17 Aug 2021</t>
  </si>
  <si>
    <t xml:space="preserve">Bensin Bintaro - Kemendikbud </t>
  </si>
  <si>
    <t xml:space="preserve">Tol Parigi tgl 20 aug , PKS Tsel dan kemendikbud </t>
  </si>
  <si>
    <t xml:space="preserve">Tol Pinang 2 tgl 20 Aug,  PKS Tsel dan kemendikbud </t>
  </si>
  <si>
    <t xml:space="preserve">Tol Kunciran 3 tgl 20 aug , PKS Tsel dan kemendikbud </t>
  </si>
  <si>
    <t xml:space="preserve">Antigen untuk PKS tgl 20 Aug di Kemendikbud </t>
  </si>
  <si>
    <t>Room And Bfast Hotel Santika Premier Malang 24 - 25 Aug 21 an Egi Nataatmaja (tiket.com)</t>
  </si>
  <si>
    <t xml:space="preserve">Gosend antar Telkomsel Orbit </t>
  </si>
  <si>
    <t>Pembelian Dus untuk Merchandise 06 Sept 2021</t>
  </si>
  <si>
    <t>Pengiriman Merchandise an Umiyati tgl 03 Sept 2021</t>
  </si>
  <si>
    <t xml:space="preserve">Pengiriman Merchandise 3 alamat tgl 06 Sept 2021 ( Bekasi dan depok ) </t>
  </si>
  <si>
    <t>CA-21/2021</t>
  </si>
  <si>
    <t>CA-22/2021</t>
  </si>
  <si>
    <t>Beli aqua di Indomaret, saat loading</t>
  </si>
  <si>
    <t>Kopi dll saat GR malam hari</t>
  </si>
  <si>
    <t>Makan team after event</t>
  </si>
  <si>
    <t>Makan malam pak Yadi ( antar sofa ke Pamulang )</t>
  </si>
  <si>
    <t>Patricia beli snack box crew &amp; team</t>
  </si>
  <si>
    <t>CA-24/2021 PATRICE : BRI KunKer Jogja    MCM InhouseTrf  KE GUNAWAN SURYADI</t>
  </si>
  <si>
    <t>CA-24/2021</t>
  </si>
  <si>
    <t>CA-24/21 Patrice   MARIA PATRICIA SUG</t>
  </si>
  <si>
    <t>CA-23/2021 PATRICE : BRI KunKer Jogja    MCM InhouseTrf  KE GUNAWAN SURYADI</t>
  </si>
  <si>
    <t>CA-23/2021</t>
  </si>
  <si>
    <t>Sarapan pagi di stasiun dg pak Yadi</t>
  </si>
  <si>
    <t>Antigen di stasiun</t>
  </si>
  <si>
    <t>Makan siang team PCMI ( nasi box )</t>
  </si>
  <si>
    <t>Tipping catering 4 crew</t>
  </si>
  <si>
    <t>Tipping kebersihan req Adit BRI</t>
  </si>
  <si>
    <t>Aqua u/ crew &amp; peserta</t>
  </si>
  <si>
    <t xml:space="preserve">Rokok u/ pak Abud , mas Adit , pak Anjar (BRI) </t>
  </si>
  <si>
    <t>BRIMedika Swab 21 pax @ Rp 150,000,-</t>
  </si>
  <si>
    <t>Catering peserta - Inv No. 31</t>
  </si>
  <si>
    <t>SPJ Patricia 26, 27, 28 Aug'21 +Meals Rp 100,000,-/hr</t>
  </si>
  <si>
    <t>SPJ Alex 26,27,28 Aug'21</t>
  </si>
  <si>
    <t>SPJ Age 26,27,28 Aug'21</t>
  </si>
  <si>
    <t>SPJ Praja 26,27,28 Aug'21</t>
  </si>
  <si>
    <t xml:space="preserve">Djibran Food </t>
  </si>
  <si>
    <t>Tea Set Wastraloka u/ pak Sunarso</t>
  </si>
  <si>
    <t>Lebih tranfer ke Mandiri PCMI 30/8/21 : Dikembalikan ke Patricia via Petty cash 15/9/21</t>
  </si>
  <si>
    <t>Bayar Pacto JOG - Inv No. 30802</t>
  </si>
  <si>
    <t>Non Cash Bank to Mandiri</t>
  </si>
  <si>
    <t>Cash IDR to Non Cash Bank</t>
  </si>
  <si>
    <t>CA-25/2021</t>
  </si>
  <si>
    <t>Beli busa mic via tokopedia, 25/8/21</t>
  </si>
  <si>
    <t>E Money u/ Tol Jkt - Jog - Jkt , 2x Rp 501,500,- , 25/8/21</t>
  </si>
  <si>
    <t>Bensin , 26/8/21</t>
  </si>
  <si>
    <t>Tahu , Rest Area , 26/8/21</t>
  </si>
  <si>
    <t>Isi angin mobil, 26/8/21</t>
  </si>
  <si>
    <t>Sarapan pagi team, 26/8/21</t>
  </si>
  <si>
    <t>Mkn siang team, 26/8/21</t>
  </si>
  <si>
    <t>Mkn malam team , 26/8/21</t>
  </si>
  <si>
    <t>Bensin , 28/8/21</t>
  </si>
  <si>
    <t>Tahu , Rest Area , 28/8/21</t>
  </si>
  <si>
    <t>Lumpia , Rest Area, 28/8/21</t>
  </si>
  <si>
    <t>Tipping Security, 28/8/21</t>
  </si>
  <si>
    <t>Tipping Cleaning Guest House, 28/8/21</t>
  </si>
  <si>
    <t>CA-26/2021</t>
  </si>
  <si>
    <t>CA-32/2021</t>
  </si>
  <si>
    <t xml:space="preserve">Urus STNK motor Adun yg hilang : B 6177 STN </t>
  </si>
  <si>
    <t>CA-27/2021</t>
  </si>
  <si>
    <t xml:space="preserve">Fee MC BRI Pilar Cikarang </t>
  </si>
  <si>
    <t xml:space="preserve">Fee MC Dita </t>
  </si>
  <si>
    <t>Fee MUA Dita</t>
  </si>
  <si>
    <t>Fee Pembaca Doa</t>
  </si>
  <si>
    <t>Fee lemburan Bunga Rampai</t>
  </si>
  <si>
    <t>Air minum Pristine u/ peserta</t>
  </si>
  <si>
    <t>Minuman &amp; cemilan saat survey di Cikarang</t>
  </si>
  <si>
    <t>Bayar sewa kelebihan waktu 10/9/21</t>
  </si>
  <si>
    <t>SPJ Dhea 2 hari</t>
  </si>
  <si>
    <t>SPJ Pat 2 hari</t>
  </si>
  <si>
    <t>Kuota Pat u/ thetering</t>
  </si>
  <si>
    <t>Pulsa Praja</t>
  </si>
  <si>
    <t>CA-28/2021 YOGI : TSel BestAgentCES Ops WeeklyWShop   YOGI PURWO WIDODO</t>
  </si>
  <si>
    <t>CA-28/2021</t>
  </si>
  <si>
    <t>WS ECX tgl 13 Sept pengiriman Snack Pagi - Kopi Kenangan ( Irwan Saidi)</t>
  </si>
  <si>
    <t>WS ECX tgl 13 Sept pengiriman Snack Pagi - Holand Bakery  (Mira Santiawaty)</t>
  </si>
  <si>
    <t>WS ECX tgl 13 Sept pengiriman Snack Pagi - Kopi Kenangan ( Iman M Djajasetiadji)</t>
  </si>
  <si>
    <t>WS ECX tgl 13 Sept pengiriman Snack Pagi - Kopi Kenangan ( Irwan Cahya Hermawan)</t>
  </si>
  <si>
    <t>WS ECX tgl 13 Sept pengiriman Snack Pagi - Kopi Kenangan (Paskah Rinauli Purba)</t>
  </si>
  <si>
    <t>WS ECX tgl 13 Sept pengiriman Snack Pagi - Kopi Kenangan (Herlan Rotunami)</t>
  </si>
  <si>
    <t>WS ECX tgl 13 Sept pengiriman Snack Pagi - Kopi Kenangan ( Novrizal Syahrul)</t>
  </si>
  <si>
    <t>WS ECX tgl 13 Sept pengiriman Snack Pagi - Kopi Kenangan ( Rifki Ridwan)</t>
  </si>
  <si>
    <t>WS ECX tgl 13 Sept pengiriman Snack Pagi - Kopi Kenangan (Rediani Pramudita)</t>
  </si>
  <si>
    <t>WS ECX tgl 13 Sept pengiriman Snack Pagi - Kopi Kenangan (Muhammad Rayhan Krisnadi)</t>
  </si>
  <si>
    <t>WS ECX tgl 13 Sept pengiriman Snack Pagi - LinkAJa ( Himawan F Rahmansyah)</t>
  </si>
  <si>
    <t>WS ECX tgl 13 Sept pengiriman Snack Pagi -LinkAJa  (Nadrayeni)</t>
  </si>
  <si>
    <t>WS ECX tgl 13 Sept pengiriman Snack Pagi - Linkaja (Farid Kurniawan)</t>
  </si>
  <si>
    <t>WS ECX tgl 13 Sept pengiriman Snack Pagi - Kopi Kenangan (Debora Malinda)</t>
  </si>
  <si>
    <t xml:space="preserve">Pulsa Pak Yadi Pengiriman Gift to Tsel </t>
  </si>
  <si>
    <t xml:space="preserve">Meals Snack 15 Sept </t>
  </si>
  <si>
    <t xml:space="preserve">Pembelian Bday Cake an Hima </t>
  </si>
  <si>
    <t xml:space="preserve">Pembelian Stationery untuk TTD Direksi </t>
  </si>
  <si>
    <t xml:space="preserve">Pembelian Tiket Pesawat an Dervyn Abbelly Mike Latupeirissa AMQ - SOC 06 Okt by Wings Air </t>
  </si>
  <si>
    <t xml:space="preserve">Transfer to Mbak Dwine ( User)  + Biaya Transfer </t>
  </si>
  <si>
    <t xml:space="preserve">Pembelian Bday Cake an Helmi Gunawan </t>
  </si>
  <si>
    <t xml:space="preserve">Pembelian Bubble wrap untuk Plakat LinkAja kirim ke Bandung </t>
  </si>
  <si>
    <t>Parkir Benhil , ambil Plakat 15 okt 2021</t>
  </si>
  <si>
    <t xml:space="preserve">Kirim plakat ke Bandung via JNE </t>
  </si>
  <si>
    <t xml:space="preserve">Parkir Benhil 15 Oct bayar plakat </t>
  </si>
  <si>
    <t xml:space="preserve">Pembelian sendok Garpu untuk di Bali  200 Pcs </t>
  </si>
  <si>
    <t xml:space="preserve">Pembelian tempat sendok Bali 150 Pcs </t>
  </si>
  <si>
    <t xml:space="preserve">Telkomsel Pengadaan Voucher </t>
  </si>
  <si>
    <t>BRI to Non Cash Bank</t>
  </si>
  <si>
    <t>CA-29/2021</t>
  </si>
  <si>
    <t>CA-30/2021</t>
  </si>
  <si>
    <t xml:space="preserve">Mkn siang team saat loding </t>
  </si>
  <si>
    <t xml:space="preserve">Tipping security </t>
  </si>
  <si>
    <t xml:space="preserve">Aqua 600 ml  4 dus @ Rp 37,500,- </t>
  </si>
  <si>
    <t>Mkn siang team saat GR</t>
  </si>
  <si>
    <t>CA-31/2021</t>
  </si>
  <si>
    <t xml:space="preserve">27/9/21- Parkir ITC Permata Hijau  </t>
  </si>
  <si>
    <t>27/9/21- Bayar Bordir ( sample )</t>
  </si>
  <si>
    <t>27/9/21- Parkir Lippo Puri (Parkir liar )</t>
  </si>
  <si>
    <t>27/9/21- Beli Polohirt u/ approval bordir</t>
  </si>
  <si>
    <t>27/9/21- Grab Express Approval Bordir</t>
  </si>
  <si>
    <t>28/9/21- Bensin mobil kirim barang dr Lippo Puri -ITC Permata Hijau-PCMI 27&amp;28 Sept'21</t>
  </si>
  <si>
    <t>28/9/21- Parkir Lippo Puri (Mobil)</t>
  </si>
  <si>
    <t>4/10/21-Bordir 86 Tshirt Lacoste</t>
  </si>
  <si>
    <t>4/10/21- Parkir ITC Permata Hijau</t>
  </si>
  <si>
    <t xml:space="preserve">4/10/21- Tips operator bordir </t>
  </si>
  <si>
    <t>5/10/21- Toblerone 1 pc 100 gram</t>
  </si>
  <si>
    <t>5/10/21- Toblerone 1 pc 100 gram dark</t>
  </si>
  <si>
    <t>5/10/21- Tom &amp; Jerry</t>
  </si>
  <si>
    <t>5/10/21- Parkir Prisma Kedoya</t>
  </si>
  <si>
    <t>6/10/21- Lakban, platik wrab &amp; buble via tokopedia</t>
  </si>
  <si>
    <t>7/10/21- Parkir benhil (mobil)</t>
  </si>
  <si>
    <t xml:space="preserve">7/10/21- Parkir Wisma Kedoya </t>
  </si>
  <si>
    <t>7/10/21- Grab dr Benhil ke PCMI (Ambil cetakan kartu ucapan)</t>
  </si>
  <si>
    <t xml:space="preserve">7/10/21- Meals team </t>
  </si>
  <si>
    <t>7/10/21- Pita 10 pack</t>
  </si>
  <si>
    <t>7/10/21- Plastik u/ kartu ucapan</t>
  </si>
  <si>
    <t>7/10/21- Pengiriman 52 alamat Jabodetabek u/ 9/10/21</t>
  </si>
  <si>
    <t>7/10/21- Bensin ops 7-10 Okt'21</t>
  </si>
  <si>
    <t>8/10/21- Pita kain</t>
  </si>
  <si>
    <t>8/10/21- Plastik AP u/ kartu ucapan duren</t>
  </si>
  <si>
    <t>8/10/21- Lakban bening &amp; double tape</t>
  </si>
  <si>
    <t>8/10/21- Pita rol</t>
  </si>
  <si>
    <t>8/10/21- Pita tarik</t>
  </si>
  <si>
    <t>8/10/21- Kartu ucapan duren 86 pcs, uk.A5 AC 300 gram laminating doft</t>
  </si>
  <si>
    <t>8/10/21- Grab ambil cetakan duren</t>
  </si>
  <si>
    <t>8/10/21- Meals team</t>
  </si>
  <si>
    <t>8/10/21- Bensin ops 10/10/21</t>
  </si>
  <si>
    <t>8/10/21- Meals team ( team delivery )</t>
  </si>
  <si>
    <t>10/10/21- Brownies u/ Muh Rifai</t>
  </si>
  <si>
    <t>10/10/21- Biaya kirim tambahan Brownies req Muh. Rifai</t>
  </si>
  <si>
    <t>10/10/21- Biaya pengiriman Duren ke 52 alamat Jadetabek 10/10/21</t>
  </si>
  <si>
    <t>12/10/21- Pengiriman one night service Medan &amp; Kupang via Lion Parcel</t>
  </si>
  <si>
    <t>13/10/21- Parkir Benhil (mobil)</t>
  </si>
  <si>
    <t>13/10/21- Cetak tambahan Kartu Ucapan</t>
  </si>
  <si>
    <t>13/10/21- Pmbyrn pengiriman duren ke 29 lokasi luar kota (kilat)</t>
  </si>
  <si>
    <t>13/10/21- Grab send Lippo Puri-ITC Permata Hijau</t>
  </si>
  <si>
    <t>14/10/21- Biaya pengiriman  4 Paxs Brownies</t>
  </si>
  <si>
    <t>15/10/21- Tom &amp; Jerry u/ packaging 5 pax</t>
  </si>
  <si>
    <t>15/10/21- Parkir ITC Permata Hijau</t>
  </si>
  <si>
    <t>15/10/21- Bordir depan blkng 5 pcs seragam</t>
  </si>
  <si>
    <t>15/10/21- Kirim merchandise via Grabsend a/n Yossie Hamdeny</t>
  </si>
  <si>
    <t>15/10/21- Kirim merchandise via Grabsend a/n Ida Rohana</t>
  </si>
  <si>
    <t xml:space="preserve">15/10/21- Parkir Prisma Kedoya </t>
  </si>
  <si>
    <t>15/10/21- Kirim merchandise via Mahmud Pan ke 2 lokasi a/n Devy Jasmin &amp; Farischa</t>
  </si>
  <si>
    <t>23/10/21- Beli koin Shoppee No. 0800702108166</t>
  </si>
  <si>
    <t>23/10/21- Beli koin Shoppee No. 0808401109021</t>
  </si>
  <si>
    <t>24/10/21- Beli Holland Bakery Cake ibu Ratu (Serang)</t>
  </si>
  <si>
    <t>CA-33/2021</t>
  </si>
  <si>
    <t>Antigen Patricia</t>
  </si>
  <si>
    <t xml:space="preserve">Mkn siang nasi bungkus </t>
  </si>
  <si>
    <t>Tissue &amp; kits prokes</t>
  </si>
  <si>
    <t>Tipping driver 5 hari</t>
  </si>
  <si>
    <t xml:space="preserve">SPJ Patricia 5 hari ( 6,7,8,9,10 / 10/21 ) </t>
  </si>
  <si>
    <t>CA-34/2021</t>
  </si>
  <si>
    <t>CA-35/2021</t>
  </si>
  <si>
    <t>PCR 18 pax all team @ Rp 830.000,-</t>
  </si>
  <si>
    <t>Tipping banquet yg byr makanan ke Villa</t>
  </si>
  <si>
    <t>Masker u/ Band GIGI</t>
  </si>
  <si>
    <t>Face shield 8 pcs u/ Band GIGI</t>
  </si>
  <si>
    <t>Makan siang Patricia, Odhey, pak Adri &amp; Dwi ( BRI)</t>
  </si>
  <si>
    <t>Bayar tipping driver Avanza</t>
  </si>
  <si>
    <t>SPJ 3 hari ( 12,13,14/10/21) + uang makan Rp 100.000,-/hr</t>
  </si>
  <si>
    <t>CA-36/2021</t>
  </si>
  <si>
    <t>PCR  &amp; hotel pserta &amp; cash req Bayu  BRI</t>
  </si>
  <si>
    <t>DP ke pak Suhaeli</t>
  </si>
  <si>
    <t>Oleh2 BRI 5 pket 2 Rp 1.500.000,-+ Ayam Taliwang</t>
  </si>
  <si>
    <t>Minuman Wine</t>
  </si>
  <si>
    <t>SPJ 3 hari ( /21) + uang makan Rp 100.000,-/hr</t>
  </si>
  <si>
    <t>Bayar makanan di penangkaran lobster team BRI</t>
  </si>
  <si>
    <t>Cash req Bayu BRI : Untuk diserahkan cash ke mas Bayu BRI di Airport 14/10/21 jam 06,00 WIB</t>
  </si>
  <si>
    <t>CA-37/2021</t>
  </si>
  <si>
    <t>12/10/21 - Alex Swab Antigen</t>
  </si>
  <si>
    <t>13/10/21 - Pulsa Alex</t>
  </si>
  <si>
    <t>13/10/21  - Jakarta Hotel Kuta Lombok</t>
  </si>
  <si>
    <t>13/10/21 -  Perlengkapan Prokes Kit</t>
  </si>
  <si>
    <t>15/10/21 - Snack u/ BRI ( Alfamart / Indomaret )</t>
  </si>
  <si>
    <t>15/10/21 - Refreshment Media di Raja Kuta Hotel Restorant</t>
  </si>
  <si>
    <t>15/10/21 - Mkn siang media di Breezer Bar Novotel</t>
  </si>
  <si>
    <t>15/10/21 - Mkn siang driver 3 org</t>
  </si>
  <si>
    <t>15/10/21 - Mkn mlm driver ( 7 org )</t>
  </si>
  <si>
    <t>16/10/21 - Tipping Airport Assist Lombok</t>
  </si>
  <si>
    <t>16/10/21 - SPJ Alex ,4 hr ( 13, 14 , 15 , 16 Okt'21 ) + meals</t>
  </si>
  <si>
    <t>CA-38/2021</t>
  </si>
  <si>
    <t>Parkir  Terminal 2</t>
  </si>
  <si>
    <t>Parkir Terminal 3</t>
  </si>
  <si>
    <t>Bayar Hafidz Apo handling</t>
  </si>
  <si>
    <t>Meals team ( Yosinoya )</t>
  </si>
  <si>
    <t>Meals team ( Bakmi GM )</t>
  </si>
  <si>
    <t>Meals team ( kopi pagi )</t>
  </si>
  <si>
    <t>Pembelian Koin Shoppee no 0800502108086</t>
  </si>
  <si>
    <t>Pembelian Koin Shoppee no 0801901124633</t>
  </si>
  <si>
    <t>Pembelian Koin Shoppee no 0809601110680</t>
  </si>
  <si>
    <t>CA-39/2021</t>
  </si>
  <si>
    <t>Beli tambahan 2 sejadah VIP - Kamar &amp; Sholat) + Trf fee - Bursa Sajadah JKT</t>
  </si>
  <si>
    <t>Beli goodie bag untuk souvenir VIP &amp; Non VIP - Tokopedia</t>
  </si>
  <si>
    <t>Makan siang di Warung Wardhani</t>
  </si>
  <si>
    <t>Gocar dari Sanur ke Nusa Dua incldg tips &amp; tol</t>
  </si>
  <si>
    <t>Makan malam team (5 box nasi campur @Rp. 38.000) Warung Sari Manis</t>
  </si>
  <si>
    <t>Uang Khotib Sholat Jumat, Ust Hasan Sazali &amp; Muazin- di Kempinski</t>
  </si>
  <si>
    <t xml:space="preserve">Percussion, Uang Makan &amp; Antigen - Ruland Yanuar </t>
  </si>
  <si>
    <t>Djampiro Band, Uang Makan &amp; Antigen - Inge Sutanto</t>
  </si>
  <si>
    <t>MC Ririz &amp; Dev, Uang Makan &amp; Antigen - Rizky Sulistyowati + biaya trf</t>
  </si>
  <si>
    <t>Tipping Banquet Meeting - Apurva Kempinski</t>
  </si>
  <si>
    <t>Tipping Banquet Dinner - Apurva Kempinski</t>
  </si>
  <si>
    <t>Beli Antangin dan permen - Alfamart Kedewatan</t>
  </si>
  <si>
    <t>Tipping bellboy hotel - Apurva Kempinski</t>
  </si>
  <si>
    <t>Snack di airport DPS - Beard Papa's DPS</t>
  </si>
  <si>
    <t>SPJ - b'Frida -  4Hari, 21-24Oct, @Rp. 500.000</t>
  </si>
  <si>
    <t>Pulsa - b'Frida</t>
  </si>
  <si>
    <t>CA-40/2021</t>
  </si>
  <si>
    <t>Beli Beard Papa</t>
  </si>
  <si>
    <t>Ngopi dengan team PCMI &amp; Oka teams</t>
  </si>
  <si>
    <t>Snack u/ team</t>
  </si>
  <si>
    <t>Mkn Bakso Afung</t>
  </si>
  <si>
    <t>Wrapping bagasi 7 pcs</t>
  </si>
  <si>
    <t>Beli obat Pat</t>
  </si>
  <si>
    <t>Beli sarapan</t>
  </si>
  <si>
    <t>Mkn malam dg Alex &amp; Lita</t>
  </si>
  <si>
    <t>Antigen pak Titing ke KBUMN</t>
  </si>
  <si>
    <t>SPJ Patricia 4 D (20 , 21,22,23 Okt'21)</t>
  </si>
  <si>
    <t>Tipping driver Ardiama 4 hr ( 20,21,22,23 Okt'21 )</t>
  </si>
  <si>
    <t>Tipping concierge hotel bawa barang2</t>
  </si>
  <si>
    <t>CA-41/21 PATRICE : BRI PresCon TW3   Cash for Faisal   MARIA PATRICIA SUG</t>
  </si>
  <si>
    <t>CA-41/2021</t>
  </si>
  <si>
    <t>Beli makan siang team ( RM Sederhana )</t>
  </si>
  <si>
    <t>Kasih ke Faisal 6 amplop @ Rp 500.000,-</t>
  </si>
  <si>
    <t>SPJ Adun bantu ke Apo hr Minggu, 31/10/21</t>
  </si>
  <si>
    <t>SPJ Praja 1 hari , 31/10/21</t>
  </si>
  <si>
    <t>Apo handling pak Roma, 31/10/21</t>
  </si>
  <si>
    <t>CA-42/2021</t>
  </si>
  <si>
    <t>CA-43/2021</t>
  </si>
  <si>
    <t>Uang kebersihan event 10/11/21</t>
  </si>
  <si>
    <t>CA-44/2021</t>
  </si>
  <si>
    <t>Parkir Cork &amp; Screw 11am-8pm</t>
  </si>
  <si>
    <t>Bensin meeting Tsel &amp; BNI-Puri - ITC Permata Hijau</t>
  </si>
  <si>
    <t>Snack meeting combo sakti (LinkAja) a/n Hery Prasetya</t>
  </si>
  <si>
    <t>Pmbyrn delivery snack meals Starbucks Jadetabek 30 pax</t>
  </si>
  <si>
    <t>Tipping Gofood total</t>
  </si>
  <si>
    <t>CA-46 MERRY : TSel SuppCampMyAd Injet Orbit       MEERY ADRIAN</t>
  </si>
  <si>
    <t>CA-46/2021</t>
  </si>
  <si>
    <t>Inject Orbit Telkomsel No : 021113920995</t>
  </si>
  <si>
    <t>Admin fee</t>
  </si>
  <si>
    <t>CA-45/2021</t>
  </si>
  <si>
    <t>TSel e-Comm Prog  BigSaleDay 11.11  PT SHOPEE INTERNAT</t>
  </si>
  <si>
    <t>TSel e-Comm Prog  BigSaleDay 12.12  PT SHOPEE INTERNAT</t>
  </si>
  <si>
    <t>Byr AP Loan 30-NopBCA               DAVID HARSAMTO</t>
  </si>
  <si>
    <t>BRI Launch OVO UC DP Internet 4Dec  EVA RATNASARI</t>
  </si>
  <si>
    <t>BRI Launch OVO UC CashIjinKepolisianDEDI PURWANTO SE</t>
  </si>
  <si>
    <t>BRI Launch OVO UC Lunas Internet    EVA RATNASARI</t>
  </si>
  <si>
    <t>DIpinjam PCMI     DAVID HARSAMTO</t>
  </si>
  <si>
    <t>BRI Launch OVO UC Lunas Artis RAN   CAKRAWALA INDONESI</t>
  </si>
  <si>
    <t>BRI Launch OVO UC UM 18Artis RAN    ALLVINO ADRIAN TAM</t>
  </si>
  <si>
    <t>BRI Launch OVO UC Fee MC GR+Event   RANIETA</t>
  </si>
  <si>
    <t>TSel RacingCompProCashBackShopDrive MEERY ADRIAN</t>
  </si>
  <si>
    <t>CA-48/21 Frida    FRIDA ACHMADI</t>
  </si>
  <si>
    <t>RTGS-PT. BANK PERMBBBAIDJA/004304   YOHAN KRISTANTO   DIPINJAM PCMI</t>
  </si>
  <si>
    <t>CITIBANK   TRANSFER VIA LLG  REF NO PPU :52LF  David Harsamto</t>
  </si>
  <si>
    <t>BANK DBS   TRANSFER VIA LLG  REF NO PPU :52M2  David Harsamto</t>
  </si>
  <si>
    <t>BANK DBS   TRANSFER VIA LLG  REF NO PPU :52N6  David Harsamto</t>
  </si>
  <si>
    <t>BRI FGD DPR Kom VISPJ Driver        SUPRIYADI</t>
  </si>
  <si>
    <t>CA-49/21 Frida    FRIDA ACHMADI</t>
  </si>
  <si>
    <t>FeeProjTSel JanJulAlfian TSel       MEERY ADRIAN</t>
  </si>
  <si>
    <t>Overtime Nov      SUPRIYADI</t>
  </si>
  <si>
    <t>Overtime Nov      MUHAMMAD UJER AWAL</t>
  </si>
  <si>
    <t>BRI Monthly Mtg ASSoundSys 9-10Nop  RISYAD FAUZIE</t>
  </si>
  <si>
    <t>TSel Prog Media AgOps Sep-Nop       PARULIAN LUMMY SIT</t>
  </si>
  <si>
    <t>TSel Office2OfficeOps Sep-Nov       PARULIAN LUMMY SIT</t>
  </si>
  <si>
    <t>TSel Racing Comp  CashBackAsiaWisataMEERY ADRIAN</t>
  </si>
  <si>
    <t>Internet Des +PPn Panconvince       MORA TELEMATIKA IN</t>
  </si>
  <si>
    <t>Jotun Bali Trip   AllowFeeTipAntigenYOGI/NEVIA MARTHA</t>
  </si>
  <si>
    <t>Jotun Bali Trip   TL MealsPulsaTransYOGI/NEVIA MARTHA</t>
  </si>
  <si>
    <t>Byr AP Loan 3-Dec BCA               DAVID HARSAMTO</t>
  </si>
  <si>
    <t>Byr AP Loan 6-Dec BCA               DAVID HARSAMTO</t>
  </si>
  <si>
    <t>Byr AP Loan 6-Dec BCA               NY NURLAILA HUTABA</t>
  </si>
  <si>
    <t>KPEI TeamBuildVirt2DInternet 100MbpsMUHAMMAD FAJAR SAT</t>
  </si>
  <si>
    <t>PT ASURANSI Jotun Bali Trip   Travel Ins 13Pax  20191101108</t>
  </si>
  <si>
    <t>Damage Deposit BRIRUANG KREATIF POS</t>
  </si>
  <si>
    <t>Damage Deposit BRIX OVO 04 Desember RUANG KREATIF POS</t>
  </si>
  <si>
    <t>KPEI TeamBuildVirtLunas ChaplinBand DENNI PRATOMOAJI</t>
  </si>
  <si>
    <t>KPEI TeamBuildVirtUM Chaplin Band   DENNI PRATOMOAJI</t>
  </si>
  <si>
    <t>KPEI TeamBuildVirtFee MC Tatha Yank LAURENSIA AGATHA B</t>
  </si>
  <si>
    <t>KPEI TeamBuildVirtLunasSewaStudio   HERWIEN</t>
  </si>
  <si>
    <t>Jotun Bali Trip   5785 Mbl+OffRoad  BPW SAHADEWA BASUN</t>
  </si>
  <si>
    <t>BRI Launch OVO UC Fee Show Mgt      MUHAMAD IBNU IKBAL</t>
  </si>
  <si>
    <t>SGI GyprocMigratioLunasWebsiteMigrasDHANI BASKHARA</t>
  </si>
  <si>
    <t>LINKAJA     -                 -                 08117801972</t>
  </si>
  <si>
    <t>TSel BestAgentCES Kado Bu Mira GM   FATRESIA</t>
  </si>
  <si>
    <t>TSel OBC SurveyMM Fee PIC 3Days     YOGI PURWO WIDODO</t>
  </si>
  <si>
    <t>BRI Cyperos Bali  Apo Handling 22OktYOGI PURWO WIDODO</t>
  </si>
  <si>
    <t>TSel MtgJoinProBNISPJ VIP Handling  YOGI PURWO WIDODO</t>
  </si>
  <si>
    <t>TSel OBC Survey MMSPJ PIC 2Days     YOGI PURWO WIDODO</t>
  </si>
  <si>
    <t>BRI Mikro Bali    PO Fee            MARIA PATRICIA SUG</t>
  </si>
  <si>
    <t>BRI FGD DPR KomVI SPJ PIC 1D+Meals  MARIA PATRICIA SUG</t>
  </si>
  <si>
    <t>BRI FGD DPR KomVI SPJ PIC 2D + MealsPRAJA SAPUTRA S</t>
  </si>
  <si>
    <t>BRI FGD DPR KomVI SPJ PIC 2D + MealsANALITA YULISTYA C</t>
  </si>
  <si>
    <t>BRI FGD DPR KomVI SPJ PIC 1D + MealsALEXADRUS NULIADY</t>
  </si>
  <si>
    <t>BRI Launch OVO UC SPJ 1D + Meals    DEDI PURWANTO SE</t>
  </si>
  <si>
    <t>BRI Launch OVO UC SPJ 1D + Meals    PRAJA SAPUTRA S</t>
  </si>
  <si>
    <t>BRI Launch OVO UC SPJ 1D + Meals    ALEXADRUS NULIADY</t>
  </si>
  <si>
    <t>BRI Launch OVO UC SPJ 1D + Meals    MARIA PATRICIA SUG</t>
  </si>
  <si>
    <t>BRI Launch OVO UC SPJ 1D + Meals    ANALITA YULISTYA C</t>
  </si>
  <si>
    <t>BRI Launch OVO UC SPJ 1D + Meals    FRIDA ACHMADI</t>
  </si>
  <si>
    <t>BRI Launch OVO UC SPJ 1D + Meals    HELMI MARDIASTUTI</t>
  </si>
  <si>
    <t>BRI Launch OVO UC SPJ Driver 1D     MUHAMMAD UJER AWAL</t>
  </si>
  <si>
    <t>BRI Launch OVO UC SPJ Driver 2D     SUPRIYADI</t>
  </si>
  <si>
    <t>Overtime Nov      SUKANDA</t>
  </si>
  <si>
    <t>Medical Allowance 29-Sep            RD HIDIANITJE DRA</t>
  </si>
  <si>
    <t>BRI IDX OpBellRIssZoomPro+Add500    RD HIDIANITJE DRA</t>
  </si>
  <si>
    <t>TSel Onboarding   FaveBitungAlfinEkaRD HIDIANITJE DRA</t>
  </si>
  <si>
    <t>TSel Onboarding   KardopaBinjaiYusufRD HIDIANITJE DRA</t>
  </si>
  <si>
    <t>BRI Mikro Bali    2 Laptop 2Days    MARBANGUN WIDAKDO</t>
  </si>
  <si>
    <t>TEO BENG LEEPhotocopy Nov     Panconvince       12161848</t>
  </si>
  <si>
    <t>BRI PresCon TW3   3 Kamera 2Days    BAMBANG SUBARI</t>
  </si>
  <si>
    <t>TSel OBC Survey MMOps PCM Nov       MOCH TAUFIK SYAWAL</t>
  </si>
  <si>
    <t>LINKAJA     -                 -                 0811993142</t>
  </si>
  <si>
    <t>TSel PengGimmickPUCashBack UTube Pr MAI DIANSYAH SAPUT</t>
  </si>
  <si>
    <t>TSel OBC Survey MMBerbagiSahabat DS MOCH TAUFIK SYAWAL</t>
  </si>
  <si>
    <t>Frida</t>
  </si>
  <si>
    <t>CA-48/2021</t>
  </si>
  <si>
    <t>CA-49/2021</t>
  </si>
  <si>
    <t>Income Tax 2020</t>
  </si>
  <si>
    <t>Sales and Promotion</t>
  </si>
  <si>
    <t>SISA CA 41        MARIA PATRICIA SUG : Retur double bayar - sudah di transfer tgl 9-Nop</t>
  </si>
  <si>
    <t>SPJ Pat 1 hari : Retur sudah di transfer tgl 9-Nop</t>
  </si>
  <si>
    <t>BRI Launch OVO UC Venue PosBloc 4DecRUANG KREATIF POS : Rp. 106.052.250 Incl Ref Deposit</t>
  </si>
  <si>
    <t>Ruang Kreatif Pos</t>
  </si>
  <si>
    <t xml:space="preserve">I Box Kokas Jakarta : Iphone 12 Pro Max 126 GB Graphite +Powerbank Hadiah Idul Fitri Pak Adri BRI </t>
  </si>
  <si>
    <t>Nasa Samsung Koas Jakarta : Samsung Galaxy S21 Ultra  -Hadiah Idul fitri pak Abud BRI</t>
  </si>
  <si>
    <t>Iphone 12 Pro Max 126 GB Graphite +Powerbank</t>
  </si>
  <si>
    <t>Samsung Galaxy S21 Ultra</t>
  </si>
  <si>
    <t xml:space="preserve">I Box Kokas Jakarta ( 002:012 ) : </t>
  </si>
  <si>
    <t xml:space="preserve">Nasa Samsung Koas Jakarta ( 002:012 ) </t>
  </si>
  <si>
    <t>VOID : Invoice III - Th 2022</t>
  </si>
  <si>
    <t>MANULIFE UL  4255291629        RD HIDIANITJE DRA 6019009502943712</t>
  </si>
  <si>
    <t>TSel PengadaanVchrKartuHalo80K8NomerTECHNOMAS INTERNUS</t>
  </si>
  <si>
    <t>LAPORAN CA 045 TAHUN 2021           YOGI PURWO WIDODO</t>
  </si>
  <si>
    <t>BRI Monthly Mtg ASSewaKamera 2Days  BAMBANG SUBARI</t>
  </si>
  <si>
    <t>BRI FGD K BUMN    Sewa LED+Switcher SRI WAHYUNI NAWI</t>
  </si>
  <si>
    <t>BRI Monthly Mtg AS66 Meja IBM+Cover DEDI PURWANTO SE</t>
  </si>
  <si>
    <t>BRI Monthly Mtg AS66 Meja IBM+Cover SAEPIH</t>
  </si>
  <si>
    <t>Indo Power HUT-26 Fee Proj Officer  DEDI PURWANTO SE</t>
  </si>
  <si>
    <t>CA-50/21 Yogi     YOGI PURWO WIDODO</t>
  </si>
  <si>
    <t>TSel LeveragingMsgHotel Rancamaya   SURYAMAS DUTAMAKMU</t>
  </si>
  <si>
    <t>FRIDA ACHMADI BOGOBRI HOTEL CYPERUS</t>
  </si>
  <si>
    <t>Sisa BS a.n Frida Achmadi           FRIDA ACHMADI</t>
  </si>
  <si>
    <t>SISA BS NO 049 FRIDA ACHMADI        FRIDA ACHMADI</t>
  </si>
  <si>
    <t>CA-51/21 Meery    MEERY ADRIAN</t>
  </si>
  <si>
    <t>TELKOM DIVRE302183700934     12RD HIDIANITJE DRA 6019009502943712</t>
  </si>
  <si>
    <t>PERMATA    TRANSFER VIA LLG  REF NO PPU :8TV6  Yohan Kristanto</t>
  </si>
  <si>
    <t>LAPORAN CA NO 051 THN 2021          YOGI PURWO WIDODO</t>
  </si>
  <si>
    <t>CA-52/21 Patrice  MARIA PATRICIA SUG</t>
  </si>
  <si>
    <t>BRI Paralimpiade  Cat 23Des Gr Pert AKASYA CATERING CV</t>
  </si>
  <si>
    <t>BRI Paralimpiade  FeeTriasBand23Des TRIAS FAJAR ANUGRA</t>
  </si>
  <si>
    <t>BRI IDX OpBellRIssFeeProduksiTrishaeBAMBANG SUPRIYANTO</t>
  </si>
  <si>
    <t>BRI Launch OVO UC Dokumentasi 2D    AGUS WIJAYA</t>
  </si>
  <si>
    <t>BRI VidMapping UAELunas Shooting    ANDRA GUNAWAN</t>
  </si>
  <si>
    <t>BRI Cyperos Bali  Inv 005729        BPW SAHADEWA BASUN</t>
  </si>
  <si>
    <t>AR Staf Loan      Lebih Byr Angs/PotMUHAMMAD UJER AWAL</t>
  </si>
  <si>
    <t>BRI           PAN CONVINCE MITRAPin Buk BCA</t>
  </si>
  <si>
    <t>BRI FGD DPR KomVI LED 26-27 Nop     SRI WAHYUNI NAWI</t>
  </si>
  <si>
    <t>BRI Cyperos Bali  Inv. 005726       BPW SAHADEWA BASUN</t>
  </si>
  <si>
    <t>BRI Cyperos Bali  Inv 005728        BPW SAHADEWA BASUN</t>
  </si>
  <si>
    <t>BRI Cyperos Bali  Inv. 005730       BPW SAHADEWA BASUN</t>
  </si>
  <si>
    <t>BRI VidMapping UAEMultiMedia BRI    IBRAHIM SALADDIN</t>
  </si>
  <si>
    <t>BRI FGD DPR Kom VISPJ 2D + Meals    MARIA PATRICIA SUG</t>
  </si>
  <si>
    <t>BRI FGD DPR Kom VISPJ 2D + Meals    PRAJA SAPUTRA S</t>
  </si>
  <si>
    <t>BRI FGD DPR Kom VISPJ 2D + Meals    ANALITA YULISTYA C</t>
  </si>
  <si>
    <t>BRI FGD DPR Kom VISPJ 7-Des         SUPRIYADI</t>
  </si>
  <si>
    <t>KPEI TeamBldgVirtuSPJ 2D            DEDI PURWANTO SE</t>
  </si>
  <si>
    <t>KPEI TeamBldgVirtuSPJ 2D            ANALITA YULISTYA C</t>
  </si>
  <si>
    <t>KPEI TeamBldgVirtuSPJ 2D            PRAJA SAPUTRA S</t>
  </si>
  <si>
    <t>KPEI TeamBldgVirtuSPJ 2D            DEKA BAHANA</t>
  </si>
  <si>
    <t>KPEI TeamBldgVirtuSPJ 2D            FRIDA ACHMADI</t>
  </si>
  <si>
    <t>KPEI TeamBldgVirtuSPJ 2D            SUPRIYADI</t>
  </si>
  <si>
    <t>KPEI TeamBldgVirtuSPJ 2D            MUHAMMAD UJER AWAL</t>
  </si>
  <si>
    <t>BRI FGD DPR Kom VIFee Loading 26-27 MOCH SUPRIYADI</t>
  </si>
  <si>
    <t>BRI FGD DPR Kom VIFee Loading 6-7DesMOCH SUPRIYADI</t>
  </si>
  <si>
    <t>BRI FGD DPR Kom VIFee 3Crew 9-10Des MOCH SUPRIYADI</t>
  </si>
  <si>
    <t>BRI FGD K BUMN    Fee Loading+RunnerMOCH SUPRIYADI</t>
  </si>
  <si>
    <t>BRI Launch OVO UC Fee 6 Crews CCRFMOCH SUPRIYADI</t>
  </si>
  <si>
    <t>BRI Launch OVO UC Fee PIC Pinner    ANDRY SURYADI</t>
  </si>
  <si>
    <t>TSel WS SubDir SSGSPJ 1D 17Des      FRIDA ACHMADI</t>
  </si>
  <si>
    <t>TSel WS SubDir SSGSPJ 1D 17Des      YOGI PURWO WIDODO</t>
  </si>
  <si>
    <t>TSel Mtg JP BNI   SPJ 15Des         YOGI PURWO WIDODO</t>
  </si>
  <si>
    <t>Sewa Gudang 2022  DWI SARYANTO</t>
  </si>
  <si>
    <t>Cetak ComPro 30PcsAHMAD WIDYA NUGRAH</t>
  </si>
  <si>
    <t>Jotun Bali Trip   Aneka cetakan     AHMAD WIDYA NUGRAH</t>
  </si>
  <si>
    <t>BRI PresCon TW3   Mkn Siang Team    MARIA PATRICIA SUG</t>
  </si>
  <si>
    <t>BRI Monthly Mtg ASLap Ops           AHMAD WIDYA NUGRAH</t>
  </si>
  <si>
    <t>BANK MANDBMRIIDJA/010941   KOPKAR PT TELKOM DPANJAR 23/12/21                 RTG</t>
  </si>
  <si>
    <t>Donasi Baby Born  ALEXADRUS NULIADY</t>
  </si>
  <si>
    <t>MANDIRI       PAN CONVINCE MITRAPin Buk BCA           RD Hidia</t>
  </si>
  <si>
    <t>SISA CA BRI IWABRIMARIA PATRICIA SUG</t>
  </si>
  <si>
    <t>TSel WS SubDir SSGReimb Antigen Grp LARRY HENDA C M SI</t>
  </si>
  <si>
    <t>BRI Paralimpiade  Fee Show Mgt      MUHAMAD IBNU IKBAL</t>
  </si>
  <si>
    <t>TSel BestAgentCES FreshChat 2022/23 WEEFER INDONESIA P</t>
  </si>
  <si>
    <t>CA-50/21</t>
  </si>
  <si>
    <t>CA-49/21</t>
  </si>
  <si>
    <t>CA-51/21</t>
  </si>
  <si>
    <t>CA-52/21</t>
  </si>
  <si>
    <t>CA-45/21</t>
  </si>
  <si>
    <t>Pin Buk BRI      5750489666/OI36000899616339</t>
  </si>
  <si>
    <t xml:space="preserve">Transfer Fee         Pin Buk BRI       </t>
  </si>
  <si>
    <t>PRMA CR Transf  1220004875566       6019009502943712</t>
  </si>
  <si>
    <t>Dipinjam PCMI         MCM InhouseTrf  DARI DAVID HARSAMTO</t>
  </si>
  <si>
    <t>BRI VideoMappingUAE     MCM InhouseTrf  KE ALIMUDIN</t>
  </si>
  <si>
    <t xml:space="preserve">SARANA YUKTI BANDHANA PT - 014    </t>
  </si>
  <si>
    <t xml:space="preserve">Biaya Stmt  </t>
  </si>
  <si>
    <t>099PCMI              69437         MCM InhouseTrf  DARI JOTUN INDONESIA</t>
  </si>
  <si>
    <t xml:space="preserve">KLIRING PENJAMINAN EFEK INDONESIA  PT - </t>
  </si>
  <si>
    <t>BRI SKP Media      MCM InhouseTrf  KE FLYING VENES PERSADA</t>
  </si>
  <si>
    <t>TSel Onboarding      MCM InhouseTrf  KE FLYING VENES PERSADA</t>
  </si>
  <si>
    <t>KPEI TeamBldgVirtual    MCM InhouseTrf  KE ERROL NGABITO</t>
  </si>
  <si>
    <t>TSel PengadaanVouche   MCM Outw CN  Kreasi Prima Printing</t>
  </si>
  <si>
    <t xml:space="preserve">Clearing Fee         TSel PengadaanVouch. Clearing Fee  </t>
  </si>
  <si>
    <t xml:space="preserve">PT TELEKOMUNIKASI SELULAR - 031       </t>
  </si>
  <si>
    <t>Pin Buk BCA        5750489666/OI36000899840711</t>
  </si>
  <si>
    <t>TSel Evaluasi PK      MCM Outw CN  Bpk Tri Mulyana</t>
  </si>
  <si>
    <t xml:space="preserve">Clearing Fee         TSel Evaluasi PK   Clearing Fee  </t>
  </si>
  <si>
    <t xml:space="preserve">Clearing Fee         BRI VideoMappingUAE.  Clearing Fee  </t>
  </si>
  <si>
    <t>Mandiri Visa JT18Des      MCM InhouseTrf  KE DAVID HARSAMTO</t>
  </si>
  <si>
    <t>MCM InhouseTrf  DARI HIDIANITJE</t>
  </si>
  <si>
    <t>TSel WS SubDir SSG        MCM Outw CN  Arie Rachmahwati</t>
  </si>
  <si>
    <t xml:space="preserve">Clearing Fee         TSel WS SubDir SSG Clearing Fee  </t>
  </si>
  <si>
    <t>TSel WS SubDir SSG    Online Trf  492632 47853239Transfer Fee         TSel WS SubDir SSG</t>
  </si>
  <si>
    <t>Transfer Fee         TSel WS SubDir SSG Transfer Fee</t>
  </si>
  <si>
    <t xml:space="preserve">PT TELEKOMUNIKASI SELULAR - 031    </t>
  </si>
  <si>
    <t>TSel IndKerenDubaiEx       MCM InhouseTrf  KE AMOS TOUR INDONESIA</t>
  </si>
  <si>
    <t>TSel Best Agent CES      MCM Outw CN  Bpk Rezcky Nurdian</t>
  </si>
  <si>
    <t xml:space="preserve">Clearing Fee         TSel Best Agent CES Clearing Fee  </t>
  </si>
  <si>
    <t xml:space="preserve">BYR JSA RPT KOM 6, 9-11 DES HTL AYANA   Setor Tunai  </t>
  </si>
  <si>
    <t xml:space="preserve">BYR JSA RPT KOM 6, 26-28 NOV HTL AYANA  Setor Tunai  </t>
  </si>
  <si>
    <t xml:space="preserve">BYR JSA RPT KOM 6, 6-8 DES HTL SULTAN   Setor Tunai  </t>
  </si>
  <si>
    <t>Pin Buk BCA     5750489666/OI36000899971782</t>
  </si>
  <si>
    <t xml:space="preserve">UBP60215001201FFFFFF025918202718095   </t>
  </si>
  <si>
    <t>KPEI TeamBuildinVirt     MCM InhouseTrf  KE AYU WULAN ANGGRENI</t>
  </si>
  <si>
    <t>Listrik Desember      MCM InhouseTrf  KE PANTRAVEL</t>
  </si>
  <si>
    <t>TSel ProgMediaAgency     MCM InhouseTrf  KE ANDI MARIO</t>
  </si>
  <si>
    <t>6032989914875566#00000049 3495#ATM #TRFLA TRF BERSAMA FROM PAN CONVINCE MIT LA 112501000255301ATM 6032989914875566</t>
  </si>
  <si>
    <t>1708 COM EVT Jsa EO Monthly Meeting BUMN</t>
  </si>
  <si>
    <t>1732 COM EVT Produk Display Dubai Expo</t>
  </si>
  <si>
    <t>BRI Monthly Mtg AS Uang Baju MC Ica ESB:T:0374661:CMS</t>
  </si>
  <si>
    <t>BRI Monthly Mtg AS Gardening 10Nop ESB:T:0374616:CMS</t>
  </si>
  <si>
    <t>BRIUker#033502001012691 GROUP PACKAGE 2021 DECEMBER 30 TO 2022 J ESB:T:0301891:BRIFASTCOR E</t>
  </si>
  <si>
    <t>FEE BRIUker#033502001012691 GROUP PACKAGE 2021 DECEMBER 30 TO 2022 J ESB:T:0335051:BRIFASTCOR E</t>
  </si>
  <si>
    <t>FEE OUR BRIUker#033502001012691 GROUP PACKAGE 2021 DECEMBER 30 TO 2022 J ESB:T:0301891:BRIFASTCOR E</t>
  </si>
  <si>
    <t>Abonemen 122021 CMS PAN CONVINCE MI T:0374891:CMS</t>
  </si>
  <si>
    <t>1795 CSR EVT TJSL EO</t>
  </si>
  <si>
    <t>1805 COM MED Akomodasi Desa Sade</t>
  </si>
  <si>
    <t>Pin Buk BCA ESB:T:0374652:CMS</t>
  </si>
  <si>
    <t>Fee SINGLE CN BRI CMS 4459219 ESB:T:0374631:CMS</t>
  </si>
  <si>
    <t>Kirim invoice Jotun via JNE , 2/11/21 &amp; 2/12/21</t>
  </si>
  <si>
    <t>Materai 25 lbr @ Rp 10,000,- , 8/12/21</t>
  </si>
  <si>
    <t>Sewa motor bln Nov'21</t>
  </si>
  <si>
    <t>Ops massanger ( Bensin +Parkir motor ) Nov'21</t>
  </si>
  <si>
    <t>B 114 NNE - E tol 19/11/21</t>
  </si>
  <si>
    <t>B 2351 SKF - Ops 17/11/21 - 6/12/21</t>
  </si>
  <si>
    <t>Meals bu AH 6/12/21, 9/12/21, 13/12/21</t>
  </si>
  <si>
    <t>Amplop coklat 2 pak, fulpen biru , sign here , 9/12/21</t>
  </si>
  <si>
    <t>B 2351 SKF - Bohlam 1 pcs H-4 ( lampu mobil )</t>
  </si>
  <si>
    <t xml:space="preserve">Tranp Mery PCMI-BRI-PCMI bawa invoice &amp; BAPP ke BRI I &amp; II ( Titing/Ujer di KPEI , Yadi - Pat, Ayana) </t>
  </si>
  <si>
    <t>Beli 2 galon VIT &amp; gelas plastik 20 pcs , 10/12/21</t>
  </si>
  <si>
    <t>B 2850 SOO - Ops 30/11/21-11/12/21</t>
  </si>
  <si>
    <t>Ibu Elany Gita</t>
  </si>
  <si>
    <t>Telkomsel WS Subdir Sales Strategy Group</t>
  </si>
  <si>
    <t>Invoice II - Antigen</t>
  </si>
  <si>
    <t>Ibu Nolis</t>
  </si>
  <si>
    <t>BRI Press Conference Triwulan 1</t>
  </si>
  <si>
    <t>BRI Transport 4</t>
  </si>
  <si>
    <t>Telkomsel Evaluasi Performasi and Konseling</t>
  </si>
  <si>
    <t>Telkomsel Leveraging Message</t>
  </si>
  <si>
    <t>Telkomsel Operationalitation After Sales and Billing</t>
  </si>
  <si>
    <t>Telkomsel Program With Legal On Policy and Compliance</t>
  </si>
  <si>
    <t>Telkomsel Sosialisasi New Fitur My Enterprise</t>
  </si>
  <si>
    <t>NET SALES</t>
  </si>
  <si>
    <t>Deka</t>
  </si>
  <si>
    <t>Fee Deka</t>
  </si>
  <si>
    <t>SPJ / Fee</t>
  </si>
  <si>
    <t>SpJ / Fee</t>
  </si>
  <si>
    <t>Lita</t>
  </si>
  <si>
    <t>Adun</t>
  </si>
  <si>
    <t>Sutarno</t>
  </si>
  <si>
    <t xml:space="preserve">    </t>
  </si>
  <si>
    <t xml:space="preserve">   </t>
  </si>
  <si>
    <t>Helmi</t>
  </si>
  <si>
    <t>Meery</t>
  </si>
  <si>
    <t>TSel WS SubDir SSG DP Painting68Jaket IBRAHIM</t>
  </si>
  <si>
    <t>PERMATA    TRANSFER VIA LLG  REF NO PPU :9138  Yohan Kristanto</t>
  </si>
  <si>
    <t>Salary PCMI Des   DAVID HARSAMTO</t>
  </si>
  <si>
    <t>AR StafLoan Kanda DAVID HARSAMTO</t>
  </si>
  <si>
    <t>Laporan CA No050 th 2021  yogi      YOGI PURWO WIDODO</t>
  </si>
  <si>
    <t>Telkom IndKerenDE CashComPICNolis   MEERY ADRIAN</t>
  </si>
  <si>
    <t>Fee+Meals+TransporDes               FABIO KRISNAWANSYA</t>
  </si>
  <si>
    <t>Telkom IndKeren DEApo Handling 20X  ABDUL HAFIZ</t>
  </si>
  <si>
    <t>BRI Perayaan NatalDP Mini Chamber   JUNARDI</t>
  </si>
  <si>
    <t>BRI FGD K BUMN    SewaSoundSys 2D   RISYAD FAUZIE</t>
  </si>
  <si>
    <t>BRI Monthly Mtg ASIV-208 LED 9-10NopSRI WAHYUNI NAWI</t>
  </si>
  <si>
    <t>CA-54/21 Yogi     YOGI PURWO WIDODO</t>
  </si>
  <si>
    <t>Telkom WSSubDirSSGGourmet ReqIbuArieMOUNT SCOPUS INDON</t>
  </si>
  <si>
    <t>RTGS-PT. BANK RAKYBRINIDJA/009499   PAN CONVINCE MITRAPin Buk BCA</t>
  </si>
  <si>
    <t>Telkom IndKerenDuExp                    
MCM Outw CN  Tri Pura Indah Persada PT</t>
  </si>
  <si>
    <t xml:space="preserve">Clearing Fee         Telkom IndKerenDuEx
Clearing Fee  </t>
  </si>
  <si>
    <t>30/12/2021</t>
  </si>
  <si>
    <t>TSel IndKerenDubExpo  Online Trf  440954 1818181106Transfer Fee         TSel IndKerenDubExp</t>
  </si>
  <si>
    <t>Transfer Fee         TSel IndKerenDubExp Transfer Fee</t>
  </si>
  <si>
    <t>Salary PCMI Des    MCM Outw CN  David Harsamto</t>
  </si>
  <si>
    <t xml:space="preserve">Clearing Fee         Salary PCMI Des   Clearing Fee  </t>
  </si>
  <si>
    <t>KontribusiGedung Des    MCM InhouseTrf  KE PANTRAVEL</t>
  </si>
  <si>
    <t>TSel WS SubDir SSG  Online Trf  37037  0352605722Transfer Fee         TSel WS SubDir SSG</t>
  </si>
  <si>
    <t>Transfer Fee         TSel WS SubDir SSG  Transfer Fee</t>
  </si>
  <si>
    <t>TSel WS SubDir SSG   MCM InhouseTrf  KE HESTY WIJIARNI</t>
  </si>
  <si>
    <t>TSel WS SubDir SSG  MCM Outw CN  Arie Rachmahwati</t>
  </si>
  <si>
    <t>Pin Buk Mandiri Inward RTGS  PAN CONVINCE MITRA IPT. BANK RAKYAT INDONESIA (PERSERO), TBK</t>
  </si>
  <si>
    <t>Byr AP Loan 29-Nov MCM Outw CN  Nurlaila Hutabarat</t>
  </si>
  <si>
    <t xml:space="preserve">Clearing Fee         Byr AP Loan 29-Nov  Clearing Fee  </t>
  </si>
  <si>
    <t xml:space="preserve">UBP60215001201FFFFFF025922697220059    </t>
  </si>
  <si>
    <t xml:space="preserve">UBP60215001201FFFFFF025922698519097   </t>
  </si>
  <si>
    <t xml:space="preserve">UBP60215001201FFFFFF025922697531057    </t>
  </si>
  <si>
    <t xml:space="preserve">UBP60215001201FFFFFF025922697906146 </t>
  </si>
  <si>
    <t xml:space="preserve">UBP60215001201FFFFFF025922697761066 </t>
  </si>
  <si>
    <t xml:space="preserve">UBP60215001201FFFFFF025922698299046 </t>
  </si>
  <si>
    <t xml:space="preserve">UBP60215001201FFFFFF025922698675077 </t>
  </si>
  <si>
    <t xml:space="preserve">UBP60215001201FFFFFF025922698937086 </t>
  </si>
  <si>
    <t>UBP60215001201FFFFFF025922699313037</t>
  </si>
  <si>
    <t>UBP60215001201FFFFFF025922699127153</t>
  </si>
  <si>
    <t>Fee SINGLE CN BRI CMS 4484907  ESB:T:0374645:CMS</t>
  </si>
  <si>
    <t>Pin Buk Mandiri  ESB:T:0374636:CMS</t>
  </si>
  <si>
    <t>Pin Buk BCA  ESB:T:0374632:CMS</t>
  </si>
  <si>
    <t>Fee SINGLE RTGS BRI CMS 1729339  ESB:T:0374620:CMS</t>
  </si>
  <si>
    <t>Fee SINGLE RTGS BRI CMS 1729340  ESB:T:0374619:CMS</t>
  </si>
  <si>
    <t xml:space="preserve">1843 COM EVT SPS Unjuk Gigi Labuan Bajo  </t>
  </si>
  <si>
    <t>BRI Monthly Mtg AS Snacks+Lunch 110X ESB:T:0374641:CMS</t>
  </si>
  <si>
    <t>Mandiri Visa JT-17Nop   MCM InhouseTrf  KE DAVID HARSAMTO</t>
  </si>
  <si>
    <t>Lacoste Lippo Puri Jakarta Barat</t>
  </si>
  <si>
    <t>The Foodhall.Kbn Jeruk Jakarta Barat</t>
  </si>
  <si>
    <t>Tiki Tomang Jakarta Barat</t>
  </si>
  <si>
    <t>Shopee.Co.id Jakarta Barat</t>
  </si>
  <si>
    <t>SPBU Bandara Soetta Tangerang</t>
  </si>
  <si>
    <t>NASA - Samsung Store Kota Jakarta (6/12)</t>
  </si>
  <si>
    <t>Late Payment fee</t>
  </si>
  <si>
    <t xml:space="preserve">Stamp duty </t>
  </si>
  <si>
    <t>The Gade Coffee &amp; Gol Jakarta Pusat</t>
  </si>
  <si>
    <t>SPBU Kokas JakSel</t>
  </si>
  <si>
    <t>Midi Minangkabau JakSel</t>
  </si>
  <si>
    <t>Transmart Kokas JakSel</t>
  </si>
  <si>
    <t>WWW.Grabtaxi.com Jakarta : Antar CC ( Deka ) dr RS Bekasi ke PCMI, 1/10/21</t>
  </si>
  <si>
    <t>Auto 2000 Sahardjo Jakarta Selatan : B 2850 SOO - Service besar 80.000 Km, 22/10/21</t>
  </si>
  <si>
    <t>Berdikari JakSel : Bu AH , PCMI 26/10/21</t>
  </si>
  <si>
    <t xml:space="preserve">Sushigroove Kokas :  Bu AH &amp; team, 28/9/21 </t>
  </si>
  <si>
    <t>Bakmi GM MKK UN Jakarta : bu AH</t>
  </si>
  <si>
    <t>Raja Kuta Mandalika Lombok</t>
  </si>
  <si>
    <t>Starbucks Lombok</t>
  </si>
  <si>
    <t>Solaria Bandara Bali Denpasar</t>
  </si>
  <si>
    <t>Figma Monthly renewal San Franciscous USD 210</t>
  </si>
  <si>
    <t>Polikklinik BRI Media Denpasar</t>
  </si>
  <si>
    <t>Tiket.com Jakarta Selatan</t>
  </si>
  <si>
    <t>Alfamart Jakarta Selatan</t>
  </si>
  <si>
    <t>Dinamic Natural Damai Jakarta Pusat</t>
  </si>
  <si>
    <t>Chic Mart , Kemang JakSel</t>
  </si>
  <si>
    <t>UD Mousse Mbex Tangerang</t>
  </si>
  <si>
    <t>PT. Angkasa Pura Solus Tangerang</t>
  </si>
  <si>
    <t>Transmart Kokas</t>
  </si>
  <si>
    <t>Midi Minangkabau</t>
  </si>
  <si>
    <t>Fresh One p.Polim JakSel</t>
  </si>
  <si>
    <t>Burger King Benhil Jakarta Pusat</t>
  </si>
  <si>
    <t>Miss Bee Bandung</t>
  </si>
  <si>
    <t>Dago Bakery Ticketing Bandung</t>
  </si>
  <si>
    <t>Starbucks Benhil Jakarta Pusat</t>
  </si>
  <si>
    <t>RM Alas Daun Bandung</t>
  </si>
  <si>
    <t>Dago Bakery - Punclut Bandung</t>
  </si>
  <si>
    <t>The Dining Room Bandung</t>
  </si>
  <si>
    <t>Art Deco</t>
  </si>
  <si>
    <t>Bakso Enggal Malang Bandung</t>
  </si>
  <si>
    <t>Kartikasari Bandung</t>
  </si>
  <si>
    <t>Java Bean Coffee Bandung</t>
  </si>
  <si>
    <t>Roemah Kentang Bandung</t>
  </si>
  <si>
    <t>Quicktest Soepomo JakSel</t>
  </si>
  <si>
    <t>KD43 Alfamart Sawahlunto JakSel</t>
  </si>
  <si>
    <t>K910 Alfamart Wolter M JakSel</t>
  </si>
  <si>
    <t>The Ritz-Carlton JakSel</t>
  </si>
  <si>
    <t>IDM Tiaz-Wijaya JakSel</t>
  </si>
  <si>
    <t>Overlimit fee</t>
  </si>
  <si>
    <t>Ibox Kota Kasablanka ( 007/012 )</t>
  </si>
  <si>
    <t>Nasa Samsung Kokas ( 007/012 )</t>
  </si>
  <si>
    <t>Smartkey JakPus : Lampu2 Philips u/ ruangan PCMI</t>
  </si>
  <si>
    <t>Bursa Sajadah Sahardjo JakSel</t>
  </si>
  <si>
    <t>Laota Jimbaran Bali</t>
  </si>
  <si>
    <t>Fipper Slipperindo HO Bandung</t>
  </si>
  <si>
    <t>Hilton Bali Resort Badung</t>
  </si>
  <si>
    <t>Biaya notifikai Sept'21</t>
  </si>
  <si>
    <t>PHD Tebet</t>
  </si>
  <si>
    <t>SPBU JakSel</t>
  </si>
  <si>
    <t>Midi Benhil JakPus</t>
  </si>
  <si>
    <t>Sederhana RM JakPus</t>
  </si>
  <si>
    <t>Gemilang Mbl Jak</t>
  </si>
  <si>
    <t>Alfamart Bendungan JakPus</t>
  </si>
  <si>
    <t>SPBU JakTim</t>
  </si>
  <si>
    <t>Biaya notifikasi Sept 21</t>
  </si>
  <si>
    <t>Zoom.us 30/10/21 USD 16,49@ 14,528.21</t>
  </si>
  <si>
    <t>Gojek</t>
  </si>
  <si>
    <t>Redemption Loyalty fee</t>
  </si>
  <si>
    <t>BCA to BTN</t>
  </si>
  <si>
    <t>Mandiri to Cash IDR</t>
  </si>
  <si>
    <t>BRI to BTN</t>
  </si>
  <si>
    <t>BRI to Cash IDR</t>
  </si>
  <si>
    <t>BTN to Cash IDR</t>
  </si>
  <si>
    <t>BTN to BRI</t>
  </si>
  <si>
    <t>Cash IDR to Mandiri</t>
  </si>
  <si>
    <t>Cash IDR to BTN</t>
  </si>
  <si>
    <t>Cash IDR to BRI</t>
  </si>
  <si>
    <t>Cash IDR to BCA</t>
  </si>
  <si>
    <t>Non Cash Bank to BRI</t>
  </si>
  <si>
    <t>Non Cash Bank to BTN</t>
  </si>
  <si>
    <t>Non Cash Bank to Cash IDR</t>
  </si>
  <si>
    <t>Non Cash Bank</t>
  </si>
  <si>
    <t>Pin Buk BRI    Online Trf  493495 112501000255301Transfer Fee         Pin Buk BCA</t>
  </si>
  <si>
    <t>Transfer Fee         Pin Buk BCA     Transfer Fee</t>
  </si>
  <si>
    <t>The hermitage Menteng Jakarta Pusat</t>
  </si>
  <si>
    <t>Carrefour Kokas</t>
  </si>
  <si>
    <t>Midtrans-Dore by Letao Jakarta</t>
  </si>
  <si>
    <t>Lain Hati HO Jakarta Selatan</t>
  </si>
  <si>
    <t>PHD.Co.id Jakarta Selatan</t>
  </si>
  <si>
    <t>Blibli.com Jakarta Pusat</t>
  </si>
  <si>
    <t>Sphire Lounge Blue Skay Tangerang</t>
  </si>
  <si>
    <t>Malacca Toast Tangerang</t>
  </si>
  <si>
    <t>Indomaret Tangerang</t>
  </si>
  <si>
    <t>Omni Intl Hospital Tangerang Selatan</t>
  </si>
  <si>
    <t>Lebih bayar CC Mandiri Visa JT-18 May</t>
  </si>
  <si>
    <t>Fakultas Kopi Mbl Jakarta</t>
  </si>
  <si>
    <t>WWW.Hungree . ID</t>
  </si>
  <si>
    <t>Midtrans - Dore by Letao Jakarta</t>
  </si>
  <si>
    <t>IP88*WWW.Prestisa.com Bekasi</t>
  </si>
  <si>
    <t>Indomaret Sahid Jakarta Pusat</t>
  </si>
  <si>
    <t>I Box Kokas Jakarta ( 003:012 )</t>
  </si>
  <si>
    <t>Nasa Samsung Koas Jakarta ( 003:012 )</t>
  </si>
  <si>
    <t xml:space="preserve">Telkomsel Pilkada Racing </t>
  </si>
  <si>
    <t>SPBU Casablanca JakSel</t>
  </si>
  <si>
    <t>Biaya Notifikasi May 2021</t>
  </si>
  <si>
    <t>R2 Comp - HO Jakarta Pusat</t>
  </si>
  <si>
    <t>Union GI Jakarta : Kue Ultah bu AH</t>
  </si>
  <si>
    <t>Auto 2000, Sahardjo : B 2351 SKF - rubber RR Wiper</t>
  </si>
  <si>
    <t xml:space="preserve">Shop &amp; Drive Jakarta Selatan : B 2351 SKF - Helios Aeroblade wiper </t>
  </si>
  <si>
    <t>Angkasa Raya Mobile Jakarta : Hardisk external u/ Patricia , 30/6/21</t>
  </si>
  <si>
    <t>Toko obat manjur Sehat Jakarta Barat</t>
  </si>
  <si>
    <t>Zoom.us 22/6/21 USD 6,49 @ Rp 14787,67</t>
  </si>
  <si>
    <t>Klinik KF Benhil Jakarta Pusat</t>
  </si>
  <si>
    <t>PT Aplikasi Karya Anak Bangsa Jakarta</t>
  </si>
  <si>
    <t>Zoom.us 30/6/21 USD 16,49 @ Rp 14907,58</t>
  </si>
  <si>
    <t>Kimia Farma Apotek Jakarta Selatan : Oximeter req bu AH</t>
  </si>
  <si>
    <t>PHD 24, TIS Jakarta Selatan : AH-FB</t>
  </si>
  <si>
    <t>Angkasa Raya Mbl Jakarta : Pembelian hardisk 1tb 2 unit u/ Analita &amp; Deka</t>
  </si>
  <si>
    <t>KikiJaya Airconinco JakSel</t>
  </si>
  <si>
    <t>Biaya Notifikasi Aug 2021</t>
  </si>
  <si>
    <t>Alfamart Mampang JakSel</t>
  </si>
  <si>
    <t>Shell Mampang JakSel</t>
  </si>
  <si>
    <t>Rumah Kenangan JakSel</t>
  </si>
  <si>
    <t>KFC Shell Mampang JakSel</t>
  </si>
  <si>
    <t>Bakmi GM Soho Pancoran JakSel</t>
  </si>
  <si>
    <t>SPBU Pasar Minggu JakSel</t>
  </si>
  <si>
    <t>Holland Bakery Sahardjo JakSel</t>
  </si>
  <si>
    <t>Alfamidi JakSel</t>
  </si>
  <si>
    <t>Late Charges</t>
  </si>
  <si>
    <t>Sederhana RM JakPus : Bu AH , bu FB , 13/10/21</t>
  </si>
  <si>
    <t>Primaya Bekai Barat, Bekasi : Deka, 30/9/21</t>
  </si>
  <si>
    <t>Midi Minangkabau JakSel : Deka, 30/9/21</t>
  </si>
  <si>
    <t>Zoom.us 09/30/21 USD 16,40@Rp 14.768,16</t>
  </si>
  <si>
    <t>SPBU 34-12085</t>
  </si>
  <si>
    <t>Cashback at Informa</t>
  </si>
  <si>
    <t>SPBU Supomo JakSel</t>
  </si>
  <si>
    <t>Kopi Kenangan Jaksel</t>
  </si>
  <si>
    <t>JCO donuts &amp; coffee JakSel</t>
  </si>
  <si>
    <t>KKB-Yoshinoya Kokas JakSel</t>
  </si>
  <si>
    <t>KK JKT JLNSPM Jak Sel</t>
  </si>
  <si>
    <t>Sederhana RM-HO JakPus</t>
  </si>
  <si>
    <t>Laota Mbl Balikuta</t>
  </si>
  <si>
    <t>Merusaka Nusa Dua Badung Bali</t>
  </si>
  <si>
    <t>Holland Bakery Denpasar</t>
  </si>
  <si>
    <t>Grandlucky Badung</t>
  </si>
  <si>
    <t>HHB B01 Teuku Umar Denpasar</t>
  </si>
  <si>
    <t>Kedai Kopi Sigli- HO Badung</t>
  </si>
  <si>
    <t>WWW.Tokopedia.com Jakarta</t>
  </si>
  <si>
    <t>Ayana Komodo R W B HO</t>
  </si>
  <si>
    <t>Taman Laut Resto Manggarai Barat</t>
  </si>
  <si>
    <t>JD ID Jakarta Pusat</t>
  </si>
  <si>
    <t>Plataran Komodo Kupang</t>
  </si>
  <si>
    <t>Marina Lombok Mandiri Lombok Tengah</t>
  </si>
  <si>
    <t>Novotel Lombok, Lombok Tengah</t>
  </si>
  <si>
    <t>Ibox Kota Kasablanka ( 006/012 )</t>
  </si>
  <si>
    <t>Nasa Samsung Kokas ( 006/012 )</t>
  </si>
  <si>
    <t>Paul Bakery , PP JakSel : Meeting Pat dg pak Adri &amp; Faisal, BRI, 28/9/21</t>
  </si>
  <si>
    <t>WWW.Tokopedia.com : Lampu Philips / LED u/ PCMI</t>
  </si>
  <si>
    <t>Kila Klia by Akasya JakSel : Meeting Pat dg pak Adri &amp; Faisal, BRI, 5/10/21</t>
  </si>
  <si>
    <t>Traveloka JakBar</t>
  </si>
  <si>
    <t>Tokopedia.com JakBar</t>
  </si>
  <si>
    <t>Paperclip Mall Kokas</t>
  </si>
  <si>
    <t>Lacoste Lippo Puri JakBar</t>
  </si>
  <si>
    <t>Corknscrew NT Golf Club Jakarta</t>
  </si>
  <si>
    <t>Cork &amp; screw Jakarta Pusat</t>
  </si>
  <si>
    <t>Mentimeter Stockholm SE USD 119,88 x 14,664.54</t>
  </si>
  <si>
    <t>Grab Food Jakarta</t>
  </si>
  <si>
    <t>Starbucks Taman Palem Jakarta Barat</t>
  </si>
  <si>
    <t>NASA - Samsung Store Kota Jakarta ( 7/12 )</t>
  </si>
  <si>
    <t>Sbux GKBI JakSel</t>
  </si>
  <si>
    <t>Bumame Farmasi TM Palem JakBar : Test Antigen Yogi u/ auction mandiri lombok, 4/11/21</t>
  </si>
  <si>
    <t>Coffee Bean &amp; teal Leaf TelkJakarta : Neeting Yogi g Vicky Tsel, 17/11/21</t>
  </si>
  <si>
    <t xml:space="preserve">Prodia Bona Indah JakSel :  bu AH </t>
  </si>
  <si>
    <t xml:space="preserve">Sushi Tei Alam Sutra Tangerang :  Bu AH &amp; team </t>
  </si>
  <si>
    <t xml:space="preserve">Omni Intl Hospital TangSel :  bu AH </t>
  </si>
  <si>
    <t>Citibank Visa JT5Jan                    
MCM Outw CN  David Harsamto</t>
  </si>
  <si>
    <t xml:space="preserve">Clearing Fee         Citibank Visa JT5Ja  Clearing Fee  </t>
  </si>
  <si>
    <t>UBP60215001201FFFFFF025913903747048  : PPN Masa Okt 2021</t>
  </si>
  <si>
    <t>Gudang Dwi Saryanto</t>
  </si>
  <si>
    <t>CA-48/21</t>
  </si>
  <si>
    <t>CA-54/21</t>
  </si>
  <si>
    <t>Dwi Saryanto</t>
  </si>
  <si>
    <t>Telkomsel Inject Paket Data/Top Up Pulsa/Token Listrik</t>
  </si>
  <si>
    <t>Mandiri Dekorasi HUT RI 76 Tahun</t>
  </si>
  <si>
    <t xml:space="preserve">Telkomsel Onboarding </t>
  </si>
  <si>
    <t>BRI Transport     Inv-1682-1683     VICTORY GLOBAL MAN : DOUBLE BAYAR TGL 2-JUL-2021</t>
  </si>
  <si>
    <t>Victory Global Mandiri</t>
  </si>
  <si>
    <t>Victory Global Mandir</t>
  </si>
  <si>
    <t>BRI Transport  Inv-1682-1683  VICTORY GLOBAL MAN : DOUBLE BAYAR TGL 2-JUL-2021</t>
  </si>
  <si>
    <t>PPn - 2021 WAPU</t>
  </si>
  <si>
    <t>eMail AH 6-Dec-2021 at 15:21 = CA BRI as of 6-Dec-2021 : Fee Pinjaman</t>
  </si>
  <si>
    <t>PRAJA SAPUTRA S-112501000255301 : Lebih Bayar FGD Kempinski u/byr CA Adri/BRI</t>
  </si>
  <si>
    <t>BRI Himbara PemRed T:0374613:CMS :Fee pinjam nama perusahaan u/ inv ke BRI</t>
  </si>
  <si>
    <t>PRAJA SAPUTRA S-112501000255301 : RP. 311.811.182 Lebih Bayar</t>
  </si>
  <si>
    <t>UANG KEAMANAN FGD HIMBARA           AHMAD WIDYA NUGRAH : Bayar CA Adri-BRI - eMail AH 6Dec</t>
  </si>
  <si>
    <t>BRI swab GatheringMEERY ADRIAN : eMail AH 6Dec Bayar CA-Adri BRI Kebersihan</t>
  </si>
  <si>
    <t>SETORAN TUNAI PARTIAL PAYMENT    CA BRI : Lebih Bayar untuk CA-Adri/BRI - eMail AH 6Dec</t>
  </si>
  <si>
    <t>287 COM Nasional Bangga Buatan Indo : Lebih Bayar u/ CA-Adri/BRI eMail AH 6Dec</t>
  </si>
  <si>
    <t>286 COM Jasa EO BRI Mikro SME Index  : Rp. 204.909.091 : Lebih Bayar u/CA-Adri BRI eMail AH 6Dec</t>
  </si>
  <si>
    <t>585 COM EVT Jasa EO Press Conf Layanan : Rp. 267.272.728 : Lebih Bayar u/CA-Adri BRI eMail AH 6Dec</t>
  </si>
  <si>
    <t>SETORAN TUNAI : Bayar CA-Adri BRI eMail AH 6 Dec-2021</t>
  </si>
  <si>
    <t>941 COM MED Keg Lap Keu BRI TW 1 Analyst  : Lebih Bayar u/CA-Adri BRI eMail AH 6-Dec-21</t>
  </si>
  <si>
    <t>CA-21/21 BRI      ReqCash Faisal    MEERY ADRIAN : CA-Adri BRI eMail AH 6-Dec-2021</t>
  </si>
  <si>
    <t>1035 COM EVT Jasa EO Inv Comm Cyperus  : Rp. 262.818.182 : Lebih Bayar u/CA-Adri BRI eMail AH 6-Dec-21</t>
  </si>
  <si>
    <t>1144 COM EVT Meeting Presscon TW 2 2021  : Rp. 258.288.800 : Lebiih Bayar u/CA-Adri BRI eMail AH 6-Dec-21</t>
  </si>
  <si>
    <t>CA-29/21 PATRICE : Cheque Cash CGB387195 MARIA PATRICIA S : CA-Adri BRI eMail AH 6-Dec-21</t>
  </si>
  <si>
    <t>1275 COM EVT Press Conf BRI Liga 1 : Rp. 249.454.546 : Lebih Bayar u/CA Adri BRI eMail AH 6-Dec-21</t>
  </si>
  <si>
    <t>1492 COM EVT Penataan BRI Lounge Smesco : RP. 258.363.637 : Lebih Bayar u/CA Adri BRI eMail AH 6-Dec-21</t>
  </si>
  <si>
    <t>1541 CSM IDX Opning Bell Right Issue BRI : Rp. 311.177.636 : Lebih Bayar Rp. 15.631.000 diatrik tunai 1-Dec-21</t>
  </si>
  <si>
    <t>Adit BRI Tarik Tunai Lebih Bayar : BRI IDX Opening Bell 15-Nov</t>
  </si>
  <si>
    <t>1472 CSM Keg Kunker Komisis VI DPR RI : Rp. 311.779.160 = Lebih Bayar diambil 160 Jt via BCA 11-Nov</t>
  </si>
  <si>
    <t>Cash BRI Abud/AditMEERY ADRIAN : Tarik tunai Lebih Bayar BRI 1-Nov-21 KunKer Jog</t>
  </si>
  <si>
    <t>Adun beli aqua galon u/ RAN</t>
  </si>
  <si>
    <t>Axo water 600 ml @ 5 dus</t>
  </si>
  <si>
    <t>Axo water 600 ml @ 10 dus</t>
  </si>
  <si>
    <t>Indomaret Supomo - Beli makanan dan tissue</t>
  </si>
  <si>
    <t>Nasi uduk 15 bks @ Rp 15.000,-</t>
  </si>
  <si>
    <t>Gofood</t>
  </si>
  <si>
    <t>Gofood J-Co</t>
  </si>
  <si>
    <t>Hokben</t>
  </si>
  <si>
    <t>Goofood Nasi goreng Haji Sulaiman</t>
  </si>
  <si>
    <t>Kopi 3 macam @ 10 bks + tea 2 box</t>
  </si>
  <si>
    <t>Nasi campur ayam 5bks @ Rp 67.000,-</t>
  </si>
  <si>
    <t>Tipping abang2 gojek yg antar makanan</t>
  </si>
  <si>
    <t>Pengiriman 94 paket KPEI</t>
  </si>
  <si>
    <t>Manpower pack souvenir</t>
  </si>
  <si>
    <t>CA-50/2021</t>
  </si>
  <si>
    <t>Oleh2 WS@Pulman Bogor - Budget Rp 350,000,- x 61 pax</t>
  </si>
  <si>
    <t>CA-51/2021</t>
  </si>
  <si>
    <t>Training hukum &amp; telkonolgi Digital</t>
  </si>
  <si>
    <t>Inject training 21/12/21a/n Arlinton Hutapea</t>
  </si>
  <si>
    <t>Inject training 21/12/21a/n AA Sagung Pratami Dewi</t>
  </si>
  <si>
    <t>Biaya trf ke LinkAja</t>
  </si>
  <si>
    <t>Fee Pembicara training 21/12/21 a/n Raditya Kosasih + biaya transfer</t>
  </si>
  <si>
    <t>Fee Pembicara training 21/12/21 a/n Hendri Sasmita + biaya transfer</t>
  </si>
  <si>
    <t>CA-52/2021</t>
  </si>
  <si>
    <t>22/12/21- Bayar Akasya tambahan bakso malang 20 porsi</t>
  </si>
  <si>
    <t>22/12/21 - Aqua 4 dus</t>
  </si>
  <si>
    <t>23/12/21 - Tipping banquet Grha Pertamina</t>
  </si>
  <si>
    <t>23/12/21 - Tipping Akasya 10 server</t>
  </si>
  <si>
    <t>23/12/21- Kopi , snack u/ team BRI &amp; KBUMN</t>
  </si>
  <si>
    <t>23/12/21 - Parkir2 req Age</t>
  </si>
  <si>
    <t>23/12/21 -  Mkn malam McD u/ all crew &amp; talents</t>
  </si>
  <si>
    <t>23/12/21 - SPJ driver pak Yadi 23 &amp; 24 Des'21 ke Apo</t>
  </si>
  <si>
    <t>23/12/21 - Pulsa Pat</t>
  </si>
  <si>
    <t xml:space="preserve">23/12/21 -  Diambil Faisal BRI 7 amplop @ Rp 1,000,000,- </t>
  </si>
  <si>
    <t>CA-52/21 Patrice  : Kurang Bayar</t>
  </si>
  <si>
    <t>Uang belanja bu Adri</t>
  </si>
  <si>
    <t>SPJ dll operasional</t>
  </si>
  <si>
    <t>CA-42/21</t>
  </si>
  <si>
    <t>65a</t>
  </si>
  <si>
    <t xml:space="preserve">VOID </t>
  </si>
  <si>
    <t>Invoice III - Antigen</t>
  </si>
  <si>
    <t xml:space="preserve">Inv IV </t>
  </si>
  <si>
    <t>BRI RUPS LB Oct   Fee Walk through  FARHAN ARDIANSYAH : Marketing</t>
  </si>
  <si>
    <t>Materai 25 lbr @ Rp 10,000,- , 23/12/21</t>
  </si>
  <si>
    <t>Paket Data Orbit PCMI 35 GB u/30 hr, 22/12/21</t>
  </si>
  <si>
    <t>Art paper 1 pak 150 gram u/ sponsorship BRI Saatnya unjuk GIGI , 22/12/21</t>
  </si>
  <si>
    <t>Kartu HALO 08118171717 - Paid 18/12/21</t>
  </si>
  <si>
    <t>XL Pasca bayar ( 0817171700 ), paid 18/12/21</t>
  </si>
  <si>
    <t>Aqua 600 ml 1 dus bu AH , 12/12/21</t>
  </si>
  <si>
    <t xml:space="preserve">Aqua galon , 1/12/21- 19/12/21 8 galon @ Rp 19.000,-  </t>
  </si>
  <si>
    <t>Gula , kopi , 3/12/21</t>
  </si>
  <si>
    <t>Gas kantin, 20/12/21</t>
  </si>
  <si>
    <t>Spion motor STN ( Adun-Fabio ) , 16/12/21</t>
  </si>
  <si>
    <t>Gojek tas ( goody bag urgent,  req grp bu Arie Tsel ), 15/12/21</t>
  </si>
  <si>
    <t>Biaya RTGS pemindabukuan pmbyrn inv dr BRI bu Frida ke BCA kantor , 15/12/21</t>
  </si>
  <si>
    <t>Transp Mery, PCMI-BRI Kramat-PCMI, trf usd ke Rida Tour , grp Telkom Dubai, 17/12/21-Titing, sopir Sholjum</t>
  </si>
  <si>
    <t>Materai transaksi valas, di BRI Kramat, 17/12/21</t>
  </si>
  <si>
    <t>B 114 NNE - Parkir Sept 2021 - Des 2021</t>
  </si>
  <si>
    <t>B 2351 SKF - Ops 6 - 28 Des'21</t>
  </si>
  <si>
    <t xml:space="preserve">PV 16523 -  AH , Zoom Pro </t>
  </si>
  <si>
    <t>PV 16524 -  AH , Zoom Pro</t>
  </si>
  <si>
    <t>Telkomsel WS Subdir sales Strategy Group</t>
  </si>
  <si>
    <t>FIT Ibu Yoan TSel 30/31Okt Fairmont SENAYAN TRIKARYA S : e-Mail Meery 5-Jan-22 Compliment</t>
  </si>
  <si>
    <t>Junardi</t>
  </si>
  <si>
    <t>ByrAPLoan US$10K  MCM Outw CN  David Harsamto : Rp. 143.700.000</t>
  </si>
  <si>
    <t>TSel Webinar Q3 Maria Imakulata Sandra Puspita SPD - 10-Jan Andi Mario BNI</t>
  </si>
  <si>
    <t>Andi Mario - BNI 0076-786-006</t>
  </si>
  <si>
    <t>Byr AP Loan $10K  SAV-BCA 28Okt     DAVID HARSAMTO : Rp. 143.260.000</t>
  </si>
  <si>
    <t>PT TELEKOMUNIKASI SELULAR - 031  : Total Rp. 521.918.334</t>
  </si>
  <si>
    <t>1782 COM EVT Prescon Lap Keu TW III Th21 : Total  Rp. 265.619.200</t>
  </si>
  <si>
    <t>Flying Venes Persada</t>
  </si>
  <si>
    <t>Nasa - Samsung Store Jakarta ( 001/012 ) : 1 buah Samsung Galaxy tab S6 Lite 126 Gb</t>
  </si>
  <si>
    <t>Samsung Galaxy tab S6 Lite 126 Gb</t>
  </si>
  <si>
    <t xml:space="preserve">Midtrans-Dore by Letao Jakarta : Dore Grand 3 paket u/ BRI </t>
  </si>
  <si>
    <t>WWW.Grabtaxi.com : Urgent Kirim Charger laptop dr PCMI ke rmh Yogi u/ bidding besok pagi</t>
  </si>
  <si>
    <t>CA-34/21 : Anne Hidayat -  BRI TUNAI Cek No : CGB 387196 : Ditarik Cash - CA 034  - bu AH req pak Abud -BRI : CA-BRI eMail AH 6-Dec-21</t>
  </si>
  <si>
    <t>Berdikari Jakarta Selatan : Bu AH , 20/9/21</t>
  </si>
  <si>
    <t>Coffee Bean and Tea Leaf Tebet : Meeting dg mbak Alin Tsel-SekDir HCM</t>
  </si>
  <si>
    <t>Snapy Tebet : Print+jilid propsal Mandiri"Abis Gajian ", 29/9/21</t>
  </si>
  <si>
    <t>RS Primaya Bekasi Timur : Deka, 1/10/21</t>
  </si>
  <si>
    <t>38 a</t>
  </si>
  <si>
    <t>BRI - Faisal</t>
  </si>
  <si>
    <t>Lebih Bayar BRI FGD Ayana 1-4 : Tarik tunai melalui BCA Meery diberikan Patrice</t>
  </si>
  <si>
    <t>Sisa Kelebihan Bayar BRI FGD Ayana 1-4 : Rp. 300.771.667 ditarik Rp. 289.582.000</t>
  </si>
  <si>
    <t>DAFTAR AKTIVA &amp; PENYUSUTAN</t>
    <phoneticPr fontId="13" type="noConversion"/>
  </si>
  <si>
    <t>Harga Beli</t>
    <phoneticPr fontId="13" type="noConversion"/>
  </si>
  <si>
    <t>Bulan</t>
    <phoneticPr fontId="13" type="noConversion"/>
  </si>
  <si>
    <t>Nilai Buku</t>
    <phoneticPr fontId="13" type="noConversion"/>
  </si>
  <si>
    <t xml:space="preserve"> </t>
    <phoneticPr fontId="13" type="noConversion"/>
  </si>
  <si>
    <t>OFFICE EQUIPMENT</t>
    <phoneticPr fontId="13" type="noConversion"/>
  </si>
  <si>
    <t>Unknown</t>
    <phoneticPr fontId="13" type="noConversion"/>
  </si>
  <si>
    <t>PC Desk top : Yopie</t>
    <phoneticPr fontId="13" type="noConversion"/>
  </si>
  <si>
    <t>PC Desk top : Rima</t>
    <phoneticPr fontId="13" type="noConversion"/>
  </si>
  <si>
    <t>PC Desk top : Yani</t>
    <phoneticPr fontId="13" type="noConversion"/>
  </si>
  <si>
    <t>PC Desk top : Yudi</t>
    <phoneticPr fontId="13" type="noConversion"/>
  </si>
  <si>
    <t>PC Desk top : Yunika</t>
    <phoneticPr fontId="13" type="noConversion"/>
  </si>
  <si>
    <t>PC Desk top : Yusuf</t>
    <phoneticPr fontId="13" type="noConversion"/>
  </si>
  <si>
    <t>Laptop Toshiba : Anne</t>
    <phoneticPr fontId="13" type="noConversion"/>
  </si>
  <si>
    <t>Netbook Acer Aspire One</t>
    <phoneticPr fontId="13" type="noConversion"/>
  </si>
  <si>
    <t>Laptop Asus : Lisna</t>
    <phoneticPr fontId="13" type="noConversion"/>
  </si>
  <si>
    <t>Laptop Asus : Diah</t>
    <phoneticPr fontId="13" type="noConversion"/>
  </si>
  <si>
    <t>Laptop Dell 1410-S660231D</t>
    <phoneticPr fontId="13" type="noConversion"/>
  </si>
  <si>
    <t>Furniture : meja operation : 120x60x73</t>
    <phoneticPr fontId="13" type="noConversion"/>
  </si>
  <si>
    <t xml:space="preserve">Furniture : almari crezenda 100x40x84 </t>
    <phoneticPr fontId="13" type="noConversion"/>
  </si>
  <si>
    <t>Furniture : almari crezenda 122x28x110</t>
    <phoneticPr fontId="13" type="noConversion"/>
  </si>
  <si>
    <t>Apple Mac 21 : Anne</t>
    <phoneticPr fontId="13" type="noConversion"/>
  </si>
  <si>
    <t>Mac Book Air 13"</t>
    <phoneticPr fontId="13" type="noConversion"/>
  </si>
  <si>
    <t>Lensa camera canon</t>
    <phoneticPr fontId="13" type="noConversion"/>
  </si>
  <si>
    <t>Notebook Dell : 4110 for Meli</t>
    <phoneticPr fontId="13" type="noConversion"/>
  </si>
  <si>
    <t>Notebook Dell : 4110 for Winda</t>
    <phoneticPr fontId="13" type="noConversion"/>
  </si>
  <si>
    <t>PC Desk top : Nicky</t>
    <phoneticPr fontId="13" type="noConversion"/>
  </si>
  <si>
    <t>Furniture : Ruang Winda</t>
    <phoneticPr fontId="13" type="noConversion"/>
  </si>
  <si>
    <t>PC Desk top : Patrice</t>
    <phoneticPr fontId="13" type="noConversion"/>
  </si>
  <si>
    <t>iPhone</t>
    <phoneticPr fontId="13" type="noConversion"/>
  </si>
  <si>
    <t>Camera</t>
  </si>
  <si>
    <t>Perlengkapan printer photo</t>
  </si>
  <si>
    <t xml:space="preserve">Perlengkapan camera </t>
  </si>
  <si>
    <t>PC Team Operation</t>
  </si>
  <si>
    <t>1 unit Personal Computer u/Alex</t>
  </si>
  <si>
    <t>I Pad 3  &amp; Accessories For DH &amp; AH</t>
  </si>
  <si>
    <t>Handy Talkie 6 Pcs u.Earphone</t>
  </si>
  <si>
    <t>2 Unit HP Nokia for Patricia and Liliek</t>
  </si>
  <si>
    <t>iPhone dan Blackberry for AH</t>
  </si>
  <si>
    <t>Printer HP Laser Jet P1102</t>
  </si>
  <si>
    <t>iPad for AH</t>
  </si>
  <si>
    <t>Camera for AH</t>
  </si>
  <si>
    <t>Citibank</t>
  </si>
  <si>
    <t>Pembelian 1unit  p/core i7 dan 1 unit p/core i5</t>
  </si>
  <si>
    <t>iMac</t>
  </si>
  <si>
    <t>Laser Meter</t>
  </si>
  <si>
    <t>Bose Desk Speaker</t>
  </si>
  <si>
    <t>Mac Mini</t>
  </si>
  <si>
    <t>Mac Book Pro</t>
  </si>
  <si>
    <t>External Hard Disk Storage</t>
  </si>
  <si>
    <t>iPad Sales Cindy</t>
  </si>
  <si>
    <t>AC Daikin 2PK - Ruang AH</t>
  </si>
  <si>
    <t>Bose Soundlink : AUD 223.81</t>
  </si>
  <si>
    <t>Acct Software Zahir</t>
  </si>
  <si>
    <t>MacBook Air : Ibu Anne</t>
  </si>
  <si>
    <t>PC Inu</t>
  </si>
  <si>
    <t>Lap Top Toshiba Frida</t>
  </si>
  <si>
    <t>Lap Top Toshiba Lolita</t>
  </si>
  <si>
    <t>Hand Phone Lenovo A-1000</t>
  </si>
  <si>
    <t>PC Fabio</t>
  </si>
  <si>
    <t>Samsung Tab - Sales</t>
  </si>
  <si>
    <t>Mesin Absensi</t>
  </si>
  <si>
    <t>Carpet lantai 2</t>
  </si>
  <si>
    <t>Portable Soundsystem</t>
  </si>
  <si>
    <t>LED TV Ruang Operation</t>
  </si>
  <si>
    <t>PC Upgrade</t>
  </si>
  <si>
    <t>i-Pad Pro</t>
  </si>
  <si>
    <t>Apple Key-board for iPad</t>
  </si>
  <si>
    <t xml:space="preserve">CPU Amanda+3Mouse </t>
  </si>
  <si>
    <t>PC Meery          180629972         JULIATI</t>
  </si>
  <si>
    <t>MacBookPro Ibu Anne       MCM Outw CN  RD Hidianitje</t>
  </si>
  <si>
    <t>INFORMA-CINERE Depok : Gamma Chair</t>
  </si>
  <si>
    <t xml:space="preserve">VS Monitor AH     190211511  </t>
  </si>
  <si>
    <t xml:space="preserve">RouterHuawei B315 </t>
  </si>
  <si>
    <t xml:space="preserve">1PC + Pswt Telp   IV-191113272  </t>
  </si>
  <si>
    <t>1 CPU             IV-191205411</t>
  </si>
  <si>
    <t>Sincere Musik Jak Pus : Mixing MG10XU</t>
  </si>
  <si>
    <t>Apple earPods     RD HIDIANITJE</t>
  </si>
  <si>
    <t>Laptop ROG Event  IV-200910643      JULIATI</t>
  </si>
  <si>
    <t>Infonet Ambassador : Laptop Yogi</t>
  </si>
  <si>
    <t>VEHICLE</t>
    <phoneticPr fontId="13" type="noConversion"/>
  </si>
  <si>
    <t>Avansa Type G 1300 Manual</t>
    <phoneticPr fontId="13" type="noConversion"/>
  </si>
  <si>
    <t>Motor cycle : Honda SupraX  F1</t>
    <phoneticPr fontId="13" type="noConversion"/>
  </si>
  <si>
    <t>Mercy E300</t>
  </si>
  <si>
    <t>Grand Livina</t>
    <phoneticPr fontId="13" type="noConversion"/>
  </si>
  <si>
    <t>BCA-NCB</t>
  </si>
  <si>
    <t>Avansa</t>
  </si>
  <si>
    <t>Mercy S Class : Rp. 2.050.000.000 (PCMI=1.741.026.555 - AH=308.973.445)</t>
  </si>
  <si>
    <t>Avansa Veloz - B 2850 SOO</t>
  </si>
  <si>
    <t>Mercy GLE250D - DH</t>
  </si>
  <si>
    <t>INTANGIBLE ASSET</t>
    <phoneticPr fontId="13" type="noConversion"/>
  </si>
  <si>
    <t>s/d 2020</t>
  </si>
  <si>
    <t>2 0 2 1</t>
  </si>
  <si>
    <t>S/D 2021</t>
  </si>
  <si>
    <t>Profit and Loss Statement : 2021</t>
  </si>
  <si>
    <t xml:space="preserve">Pembelian Gofood Starbuck 12 Peserta </t>
  </si>
  <si>
    <t xml:space="preserve">Inject Tokopedia program Byu </t>
  </si>
  <si>
    <t xml:space="preserve">bordir 7 searagam Lacoste Tambahan </t>
  </si>
  <si>
    <t>DP snack Meeting starbuck 14 Nov</t>
  </si>
  <si>
    <t>Parkir ITC Permata Hijau tgl 17 Nov 21</t>
  </si>
  <si>
    <t xml:space="preserve">Parkir TSO tgl 17 Nov21 </t>
  </si>
  <si>
    <t xml:space="preserve">Sales Fee Ms Gladys Widiastuti  bulan Oct 2021 </t>
  </si>
  <si>
    <t>Pembayaran Koin Shoppee 0806001185955</t>
  </si>
  <si>
    <t>Gosend Laser Pointer ke Nur Telkom</t>
  </si>
  <si>
    <t xml:space="preserve">Pembelian Tiket Shuttle Makassar - Bone an Rafif Azhari </t>
  </si>
  <si>
    <t xml:space="preserve">Parkir Lippo Puri </t>
  </si>
  <si>
    <t>inject Coin Shoppee no 1200806320023126</t>
  </si>
  <si>
    <t>inject Coin Shoppee no 1200803220023573</t>
  </si>
  <si>
    <t xml:space="preserve">Pembelian Bagasi M Sony Marsono Wings Air </t>
  </si>
  <si>
    <t xml:space="preserve">Pembelian goody bag untuk seragam cewek </t>
  </si>
  <si>
    <t xml:space="preserve">Parkir lipo puri </t>
  </si>
  <si>
    <t xml:space="preserve">Pembayaran Ongkir Pull &amp; Bear Jogja - Jakarta </t>
  </si>
  <si>
    <t>Pembayaran Ongkir Pull &amp; Bear Bandung - Jakarta  (COD)</t>
  </si>
  <si>
    <t>Parkir TSO tgl 13 Dec 2021</t>
  </si>
  <si>
    <t>Parkir Benhil 13 Dec 2021</t>
  </si>
  <si>
    <t>Parkir Puri 31 Dec 2021</t>
  </si>
  <si>
    <t xml:space="preserve">Bensin - Benhil - TSO - Kantor - Lipo Puri </t>
  </si>
  <si>
    <t xml:space="preserve">Print Label Nama sertifikat </t>
  </si>
  <si>
    <t>Internet Jan PCMI MORA TELEMATIKA IN : Rp. 5.400.000</t>
  </si>
  <si>
    <t>PPn Keluaran - PPn Masukan</t>
  </si>
  <si>
    <t>27-Jan Venus Shop Jkt Pusat : 1 unit Sandisk ssd extreme portable external 1TB, req bu AH</t>
  </si>
  <si>
    <t>27-Feb : I Box Kokas Jakarta Selatan - Charger Mac Book Pro bu AH</t>
  </si>
  <si>
    <t>Sandisk SSD Extreme Portable External 1TB</t>
  </si>
  <si>
    <t>Charger Mac Book Pro AH</t>
  </si>
  <si>
    <t>PT TELEKOMUNIKASI SELULAR - 031 : Proyek 2022 tapi bayar 2021 : Telkomsel byU Delivery With Joy</t>
  </si>
  <si>
    <t>WA Yogi + Email AH 13-Mar = Inv 159/19 Telkomsel JPP BTN di off set dgn AP Kinarya Selaras, Sisa Budget Telkomsel Training S-II</t>
  </si>
  <si>
    <t>Bensin Mercy 18OktRD HIDIANITJE DRA</t>
  </si>
  <si>
    <t>Bensin Mercy 26OktRD HIDIANITJE DRA</t>
  </si>
  <si>
    <t>UBP60215001201FFFFFF025922149156093 : Denda Pajak Maret 2021</t>
  </si>
  <si>
    <t>UBP60215001201FFFFFF025922150913040 : Denda Pajak Juli 2021</t>
  </si>
  <si>
    <t>UBP60215001201FFFFFF025922149934159 : Denda Pajak Mei 2021</t>
  </si>
  <si>
    <t xml:space="preserve">UBP60215001201FFFFFF025922146400093 : Denda Pajak + Bunga Feb 2021 </t>
  </si>
  <si>
    <t>UBP60215001201FFFFFF025922152287059 : Denda Pajak Agustus 2021</t>
  </si>
  <si>
    <t>BRI FGD DPR Kom VI15 Mic Conf 6-7DesADITYA CHANDRA KUS</t>
  </si>
  <si>
    <t>BRI FGD DPR Kom VI15 MicConf 9-10DecADITYA CHANDRA KUS</t>
  </si>
  <si>
    <t>BRI FGD DPR Kom VI1Laptopi7 26-27NopMARBANGUN WIDAKDO</t>
  </si>
  <si>
    <t>BRI FGD DPR Kom VI1Laptop i7 9-10DecMARBANGUN WIDAKDO</t>
  </si>
  <si>
    <t>BRI FGD DPR Kom VISewa LED 9-10 Dec SRI WAHYUNI NAWI</t>
  </si>
  <si>
    <t>BRI FGD DPR Kom VIGenset 26-27Nop   CV INOVASI ENERGI</t>
  </si>
  <si>
    <t>BRI FGD K BUMN    1Laptopi7 16-17NopMARBANGUN WIDAKDO</t>
  </si>
  <si>
    <t>BRI IDX OpBellRIssZoom for 500      RD HIDIANITJE DRA</t>
  </si>
  <si>
    <t>BRI Launch OVO UC 100Goodie+TasLipatEDI SUCIPTO</t>
  </si>
  <si>
    <t>BRI Launch OVO UC Lap Ops Age       AHMAD WIDYA NUGRAH</t>
  </si>
  <si>
    <t>BRI Launch OVO UC Lap Ops Odhey     DEDI PURWANTO SE</t>
  </si>
  <si>
    <t>BRI Monthly Mtg AS10 WirelessEartechILHAM GUMELAR</t>
  </si>
  <si>
    <t>BRI Monthly Mtg AS8Laptop i7 9-10NopMARBANGUN WIDAKDO</t>
  </si>
  <si>
    <t>BRI MOU UMI       1 Genset 12-13Sep TOYIB ABDULLAH</t>
  </si>
  <si>
    <t>BRI Paralimpiade  4 Ushers+Hair Do  DWITA SEPTIANA</t>
  </si>
  <si>
    <t>BRI Paralimpiade  Fee Crew Runner   MOCH SUPRIYADI</t>
  </si>
  <si>
    <t>BRI Paralimpiade  Fee FO Atlit 2D   ANDRY SURYADI</t>
  </si>
  <si>
    <t>BRI Paralimpiade  SPJ PIC 1D        MARIA PATRICIA SUG</t>
  </si>
  <si>
    <t>BRI Paralimpiade  SPJ PIC 23Dec     DEDI PURWANTO SE</t>
  </si>
  <si>
    <t>BRI Paralimpiade  SPJ PIC 23Dec     ALEXADRUS NULIADY</t>
  </si>
  <si>
    <t>BRI Paralimpiade  SPJ PIC 23Dec     DEKA BAHANA</t>
  </si>
  <si>
    <t>BRI Paralimpiade  SPJ PIC 23Dec     FRIDA ACHMADI</t>
  </si>
  <si>
    <t>BRI Paralimpiade  SPJ Driver 23Dec  MUHAMMAD UJER AWAL</t>
  </si>
  <si>
    <t>BRI Paralimpiade  SPJ PIC 23-24Dec  ANALITA YULISTYA C</t>
  </si>
  <si>
    <t>BRI Paralimpiade  SPJ PIC 23-24Dec  PRAJA SAPUTRA S</t>
  </si>
  <si>
    <t>KPEI Team BldgVirtSoundSys 10-11Dec RISYAD FAUZIE</t>
  </si>
  <si>
    <t>Telkom IndKeren DESPJ Apo Handling  RIMEYKA WIRZA</t>
  </si>
  <si>
    <t>Telkom IndoKerenDESPJ Apo Handling  HELMI MARDIASTUTI</t>
  </si>
  <si>
    <t>Telkom IndoKerenDEID Card+LuggTag   RIMEYKA WIRZA</t>
  </si>
  <si>
    <t>Telkom IndKerenDE 21026386/22000183 AMOS TOUR INDONESI</t>
  </si>
  <si>
    <t>TSel WS SubDir SSG65 Goodie Bags    EDI SUCIPTO</t>
  </si>
  <si>
    <t>BRI FGD K BUMN  MCM InhouseTrf  KE IBNU CHUZAYMAH</t>
  </si>
  <si>
    <t>BRI FGD DPR Kom VI   MCM InhouseTrf  KE IBNU CHUZAYMAH</t>
  </si>
  <si>
    <t>Telkom IndKerenDubEx  MCM Outw CN  Indonesia Assist Card PT</t>
  </si>
  <si>
    <t>Telkom IndKerenDubEx  MCM InhouseTrf  KE AMBHARA THARUNA</t>
  </si>
  <si>
    <t>TSel Onboarding    MCM InhouseTrf  KE FLYING VENES PERSADA</t>
  </si>
  <si>
    <t>Profit (Loss) 2021</t>
  </si>
  <si>
    <t>BRI VideoMappingUAE      MCM Outw CN  Alvin Antono - Mahadalang</t>
  </si>
  <si>
    <t>PPn Keluaran Feb : 010,004-21,17700188 PT.VIVO Mobile Indonesia</t>
  </si>
  <si>
    <t>PPn Keluaran Feb : 010,004-21,17700189 PT . Bank Rakyat Indonesia</t>
  </si>
  <si>
    <t>PPn Masukan Jan : Internet Jan PCMI MORA TELEMATIKA IN : Rp. 5.400.000</t>
  </si>
  <si>
    <t>PPn Masukan Feb : BRI Himbara PemRed MCM Outw CN BTS QQ Pan Convince Mitra International 99102</t>
  </si>
  <si>
    <t>PPn Masukan Feb : Internet Februari Panconvince       MORA TELEMATIKA IN</t>
  </si>
  <si>
    <t>Saldo Akhir Th 2020 Lebih Bayar Rp. 2.444.959</t>
  </si>
  <si>
    <t>PPn - 2021 Non WAPU</t>
  </si>
  <si>
    <t>PPn Keluaran Mar : 010.004-21,17700192 : PT. Fintek Karya Nusantara</t>
  </si>
  <si>
    <t>PPn Masukan Mar : 010.005-21,00525851 - MORA TELEMATIKA IN</t>
  </si>
  <si>
    <t>PPn Masukan Mar : 010.005-21,32022024 - Akta PCMI 049 JIMMY TANAL SH</t>
  </si>
  <si>
    <t xml:space="preserve">PPn Masukan Mar : 010.004-21,03176911 - PT. Media Sumut Dua Empat Sukses </t>
  </si>
  <si>
    <t>PPn Masukan Apr : 010.005-21.00533368 - MORA TELEMATIKA IN</t>
  </si>
  <si>
    <t>PPn Masukan Mei : 010.005-21,69254623 - MORA TELEMATIKA IN</t>
  </si>
  <si>
    <t>PPn Keluaran Jun : 010.004-21,17700207 : PT . Bank Rakyat Indonesia</t>
  </si>
  <si>
    <t>PPn Masukan Jun : 010.006-21,23735164 - MORA TELEMATIKA IN</t>
  </si>
  <si>
    <t>PPn Masukan Jun : 010,005-21,14026586 - PT.Ide Diconic Indonesia</t>
  </si>
  <si>
    <t>PPn Keluaran Jul : 010.004-21,17700223 : PT . Bank Rakyat Indonesia</t>
  </si>
  <si>
    <t>PPn Masukan Jul : 010.006-21,23739961 - MORA TELEMATIKA IN</t>
  </si>
  <si>
    <t>PPn Masukan Aug : 010.007-21,19072443 - MORA TELEMATIKA IN</t>
  </si>
  <si>
    <t>PPn Masukan Sep : 010.007-21,19078263 - MORA TELEMATIKA IN</t>
  </si>
  <si>
    <t>PPn Keluaran Okt : 010,008-21,66178441 - PT. Jotun Indonesia</t>
  </si>
  <si>
    <t>PPn Keluaran Okt : 010,008-21,66178452 - PT. Bank Rakyat Indonesia Agroniaga Tbk</t>
  </si>
  <si>
    <t>PPn Masukan Okt : 010,007-21,87057537 - PT Mora Telematika Indonesia</t>
  </si>
  <si>
    <t>PPn Masukan Okt : 010,008-21,58947882 - PT. Ekipa Agile Consultancy</t>
  </si>
  <si>
    <t>PPn Keluaran : 010.008-21,66178453 - PT. Kliring Penjaminan Efek Indonesia</t>
  </si>
  <si>
    <t>PPn Masukan : 010.007-21,87063034 - PT Mora Telematika Indonesia</t>
  </si>
  <si>
    <t>PPn Masukan : 010.003-21,06612899 - CV Setia Bersama Mencintai</t>
  </si>
  <si>
    <t>PPn Lebih Bayar Nopember 2021</t>
  </si>
  <si>
    <t>Familymart Mid Plaza Jakarta Pusat</t>
  </si>
  <si>
    <t>www.tokopedia.com Jakarta</t>
  </si>
  <si>
    <t>Canggu Bakehouse Jakarta Pusat</t>
  </si>
  <si>
    <t>Midi MH 46 Benhil Jakarta Pusat</t>
  </si>
  <si>
    <t>Roti Bakar Kemang Jakarta Pusat</t>
  </si>
  <si>
    <t>Midi Panglima Jakarta Selatan</t>
  </si>
  <si>
    <t>Inditex Pull &amp; Bear Jakarta Pusat</t>
  </si>
  <si>
    <t>Ibox Kota Kasablanka ( 008/012 )</t>
  </si>
  <si>
    <t>Nasa Samsung Kokas ( 008/012 )</t>
  </si>
  <si>
    <t>Apotik Century Tebet Jakarta Selatan : bu AH</t>
  </si>
  <si>
    <t xml:space="preserve">Okky Toko kue &amp; roti Jakarta Selatan : Kue2 u/ bu Dewi- DPR &amp; team </t>
  </si>
  <si>
    <t>KPP</t>
  </si>
  <si>
    <t>PPh-21 : Mar - Dec 2020 = 10 x Rp. 6.100.471</t>
  </si>
  <si>
    <t>Karyawan PCMI</t>
  </si>
  <si>
    <t>UBP60215001201FFFFFF026024143106026 : Denda Pajak 2020</t>
  </si>
  <si>
    <t xml:space="preserve">UBP60215001201FFFFFF026024143978053 : Denda Pajak 2020 </t>
  </si>
  <si>
    <t>UBP60215001201FFFFFF026024142148119 : Denda Pajak 2020</t>
  </si>
  <si>
    <t>TARIKAN PEMINDAHAN TRSF KE 6790305190ARGA BANGUN BANGSA</t>
  </si>
  <si>
    <t>TSel WS SubDir SSG    MCM InhouseTrf  KE ORENS KREASI INDONESIA</t>
  </si>
  <si>
    <t xml:space="preserve">Mandiri Visa JT-17 Jan 2022 </t>
  </si>
  <si>
    <t>www.grabtaxi.com Jakarta</t>
  </si>
  <si>
    <t>HBRSubscriptionUSD 225x Rp 14,533.45</t>
  </si>
  <si>
    <t>NASA - Samsung Store Kota Jakarta (8/12 )</t>
  </si>
  <si>
    <t>adjustment</t>
  </si>
  <si>
    <t>Zoom.Us USD 55x 14.726,05</t>
  </si>
  <si>
    <t>Zoom.Us USD 66x 14.744,51</t>
  </si>
  <si>
    <t>Tokopedia.Com Jakarta Barat</t>
  </si>
  <si>
    <t>Zoom.Us USD 16,49 x 14,429.44</t>
  </si>
  <si>
    <t>Tiket.com Jakarta Pusat : Refund</t>
  </si>
  <si>
    <t>Restaurant Tamanteras-HO Jakarta Selatan : Meeting Yogi &amp; pak Rifki Telkomsel 19/12/21</t>
  </si>
  <si>
    <t>Kopi Oey Telkom Jakarta Selatan : Meeting Yogi &amp; pak Rifki Telkomsel 21/12/21</t>
  </si>
  <si>
    <t>Bumame farmasi Jakarta selatan : bu AH</t>
  </si>
  <si>
    <t>Aji Waras Apotik Jakarta Selatan : bu AH</t>
  </si>
  <si>
    <t>SPBU Bogor ( Kota )</t>
  </si>
  <si>
    <t>Biaya Notifikasi Okt 2021</t>
  </si>
  <si>
    <t>Mama Roz Jakarta Selatan</t>
  </si>
  <si>
    <t>SC 46 Midi Minangkabau Jakarta Selatan</t>
  </si>
  <si>
    <t>Transmart Kokas Jakarta</t>
  </si>
  <si>
    <t>Alfamidi Jakarta Selatan</t>
  </si>
  <si>
    <t>Naga Swalayan Jakarta</t>
  </si>
  <si>
    <t>Indomaret Jakarta Selatan</t>
  </si>
  <si>
    <t>Midi Poltangan Jakarta Selatan</t>
  </si>
  <si>
    <t>RM. Minang Raso - HO</t>
  </si>
  <si>
    <t>Shop &amp; Drive-HO Jakarta Slt</t>
  </si>
  <si>
    <t>Toserba Yogya , Bogor</t>
  </si>
  <si>
    <t>DBS Master - JT 4-Jan-22</t>
  </si>
  <si>
    <t>Tebet motor mbl Jakart : B 2351 SKF - Ganti Oli, Ganti saringan, bersihkan busi</t>
  </si>
  <si>
    <t>Telkomsel OBC Survey Market and Modern Trade</t>
  </si>
  <si>
    <t>Biaya sewa Mobil 1 Unit Ertiga @300.000/days x 6 days tgl 14 - 19 Juni 2021</t>
  </si>
  <si>
    <t>Overtime Sukanda , Des'21</t>
  </si>
  <si>
    <t>Entertaiment</t>
  </si>
  <si>
    <t xml:space="preserve">BRI FGD Ayana 1 </t>
  </si>
  <si>
    <t xml:space="preserve">BRI Launching OVO U Card </t>
  </si>
  <si>
    <t xml:space="preserve">Telkomsel Program Media Agency </t>
  </si>
  <si>
    <t xml:space="preserve">Telkomsel Sewa Mobil </t>
  </si>
  <si>
    <t xml:space="preserve">Telkomsel Undian Jelajah Nusantara </t>
  </si>
  <si>
    <t xml:space="preserve">Telkomsel WS Subdir Sales Strategy Group  </t>
  </si>
  <si>
    <t>SPJ PIC 3 day 25-27 Sep 2021</t>
  </si>
  <si>
    <t>Sewa 2 unit Tenda krucut dan Mysti Fan</t>
  </si>
  <si>
    <t>PCr AH 19/10/21</t>
  </si>
  <si>
    <t>Meals warung Wardhani 24/10/21</t>
  </si>
  <si>
    <t>Driver tips + Apo porter</t>
  </si>
  <si>
    <t>Production SPV, SPJ 2 day 4-5 Mar 2021</t>
  </si>
  <si>
    <t>Production SPV, SPJ 3 day 11-13 Mar 2021</t>
  </si>
  <si>
    <t>SPJ PIC 3 Hari (30 -31 maret, 1 April 2021)</t>
  </si>
  <si>
    <t>SPJ PIC 1 Hari (4 April 2021)</t>
  </si>
  <si>
    <t>Sewa LED 3 x 5 m, kain hitam 12m, laptop 2 day 6-7 Dec 2021</t>
  </si>
  <si>
    <t>Sewa Mic Conference Bosch900 Ultra 15 unit 2 day 26-27 Nov 21</t>
  </si>
  <si>
    <t>SPJ Pat dan beli snack</t>
  </si>
  <si>
    <t>Sewa laptop core i7 1 unit 2 hari 6-7 Dec 2021</t>
  </si>
  <si>
    <t>Sewa Genset 1unit dihotel sultan 6-7 Dec 2021</t>
  </si>
  <si>
    <t>Sewa Genset 1unit dihotel Ayana 9-10 Dec 2021</t>
  </si>
  <si>
    <t>Fee Production 9-10 Dec 2021</t>
  </si>
  <si>
    <t>Overtime Sewa Genset 40KVA 16-17 nov 2021</t>
  </si>
  <si>
    <t>Fee Po</t>
  </si>
  <si>
    <t>'Pembayaran biaya swab crew  27 Pax 11 Mei 2021</t>
  </si>
  <si>
    <t>TK 7893</t>
  </si>
  <si>
    <t>Production SPV, SPJ 2 day 5-6 Jan 2021</t>
  </si>
  <si>
    <t>SPJ PIC 3 day 26-29 Sep 2021</t>
  </si>
  <si>
    <t>Fee PO</t>
  </si>
  <si>
    <t xml:space="preserve">Bayar biaya swab crew dan BRI </t>
  </si>
  <si>
    <t>Bayar biaya swab crew dan peserta tgl 16/6/21</t>
  </si>
  <si>
    <t>Bayar sewa Hiace Premio 2 hari 10-11 Nov</t>
  </si>
  <si>
    <t>Pembyaran PCR pat</t>
  </si>
  <si>
    <t>Production SPV, SPJ 2 day 24-25 Jan 2021</t>
  </si>
  <si>
    <t>Production SPV, SPJ 2 day 8-9 juni 2021</t>
  </si>
  <si>
    <t>'Bayar biaya swab crew dan peserta tgl 09/06/21</t>
  </si>
  <si>
    <t>SPJ PIC 1 day 12 Aug 2021</t>
  </si>
  <si>
    <t>SPJ 1 day 4 Dec 2021</t>
  </si>
  <si>
    <t>Sewa laptop core i7 8 unit, 1 unit pc rtx 1 hari 4 dec 2021</t>
  </si>
  <si>
    <t>Pembayaran Bunga meja 6x100 4 dec 2021</t>
  </si>
  <si>
    <t>Fee Production 4 Dec 2021</t>
  </si>
  <si>
    <t>Sewa Meja ibm , etc 4 dec 2021</t>
  </si>
  <si>
    <t>Sewa Wireless eratech 8 unit, Handy talky 7 unit 4 Dec 2021</t>
  </si>
  <si>
    <t>Addcost sewa switcher matrix</t>
  </si>
  <si>
    <t>Addcost sewa mixer kamera</t>
  </si>
  <si>
    <t>Fee Project Officer</t>
  </si>
  <si>
    <t>Fee PO Tiket</t>
  </si>
  <si>
    <t>Production SPV, SPJ 3 day 27-29 Jan 2021</t>
  </si>
  <si>
    <t>SPJ PIC 2 day 09-10 Nov 2021</t>
  </si>
  <si>
    <t>Bayar biaya swab crew dan peserta tgl 10/6/21</t>
  </si>
  <si>
    <t>Payment Produksi Stage</t>
  </si>
  <si>
    <t>SPJ PIC 2 day 12-13 Sep 2021</t>
  </si>
  <si>
    <t xml:space="preserve">Fee PO </t>
  </si>
  <si>
    <t>Pembayaran biaya swab PCR crew  42 Pax 12 Sep 2021</t>
  </si>
  <si>
    <t>Pembayaran Dekor Taman dan center piece</t>
  </si>
  <si>
    <t>SPJ PIC 1 day 10 Sep 2021</t>
  </si>
  <si>
    <t>Production SPV, SPJ 1 day 23 Dec 2021</t>
  </si>
  <si>
    <t>Tokopedia - 80pcs Hand Sanitizer &amp; 80pcs Masker</t>
  </si>
  <si>
    <t>Tokopedia - 80pcs Pouch Bening</t>
  </si>
  <si>
    <t>Sewa Wireless eratech 8 unit, Handy talky 6 unit 23 Dec 2021</t>
  </si>
  <si>
    <t>Penyewaan Lighting  include tools 23 dec 2021</t>
  </si>
  <si>
    <t>Sewa Sound system 23 Dec 2021</t>
  </si>
  <si>
    <t>Sewa Camera 2 unit with tools 23 Dec 2021</t>
  </si>
  <si>
    <t>Pembayaran Dekor Taman 30x215, center pieces 24x 100 23 dec 2021</t>
  </si>
  <si>
    <t>Sewa Meja ibm , etc 23 dec 2021</t>
  </si>
  <si>
    <t>Sewa Documentasi Acara Paralimpiade 23 Dec 2021</t>
  </si>
  <si>
    <t>Air minum Pristine 4 dus , 23/12/21</t>
  </si>
  <si>
    <t>SPJ 1 day 12 Apr 2021</t>
  </si>
  <si>
    <t>'Pembayaran biaya swab crew 12 April 2021 24 Pax</t>
  </si>
  <si>
    <t>Fee PIC 3 mei 2021</t>
  </si>
  <si>
    <t>Production SPV, SPJ 2 day 17-18 Feb 2021</t>
  </si>
  <si>
    <t>SPJ PIC Streaming 2 Hari (24-25 May 2021)</t>
  </si>
  <si>
    <t>SPJ PIC 2 day 5-6 Aug 2021</t>
  </si>
  <si>
    <t>SPJ PIC 1 day 27 Oct 2021</t>
  </si>
  <si>
    <t>Antigen 6 crew</t>
  </si>
  <si>
    <t>Production SPV, SPJ 6 day 16-21 Jan 2021</t>
  </si>
  <si>
    <t>SPJ PIC 2 day 21-22 Jul 2021</t>
  </si>
  <si>
    <t>Pembayaran biaya swab Antigen crew  43 Pax 21 Juli 2021</t>
  </si>
  <si>
    <t>SPJ PIC 2 day 2-3 Sep 2021</t>
  </si>
  <si>
    <t>Production SPV, SPJ 1 day 17 Jan 2021</t>
  </si>
  <si>
    <t>Pembayaran Inv : V-1712 (Pemakaian Kendaraan BRI) - October 2021</t>
  </si>
  <si>
    <t>Pembayaran Invoice No. V1704 - Pemakaian Alphard Periode 18 - 19 Juni 2021</t>
  </si>
  <si>
    <t>PO fee</t>
  </si>
  <si>
    <t>SPJ PIC 2 day 2-3 Oct 2021</t>
  </si>
  <si>
    <t>Kecak Dance Rp. 165.000 x 12 (11 Des 2021) &amp; Coffee Plantation + Entrance Fee Rp. 150.000 x 12</t>
  </si>
  <si>
    <t>SPJ PIC 2 day 10-11 Dec 2021</t>
  </si>
  <si>
    <t xml:space="preserve">Reimburse Swab antigen Chaplin untuk event </t>
  </si>
  <si>
    <t>Pembayaran sewa kamera include tools 10-11 Dec 2021</t>
  </si>
  <si>
    <t>Sewa Genset 1unit distudio sepat72 2day 9-10 Dec 2021</t>
  </si>
  <si>
    <t>Sewa laptop core i7 10 unit, 1 unit pc rtx 2 hari 10-11 dec 2021</t>
  </si>
  <si>
    <t>SPJ PIC 2 Day (02 - 03 Agustus 2021)</t>
  </si>
  <si>
    <t>airport handling 30 Dec 2021</t>
  </si>
  <si>
    <t>SPJ 1 day 30 Dec 2021</t>
  </si>
  <si>
    <t>Laporan Ops 30 Dec 2021</t>
  </si>
  <si>
    <t xml:space="preserve">pembayaran CCNA Fast Track </t>
  </si>
  <si>
    <t xml:space="preserve">Pembayaran Speaker Fee dari Cloud Academy </t>
  </si>
  <si>
    <t xml:space="preserve">Inject LinkAja Sales Fee Referall Dec 21 Termasuk Biaya Transfer </t>
  </si>
  <si>
    <t>Reimburse pengeluaran Operasional Desember 2021</t>
  </si>
  <si>
    <t>TK 10372,10306, 10268, 10371</t>
  </si>
  <si>
    <t xml:space="preserve">Reward Tiktok Challenge </t>
  </si>
  <si>
    <t>Reimburse Bang Ade Req tgl 05 Jan 2022</t>
  </si>
  <si>
    <t>'Program Langit Pay Loyalty data Reward 01 - 31 Jan 2022</t>
  </si>
  <si>
    <t xml:space="preserve">'Reimburse pembelian Michropone </t>
  </si>
  <si>
    <t xml:space="preserve">Pembelian Emas Batangan </t>
  </si>
  <si>
    <t>Petty cash Andi Mario bulan Januari 2022</t>
  </si>
  <si>
    <t xml:space="preserve">pembayaran Sewa Mobil Tujuan Sukabumi 02-03 Oktober 2021 ( Ibu Tika) </t>
  </si>
  <si>
    <t xml:space="preserve">Cashback selisih harga HP MI Ultra dan MI 11 </t>
  </si>
  <si>
    <t xml:space="preserve">Man Power  Packaging Hampers Tahun Baru Komeng, Adnan dan Dika </t>
  </si>
  <si>
    <t>Pembayaran Sablon 94 Pcs Kaos</t>
  </si>
  <si>
    <t>Production SPV, SPJ 2 day 14-15 Jan 2021</t>
  </si>
  <si>
    <t>Link Aja Pelatihan Agent CTP, BES dan e-KYC</t>
  </si>
  <si>
    <t>UBP60215001201FFFFFF025076325677108 : PPh-21 Mei 2020 ( THR )</t>
  </si>
  <si>
    <t>BRI Cyperos Bali DP Oleh2 VIP PotCABPW SAHADEWA BASUN : 30Juta Potong CA th 2014 : $150</t>
  </si>
  <si>
    <t>Oka</t>
  </si>
  <si>
    <t xml:space="preserve">BRI Cyperos Bali DP Oleh2 VIP PotCABPW SAHADEWA BASUN : 30Juta Potong CA th 2014 : $150 </t>
  </si>
  <si>
    <t>Sewa peralatan visual 23/12/21</t>
  </si>
  <si>
    <t>Produksi 23/12/21</t>
  </si>
  <si>
    <t>SPJ PIC 11 May'21</t>
  </si>
  <si>
    <t>Fee SPV Production 4 Des 21</t>
  </si>
  <si>
    <t>SPJ PIC 4 D ( 7-10  Oct'21 )</t>
  </si>
  <si>
    <t>Inv : 1723 - Pemakaian kendaraan 23-24 Des 2021</t>
  </si>
  <si>
    <t>Swab Antigen 23 Des'21 31 pax</t>
  </si>
  <si>
    <t>Pembelian Vest &amp; Rompi</t>
  </si>
  <si>
    <t>Lap. Ops Age ( tanpa CA )</t>
  </si>
  <si>
    <t>Add paket karantina pak Afif di Dubai : USD. 3.483,01</t>
  </si>
  <si>
    <t>Inv: 1722 - Pemakaian Innova Reborn Jakarta-Bogor-Jakarta 16 Des'21</t>
  </si>
  <si>
    <t>JDID</t>
  </si>
  <si>
    <t>SPBU MT Haryono Tebet Barat</t>
  </si>
  <si>
    <t xml:space="preserve">High Quality Bendungan Hilir </t>
  </si>
  <si>
    <t>Ibox Kota Kasablanka ( 009/012 )</t>
  </si>
  <si>
    <t>Nasa Samsung Kokas ( 009/012 )</t>
  </si>
  <si>
    <t>SPBU Casblanca</t>
  </si>
  <si>
    <t>Travel Wholesale Center</t>
  </si>
  <si>
    <t>PPn Keluaran : 010,008-21,66178459 - PT Jotun Indonesia</t>
  </si>
  <si>
    <t>PPn Lebih Bayar Desember 2021</t>
  </si>
  <si>
    <t>PPn Keluaran : 010,008-21,66178462 : PT Bank Rakyat Indonesia</t>
  </si>
  <si>
    <t>PPn Keluaran : 010,008-21,66178463 : PT Cipta Mortar Utama</t>
  </si>
  <si>
    <t>PPn Keluaran : 010,008-21,66178464 : PT Fintek Karya Nusantara</t>
  </si>
  <si>
    <t>PPn Keluaran : 010,008-21,66178465 : PT Sarana Yukti Bandhana</t>
  </si>
  <si>
    <t>PPn Keluaran : 010,008-21,66178479 : PT Telekomunikasi Sellular</t>
  </si>
  <si>
    <t>PPn Keluaran : 010,008-21,66178480 : PT Telekomunikasi Sellular</t>
  </si>
  <si>
    <t>PPn Masukan : 010,006-21,52590349 : PT. Bringin Karya Sejahtera</t>
  </si>
  <si>
    <t>PPn Masukan : 010,008-21,78223618 ; PT. Mora Telematika Indonesia</t>
  </si>
  <si>
    <t>PPn Masukan : 011,002-21,08663665 : PT. Kreasi Tiyasa Asia</t>
  </si>
  <si>
    <t>PPn Masukan : 011,002-21,08663668 : PT. Kreasi Tiyasa Asia</t>
  </si>
  <si>
    <t>PPn Masukan : 010,008-21,78483147 : PT. Lifelong Learning</t>
  </si>
  <si>
    <t>PPn Masukan : 010,008-21,78483148 : PT. Lifelong Learning</t>
  </si>
  <si>
    <t>PPn Masukan : 010,009-21,38903094 : PT. Generasi Teknologi Buana</t>
  </si>
  <si>
    <t>BRI Video Mapping UAE Sewa Gondola ESB:T:0374639:CMS : Rp. 4.400.000 Incl PPn</t>
  </si>
  <si>
    <t>KPEI TeamBuildVirtDP ProgPelatihan  KREASI TIYASA ASIA : Rp. 42.837.025 Incl PPn</t>
  </si>
  <si>
    <t>KPEI TeamBldgVirtuLunasRaceRound    KREASI TIYASA ASIA : Rp. 39.040.925 Incl PPn</t>
  </si>
  <si>
    <t xml:space="preserve"> Pembayaran Speaker Fee dari Cloud Academy </t>
  </si>
  <si>
    <t>AP PPh-23</t>
  </si>
  <si>
    <t>BALANCE SHEET AS OF 31-DEC-2021</t>
  </si>
  <si>
    <t>Kirim Hampers ke pak Benny Bandung</t>
  </si>
  <si>
    <t xml:space="preserve">Uang makan LO 29-30 Des'21 ( 3Pax ) </t>
  </si>
  <si>
    <t>Hampers Kaos ( Luar kota )</t>
  </si>
  <si>
    <t>Pengiriman Kaos Jabodetabek 31 Des'21</t>
  </si>
  <si>
    <t>Biaya Gojek dr t4 Bordir</t>
  </si>
  <si>
    <t>Beli plastik klip baju CTIK</t>
  </si>
  <si>
    <t>Fee perbantuan packaging Hampers 5/1/22</t>
  </si>
  <si>
    <t>Pengirimn paket Hampers + Shirt 60 titik tgl 5 &amp; 6 Jan'22</t>
  </si>
  <si>
    <t>Bayar Recovery data</t>
  </si>
  <si>
    <t>Tambahan pembelian Bday Cake Arie 6/1/22</t>
  </si>
  <si>
    <t>CA-54/21 Yogi    Lebih Bayar</t>
  </si>
  <si>
    <t>Telkomsel by U Delivery With Joy</t>
  </si>
  <si>
    <t>AP PPN</t>
  </si>
  <si>
    <t xml:space="preserve">55 : Telkomsel CIMA </t>
  </si>
  <si>
    <t>56 : Telkomsel Onboarding</t>
  </si>
  <si>
    <t>59 : Telkomsel Inject Paket Data/Top Up Pulsa/ Token Listrik</t>
  </si>
  <si>
    <t>71 : BRI MOU UMI</t>
  </si>
  <si>
    <t xml:space="preserve">73 : Telkomsel MICE InnoXtion </t>
  </si>
  <si>
    <t>82 : BRI Lombok</t>
  </si>
  <si>
    <t>84 : Telkomsel Campaign Outlet via MyAds</t>
  </si>
  <si>
    <t>85 : Telkomsel Evaluasi Performasi and Konseling</t>
  </si>
  <si>
    <t>87 : Telkomsel Leveraging Message</t>
  </si>
  <si>
    <t>93 : BRI Paralimpiade</t>
  </si>
  <si>
    <t>95 : Telkomsel E-Commerce Program Q4</t>
  </si>
  <si>
    <t>96 : Telkomsel Pengadaan Gimmicks Payload User</t>
  </si>
  <si>
    <t>102 : BRI FGD K BUMN</t>
  </si>
  <si>
    <t>106 : KPEI Team Building Virtual</t>
  </si>
  <si>
    <t>107 : KPEI Team Building Virtual</t>
  </si>
  <si>
    <t>111 : BRI Launching OVO U Card</t>
  </si>
  <si>
    <t>115 : BRI Lombok</t>
  </si>
  <si>
    <t>120 : Telkomsel Undian Jelajah Nusantara</t>
  </si>
  <si>
    <t>122 : Telkom Indonesia Keren Dubai Expo</t>
  </si>
  <si>
    <t>123 : Telkomsel WS Subdir Sales Strategy Group</t>
  </si>
  <si>
    <t>124 : Telkomsel Operationalitation After Sales and Billing</t>
  </si>
  <si>
    <t xml:space="preserve">125 : BRI FIT SKP Media </t>
  </si>
  <si>
    <t>128 : BRI Launching OVO U Card</t>
  </si>
  <si>
    <t>129 : BRI Launching OVO U Card</t>
  </si>
  <si>
    <t>130 : Jotun Bali Trip</t>
  </si>
  <si>
    <t>132 : Telkomsel Change Champion</t>
  </si>
  <si>
    <t>133 : Telkomsel WS Subdir Sales Strategy Group</t>
  </si>
  <si>
    <t xml:space="preserve">PPn - 2021 </t>
  </si>
  <si>
    <t>74 : SGI Gyproc Migration</t>
  </si>
  <si>
    <t>116 : Link Aja Pelatihan Agent CTP, BES dan e-KYC</t>
  </si>
  <si>
    <t>126 : Telkomsel Moana Agustus</t>
  </si>
  <si>
    <t>Income Tax - PPh-23 : 2021</t>
  </si>
  <si>
    <t>Hotel Ambhara</t>
  </si>
  <si>
    <t>Inv V</t>
  </si>
  <si>
    <t>Fraser Menteng</t>
  </si>
  <si>
    <t>Inv VI</t>
  </si>
  <si>
    <t xml:space="preserve">SPBU 34.12806,SUPOMO-H </t>
  </si>
  <si>
    <t>TRANSMART KOTA KASABLA</t>
  </si>
  <si>
    <t>Biaya Notifikasi Nov 2021</t>
  </si>
  <si>
    <t>SPBU 31.10303,CIKINI</t>
  </si>
  <si>
    <t>RM PADANG SEDERHANA</t>
  </si>
  <si>
    <t>IDM T60B ABDULLAH SYAF</t>
  </si>
  <si>
    <t>MIDI SC46 MINANG KABAU</t>
  </si>
  <si>
    <t>SPBU 34-16704</t>
  </si>
  <si>
    <t>IDM TT1U JAKARTA SELATAN</t>
  </si>
  <si>
    <t>SPBU 34-12805 Jakarta Selat</t>
  </si>
  <si>
    <t>SPBU  34-16102. Bogor kota</t>
  </si>
  <si>
    <t>SPBU 34-12805 Casablanca Jakarta Selat</t>
  </si>
  <si>
    <t>SPBU 34-10201 MBL JAKARTA</t>
  </si>
  <si>
    <t>SPBU 34-16704 Bogor Kota</t>
  </si>
  <si>
    <t>TIKI JALUR NUGRAHA-HO Jakarta Barat</t>
  </si>
  <si>
    <t>LEUWEUNG GELEDEGAN-HO Bogor</t>
  </si>
  <si>
    <t>MIDI SC46 MNK  MINANGK</t>
  </si>
  <si>
    <t>RESTAURANT TAMANTERAS</t>
  </si>
  <si>
    <t>ACTA BRASSERIE</t>
  </si>
  <si>
    <t>SPBU REST AREA KM 38 M Bogor</t>
  </si>
  <si>
    <t>MULIA SENAYAN HOTEL-HO</t>
  </si>
  <si>
    <t>BEA MATERAI LUNAS</t>
  </si>
  <si>
    <t>GANESHA,BRI  : Frida, Pat, &amp; Panitia Natal BRI</t>
  </si>
  <si>
    <t>TEBET MOTOR : Wiper &amp; baterai remote B 2351 SKF</t>
  </si>
  <si>
    <t>WANGJA-HO : Year End Lunch team PCMI .</t>
  </si>
  <si>
    <t>GOJEK</t>
  </si>
  <si>
    <t>ZOOM.US 888-799-96666 USD 16,49</t>
  </si>
  <si>
    <t>Tiket.com Jakarta Selatan : Personal DH</t>
  </si>
  <si>
    <t>Digibank payment for tiket.com DH - Lunas</t>
  </si>
  <si>
    <t>MIDI SC63 TEBET TIMUR</t>
  </si>
  <si>
    <t>MIDI SH48 SINDANG BARA BOGOR</t>
  </si>
  <si>
    <t>Hutang Tagihan DBS Master Card : JT 4-Feb</t>
  </si>
  <si>
    <t>Hutang Tagihan DBS Visa Travel : JT 4-Feb</t>
  </si>
  <si>
    <t>EDC  BAGIAN PROTOKOL TO PT PAN CONVINCE  : PPn di RETUR Tgl 16-Nov</t>
  </si>
  <si>
    <t>DBS Vusa Black JT-29Jan</t>
  </si>
  <si>
    <t>Pull &amp; Bear Kemang Village Jakarta Selatan</t>
  </si>
  <si>
    <t>H &amp; M Gandaria City Jakarta Selatan</t>
  </si>
  <si>
    <t>Cork &amp;Screw Pacific Place</t>
  </si>
  <si>
    <t>The Harvest Thamrin</t>
  </si>
  <si>
    <t>High QualityBendungan Hilir</t>
  </si>
  <si>
    <t>Holland Bakery, Mampang Jakarta Slt</t>
  </si>
  <si>
    <t>SBUX Km 38 Bogor</t>
  </si>
  <si>
    <t>Leuweung Geledegan Bogor</t>
  </si>
  <si>
    <t>Payment ( pembayaran personal dari DH, salah transfer)</t>
  </si>
  <si>
    <t>Coffee Bean &amp; Tea Leaf  Jakarta : Yogi meeting dg pak Rifki Tsel</t>
  </si>
  <si>
    <t>IDM Point Cafetops Jakarta Selatan : Yogi beli rokok u/ pak Rifki Tsel, meeting</t>
  </si>
  <si>
    <t>Restaurant Taman Teras Jakarta Selatan : Brifing bu Frida, Yogi hal event di Ciwidey, Bogor</t>
  </si>
  <si>
    <t>Telkomsel Master Plan of Youth Segment</t>
  </si>
  <si>
    <t>WA Yogi 21-Jan-22</t>
  </si>
  <si>
    <t>Koreksi Selisih</t>
  </si>
  <si>
    <t>Sisa Budget  as per 7 Jan - Dikoreksi via WA Yogi 21-Jan-2022 jadi Rp. 121.422.560</t>
  </si>
  <si>
    <t>Sisa Budget  as per 7 Jan - Dikoreksi via WA Yogi 21-Jan-2022 jadi Rp. NOL</t>
  </si>
  <si>
    <t>TSel ProgMediaAgenCashBack S+Drive  MEERY ADRIAN : eMail Meery salah tulis seharusnya Telkomsel Racing Competition</t>
  </si>
  <si>
    <t>TSel ProgMediaAgenCashBackAsiaWisataMEERY ADRIAN : eMail Meery salah tulis seharusnya Telkomsel Racing Competition</t>
  </si>
  <si>
    <t>Salary PCMI Mar   +40Pct 2020       DAVID HARSAMTO : Total Rp. 128.675.000</t>
  </si>
  <si>
    <t>BRI Launching Liga 1 2021</t>
  </si>
  <si>
    <t>BRI MOU UMI 2021</t>
  </si>
  <si>
    <t>BRI FIT SKP Media</t>
  </si>
  <si>
    <t xml:space="preserve">Income Tax : PPh-23 - 2021 </t>
  </si>
  <si>
    <t>PPn - 2020</t>
  </si>
  <si>
    <t>Income Tax : PPh-23 - 2020</t>
  </si>
  <si>
    <t>Income Tax : PPh-23 - 2019</t>
  </si>
  <si>
    <t>Tanpa PPn</t>
  </si>
  <si>
    <t>Invoice Proforma Lebih Bayar Inv.91-101-114 Paid tgl 16-Dec-2021 BRI</t>
  </si>
  <si>
    <t>Invoice IV</t>
  </si>
  <si>
    <t>136 : BRI Launching OVO U Card</t>
  </si>
  <si>
    <t>Bunga Pinjaman HSBC Nov-Dec sesuai tagihan dari Tuti</t>
  </si>
  <si>
    <t>Sisa CA-008/2020 yang telah dilaporkan tapi belum dikembalikan</t>
  </si>
  <si>
    <t>CA-008/20 Anne Hidayat</t>
  </si>
  <si>
    <t>10-Jul-21 www.Blibli.com Jakarta : Pak DH</t>
  </si>
  <si>
    <t>13-Jul-21 www.Blibli.com Jakarta : Pak DH</t>
  </si>
  <si>
    <t>Salary PCMI Mar   Kurang Trfs       DAVID HARSAMTO : Salary + Cut Return 2020</t>
  </si>
  <si>
    <t xml:space="preserve">Posting AR Deposit to vendor paid in 2020 to COGS 2021 </t>
  </si>
  <si>
    <t>C-47/21 Yogi   YOGI PURWO WIDODO</t>
  </si>
  <si>
    <t>CA-47/2021</t>
  </si>
  <si>
    <t>beli Voucher Sodexo</t>
  </si>
  <si>
    <t>Beli paper bag 2 lusin - Tokopedia</t>
  </si>
  <si>
    <t>Beli plastik wrap &amp; isolasi</t>
  </si>
  <si>
    <t>Fee Ibrahim packaging Koordnator &amp; team 5 &amp; 6 Jan'22 ( 2 pax )</t>
  </si>
  <si>
    <t>Pembelian Bday Cake /n Ari 6/1/22</t>
  </si>
  <si>
    <t xml:space="preserve">Gosend antar kertas kado ke rmh bu Arie </t>
  </si>
  <si>
    <t>C-47/21 Yogi   Lebih Bayar</t>
  </si>
  <si>
    <t>Mdr LaunchAndroid LED 3Pairs 2D     GUNGGI GIANNASKAF - Incl Ref Dep 500Rb</t>
  </si>
  <si>
    <t>Alakasam</t>
  </si>
  <si>
    <t>CR 09/09 95031       DEPOSIT RETURNED  ARDHY DWIKI FRIANA - Alakasam</t>
  </si>
  <si>
    <t>Mdr LaunchAndroid LED 3Pairs 2D     GUNGGI GIANNASKAF - Incl Ref Dep 500Rb Alakasam</t>
  </si>
  <si>
    <t>MOBILE CENTER : Converter USB to Lan u/ macbook Deka</t>
  </si>
  <si>
    <t>GRAMEDIA 008 MATRAMA-H : Outner besar putih u/ filing PV</t>
  </si>
  <si>
    <t xml:space="preserve">SETYAJAYA BAN MBL BOGOR : 4 Ban mobil  u/B 2351 SKF </t>
  </si>
  <si>
    <t>TEBET MOTOR MBL : Lampu &amp; pemasangan u/ B 2351 SKF</t>
  </si>
  <si>
    <t>GOJEK : Yogi</t>
  </si>
  <si>
    <t>Telkomsel Meeting Joint Program OCBS NISP</t>
  </si>
  <si>
    <t>Citibank Visa JT-7Feb</t>
  </si>
  <si>
    <t>Tiket.com Jak Sel</t>
  </si>
  <si>
    <t>Figma Monthly renewal San Franciscous US 300 @ Rp 14,585.11</t>
  </si>
  <si>
    <t>Morrisey Hotel Jak Pus</t>
  </si>
  <si>
    <t>Cerita Rasa HO Jak Sel</t>
  </si>
  <si>
    <t>Sederhana RM Jak Pus</t>
  </si>
  <si>
    <t>Rupa Rupa .com Jakarta</t>
  </si>
  <si>
    <t>Sederhana Palmerah Jak Sel</t>
  </si>
  <si>
    <t>Lazada.Id Jakarta</t>
  </si>
  <si>
    <t>Holland Bakery Benhil Jak Pus</t>
  </si>
  <si>
    <t>Uniqlo .PIM 1 Jak Sel</t>
  </si>
  <si>
    <t>Uniqlo Jak Pus</t>
  </si>
  <si>
    <t>SPBU Tendean Jak Sel</t>
  </si>
  <si>
    <t>Transmart Kokas Jak Sel</t>
  </si>
  <si>
    <t>Marks &amp; Spencer Jak Sel</t>
  </si>
  <si>
    <t>MAP Voucher Store Jak Pus</t>
  </si>
  <si>
    <t>Berkahati Stationary Jak Sel</t>
  </si>
  <si>
    <t>SPBU Jakarta</t>
  </si>
  <si>
    <t>Twin Digital Printing Jak Sel</t>
  </si>
  <si>
    <t>Payment</t>
  </si>
  <si>
    <t>Telkomsel 2022 Master Plan of Youth Segment</t>
  </si>
  <si>
    <t>BRI Perayaan Natal 2021</t>
  </si>
  <si>
    <t xml:space="preserve">Ganesha EK Sanskriti Jak Sel : Lunch meeting Pat, Frida, Panitia Natal BRI </t>
  </si>
  <si>
    <t>www.tokopedia.com Jakarta : Pembelian Casing Ipad bp Rifki Tsel</t>
  </si>
  <si>
    <t>Acta Brasserie Jak Pus : Patricia, pak Adri , Faial ( BRI )</t>
  </si>
  <si>
    <t>Ctibank Visa JT-7Feb</t>
  </si>
  <si>
    <t>Tiket.com Jakarta Selatan :WA Yogi 30-Jan-22 - Refund biaya reschedule Fave Gatsu Htl</t>
  </si>
  <si>
    <t>DBS Visa White - JT 4Jan</t>
  </si>
  <si>
    <t>Zoom.us 30/11/21 USD 16,49 @ 14,703.58</t>
  </si>
  <si>
    <t>DBS Visa White</t>
  </si>
  <si>
    <t>dewi kurniati     dewi kurniati     BUANA MEDIA TEKNOL : Unknown</t>
  </si>
  <si>
    <t>Pengembalian 100% Potongan Gaji Th 2021</t>
  </si>
  <si>
    <t>cost of goods</t>
  </si>
  <si>
    <t>BRI RUPST Luar Biasa Juli</t>
  </si>
  <si>
    <t>DIVISI WMG-112501000255301 : Retur Rp. 24.390.600 tgl 10-Dec-21</t>
  </si>
  <si>
    <t>BRI Launch DblCare Retur PPn WAPU : BRI Bayar Full tgl 30-Jun-2021 Rp. 268.296.600</t>
  </si>
  <si>
    <t xml:space="preserve">Sisa Budget : Revisi dari email Merry tgl 9-May-2022 </t>
  </si>
  <si>
    <t>Sisa Budget (Rp. 6.569.676 - Realisasi Rp. 23.189.446)</t>
  </si>
  <si>
    <t>Telkom IndKeren DE    MCM Outw CN  Yati Kartikawati</t>
  </si>
  <si>
    <t>BRIUker#033502001040691 PAYMENT INVOICE</t>
  </si>
  <si>
    <t xml:space="preserve">PV 17287 - AH, Refreshment nunggu meeting </t>
  </si>
  <si>
    <t>PV 17288 - AH , Refreshmet meeting @ Bali Airport</t>
  </si>
  <si>
    <t>PV 17290 - AH - DP fee design  Fabio , 17/10/21</t>
  </si>
  <si>
    <t>PV 17295 - AH - Meals meeting  19/10/21</t>
  </si>
  <si>
    <t>PV 17784 - Analita- Lunch crew @ Solaria , 6/12/21</t>
  </si>
  <si>
    <t xml:space="preserve">PV 17785 - Analita- Aqua 330 ml 1 dus , 26/11/21 </t>
  </si>
  <si>
    <t>PV 18162 - Pat, meals, rfreshment bu Dewi DPR, trans ket4 event</t>
  </si>
  <si>
    <t>PV 16527 - AH , Wix.com , Landing page registration</t>
  </si>
  <si>
    <t>PV 16644 - AH, Wix.com , Landing page registration</t>
  </si>
  <si>
    <t>PV 17315 - AH, Zoom Pro</t>
  </si>
  <si>
    <t>PV  16526 - AH, Zoom Pro</t>
  </si>
  <si>
    <t>PV 16525 - AH , Zoom Pro</t>
  </si>
  <si>
    <t>Print proposal " Saatnya Unjuk GIGI " , 28/12/21</t>
  </si>
  <si>
    <t>Kirim invoice add cost Jotun via JNE , 27/1/22</t>
  </si>
  <si>
    <t xml:space="preserve">PV 17771 - Tatha Yank - Swab antigen , </t>
  </si>
  <si>
    <t>Jilid lap. Kegiatan KPEI, 18/1/22</t>
  </si>
  <si>
    <t>PV 17770 - reimb swab MC Errol</t>
  </si>
  <si>
    <t>PV 17841 - FB -  Lasagna gulung req bu Ari Tsel , 22/1/21</t>
  </si>
  <si>
    <t>Grab Food Jakarta ID</t>
  </si>
  <si>
    <t>Sisa Budget Saldo Akhir 2020 : Sesuai Meeting AH Yogi - 19-Jan-2021 : Dikoreksi via WA Yogi Tgl 21-Jan jadi Rp. 29.090.791 = Realitas Rp. 44.657.332 (27-May-22)</t>
  </si>
  <si>
    <t>93a</t>
  </si>
  <si>
    <t>93a : BRI Paralimpiade</t>
  </si>
  <si>
    <t>UBP60215001201FFFFFF026232220926120 : PPh-21 May+THR 2021</t>
  </si>
  <si>
    <t>UBP60215001201FFFFFF026232257851031 : PPh-21 Akhir Tahun 2021 Kurang Bayar</t>
  </si>
  <si>
    <t>Bonus 2021</t>
  </si>
  <si>
    <t>TELKOM DIVRE302183700934     01RD HIDIANITJE DRA 6019009502943712</t>
  </si>
  <si>
    <t>KPP Kantor Pajak</t>
  </si>
  <si>
    <t>UBP60215001201FFFFFF026545374064053 : Denda PPH 21 Masa Nov 2018</t>
  </si>
  <si>
    <t>UBP60215001201FFFFFF026545373499068 : Denda PPN Masa Nov 2018</t>
  </si>
  <si>
    <t>UBP60215001201FFFFFF026545373374020 : Denda PPN Masa Sept 2018</t>
  </si>
  <si>
    <t>UBP60215001201FFFFFF026545372731095 : Denda PPN Masa Juli 2018</t>
  </si>
  <si>
    <t xml:space="preserve">UBP60215001201FFFFFF026546029907113 : Denda PPH 21 Masa Maret 2020   </t>
  </si>
  <si>
    <t>UBP60215001201FFFFFF026544963908137 : Kurang Bayar PPh-Badan 2021</t>
  </si>
  <si>
    <t>UBP60215001201FFFFFF026647560764048 : Denda PPH 21 Masa Des 2021</t>
  </si>
  <si>
    <t>Income Tax 2021</t>
  </si>
  <si>
    <t>Kurang Bayar</t>
  </si>
  <si>
    <t>UBP60215001201FFFFFF025921812298013 : Dipakai untuk April 2022</t>
  </si>
  <si>
    <t>PPn Des 2021</t>
  </si>
  <si>
    <t>Saldo PPn Masukan Des 2021 - sesuai KPP Pak Ikhsan</t>
  </si>
  <si>
    <t>Selisih Saldo PPn Masukan dan PPn Keluaran Des 2021 - Sesuai KPP Pak Ikhsan</t>
  </si>
  <si>
    <t>Saldo PPn Masukan Dec 2021 - sesuai KPP Pak Ikhsan</t>
  </si>
  <si>
    <t>Koreksi Saldo Lebih Bayar PPn Akhir Des 2021 - Sesuai KPP Pak Ikhsan</t>
  </si>
  <si>
    <t>UBP60215001201FFFFFF026025938985064 : Denda PPn Masa Okt 2021</t>
  </si>
  <si>
    <t>Koreksi Pembetulan oleh KPP Pak Ikhlas : Laporan PPn eSPT Des 2021</t>
  </si>
  <si>
    <t>104A</t>
  </si>
  <si>
    <t>104B</t>
  </si>
  <si>
    <t>104A : Telkomsel Meeting Joint Program BNI 2022</t>
  </si>
  <si>
    <t>104B : Telkomsel Meeting Joint Program BNI 2022</t>
  </si>
  <si>
    <t>PPn Masukan</t>
  </si>
  <si>
    <t>Production SPV, SPJ GR H-7 ProdSpv+SPJAHMAD WIDYA NUGRAH</t>
  </si>
  <si>
    <t>Shopee</t>
  </si>
  <si>
    <t>Add cost: Invoice Asli ke Telkomsel a/n Telkomsel e-Commerce Program Q4</t>
  </si>
  <si>
    <t>UBP60215001201FFFFFF027595164504040 : Denda/Bunga Pajak - Apr 2020</t>
  </si>
  <si>
    <t>UBP60215001201FFFFFF027595159645031 : Denda/Bunga Pajak - Jan 2020</t>
  </si>
  <si>
    <t>UBP60215001201FFFFFF027595165075140 : Denda/Bunga Pajak - Mei 2020</t>
  </si>
  <si>
    <t>UBP60215001201FFFFFF027595161403033 : Denda/Bunga Pajak - Mar 2020</t>
  </si>
  <si>
    <t xml:space="preserve">UBP60215001201FFFFFF027595165590142 : Denda/Bunga Pajak - Feb 2020 </t>
  </si>
  <si>
    <t>UBP60215001201FFFFFF027595160806155 : Denda/Bunga Pajak - Feb 2020</t>
  </si>
  <si>
    <t xml:space="preserve">UBP60215001201FFFFFF027595200820002 : Denda/Bunga Pajak - May 2020 </t>
  </si>
  <si>
    <t>UBP60215001201FFFFFF027595200509075 : Denda/Bunga Pajak - Feb 2020</t>
  </si>
  <si>
    <t xml:space="preserve">UBP60215001201FFFFFF027595197442122 : Denda/Bunga Pajak - Aug 2020 </t>
  </si>
  <si>
    <t>UBP60215001201FFFFFF027595201095131  : Denda/Bunga Pajak - Aug 2020</t>
  </si>
  <si>
    <t>UBP60215001201FFFFFF027595198178024 : Denda/Bunga Pajak - Sep 2020</t>
  </si>
  <si>
    <t xml:space="preserve">UBP60215001201FFFFFF027595198747013 : Denda/Bunga Pajak - Oct 2020 </t>
  </si>
  <si>
    <t>UBP60215001201FFFFFF027595201661146 : Denda/Bunga Pajak - Sep 2020</t>
  </si>
  <si>
    <t>UBP60215001201FFFFFF227549654131015 : Denda/Bunga Pajak - Jul 2020</t>
  </si>
  <si>
    <t xml:space="preserve">UBP60215001201FFFFFF227549654154099 : Denda/Bunga Pajak - Jun 2020 </t>
  </si>
  <si>
    <t xml:space="preserve">UBP60215001201FFFFFF227549654100093 : Denda/Bunga Pajak - May 2020 </t>
  </si>
  <si>
    <t>UBP60215001201FFFFFF227549654069026 : Denda/Bunga Pajak - Apr 2020</t>
  </si>
  <si>
    <t>UBP60215001201FFFFFF227549654184020 : Denda/Bunga Pajak - Jan 2020</t>
  </si>
  <si>
    <t>UBP60215001201FFFFFF227549654215051 : Denda/Bunga Pajak - Jun 2020</t>
  </si>
  <si>
    <t>UBP60215001201FFFFFF227549654265024 : Denda/Bunga Pajak - Jul 2020</t>
  </si>
  <si>
    <t>UBP60215001201FFFFFF227549654273046 : Denda/Bunga Pajak - Apr 2020</t>
  </si>
  <si>
    <t xml:space="preserve">UBP60215001201FFFFFF227549654251128 : Denda/Bunga Pajak - Oct 2020 </t>
  </si>
  <si>
    <t>UBP60215001201FFFFFF027595208823093 : Denda/Bunga Pajak - Feb 2021</t>
  </si>
  <si>
    <t>UBP60215001201FFFFFF027595208670126 : Denda/Bunga Pajak - Apr 2021</t>
  </si>
  <si>
    <t>UBP60215001201FFFFFF027595208274020 : Denda/Bunga Pajak - May 2021</t>
  </si>
  <si>
    <t>UBP60215001201FFFFFF027595208741151 : Denda/Bunga Pajak - Jan 2021</t>
  </si>
  <si>
    <t>UBP60215001201FFFFFF027595208872086 : Denda/Bunga Pajak - Mar 2021</t>
  </si>
  <si>
    <t>UBP60215001201FFFFFF027595206450095 : Denda/Bunga Pajak - Jun 2021</t>
  </si>
  <si>
    <t>Telkomsel Pemenang kategori LinkAJa</t>
  </si>
  <si>
    <t>Mandiri - Mutasi 2023</t>
  </si>
  <si>
    <t>UBP60215001202FFFFFF027699046529019 : Denda dan bunga SPT Masa 11 2019</t>
  </si>
  <si>
    <t>UBP60215001202FFFFFF027699046180128 : Denda dan bunga SPT Masa 3 2019</t>
  </si>
  <si>
    <t>UBP60215001202FFFFFF027699044768013 : Denda dan bunga SPT Masa 2 2019</t>
  </si>
  <si>
    <t>UBP60215001202FFFFFF027699046081106 : Denda dan bunga SPT Masa 1 2019</t>
  </si>
  <si>
    <t>UBP60215001202FFFFFF027699046437044 : Denda dan bunga SPT Masa 9 2019</t>
  </si>
  <si>
    <t>UBP60215001202FFFFFF027699044845035 : Denda dan bunga SPT Masa 8 2019</t>
  </si>
  <si>
    <t>UBP60215001202FFFFFF027699046481120 : Denda dan bunga SPT Masa 7 2019</t>
  </si>
  <si>
    <t>UBP60215001202FFFFFF027699046293051 : Denda dan bunga SPT Masa 6 2019</t>
  </si>
  <si>
    <t>UBP60215001202FFFFFF027699046246099 : Denda dan bunga SPT Masa 5 2019</t>
  </si>
  <si>
    <t>UBP60215001202FFFFFF027699046142137 : Denda dan bunga SPT Masa 4 2019</t>
  </si>
  <si>
    <t>UBP60215001202FFFFFF027698575094139 : Denda PPH 21 Masa 10 2019</t>
  </si>
  <si>
    <t>UBP60215001202FFFFFF027699046412037 : Denda dan bunga SPT Masa 10 2019</t>
  </si>
  <si>
    <t>UBP60215001202FFFFFF027698575036122 : Denda dan bunga PPH 21 Masa 8 2019</t>
  </si>
  <si>
    <t>UBP60215001202FFFFFF027698550975102 : Denda PPN Masa 1 2019</t>
  </si>
  <si>
    <t>UBP60215001202FFFFFF027698549599068 : Denda PPN Masa 2 2019</t>
  </si>
  <si>
    <t>UBP60215001202FFFFFF027698574845017 : Denda dan bunga PPN Masa 10 2019</t>
  </si>
  <si>
    <t>UBP60215001202FFFFFF027698563021026 : Denda dan bunga PPN Masa 7 2019</t>
  </si>
  <si>
    <t>UBP60215001202FFFFFF027699046382155 : Denda dan bunga SPT Tahunan 2019</t>
  </si>
  <si>
    <t>UBP60215001202FFFFFF027698568593086 : Denda dan bunga PPN Masa 9 2019</t>
  </si>
  <si>
    <t>UBP60215001202FFFFFF027698574888066 : Denda dan bunga PPN Masa 11 2019</t>
  </si>
  <si>
    <t>Sisa Budget : Whatsapp Yogi 8-Apr-2024 : Dikoreksi tambah Rp. 7.448.772 krn akhir th 2023 Budget MINUS</t>
  </si>
  <si>
    <t>Inv II : VOID by WA Frieda 2-Jul-25, approved by AH 3-Jul-25</t>
  </si>
  <si>
    <t>Telkomsel Change Champion : VOID by WA Frieda 2-Jul-25, approved by AH 3-Jul-25</t>
  </si>
  <si>
    <t>Inv II - Add cost : Sisa Outstanding di VOID by WA Frieda 2-Jul-25, approved by AH 3-Jul-25</t>
  </si>
  <si>
    <t>Telkomsel WS Subdir Sales Strategy Group :  : Sisa Outstanding di VOID by WA Frieda 2-Jul-25, approved by AH 3-Jul-25</t>
  </si>
  <si>
    <t>Double Bayar : 6-Jul-2025 Dihapuskan karena sudah 5 tahun tidak diurus</t>
  </si>
  <si>
    <t>HARYONO DIANPERTIW : 6-Jul-2025 Dihapuskan karena sudah 5 tahun tidak diurus</t>
  </si>
  <si>
    <t>Bonus Karyawan PCMI</t>
  </si>
  <si>
    <t>Checker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</si>
</sst>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Rp&quot;* #,##0.00_);_(&quot;Rp&quot;* \(#,##0.00\);_(&quot;Rp&quot;* &quot;-&quot;??_);_(@_)"/>
    <numFmt numFmtId="43" formatCode="_(* #,##0.00_);_(* \(#,##0.00\);_(* &quot;-&quot;??_);_(@_)"/>
    <numFmt numFmtId="164" formatCode="[$-409]d\-mmm\-yy;@"/>
    <numFmt numFmtId="165" formatCode="_(* #,##0.00_);_(* \(#,##0.00\);_(* &quot;-&quot;_);_(@_)"/>
    <numFmt numFmtId="166" formatCode="_-* #,##0.00_-;\-* #,##0.00_-;_-* &quot;-&quot;??_-;_-@_-"/>
    <numFmt numFmtId="167" formatCode="[$-409]mmm\-yy;@"/>
    <numFmt numFmtId="168" formatCode="_(* #,##0_);_(* \(#,##0\);_(* &quot;-&quot;??_);_(@_)"/>
    <numFmt numFmtId="169" formatCode="_(* #,##0.0_);_(* \(#,##0.0\);_(* &quot;-&quot;_);_(@_)"/>
    <numFmt numFmtId="170" formatCode="_(* #,##0.00000_);_(* \(#,##0.00000\);_(* &quot;-&quot;_);_(@_)"/>
  </numFmts>
  <fonts count="37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b/>
      <sz val="12"/>
      <color theme="1"/>
      <name val="TimesNewRomanPSMT"/>
    </font>
    <font>
      <sz val="12"/>
      <color rgb="FF000000"/>
      <name val="TimesNewRomanPSMT"/>
      <family val="2"/>
    </font>
    <font>
      <sz val="12"/>
      <name val="Times New Roman"/>
      <family val="1"/>
    </font>
    <font>
      <sz val="12"/>
      <name val="TimesNewRomanPSMT"/>
      <family val="2"/>
    </font>
    <font>
      <sz val="12"/>
      <color rgb="FFFF0000"/>
      <name val="TimesNewRomanPSMT"/>
      <family val="2"/>
    </font>
    <font>
      <sz val="11"/>
      <color theme="1"/>
      <name val="Calibri"/>
      <family val="2"/>
      <charset val="1"/>
      <scheme val="minor"/>
    </font>
    <font>
      <sz val="12"/>
      <name val="Arial"/>
      <family val="2"/>
    </font>
    <font>
      <sz val="12"/>
      <color rgb="FF0070C0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b/>
      <sz val="12"/>
      <color rgb="FF0070C0"/>
      <name val="Times New Roman"/>
      <family val="1"/>
    </font>
    <font>
      <sz val="12"/>
      <color theme="1"/>
      <name val="Times New Roman"/>
      <family val="2"/>
    </font>
    <font>
      <sz val="12"/>
      <color rgb="FFFF0000"/>
      <name val="Times New Roman"/>
      <family val="1"/>
    </font>
    <font>
      <sz val="12"/>
      <color theme="5" tint="-0.249977111117893"/>
      <name val="TimesNewRomanPSMT"/>
      <family val="2"/>
    </font>
    <font>
      <b/>
      <sz val="12"/>
      <name val="TimesNewRomanPSMT"/>
    </font>
    <font>
      <sz val="10"/>
      <name val="Times New Roman"/>
      <family val="1"/>
    </font>
    <font>
      <sz val="10"/>
      <name val="Arial"/>
      <family val="2"/>
    </font>
    <font>
      <sz val="10"/>
      <name val="Comic Sans MS"/>
      <family val="4"/>
    </font>
    <font>
      <b/>
      <sz val="14"/>
      <color theme="1"/>
      <name val="TimesNewRomanPSMT"/>
    </font>
    <font>
      <sz val="12"/>
      <name val="TimesNewRomanPSMT"/>
    </font>
    <font>
      <b/>
      <sz val="12"/>
      <color rgb="FF000000"/>
      <name val="TimesNewRomanPSMT"/>
    </font>
    <font>
      <b/>
      <sz val="12"/>
      <color rgb="FF0070C0"/>
      <name val="TimesNewRomanPSMT"/>
    </font>
    <font>
      <b/>
      <sz val="14"/>
      <name val="Verdana"/>
      <family val="2"/>
    </font>
    <font>
      <b/>
      <sz val="14"/>
      <color rgb="FF0000FF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i/>
      <sz val="12"/>
      <name val="Verdana"/>
      <family val="2"/>
    </font>
    <font>
      <sz val="12"/>
      <color rgb="FFFF0000"/>
      <name val="Verdana"/>
      <family val="2"/>
    </font>
    <font>
      <sz val="12"/>
      <color theme="1"/>
      <name val="Times New Roman"/>
      <family val="1"/>
    </font>
    <font>
      <sz val="12"/>
      <color rgb="FF0070C0"/>
      <name val="TimesNewRomanPSMT"/>
    </font>
    <font>
      <sz val="12"/>
      <color theme="5" tint="-0.249977111117893"/>
      <name val="TimesNewRomanPSMT"/>
    </font>
    <font>
      <sz val="12"/>
      <color theme="1"/>
      <name val="TimesNewRomanPSMT"/>
    </font>
    <font>
      <sz val="12"/>
      <color rgb="FF0070C0"/>
      <name val="TimesNewRomanPSMT"/>
      <family val="2"/>
    </font>
    <font>
      <sz val="12"/>
      <color rgb="FFFF0000"/>
      <name val="TimesNewRomanPSMT"/>
    </font>
    <font>
      <b/>
      <sz val="12"/>
      <color rgb="FFFF0000"/>
      <name val="TimesNewRomanPSMT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1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7" fillId="0" borderId="0"/>
    <xf numFmtId="41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247">
    <xf numFmtId="0" fontId="0" fillId="0" borderId="0" xfId="0"/>
    <xf numFmtId="0" fontId="2" fillId="0" borderId="0" xfId="0" applyFont="1"/>
    <xf numFmtId="41" fontId="0" fillId="0" borderId="0" xfId="1" applyFont="1"/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1" fontId="2" fillId="0" borderId="0" xfId="1" applyFont="1"/>
    <xf numFmtId="164" fontId="2" fillId="0" borderId="0" xfId="0" applyNumberFormat="1" applyFont="1" applyAlignment="1">
      <alignment horizontal="left"/>
    </xf>
    <xf numFmtId="0" fontId="0" fillId="0" borderId="0" xfId="0" quotePrefix="1"/>
    <xf numFmtId="165" fontId="0" fillId="0" borderId="0" xfId="1" applyNumberFormat="1" applyFont="1"/>
    <xf numFmtId="165" fontId="2" fillId="0" borderId="0" xfId="1" applyNumberFormat="1" applyFont="1"/>
    <xf numFmtId="0" fontId="3" fillId="0" borderId="0" xfId="0" applyFont="1"/>
    <xf numFmtId="165" fontId="3" fillId="0" borderId="0" xfId="0" applyNumberFormat="1" applyFont="1"/>
    <xf numFmtId="164" fontId="3" fillId="0" borderId="0" xfId="0" applyNumberFormat="1" applyFont="1" applyAlignment="1">
      <alignment horizontal="center"/>
    </xf>
    <xf numFmtId="0" fontId="4" fillId="0" borderId="0" xfId="2" applyAlignment="1">
      <alignment horizontal="left"/>
    </xf>
    <xf numFmtId="0" fontId="5" fillId="0" borderId="0" xfId="0" applyFont="1"/>
    <xf numFmtId="0" fontId="4" fillId="0" borderId="0" xfId="4" applyFont="1" applyAlignment="1">
      <alignment horizontal="center"/>
    </xf>
    <xf numFmtId="0" fontId="4" fillId="0" borderId="0" xfId="2"/>
    <xf numFmtId="165" fontId="4" fillId="0" borderId="0" xfId="5" applyNumberFormat="1" applyFont="1" applyFill="1" applyBorder="1"/>
    <xf numFmtId="165" fontId="4" fillId="0" borderId="0" xfId="5" applyNumberFormat="1" applyFont="1"/>
    <xf numFmtId="0" fontId="8" fillId="0" borderId="0" xfId="4" applyFont="1"/>
    <xf numFmtId="165" fontId="4" fillId="0" borderId="0" xfId="5" applyNumberFormat="1" applyFont="1" applyFill="1"/>
    <xf numFmtId="0" fontId="4" fillId="0" borderId="0" xfId="4" applyFont="1"/>
    <xf numFmtId="0" fontId="9" fillId="0" borderId="0" xfId="4" applyFont="1"/>
    <xf numFmtId="43" fontId="4" fillId="0" borderId="0" xfId="6" applyFont="1" applyFill="1" applyBorder="1" applyAlignment="1">
      <alignment horizontal="center"/>
    </xf>
    <xf numFmtId="165" fontId="4" fillId="0" borderId="0" xfId="5" applyNumberFormat="1" applyFont="1" applyFill="1" applyBorder="1" applyAlignment="1">
      <alignment horizontal="center"/>
    </xf>
    <xf numFmtId="0" fontId="10" fillId="0" borderId="0" xfId="4" applyFont="1" applyAlignment="1">
      <alignment horizontal="center"/>
    </xf>
    <xf numFmtId="0" fontId="10" fillId="0" borderId="0" xfId="2" applyFont="1" applyAlignment="1">
      <alignment horizontal="center"/>
    </xf>
    <xf numFmtId="165" fontId="10" fillId="0" borderId="0" xfId="5" applyNumberFormat="1" applyFont="1" applyFill="1" applyBorder="1" applyAlignment="1">
      <alignment horizontal="center"/>
    </xf>
    <xf numFmtId="165" fontId="10" fillId="0" borderId="0" xfId="5" applyNumberFormat="1" applyFont="1" applyAlignment="1">
      <alignment horizontal="center"/>
    </xf>
    <xf numFmtId="0" fontId="11" fillId="0" borderId="0" xfId="4" applyFont="1" applyAlignment="1">
      <alignment horizontal="center"/>
    </xf>
    <xf numFmtId="165" fontId="10" fillId="0" borderId="0" xfId="5" applyNumberFormat="1" applyFont="1" applyFill="1" applyAlignment="1">
      <alignment horizontal="center"/>
    </xf>
    <xf numFmtId="165" fontId="4" fillId="0" borderId="0" xfId="5" applyNumberFormat="1" applyFont="1" applyFill="1" applyAlignment="1">
      <alignment horizontal="center"/>
    </xf>
    <xf numFmtId="0" fontId="12" fillId="0" borderId="0" xfId="4" applyFont="1" applyAlignment="1">
      <alignment horizontal="center"/>
    </xf>
    <xf numFmtId="0" fontId="4" fillId="0" borderId="0" xfId="4" quotePrefix="1" applyFont="1" applyAlignment="1">
      <alignment horizontal="center"/>
    </xf>
    <xf numFmtId="0" fontId="8" fillId="0" borderId="0" xfId="4" applyFont="1" applyAlignment="1">
      <alignment horizontal="left"/>
    </xf>
    <xf numFmtId="165" fontId="4" fillId="0" borderId="0" xfId="5" applyNumberFormat="1" applyFont="1" applyFill="1" applyAlignment="1">
      <alignment horizontal="left"/>
    </xf>
    <xf numFmtId="0" fontId="4" fillId="0" borderId="0" xfId="4" applyFont="1" applyAlignment="1">
      <alignment horizontal="left"/>
    </xf>
    <xf numFmtId="166" fontId="4" fillId="0" borderId="0" xfId="4" applyNumberFormat="1" applyFont="1" applyAlignment="1">
      <alignment horizontal="left"/>
    </xf>
    <xf numFmtId="165" fontId="4" fillId="0" borderId="0" xfId="5" applyNumberFormat="1" applyFont="1" applyFill="1" applyBorder="1" applyAlignment="1">
      <alignment horizontal="left"/>
    </xf>
    <xf numFmtId="43" fontId="4" fillId="0" borderId="0" xfId="4" applyNumberFormat="1" applyFont="1" applyAlignment="1">
      <alignment horizontal="left"/>
    </xf>
    <xf numFmtId="0" fontId="0" fillId="0" borderId="0" xfId="4" quotePrefix="1" applyFont="1" applyAlignment="1">
      <alignment horizontal="center"/>
    </xf>
    <xf numFmtId="0" fontId="4" fillId="0" borderId="0" xfId="2" applyAlignment="1">
      <alignment horizontal="center"/>
    </xf>
    <xf numFmtId="41" fontId="0" fillId="0" borderId="0" xfId="5" quotePrefix="1" applyFont="1" applyFill="1"/>
    <xf numFmtId="0" fontId="13" fillId="0" borderId="0" xfId="2" applyFont="1"/>
    <xf numFmtId="0" fontId="0" fillId="0" borderId="0" xfId="4" applyFont="1" applyAlignment="1">
      <alignment horizontal="center"/>
    </xf>
    <xf numFmtId="165" fontId="13" fillId="0" borderId="0" xfId="5" applyNumberFormat="1" applyFont="1" applyFill="1"/>
    <xf numFmtId="0" fontId="0" fillId="0" borderId="0" xfId="2" applyFont="1"/>
    <xf numFmtId="43" fontId="4" fillId="0" borderId="0" xfId="4" applyNumberFormat="1" applyFont="1"/>
    <xf numFmtId="0" fontId="5" fillId="0" borderId="0" xfId="4" applyFont="1" applyAlignment="1">
      <alignment horizontal="center"/>
    </xf>
    <xf numFmtId="0" fontId="5" fillId="0" borderId="0" xfId="0" quotePrefix="1" applyFont="1"/>
    <xf numFmtId="165" fontId="5" fillId="0" borderId="0" xfId="1" applyNumberFormat="1" applyFont="1"/>
    <xf numFmtId="0" fontId="5" fillId="0" borderId="0" xfId="0" applyFont="1" applyAlignment="1">
      <alignment horizontal="center"/>
    </xf>
    <xf numFmtId="0" fontId="4" fillId="0" borderId="0" xfId="0" applyFont="1"/>
    <xf numFmtId="165" fontId="5" fillId="0" borderId="0" xfId="1" applyNumberFormat="1" applyFont="1" applyFill="1"/>
    <xf numFmtId="165" fontId="0" fillId="0" borderId="0" xfId="1" applyNumberFormat="1" applyFont="1" applyFill="1"/>
    <xf numFmtId="0" fontId="5" fillId="0" borderId="0" xfId="2" applyFont="1"/>
    <xf numFmtId="0" fontId="4" fillId="0" borderId="0" xfId="0" applyFont="1" applyAlignment="1">
      <alignment horizontal="left" vertical="center" shrinkToFit="1"/>
    </xf>
    <xf numFmtId="0" fontId="5" fillId="0" borderId="0" xfId="4" quotePrefix="1" applyFont="1" applyAlignment="1">
      <alignment horizontal="center"/>
    </xf>
    <xf numFmtId="0" fontId="4" fillId="2" borderId="0" xfId="2" applyFill="1"/>
    <xf numFmtId="165" fontId="4" fillId="0" borderId="0" xfId="1" applyNumberFormat="1" applyFont="1" applyFill="1"/>
    <xf numFmtId="0" fontId="4" fillId="0" borderId="0" xfId="0" quotePrefix="1" applyFont="1"/>
    <xf numFmtId="0" fontId="0" fillId="0" borderId="0" xfId="0" applyAlignment="1">
      <alignment horizontal="left"/>
    </xf>
    <xf numFmtId="0" fontId="14" fillId="0" borderId="0" xfId="2" applyFont="1"/>
    <xf numFmtId="165" fontId="6" fillId="0" borderId="0" xfId="1" applyNumberFormat="1" applyFont="1"/>
    <xf numFmtId="0" fontId="6" fillId="0" borderId="0" xfId="0" applyFont="1"/>
    <xf numFmtId="41" fontId="4" fillId="0" borderId="0" xfId="1" applyFont="1"/>
    <xf numFmtId="43" fontId="4" fillId="0" borderId="0" xfId="2" applyNumberFormat="1"/>
    <xf numFmtId="165" fontId="10" fillId="0" borderId="0" xfId="5" applyNumberFormat="1" applyFont="1" applyFill="1" applyBorder="1"/>
    <xf numFmtId="165" fontId="10" fillId="0" borderId="0" xfId="5" applyNumberFormat="1" applyFont="1" applyFill="1"/>
    <xf numFmtId="41" fontId="4" fillId="0" borderId="0" xfId="5" applyFont="1"/>
    <xf numFmtId="165" fontId="0" fillId="0" borderId="0" xfId="5" applyNumberFormat="1" applyFont="1" applyFill="1"/>
    <xf numFmtId="165" fontId="0" fillId="0" borderId="0" xfId="5" applyNumberFormat="1" applyFont="1" applyFill="1" applyBorder="1"/>
    <xf numFmtId="165" fontId="6" fillId="0" borderId="0" xfId="1" applyNumberFormat="1" applyFont="1" applyFill="1"/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41" fontId="5" fillId="0" borderId="0" xfId="1" applyFont="1" applyFill="1"/>
    <xf numFmtId="41" fontId="5" fillId="0" borderId="0" xfId="0" applyNumberFormat="1" applyFont="1"/>
    <xf numFmtId="41" fontId="0" fillId="0" borderId="0" xfId="1" applyFont="1" applyFill="1"/>
    <xf numFmtId="41" fontId="5" fillId="0" borderId="0" xfId="1" applyFont="1"/>
    <xf numFmtId="43" fontId="0" fillId="0" borderId="0" xfId="0" applyNumberFormat="1"/>
    <xf numFmtId="165" fontId="0" fillId="0" borderId="0" xfId="5" applyNumberFormat="1" applyFont="1"/>
    <xf numFmtId="41" fontId="4" fillId="0" borderId="0" xfId="1" applyFont="1" applyBorder="1" applyAlignment="1">
      <alignment horizontal="center"/>
    </xf>
    <xf numFmtId="41" fontId="4" fillId="0" borderId="0" xfId="1" applyFont="1" applyBorder="1"/>
    <xf numFmtId="168" fontId="0" fillId="0" borderId="0" xfId="7" applyNumberFormat="1" applyFont="1" applyBorder="1"/>
    <xf numFmtId="0" fontId="8" fillId="0" borderId="0" xfId="2" applyFont="1"/>
    <xf numFmtId="165" fontId="0" fillId="0" borderId="0" xfId="5" applyNumberFormat="1" applyFont="1" applyBorder="1"/>
    <xf numFmtId="0" fontId="17" fillId="0" borderId="0" xfId="2" applyFont="1"/>
    <xf numFmtId="0" fontId="18" fillId="0" borderId="0" xfId="2" applyFont="1"/>
    <xf numFmtId="2" fontId="10" fillId="0" borderId="0" xfId="2" applyNumberFormat="1" applyFont="1" applyAlignment="1">
      <alignment horizontal="center"/>
    </xf>
    <xf numFmtId="165" fontId="10" fillId="0" borderId="0" xfId="5" applyNumberFormat="1" applyFont="1" applyBorder="1" applyAlignment="1">
      <alignment horizontal="center"/>
    </xf>
    <xf numFmtId="169" fontId="10" fillId="0" borderId="0" xfId="5" applyNumberFormat="1" applyFont="1" applyBorder="1" applyAlignment="1">
      <alignment horizontal="center"/>
    </xf>
    <xf numFmtId="0" fontId="19" fillId="0" borderId="0" xfId="2" applyFont="1" applyAlignment="1">
      <alignment horizontal="center"/>
    </xf>
    <xf numFmtId="165" fontId="0" fillId="0" borderId="0" xfId="5" applyNumberFormat="1" applyFont="1" applyFill="1" applyAlignment="1">
      <alignment horizontal="center"/>
    </xf>
    <xf numFmtId="165" fontId="0" fillId="0" borderId="0" xfId="5" applyNumberFormat="1" applyFont="1" applyFill="1" applyBorder="1" applyAlignment="1">
      <alignment horizontal="center"/>
    </xf>
    <xf numFmtId="2" fontId="4" fillId="0" borderId="0" xfId="2" applyNumberFormat="1" applyAlignment="1">
      <alignment horizontal="center"/>
    </xf>
    <xf numFmtId="165" fontId="5" fillId="0" borderId="0" xfId="5" applyNumberFormat="1" applyFont="1" applyFill="1" applyBorder="1"/>
    <xf numFmtId="165" fontId="4" fillId="0" borderId="0" xfId="2" applyNumberFormat="1"/>
    <xf numFmtId="165" fontId="5" fillId="0" borderId="0" xfId="5" applyNumberFormat="1" applyFont="1" applyFill="1" applyAlignment="1">
      <alignment horizontal="center"/>
    </xf>
    <xf numFmtId="165" fontId="5" fillId="0" borderId="0" xfId="5" applyNumberFormat="1" applyFont="1" applyFill="1" applyBorder="1" applyAlignment="1">
      <alignment horizontal="center"/>
    </xf>
    <xf numFmtId="165" fontId="5" fillId="0" borderId="0" xfId="5" applyNumberFormat="1" applyFont="1" applyFill="1"/>
    <xf numFmtId="41" fontId="4" fillId="0" borderId="0" xfId="1" applyFont="1" applyFill="1" applyAlignment="1">
      <alignment horizontal="center"/>
    </xf>
    <xf numFmtId="165" fontId="0" fillId="0" borderId="0" xfId="5" applyNumberFormat="1" applyFont="1" applyAlignment="1">
      <alignment horizontal="center"/>
    </xf>
    <xf numFmtId="165" fontId="0" fillId="0" borderId="0" xfId="5" applyNumberFormat="1" applyFont="1" applyBorder="1" applyAlignment="1">
      <alignment horizontal="center"/>
    </xf>
    <xf numFmtId="165" fontId="4" fillId="0" borderId="0" xfId="5" applyNumberFormat="1" applyFont="1" applyAlignment="1">
      <alignment horizontal="center"/>
    </xf>
    <xf numFmtId="41" fontId="4" fillId="0" borderId="0" xfId="1" applyFont="1" applyAlignment="1">
      <alignment horizontal="center"/>
    </xf>
    <xf numFmtId="168" fontId="0" fillId="0" borderId="0" xfId="7" applyNumberFormat="1" applyFont="1"/>
    <xf numFmtId="165" fontId="14" fillId="0" borderId="0" xfId="5" applyNumberFormat="1" applyFont="1"/>
    <xf numFmtId="165" fontId="10" fillId="0" borderId="0" xfId="5" applyNumberFormat="1" applyFont="1"/>
    <xf numFmtId="41" fontId="0" fillId="0" borderId="0" xfId="5" applyFont="1" applyAlignment="1">
      <alignment horizontal="center"/>
    </xf>
    <xf numFmtId="165" fontId="0" fillId="0" borderId="0" xfId="7" applyNumberFormat="1" applyFont="1"/>
    <xf numFmtId="170" fontId="0" fillId="0" borderId="0" xfId="5" applyNumberFormat="1" applyFont="1" applyAlignment="1">
      <alignment horizontal="center"/>
    </xf>
    <xf numFmtId="0" fontId="19" fillId="2" borderId="0" xfId="2" applyFont="1" applyFill="1" applyAlignment="1">
      <alignment horizontal="center"/>
    </xf>
    <xf numFmtId="0" fontId="4" fillId="2" borderId="0" xfId="2" applyFill="1" applyAlignment="1">
      <alignment horizontal="center"/>
    </xf>
    <xf numFmtId="165" fontId="0" fillId="2" borderId="0" xfId="5" applyNumberFormat="1" applyFont="1" applyFill="1" applyAlignment="1">
      <alignment horizontal="center"/>
    </xf>
    <xf numFmtId="2" fontId="4" fillId="2" borderId="0" xfId="2" applyNumberFormat="1" applyFill="1" applyAlignment="1">
      <alignment horizontal="center"/>
    </xf>
    <xf numFmtId="168" fontId="0" fillId="2" borderId="0" xfId="7" applyNumberFormat="1" applyFont="1" applyFill="1"/>
    <xf numFmtId="165" fontId="0" fillId="2" borderId="0" xfId="5" applyNumberFormat="1" applyFont="1" applyFill="1"/>
    <xf numFmtId="0" fontId="17" fillId="2" borderId="0" xfId="2" applyFont="1" applyFill="1"/>
    <xf numFmtId="0" fontId="18" fillId="2" borderId="0" xfId="2" applyFont="1" applyFill="1"/>
    <xf numFmtId="17" fontId="0" fillId="0" borderId="0" xfId="0" applyNumberFormat="1"/>
    <xf numFmtId="0" fontId="20" fillId="0" borderId="0" xfId="0" applyFont="1"/>
    <xf numFmtId="165" fontId="0" fillId="0" borderId="0" xfId="0" applyNumberFormat="1"/>
    <xf numFmtId="165" fontId="21" fillId="0" borderId="0" xfId="1" applyNumberFormat="1" applyFont="1"/>
    <xf numFmtId="9" fontId="0" fillId="0" borderId="0" xfId="0" applyNumberFormat="1"/>
    <xf numFmtId="165" fontId="22" fillId="0" borderId="0" xfId="0" applyNumberFormat="1" applyFont="1" applyAlignment="1">
      <alignment horizontal="center"/>
    </xf>
    <xf numFmtId="10" fontId="0" fillId="0" borderId="0" xfId="3" applyNumberFormat="1" applyFont="1"/>
    <xf numFmtId="165" fontId="5" fillId="0" borderId="0" xfId="0" applyNumberFormat="1" applyFont="1"/>
    <xf numFmtId="10" fontId="2" fillId="0" borderId="0" xfId="3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0" fontId="0" fillId="0" borderId="0" xfId="0" applyAlignment="1">
      <alignment horizontal="left" indent="2"/>
    </xf>
    <xf numFmtId="0" fontId="10" fillId="0" borderId="0" xfId="0" applyFont="1" applyAlignment="1">
      <alignment horizontal="center"/>
    </xf>
    <xf numFmtId="165" fontId="23" fillId="0" borderId="0" xfId="1" applyNumberFormat="1" applyFont="1"/>
    <xf numFmtId="164" fontId="5" fillId="0" borderId="0" xfId="0" applyNumberFormat="1" applyFont="1" applyAlignment="1">
      <alignment horizontal="center"/>
    </xf>
    <xf numFmtId="0" fontId="26" fillId="0" borderId="0" xfId="2" applyFont="1"/>
    <xf numFmtId="0" fontId="27" fillId="0" borderId="0" xfId="2" applyFont="1"/>
    <xf numFmtId="0" fontId="27" fillId="0" borderId="0" xfId="2" applyFont="1" applyAlignment="1">
      <alignment horizontal="center"/>
    </xf>
    <xf numFmtId="165" fontId="28" fillId="0" borderId="0" xfId="5" applyNumberFormat="1" applyFont="1"/>
    <xf numFmtId="0" fontId="27" fillId="0" borderId="0" xfId="2" applyFont="1" applyAlignment="1">
      <alignment horizontal="left"/>
    </xf>
    <xf numFmtId="44" fontId="26" fillId="0" borderId="0" xfId="5" applyNumberFormat="1" applyFont="1"/>
    <xf numFmtId="0" fontId="26" fillId="0" borderId="0" xfId="2" applyFont="1" applyAlignment="1">
      <alignment horizontal="left" indent="2"/>
    </xf>
    <xf numFmtId="0" fontId="26" fillId="0" borderId="0" xfId="2" applyFont="1" applyAlignment="1">
      <alignment horizontal="left" indent="4"/>
    </xf>
    <xf numFmtId="165" fontId="26" fillId="0" borderId="0" xfId="5" applyNumberFormat="1" applyFont="1"/>
    <xf numFmtId="0" fontId="26" fillId="0" borderId="0" xfId="2" applyFont="1" applyAlignment="1">
      <alignment horizontal="left" indent="6"/>
    </xf>
    <xf numFmtId="165" fontId="29" fillId="0" borderId="0" xfId="5" applyNumberFormat="1" applyFont="1"/>
    <xf numFmtId="0" fontId="27" fillId="0" borderId="0" xfId="2" applyFont="1" applyAlignment="1">
      <alignment horizontal="right"/>
    </xf>
    <xf numFmtId="44" fontId="27" fillId="0" borderId="0" xfId="5" applyNumberFormat="1" applyFont="1"/>
    <xf numFmtId="0" fontId="26" fillId="0" borderId="0" xfId="2" applyFont="1" applyAlignment="1">
      <alignment horizontal="left" indent="1"/>
    </xf>
    <xf numFmtId="165" fontId="27" fillId="0" borderId="0" xfId="5" applyNumberFormat="1" applyFont="1"/>
    <xf numFmtId="41" fontId="0" fillId="0" borderId="0" xfId="5" applyFont="1"/>
    <xf numFmtId="0" fontId="27" fillId="3" borderId="0" xfId="2" applyFont="1" applyFill="1" applyAlignment="1">
      <alignment horizontal="center"/>
    </xf>
    <xf numFmtId="165" fontId="27" fillId="3" borderId="0" xfId="5" applyNumberFormat="1" applyFont="1" applyFill="1"/>
    <xf numFmtId="44" fontId="27" fillId="3" borderId="0" xfId="5" applyNumberFormat="1" applyFont="1" applyFill="1"/>
    <xf numFmtId="165" fontId="26" fillId="0" borderId="0" xfId="5" applyNumberFormat="1" applyFont="1" applyFill="1"/>
    <xf numFmtId="43" fontId="26" fillId="0" borderId="0" xfId="2" applyNumberFormat="1" applyFont="1"/>
    <xf numFmtId="44" fontId="27" fillId="0" borderId="0" xfId="2" applyNumberFormat="1" applyFont="1"/>
    <xf numFmtId="9" fontId="4" fillId="0" borderId="0" xfId="2" applyNumberFormat="1"/>
    <xf numFmtId="43" fontId="29" fillId="0" borderId="0" xfId="2" applyNumberFormat="1" applyFont="1"/>
    <xf numFmtId="41" fontId="26" fillId="0" borderId="0" xfId="5" applyFont="1"/>
    <xf numFmtId="0" fontId="0" fillId="0" borderId="0" xfId="0" applyAlignment="1">
      <alignment wrapText="1"/>
    </xf>
    <xf numFmtId="41" fontId="3" fillId="0" borderId="0" xfId="1" applyFont="1" applyFill="1"/>
    <xf numFmtId="41" fontId="3" fillId="0" borderId="0" xfId="1" applyFont="1"/>
    <xf numFmtId="41" fontId="6" fillId="0" borderId="0" xfId="0" applyNumberFormat="1" applyFont="1"/>
    <xf numFmtId="0" fontId="21" fillId="0" borderId="0" xfId="0" applyFont="1"/>
    <xf numFmtId="0" fontId="0" fillId="0" borderId="0" xfId="0" applyAlignment="1">
      <alignment horizontal="right"/>
    </xf>
    <xf numFmtId="165" fontId="21" fillId="0" borderId="0" xfId="1" applyNumberFormat="1" applyFont="1" applyFill="1"/>
    <xf numFmtId="0" fontId="21" fillId="0" borderId="0" xfId="0" applyFont="1" applyAlignment="1">
      <alignment horizontal="center"/>
    </xf>
    <xf numFmtId="165" fontId="21" fillId="0" borderId="0" xfId="0" applyNumberFormat="1" applyFont="1"/>
    <xf numFmtId="10" fontId="21" fillId="0" borderId="0" xfId="3" applyNumberFormat="1" applyFont="1"/>
    <xf numFmtId="164" fontId="21" fillId="0" borderId="0" xfId="0" applyNumberFormat="1" applyFont="1" applyAlignment="1">
      <alignment horizontal="center"/>
    </xf>
    <xf numFmtId="0" fontId="21" fillId="0" borderId="0" xfId="0" quotePrefix="1" applyFont="1"/>
    <xf numFmtId="41" fontId="21" fillId="0" borderId="0" xfId="1" applyFont="1" applyFill="1"/>
    <xf numFmtId="41" fontId="4" fillId="0" borderId="0" xfId="8" applyFont="1" applyFill="1" applyAlignment="1">
      <alignment horizontal="left" vertical="center"/>
    </xf>
    <xf numFmtId="165" fontId="4" fillId="0" borderId="0" xfId="1" applyNumberFormat="1" applyFont="1" applyFill="1" applyAlignment="1">
      <alignment horizontal="center" vertical="center" wrapText="1"/>
    </xf>
    <xf numFmtId="0" fontId="10" fillId="0" borderId="0" xfId="2" applyFont="1" applyAlignment="1">
      <alignment horizontal="left"/>
    </xf>
    <xf numFmtId="17" fontId="4" fillId="0" borderId="0" xfId="2" applyNumberFormat="1" applyAlignment="1">
      <alignment horizontal="center"/>
    </xf>
    <xf numFmtId="17" fontId="4" fillId="0" borderId="0" xfId="2" applyNumberFormat="1"/>
    <xf numFmtId="17" fontId="26" fillId="0" borderId="0" xfId="2" applyNumberFormat="1" applyFont="1" applyAlignment="1">
      <alignment horizontal="center"/>
    </xf>
    <xf numFmtId="0" fontId="10" fillId="0" borderId="0" xfId="2" applyFont="1"/>
    <xf numFmtId="168" fontId="4" fillId="0" borderId="0" xfId="5" applyNumberFormat="1" applyFont="1"/>
    <xf numFmtId="41" fontId="4" fillId="0" borderId="0" xfId="5" applyFont="1" applyAlignment="1">
      <alignment horizontal="center"/>
    </xf>
    <xf numFmtId="41" fontId="4" fillId="0" borderId="0" xfId="2" applyNumberFormat="1"/>
    <xf numFmtId="168" fontId="4" fillId="0" borderId="0" xfId="2" applyNumberFormat="1"/>
    <xf numFmtId="41" fontId="4" fillId="0" borderId="0" xfId="2" applyNumberFormat="1" applyAlignment="1">
      <alignment horizontal="center"/>
    </xf>
    <xf numFmtId="15" fontId="4" fillId="0" borderId="0" xfId="2" applyNumberFormat="1" applyAlignment="1">
      <alignment horizontal="center"/>
    </xf>
    <xf numFmtId="168" fontId="0" fillId="0" borderId="0" xfId="5" applyNumberFormat="1" applyFont="1"/>
    <xf numFmtId="15" fontId="4" fillId="0" borderId="0" xfId="2" applyNumberFormat="1"/>
    <xf numFmtId="168" fontId="10" fillId="0" borderId="0" xfId="5" applyNumberFormat="1" applyFont="1"/>
    <xf numFmtId="41" fontId="10" fillId="0" borderId="0" xfId="5" applyFont="1"/>
    <xf numFmtId="168" fontId="10" fillId="0" borderId="0" xfId="2" applyNumberFormat="1" applyFont="1"/>
    <xf numFmtId="41" fontId="10" fillId="0" borderId="0" xfId="2" applyNumberFormat="1" applyFont="1"/>
    <xf numFmtId="0" fontId="4" fillId="0" borderId="0" xfId="0" applyFont="1" applyAlignment="1">
      <alignment horizontal="left"/>
    </xf>
    <xf numFmtId="0" fontId="30" fillId="0" borderId="0" xfId="0" quotePrefix="1" applyFont="1"/>
    <xf numFmtId="0" fontId="30" fillId="0" borderId="0" xfId="0" applyFont="1"/>
    <xf numFmtId="0" fontId="5" fillId="0" borderId="0" xfId="0" applyFont="1" applyAlignment="1">
      <alignment wrapText="1"/>
    </xf>
    <xf numFmtId="165" fontId="16" fillId="0" borderId="0" xfId="1" applyNumberFormat="1" applyFont="1"/>
    <xf numFmtId="41" fontId="4" fillId="0" borderId="0" xfId="1" applyFont="1" applyFill="1"/>
    <xf numFmtId="165" fontId="5" fillId="2" borderId="0" xfId="1" applyNumberFormat="1" applyFont="1" applyFill="1"/>
    <xf numFmtId="165" fontId="5" fillId="0" borderId="0" xfId="1" applyNumberFormat="1" applyFont="1" applyAlignment="1">
      <alignment horizontal="center"/>
    </xf>
    <xf numFmtId="165" fontId="31" fillId="0" borderId="0" xfId="0" applyNumberFormat="1" applyFont="1"/>
    <xf numFmtId="165" fontId="23" fillId="0" borderId="0" xfId="0" applyNumberFormat="1" applyFont="1" applyAlignment="1">
      <alignment horizontal="center"/>
    </xf>
    <xf numFmtId="165" fontId="31" fillId="0" borderId="0" xfId="0" applyNumberFormat="1" applyFont="1" applyAlignment="1">
      <alignment horizontal="center"/>
    </xf>
    <xf numFmtId="165" fontId="31" fillId="0" borderId="0" xfId="1" applyNumberFormat="1" applyFont="1"/>
    <xf numFmtId="167" fontId="21" fillId="0" borderId="0" xfId="0" applyNumberFormat="1" applyFont="1" applyAlignment="1">
      <alignment horizontal="center"/>
    </xf>
    <xf numFmtId="165" fontId="15" fillId="0" borderId="0" xfId="1" applyNumberFormat="1" applyFont="1" applyFill="1" applyAlignment="1">
      <alignment horizontal="center"/>
    </xf>
    <xf numFmtId="165" fontId="15" fillId="0" borderId="0" xfId="1" applyNumberFormat="1" applyFont="1" applyAlignment="1">
      <alignment horizontal="center"/>
    </xf>
    <xf numFmtId="165" fontId="32" fillId="0" borderId="0" xfId="1" applyNumberFormat="1" applyFont="1" applyFill="1" applyAlignment="1">
      <alignment horizontal="center"/>
    </xf>
    <xf numFmtId="43" fontId="14" fillId="0" borderId="0" xfId="4" applyNumberFormat="1" applyFont="1"/>
    <xf numFmtId="10" fontId="21" fillId="0" borderId="0" xfId="3" applyNumberFormat="1" applyFont="1" applyFill="1"/>
    <xf numFmtId="44" fontId="4" fillId="0" borderId="0" xfId="2" applyNumberFormat="1"/>
    <xf numFmtId="0" fontId="33" fillId="0" borderId="0" xfId="0" applyFont="1"/>
    <xf numFmtId="165" fontId="33" fillId="0" borderId="0" xfId="1" applyNumberFormat="1" applyFont="1"/>
    <xf numFmtId="164" fontId="33" fillId="0" borderId="0" xfId="0" applyNumberFormat="1" applyFont="1" applyAlignment="1">
      <alignment horizontal="center"/>
    </xf>
    <xf numFmtId="43" fontId="5" fillId="0" borderId="0" xfId="0" applyNumberFormat="1" applyFont="1"/>
    <xf numFmtId="9" fontId="0" fillId="0" borderId="0" xfId="3" applyFont="1"/>
    <xf numFmtId="164" fontId="6" fillId="0" borderId="0" xfId="0" applyNumberFormat="1" applyFont="1" applyAlignment="1">
      <alignment horizontal="center"/>
    </xf>
    <xf numFmtId="0" fontId="6" fillId="0" borderId="0" xfId="0" quotePrefix="1" applyFont="1"/>
    <xf numFmtId="41" fontId="6" fillId="0" borderId="0" xfId="1" applyFont="1"/>
    <xf numFmtId="0" fontId="5" fillId="2" borderId="0" xfId="0" applyFont="1" applyFill="1"/>
    <xf numFmtId="164" fontId="5" fillId="2" borderId="0" xfId="0" applyNumberFormat="1" applyFont="1" applyFill="1" applyAlignment="1">
      <alignment horizontal="center"/>
    </xf>
    <xf numFmtId="41" fontId="6" fillId="0" borderId="0" xfId="1" applyFont="1" applyFill="1"/>
    <xf numFmtId="41" fontId="21" fillId="0" borderId="0" xfId="1" applyFont="1"/>
    <xf numFmtId="165" fontId="33" fillId="0" borderId="0" xfId="1" applyNumberFormat="1" applyFont="1" applyFill="1"/>
    <xf numFmtId="0" fontId="4" fillId="0" borderId="1" xfId="0" applyFont="1" applyBorder="1"/>
    <xf numFmtId="0" fontId="34" fillId="0" borderId="0" xfId="0" applyFont="1"/>
    <xf numFmtId="165" fontId="21" fillId="0" borderId="0" xfId="1" applyNumberFormat="1" applyFont="1" applyFill="1" applyAlignment="1">
      <alignment horizontal="center"/>
    </xf>
    <xf numFmtId="43" fontId="21" fillId="0" borderId="0" xfId="0" applyNumberFormat="1" applyFont="1"/>
    <xf numFmtId="0" fontId="35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/>
    <xf numFmtId="165" fontId="35" fillId="0" borderId="0" xfId="1" applyNumberFormat="1" applyFont="1" applyFill="1"/>
    <xf numFmtId="41" fontId="35" fillId="0" borderId="0" xfId="1" applyFont="1" applyFill="1"/>
    <xf numFmtId="165" fontId="35" fillId="0" borderId="0" xfId="0" applyNumberFormat="1" applyFont="1"/>
    <xf numFmtId="165" fontId="35" fillId="0" borderId="0" xfId="1" applyNumberFormat="1" applyFont="1" applyFill="1" applyAlignment="1">
      <alignment horizontal="center"/>
    </xf>
    <xf numFmtId="43" fontId="35" fillId="0" borderId="0" xfId="0" applyNumberFormat="1" applyFont="1"/>
    <xf numFmtId="165" fontId="10" fillId="0" borderId="0" xfId="5" applyNumberFormat="1" applyFont="1" applyFill="1" applyAlignment="1">
      <alignment horizontal="center"/>
    </xf>
    <xf numFmtId="165" fontId="10" fillId="0" borderId="0" xfId="5" applyNumberFormat="1" applyFont="1" applyBorder="1" applyAlignment="1">
      <alignment horizontal="center"/>
    </xf>
    <xf numFmtId="0" fontId="10" fillId="0" borderId="0" xfId="2" applyFont="1" applyAlignment="1">
      <alignment horizontal="center"/>
    </xf>
    <xf numFmtId="165" fontId="10" fillId="0" borderId="0" xfId="5" applyNumberFormat="1" applyFont="1" applyAlignment="1">
      <alignment horizontal="center"/>
    </xf>
    <xf numFmtId="0" fontId="24" fillId="0" borderId="0" xfId="2" applyFont="1" applyAlignment="1">
      <alignment horizontal="center"/>
    </xf>
    <xf numFmtId="0" fontId="25" fillId="0" borderId="0" xfId="2" applyFont="1" applyAlignment="1">
      <alignment horizontal="center"/>
    </xf>
    <xf numFmtId="0" fontId="36" fillId="0" borderId="0" xfId="0" applyFont="1" applyAlignment="1">
      <alignment horizontal="center"/>
    </xf>
  </cellXfs>
  <cellStyles count="9">
    <cellStyle name="Comma [0]" xfId="1" builtinId="6"/>
    <cellStyle name="Comma [0] 2" xfId="5" xr:uid="{4CEC9D2D-4498-AC41-B2F1-795AD735D5B0}"/>
    <cellStyle name="Comma [0] 2 3" xfId="8" xr:uid="{413B23C8-3633-F046-B258-EA353C52B4C0}"/>
    <cellStyle name="Comma 2" xfId="7" xr:uid="{08E136D9-C6A5-144C-9BB1-BB5848DF8E51}"/>
    <cellStyle name="Comma 2 2" xfId="6" xr:uid="{BC9D1361-3A34-344B-948A-0C89D69F8F53}"/>
    <cellStyle name="Normal" xfId="0" builtinId="0"/>
    <cellStyle name="Normal 2" xfId="4" xr:uid="{18177967-A26C-394B-AE1F-181C050505D6}"/>
    <cellStyle name="Normal 3 6" xfId="2" xr:uid="{A4F0B953-99F7-F74B-88FD-AAF30CD77A72}"/>
    <cellStyle name="Percent" xfId="3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ADB3-BBE5-A647-B662-99B0C41C80D5}">
  <dimension ref="A1:L1693"/>
  <sheetViews>
    <sheetView zoomScale="91" zoomScaleNormal="91" workbookViewId="0">
      <selection activeCell="B1655" sqref="B1655"/>
    </sheetView>
  </sheetViews>
  <sheetFormatPr baseColWidth="10" defaultRowHeight="16"/>
  <cols>
    <col min="1" max="1" width="10.83203125" style="3"/>
    <col min="2" max="2" width="91.33203125" customWidth="1"/>
    <col min="3" max="5" width="19.1640625" style="8" customWidth="1"/>
    <col min="6" max="6" width="21.33203125" style="2" customWidth="1"/>
    <col min="7" max="7" width="23.6640625" customWidth="1"/>
    <col min="8" max="8" width="51.1640625" customWidth="1"/>
    <col min="9" max="9" width="12.6640625" customWidth="1"/>
  </cols>
  <sheetData>
    <row r="1" spans="1:9">
      <c r="A1" s="6" t="s">
        <v>0</v>
      </c>
      <c r="B1" t="s">
        <v>2</v>
      </c>
    </row>
    <row r="2" spans="1:9">
      <c r="A2" s="6" t="s">
        <v>1</v>
      </c>
      <c r="D2" s="8" t="s">
        <v>64</v>
      </c>
      <c r="E2" s="8" t="s">
        <v>64</v>
      </c>
      <c r="F2" s="2" t="s">
        <v>64</v>
      </c>
    </row>
    <row r="4" spans="1:9">
      <c r="A4" s="4" t="s">
        <v>3</v>
      </c>
      <c r="B4" s="1" t="s">
        <v>4</v>
      </c>
      <c r="C4" s="9"/>
      <c r="D4" s="9"/>
      <c r="E4" s="9">
        <v>30307541.899999999</v>
      </c>
    </row>
    <row r="5" spans="1:9">
      <c r="A5" s="3">
        <v>44200</v>
      </c>
      <c r="B5" s="7" t="s">
        <v>5</v>
      </c>
      <c r="C5" s="8">
        <v>0</v>
      </c>
      <c r="D5" s="8">
        <v>25000000</v>
      </c>
      <c r="E5" s="8">
        <f>E4-C5+D5</f>
        <v>55307541.899999999</v>
      </c>
      <c r="F5" s="165" t="s">
        <v>110</v>
      </c>
      <c r="G5" s="10" t="s">
        <v>111</v>
      </c>
      <c r="H5" t="s">
        <v>112</v>
      </c>
    </row>
    <row r="6" spans="1:9">
      <c r="A6" s="3">
        <v>44200</v>
      </c>
      <c r="B6" s="7" t="s">
        <v>6</v>
      </c>
      <c r="C6" s="8">
        <v>40000000</v>
      </c>
      <c r="D6" s="8">
        <v>0</v>
      </c>
      <c r="E6" s="8">
        <f t="shared" ref="E6:E69" si="0">E5-C6+D6</f>
        <v>15307541.899999999</v>
      </c>
      <c r="F6" s="2" t="s">
        <v>107</v>
      </c>
      <c r="G6" t="s">
        <v>109</v>
      </c>
    </row>
    <row r="7" spans="1:9">
      <c r="A7" s="3">
        <v>44200</v>
      </c>
      <c r="B7" s="7" t="s">
        <v>7</v>
      </c>
      <c r="C7" s="8">
        <v>2900</v>
      </c>
      <c r="D7" s="8">
        <v>0</v>
      </c>
      <c r="E7" s="8">
        <f t="shared" si="0"/>
        <v>15304641.899999999</v>
      </c>
      <c r="F7" s="2" t="s">
        <v>113</v>
      </c>
      <c r="G7" t="s">
        <v>114</v>
      </c>
    </row>
    <row r="8" spans="1:9">
      <c r="A8" s="3">
        <v>44201</v>
      </c>
      <c r="B8" s="7" t="s">
        <v>8</v>
      </c>
      <c r="C8" s="8">
        <v>1000000</v>
      </c>
      <c r="D8" s="8">
        <v>0</v>
      </c>
      <c r="E8" s="8">
        <f t="shared" si="0"/>
        <v>14304641.899999999</v>
      </c>
      <c r="F8" s="2" t="s">
        <v>115</v>
      </c>
      <c r="G8" t="s">
        <v>116</v>
      </c>
      <c r="H8" t="s">
        <v>117</v>
      </c>
    </row>
    <row r="9" spans="1:9">
      <c r="A9" s="3">
        <v>44201</v>
      </c>
      <c r="B9" s="7" t="s">
        <v>9</v>
      </c>
      <c r="C9" s="8">
        <v>5000000</v>
      </c>
      <c r="D9" s="8">
        <v>0</v>
      </c>
      <c r="E9" s="8">
        <f t="shared" si="0"/>
        <v>9304641.8999999985</v>
      </c>
      <c r="F9" s="2" t="s">
        <v>107</v>
      </c>
      <c r="G9" t="s">
        <v>666</v>
      </c>
      <c r="H9" t="s">
        <v>667</v>
      </c>
      <c r="I9" t="s">
        <v>64</v>
      </c>
    </row>
    <row r="10" spans="1:9">
      <c r="A10" s="3">
        <v>44201</v>
      </c>
      <c r="B10" s="7" t="s">
        <v>5</v>
      </c>
      <c r="C10" s="8">
        <v>0</v>
      </c>
      <c r="D10" s="8">
        <v>2600000</v>
      </c>
      <c r="E10" s="8">
        <f t="shared" si="0"/>
        <v>11904641.899999999</v>
      </c>
      <c r="F10" s="2" t="s">
        <v>107</v>
      </c>
      <c r="G10" t="s">
        <v>108</v>
      </c>
    </row>
    <row r="11" spans="1:9">
      <c r="A11" s="3">
        <v>44201</v>
      </c>
      <c r="B11" s="7" t="s">
        <v>10</v>
      </c>
      <c r="C11" s="8">
        <v>11800000</v>
      </c>
      <c r="D11" s="8">
        <v>0</v>
      </c>
      <c r="E11" s="8">
        <f t="shared" si="0"/>
        <v>104641.89999999851</v>
      </c>
      <c r="F11" s="2" t="s">
        <v>115</v>
      </c>
      <c r="G11" t="s">
        <v>120</v>
      </c>
      <c r="H11" t="s">
        <v>121</v>
      </c>
    </row>
    <row r="12" spans="1:9">
      <c r="A12" s="3">
        <v>44202</v>
      </c>
      <c r="B12" s="7" t="s">
        <v>11</v>
      </c>
      <c r="C12" s="8">
        <v>0</v>
      </c>
      <c r="D12" s="8">
        <v>150000000</v>
      </c>
      <c r="E12" s="8">
        <f t="shared" si="0"/>
        <v>150104641.90000001</v>
      </c>
      <c r="F12" s="2" t="s">
        <v>115</v>
      </c>
      <c r="G12" t="s">
        <v>122</v>
      </c>
      <c r="H12" t="s">
        <v>123</v>
      </c>
    </row>
    <row r="13" spans="1:9">
      <c r="A13" s="3">
        <v>44202</v>
      </c>
      <c r="B13" s="7" t="s">
        <v>12</v>
      </c>
      <c r="C13" s="8">
        <v>0</v>
      </c>
      <c r="D13" s="8">
        <v>1200000</v>
      </c>
      <c r="E13" s="8">
        <f t="shared" si="0"/>
        <v>151304641.90000001</v>
      </c>
      <c r="F13" s="2" t="s">
        <v>115</v>
      </c>
      <c r="G13" t="s">
        <v>122</v>
      </c>
      <c r="H13" t="s">
        <v>123</v>
      </c>
    </row>
    <row r="14" spans="1:9">
      <c r="A14" s="3">
        <v>44202</v>
      </c>
      <c r="B14" s="7" t="s">
        <v>13</v>
      </c>
      <c r="C14" s="8">
        <v>51200000</v>
      </c>
      <c r="D14" s="8">
        <v>0</v>
      </c>
      <c r="E14" s="8">
        <f t="shared" si="0"/>
        <v>100104641.90000001</v>
      </c>
      <c r="F14" s="2" t="s">
        <v>115</v>
      </c>
      <c r="G14" t="s">
        <v>120</v>
      </c>
      <c r="H14" t="s">
        <v>121</v>
      </c>
    </row>
    <row r="15" spans="1:9">
      <c r="A15" s="3">
        <v>44202</v>
      </c>
      <c r="B15" s="7" t="s">
        <v>14</v>
      </c>
      <c r="C15" s="8">
        <v>100000000</v>
      </c>
      <c r="D15" s="8">
        <v>0</v>
      </c>
      <c r="E15" s="8">
        <f t="shared" si="0"/>
        <v>104641.90000000596</v>
      </c>
      <c r="F15" s="2" t="s">
        <v>115</v>
      </c>
      <c r="G15" t="s">
        <v>120</v>
      </c>
      <c r="H15" t="s">
        <v>124</v>
      </c>
    </row>
    <row r="16" spans="1:9">
      <c r="A16" s="3">
        <v>44202</v>
      </c>
      <c r="B16" s="7" t="s">
        <v>12</v>
      </c>
      <c r="C16" s="8">
        <v>0</v>
      </c>
      <c r="D16" s="8">
        <v>1000000</v>
      </c>
      <c r="E16" s="8">
        <f t="shared" si="0"/>
        <v>1104641.900000006</v>
      </c>
      <c r="F16" s="2" t="s">
        <v>115</v>
      </c>
      <c r="G16" t="s">
        <v>122</v>
      </c>
      <c r="H16" t="s">
        <v>123</v>
      </c>
    </row>
    <row r="17" spans="1:9" s="168" customFormat="1">
      <c r="A17" s="174">
        <v>44202</v>
      </c>
      <c r="B17" s="175" t="s">
        <v>15</v>
      </c>
      <c r="C17" s="127">
        <v>1001000</v>
      </c>
      <c r="D17" s="127">
        <v>0</v>
      </c>
      <c r="E17" s="127">
        <f t="shared" si="0"/>
        <v>103641.90000000596</v>
      </c>
      <c r="F17" s="226" t="s">
        <v>137</v>
      </c>
      <c r="G17" s="168" t="s">
        <v>138</v>
      </c>
      <c r="H17" s="168" t="s">
        <v>4862</v>
      </c>
    </row>
    <row r="18" spans="1:9">
      <c r="A18" s="3">
        <v>44202</v>
      </c>
      <c r="B18" s="7" t="s">
        <v>12</v>
      </c>
      <c r="C18" s="8">
        <v>0</v>
      </c>
      <c r="D18" s="8">
        <v>5300000</v>
      </c>
      <c r="E18" s="8">
        <f t="shared" si="0"/>
        <v>5403641.900000006</v>
      </c>
      <c r="F18" s="2" t="s">
        <v>115</v>
      </c>
      <c r="G18" t="s">
        <v>122</v>
      </c>
      <c r="H18" t="s">
        <v>123</v>
      </c>
    </row>
    <row r="19" spans="1:9" s="14" customFormat="1">
      <c r="A19" s="138">
        <v>44202</v>
      </c>
      <c r="B19" s="49" t="s">
        <v>16</v>
      </c>
      <c r="C19" s="50">
        <v>3434154</v>
      </c>
      <c r="D19" s="50">
        <v>0</v>
      </c>
      <c r="E19" s="50">
        <f t="shared" si="0"/>
        <v>1969487.900000006</v>
      </c>
      <c r="F19" s="83" t="s">
        <v>115</v>
      </c>
      <c r="G19" s="14" t="s">
        <v>120</v>
      </c>
      <c r="H19" s="14" t="s">
        <v>125</v>
      </c>
    </row>
    <row r="20" spans="1:9" s="14" customFormat="1">
      <c r="A20" s="138">
        <v>44202</v>
      </c>
      <c r="B20" s="49" t="s">
        <v>17</v>
      </c>
      <c r="C20" s="50">
        <v>1908000</v>
      </c>
      <c r="D20" s="50">
        <v>0</v>
      </c>
      <c r="E20" s="50">
        <f t="shared" si="0"/>
        <v>61487.90000000596</v>
      </c>
      <c r="F20" s="83" t="s">
        <v>115</v>
      </c>
      <c r="G20" s="14" t="s">
        <v>120</v>
      </c>
      <c r="H20" s="14" t="s">
        <v>125</v>
      </c>
    </row>
    <row r="21" spans="1:9">
      <c r="A21" s="3">
        <v>44207</v>
      </c>
      <c r="B21" s="7" t="s">
        <v>12</v>
      </c>
      <c r="C21" s="8">
        <v>0</v>
      </c>
      <c r="D21" s="8">
        <v>11000000</v>
      </c>
      <c r="E21" s="8">
        <f t="shared" si="0"/>
        <v>11061487.900000006</v>
      </c>
      <c r="F21" s="2" t="s">
        <v>115</v>
      </c>
      <c r="G21" t="s">
        <v>122</v>
      </c>
      <c r="H21" t="s">
        <v>123</v>
      </c>
    </row>
    <row r="22" spans="1:9">
      <c r="A22" s="3">
        <v>44207</v>
      </c>
      <c r="B22" s="7" t="s">
        <v>18</v>
      </c>
      <c r="C22" s="8">
        <v>9800000</v>
      </c>
      <c r="D22" s="8">
        <v>0</v>
      </c>
      <c r="E22" s="8">
        <f t="shared" si="0"/>
        <v>1261487.900000006</v>
      </c>
      <c r="F22" s="2" t="s">
        <v>107</v>
      </c>
      <c r="G22" t="s">
        <v>666</v>
      </c>
      <c r="H22" t="s">
        <v>669</v>
      </c>
      <c r="I22">
        <v>2</v>
      </c>
    </row>
    <row r="23" spans="1:9">
      <c r="A23" s="3">
        <v>44207</v>
      </c>
      <c r="B23" s="7" t="s">
        <v>12</v>
      </c>
      <c r="C23" s="8">
        <v>0</v>
      </c>
      <c r="D23" s="8">
        <v>25000000</v>
      </c>
      <c r="E23" s="8">
        <f t="shared" si="0"/>
        <v>26261487.900000006</v>
      </c>
      <c r="F23" s="2" t="s">
        <v>115</v>
      </c>
      <c r="G23" t="s">
        <v>122</v>
      </c>
      <c r="H23" t="s">
        <v>123</v>
      </c>
    </row>
    <row r="24" spans="1:9" s="14" customFormat="1">
      <c r="A24" s="138">
        <v>44207</v>
      </c>
      <c r="B24" s="49" t="s">
        <v>19</v>
      </c>
      <c r="C24" s="50">
        <v>24462000</v>
      </c>
      <c r="D24" s="50">
        <v>0</v>
      </c>
      <c r="E24" s="50">
        <f t="shared" si="0"/>
        <v>1799487.900000006</v>
      </c>
      <c r="F24" s="83" t="s">
        <v>115</v>
      </c>
      <c r="G24" s="14" t="s">
        <v>120</v>
      </c>
      <c r="H24" s="14" t="s">
        <v>127</v>
      </c>
    </row>
    <row r="25" spans="1:9">
      <c r="A25" s="3">
        <v>44207</v>
      </c>
      <c r="B25" s="7" t="s">
        <v>20</v>
      </c>
      <c r="C25" s="8">
        <v>0</v>
      </c>
      <c r="D25" s="8">
        <v>20600</v>
      </c>
      <c r="E25" s="8">
        <f t="shared" si="0"/>
        <v>1820087.900000006</v>
      </c>
      <c r="F25" s="2" t="s">
        <v>110</v>
      </c>
      <c r="G25" t="s">
        <v>118</v>
      </c>
      <c r="H25" t="s">
        <v>128</v>
      </c>
      <c r="I25" t="s">
        <v>64</v>
      </c>
    </row>
    <row r="26" spans="1:9" s="14" customFormat="1">
      <c r="A26" s="138">
        <v>44207</v>
      </c>
      <c r="B26" s="49" t="s">
        <v>21</v>
      </c>
      <c r="C26" s="50">
        <v>1200000</v>
      </c>
      <c r="D26" s="50">
        <v>0</v>
      </c>
      <c r="E26" s="50">
        <f t="shared" si="0"/>
        <v>620087.90000000596</v>
      </c>
      <c r="F26" s="83" t="s">
        <v>115</v>
      </c>
      <c r="G26" s="14" t="s">
        <v>120</v>
      </c>
      <c r="H26" s="14" t="s">
        <v>125</v>
      </c>
    </row>
    <row r="27" spans="1:9">
      <c r="A27" s="3">
        <v>44207</v>
      </c>
      <c r="B27" t="s">
        <v>7</v>
      </c>
      <c r="C27" s="8">
        <v>2900</v>
      </c>
      <c r="D27" s="8">
        <v>0</v>
      </c>
      <c r="E27" s="8">
        <f t="shared" si="0"/>
        <v>617187.90000000596</v>
      </c>
      <c r="F27" s="2" t="s">
        <v>113</v>
      </c>
      <c r="G27" t="s">
        <v>114</v>
      </c>
    </row>
    <row r="28" spans="1:9">
      <c r="A28" s="3">
        <v>44207</v>
      </c>
      <c r="B28" s="7" t="s">
        <v>22</v>
      </c>
      <c r="C28" s="8">
        <v>0</v>
      </c>
      <c r="D28" s="8">
        <v>176838</v>
      </c>
      <c r="E28" s="8">
        <f t="shared" si="0"/>
        <v>794025.90000000596</v>
      </c>
      <c r="F28" s="2" t="s">
        <v>110</v>
      </c>
      <c r="G28" t="s">
        <v>118</v>
      </c>
      <c r="H28" t="s">
        <v>128</v>
      </c>
      <c r="I28" t="s">
        <v>64</v>
      </c>
    </row>
    <row r="29" spans="1:9">
      <c r="A29" s="3">
        <v>44207</v>
      </c>
      <c r="B29" s="7" t="s">
        <v>23</v>
      </c>
      <c r="C29" s="8">
        <v>0</v>
      </c>
      <c r="D29" s="8">
        <v>55700</v>
      </c>
      <c r="E29" s="8">
        <f t="shared" si="0"/>
        <v>849725.90000000596</v>
      </c>
      <c r="F29" s="2" t="s">
        <v>110</v>
      </c>
      <c r="G29" t="s">
        <v>118</v>
      </c>
      <c r="H29" t="s">
        <v>128</v>
      </c>
      <c r="I29" t="s">
        <v>713</v>
      </c>
    </row>
    <row r="30" spans="1:9">
      <c r="A30" s="3">
        <v>44208</v>
      </c>
      <c r="B30" s="7" t="s">
        <v>12</v>
      </c>
      <c r="C30" s="8">
        <v>0</v>
      </c>
      <c r="D30" s="8">
        <v>2200000</v>
      </c>
      <c r="E30" s="8">
        <f>E29-C30+D30</f>
        <v>3049725.900000006</v>
      </c>
      <c r="F30" s="2" t="s">
        <v>115</v>
      </c>
      <c r="G30" t="s">
        <v>122</v>
      </c>
      <c r="H30" t="s">
        <v>123</v>
      </c>
    </row>
    <row r="31" spans="1:9">
      <c r="A31" s="3">
        <v>44208</v>
      </c>
      <c r="B31" s="7" t="s">
        <v>24</v>
      </c>
      <c r="C31" s="8">
        <v>2929129</v>
      </c>
      <c r="D31" s="8">
        <v>0</v>
      </c>
      <c r="E31" s="8">
        <f t="shared" si="0"/>
        <v>120596.90000000596</v>
      </c>
      <c r="F31" s="2" t="s">
        <v>107</v>
      </c>
      <c r="G31" t="s">
        <v>129</v>
      </c>
    </row>
    <row r="32" spans="1:9">
      <c r="A32" s="3">
        <v>44209</v>
      </c>
      <c r="B32" s="7" t="s">
        <v>25</v>
      </c>
      <c r="C32" s="8">
        <v>0</v>
      </c>
      <c r="D32" s="8">
        <v>500000000</v>
      </c>
      <c r="E32" s="8">
        <f t="shared" si="0"/>
        <v>500120596.89999998</v>
      </c>
      <c r="F32" s="2" t="s">
        <v>107</v>
      </c>
      <c r="G32" t="s">
        <v>108</v>
      </c>
    </row>
    <row r="33" spans="1:12">
      <c r="A33" s="3">
        <v>44209</v>
      </c>
      <c r="B33" s="7" t="s">
        <v>26</v>
      </c>
      <c r="C33" s="8">
        <v>150000000</v>
      </c>
      <c r="D33" s="8">
        <v>0</v>
      </c>
      <c r="E33" s="8">
        <f t="shared" si="0"/>
        <v>350120596.89999998</v>
      </c>
      <c r="F33" s="2" t="s">
        <v>115</v>
      </c>
      <c r="G33" t="s">
        <v>122</v>
      </c>
      <c r="H33" t="s">
        <v>123</v>
      </c>
    </row>
    <row r="34" spans="1:12">
      <c r="A34" s="3">
        <v>44209</v>
      </c>
      <c r="B34" s="7" t="s">
        <v>27</v>
      </c>
      <c r="C34" s="8">
        <v>1200000</v>
      </c>
      <c r="D34" s="8">
        <v>0</v>
      </c>
      <c r="E34" s="8">
        <f t="shared" si="0"/>
        <v>348920596.89999998</v>
      </c>
      <c r="F34" s="2" t="s">
        <v>115</v>
      </c>
      <c r="G34" t="s">
        <v>122</v>
      </c>
      <c r="H34" t="s">
        <v>123</v>
      </c>
    </row>
    <row r="35" spans="1:12">
      <c r="A35" s="3">
        <v>44209</v>
      </c>
      <c r="B35" s="7" t="s">
        <v>27</v>
      </c>
      <c r="C35" s="8">
        <v>1000000</v>
      </c>
      <c r="D35" s="8">
        <v>0</v>
      </c>
      <c r="E35" s="8">
        <f t="shared" si="0"/>
        <v>347920596.89999998</v>
      </c>
      <c r="F35" s="2" t="s">
        <v>115</v>
      </c>
      <c r="G35" t="s">
        <v>122</v>
      </c>
      <c r="H35" t="s">
        <v>123</v>
      </c>
    </row>
    <row r="36" spans="1:12">
      <c r="A36" s="3">
        <v>44209</v>
      </c>
      <c r="B36" s="7" t="s">
        <v>27</v>
      </c>
      <c r="C36" s="8">
        <v>5300000</v>
      </c>
      <c r="D36" s="8">
        <v>0</v>
      </c>
      <c r="E36" s="8">
        <f t="shared" si="0"/>
        <v>342620596.89999998</v>
      </c>
      <c r="F36" s="2" t="s">
        <v>115</v>
      </c>
      <c r="G36" t="s">
        <v>122</v>
      </c>
      <c r="H36" t="s">
        <v>123</v>
      </c>
    </row>
    <row r="37" spans="1:12">
      <c r="A37" s="3">
        <v>44209</v>
      </c>
      <c r="B37" s="7" t="s">
        <v>28</v>
      </c>
      <c r="C37" s="8">
        <v>11000000</v>
      </c>
      <c r="D37" s="8">
        <v>0</v>
      </c>
      <c r="E37" s="8">
        <f t="shared" si="0"/>
        <v>331620596.89999998</v>
      </c>
      <c r="F37" s="2" t="s">
        <v>115</v>
      </c>
      <c r="G37" t="s">
        <v>122</v>
      </c>
      <c r="H37" t="s">
        <v>123</v>
      </c>
    </row>
    <row r="38" spans="1:12">
      <c r="A38" s="3">
        <v>44209</v>
      </c>
      <c r="B38" s="7" t="s">
        <v>28</v>
      </c>
      <c r="C38" s="8">
        <v>25000000</v>
      </c>
      <c r="D38" s="8">
        <v>0</v>
      </c>
      <c r="E38" s="8">
        <f t="shared" si="0"/>
        <v>306620596.89999998</v>
      </c>
      <c r="F38" s="2" t="s">
        <v>115</v>
      </c>
      <c r="G38" t="s">
        <v>122</v>
      </c>
      <c r="H38" t="s">
        <v>123</v>
      </c>
    </row>
    <row r="39" spans="1:12">
      <c r="A39" s="3">
        <v>44209</v>
      </c>
      <c r="B39" s="7" t="s">
        <v>29</v>
      </c>
      <c r="C39" s="8">
        <v>2200000</v>
      </c>
      <c r="D39" s="8">
        <v>0</v>
      </c>
      <c r="E39" s="8">
        <f t="shared" si="0"/>
        <v>304420596.89999998</v>
      </c>
      <c r="F39" s="2" t="s">
        <v>115</v>
      </c>
      <c r="G39" t="s">
        <v>122</v>
      </c>
      <c r="H39" t="s">
        <v>123</v>
      </c>
    </row>
    <row r="40" spans="1:12">
      <c r="A40" s="3">
        <v>44209</v>
      </c>
      <c r="B40" s="7" t="s">
        <v>30</v>
      </c>
      <c r="C40" s="8">
        <v>620000</v>
      </c>
      <c r="D40" s="8">
        <v>0</v>
      </c>
      <c r="E40" s="8">
        <f t="shared" si="0"/>
        <v>303800596.89999998</v>
      </c>
      <c r="F40" s="2" t="s">
        <v>115</v>
      </c>
      <c r="G40" t="s">
        <v>116</v>
      </c>
      <c r="H40" t="s">
        <v>130</v>
      </c>
    </row>
    <row r="41" spans="1:12">
      <c r="A41" s="3">
        <v>44209</v>
      </c>
      <c r="B41" s="7" t="s">
        <v>31</v>
      </c>
      <c r="C41" s="8">
        <v>450000</v>
      </c>
      <c r="D41" s="8">
        <v>0</v>
      </c>
      <c r="E41" s="8">
        <f t="shared" si="0"/>
        <v>303350596.89999998</v>
      </c>
      <c r="F41" s="2" t="s">
        <v>115</v>
      </c>
      <c r="G41" t="s">
        <v>116</v>
      </c>
      <c r="H41" t="s">
        <v>130</v>
      </c>
    </row>
    <row r="42" spans="1:12">
      <c r="A42" s="3">
        <v>44209</v>
      </c>
      <c r="B42" s="7" t="s">
        <v>32</v>
      </c>
      <c r="C42" s="8">
        <v>2895000</v>
      </c>
      <c r="D42" s="8">
        <v>0</v>
      </c>
      <c r="E42" s="8">
        <f t="shared" si="0"/>
        <v>300455596.89999998</v>
      </c>
      <c r="F42" s="2" t="s">
        <v>115</v>
      </c>
      <c r="G42" t="s">
        <v>116</v>
      </c>
      <c r="H42" t="s">
        <v>130</v>
      </c>
    </row>
    <row r="43" spans="1:12">
      <c r="A43" s="3">
        <v>44209</v>
      </c>
      <c r="B43" s="7" t="s">
        <v>33</v>
      </c>
      <c r="C43" s="8">
        <v>1200000</v>
      </c>
      <c r="D43" s="8">
        <v>0</v>
      </c>
      <c r="E43" s="8">
        <f t="shared" si="0"/>
        <v>299255596.89999998</v>
      </c>
      <c r="F43" s="2" t="s">
        <v>115</v>
      </c>
      <c r="G43" t="s">
        <v>120</v>
      </c>
      <c r="H43" t="s">
        <v>131</v>
      </c>
      <c r="I43" t="s">
        <v>64</v>
      </c>
      <c r="J43" t="s">
        <v>4150</v>
      </c>
      <c r="K43" t="s">
        <v>4148</v>
      </c>
      <c r="L43">
        <v>2020</v>
      </c>
    </row>
    <row r="44" spans="1:12">
      <c r="A44" s="3">
        <v>44209</v>
      </c>
      <c r="B44" s="7" t="s">
        <v>34</v>
      </c>
      <c r="C44" s="8">
        <v>500000</v>
      </c>
      <c r="D44" s="8">
        <v>0</v>
      </c>
      <c r="E44" s="8">
        <f t="shared" si="0"/>
        <v>298755596.89999998</v>
      </c>
      <c r="F44" s="2" t="s">
        <v>115</v>
      </c>
      <c r="G44" t="s">
        <v>120</v>
      </c>
      <c r="H44" t="s">
        <v>127</v>
      </c>
      <c r="I44" t="s">
        <v>64</v>
      </c>
      <c r="J44" t="s">
        <v>4150</v>
      </c>
      <c r="K44" t="s">
        <v>4148</v>
      </c>
      <c r="L44">
        <v>2020</v>
      </c>
    </row>
    <row r="45" spans="1:12">
      <c r="A45" s="3">
        <v>44209</v>
      </c>
      <c r="B45" s="7" t="s">
        <v>35</v>
      </c>
      <c r="C45" s="8">
        <v>900000</v>
      </c>
      <c r="D45" s="8">
        <v>0</v>
      </c>
      <c r="E45" s="8">
        <f t="shared" si="0"/>
        <v>297855596.89999998</v>
      </c>
      <c r="F45" s="2" t="s">
        <v>115</v>
      </c>
      <c r="G45" t="s">
        <v>120</v>
      </c>
      <c r="H45" t="s">
        <v>132</v>
      </c>
      <c r="I45" t="s">
        <v>64</v>
      </c>
      <c r="J45" t="s">
        <v>4150</v>
      </c>
      <c r="K45" t="s">
        <v>4148</v>
      </c>
      <c r="L45">
        <v>2020</v>
      </c>
    </row>
    <row r="46" spans="1:12">
      <c r="A46" s="3">
        <v>44209</v>
      </c>
      <c r="B46" s="7" t="s">
        <v>36</v>
      </c>
      <c r="C46" s="8">
        <v>900000</v>
      </c>
      <c r="D46" s="8">
        <v>0</v>
      </c>
      <c r="E46" s="8">
        <f t="shared" si="0"/>
        <v>296955596.89999998</v>
      </c>
      <c r="F46" s="2" t="s">
        <v>115</v>
      </c>
      <c r="G46" t="s">
        <v>120</v>
      </c>
      <c r="H46" t="s">
        <v>133</v>
      </c>
      <c r="I46" t="s">
        <v>64</v>
      </c>
      <c r="J46" t="s">
        <v>4150</v>
      </c>
      <c r="K46" t="s">
        <v>4148</v>
      </c>
      <c r="L46">
        <v>2020</v>
      </c>
    </row>
    <row r="47" spans="1:12">
      <c r="A47" s="3">
        <v>44209</v>
      </c>
      <c r="B47" s="7" t="s">
        <v>37</v>
      </c>
      <c r="C47" s="8">
        <v>4400000</v>
      </c>
      <c r="D47" s="8">
        <v>0</v>
      </c>
      <c r="E47" s="8">
        <f t="shared" si="0"/>
        <v>292555596.89999998</v>
      </c>
      <c r="F47" s="2" t="s">
        <v>115</v>
      </c>
      <c r="G47" t="s">
        <v>120</v>
      </c>
      <c r="H47" t="s">
        <v>131</v>
      </c>
    </row>
    <row r="48" spans="1:12">
      <c r="A48" s="3">
        <v>44209</v>
      </c>
      <c r="B48" s="7" t="s">
        <v>38</v>
      </c>
      <c r="C48" s="8">
        <v>900000</v>
      </c>
      <c r="D48" s="8">
        <v>0</v>
      </c>
      <c r="E48" s="8">
        <f t="shared" si="0"/>
        <v>291655596.89999998</v>
      </c>
      <c r="F48" s="2" t="s">
        <v>115</v>
      </c>
      <c r="G48" t="s">
        <v>120</v>
      </c>
      <c r="H48" t="s">
        <v>131</v>
      </c>
      <c r="I48" t="s">
        <v>64</v>
      </c>
      <c r="J48" t="s">
        <v>4150</v>
      </c>
      <c r="K48" t="s">
        <v>119</v>
      </c>
      <c r="L48">
        <v>2020</v>
      </c>
    </row>
    <row r="49" spans="1:12">
      <c r="A49" s="3">
        <v>44209</v>
      </c>
      <c r="B49" s="7" t="s">
        <v>39</v>
      </c>
      <c r="C49" s="8">
        <v>800000</v>
      </c>
      <c r="D49" s="8">
        <v>0</v>
      </c>
      <c r="E49" s="8">
        <f t="shared" si="0"/>
        <v>290855596.89999998</v>
      </c>
      <c r="F49" s="2" t="s">
        <v>115</v>
      </c>
      <c r="G49" t="s">
        <v>120</v>
      </c>
      <c r="H49" t="s">
        <v>127</v>
      </c>
      <c r="I49" t="s">
        <v>64</v>
      </c>
      <c r="J49" t="s">
        <v>4150</v>
      </c>
      <c r="K49" t="s">
        <v>119</v>
      </c>
      <c r="L49">
        <v>2020</v>
      </c>
    </row>
    <row r="50" spans="1:12">
      <c r="A50" s="3">
        <v>44209</v>
      </c>
      <c r="B50" t="s">
        <v>40</v>
      </c>
      <c r="C50" s="8">
        <v>800000</v>
      </c>
      <c r="D50" s="8">
        <v>0</v>
      </c>
      <c r="E50" s="8">
        <f t="shared" si="0"/>
        <v>290055596.89999998</v>
      </c>
      <c r="F50" s="2" t="s">
        <v>115</v>
      </c>
      <c r="G50" t="s">
        <v>120</v>
      </c>
      <c r="H50" t="s">
        <v>131</v>
      </c>
      <c r="I50" t="s">
        <v>64</v>
      </c>
      <c r="J50" t="s">
        <v>4150</v>
      </c>
      <c r="K50" t="s">
        <v>462</v>
      </c>
      <c r="L50">
        <v>2020</v>
      </c>
    </row>
    <row r="51" spans="1:12">
      <c r="A51" s="3">
        <v>44209</v>
      </c>
      <c r="B51" t="s">
        <v>41</v>
      </c>
      <c r="C51" s="8">
        <v>900000</v>
      </c>
      <c r="D51" s="8">
        <v>0</v>
      </c>
      <c r="E51" s="8">
        <f t="shared" si="0"/>
        <v>289155596.89999998</v>
      </c>
      <c r="F51" s="2" t="s">
        <v>115</v>
      </c>
      <c r="G51" t="s">
        <v>120</v>
      </c>
      <c r="H51" t="s">
        <v>131</v>
      </c>
      <c r="I51" t="s">
        <v>64</v>
      </c>
      <c r="J51" t="s">
        <v>4150</v>
      </c>
      <c r="K51" t="s">
        <v>128</v>
      </c>
      <c r="L51">
        <v>2020</v>
      </c>
    </row>
    <row r="52" spans="1:12">
      <c r="A52" s="3">
        <v>44209</v>
      </c>
      <c r="B52" t="s">
        <v>42</v>
      </c>
      <c r="C52" s="8">
        <v>300000</v>
      </c>
      <c r="D52" s="8">
        <v>0</v>
      </c>
      <c r="E52" s="8">
        <f t="shared" si="0"/>
        <v>288855596.89999998</v>
      </c>
      <c r="F52" s="2" t="s">
        <v>115</v>
      </c>
      <c r="G52" t="s">
        <v>120</v>
      </c>
      <c r="H52" t="s">
        <v>134</v>
      </c>
      <c r="I52" t="s">
        <v>64</v>
      </c>
      <c r="J52" t="s">
        <v>4150</v>
      </c>
      <c r="K52" t="s">
        <v>128</v>
      </c>
      <c r="L52">
        <v>2020</v>
      </c>
    </row>
    <row r="53" spans="1:12">
      <c r="A53" s="3">
        <v>44209</v>
      </c>
      <c r="B53" t="s">
        <v>43</v>
      </c>
      <c r="C53" s="8">
        <v>1000000</v>
      </c>
      <c r="D53" s="8">
        <v>0</v>
      </c>
      <c r="E53" s="8">
        <f t="shared" si="0"/>
        <v>287855596.89999998</v>
      </c>
      <c r="F53" s="2" t="s">
        <v>115</v>
      </c>
      <c r="G53" t="s">
        <v>120</v>
      </c>
      <c r="H53" t="s">
        <v>135</v>
      </c>
    </row>
    <row r="54" spans="1:12">
      <c r="A54" s="3">
        <v>44209</v>
      </c>
      <c r="B54" t="s">
        <v>44</v>
      </c>
      <c r="C54" s="8">
        <v>300000</v>
      </c>
      <c r="D54" s="8">
        <v>0</v>
      </c>
      <c r="E54" s="8">
        <f t="shared" si="0"/>
        <v>287555596.89999998</v>
      </c>
      <c r="F54" s="2" t="s">
        <v>115</v>
      </c>
      <c r="G54" t="s">
        <v>120</v>
      </c>
      <c r="H54" t="s">
        <v>127</v>
      </c>
    </row>
    <row r="55" spans="1:12">
      <c r="A55" s="3">
        <v>44209</v>
      </c>
      <c r="B55" t="s">
        <v>45</v>
      </c>
      <c r="C55" s="8">
        <v>500000</v>
      </c>
      <c r="D55" s="8">
        <v>0</v>
      </c>
      <c r="E55" s="8">
        <f t="shared" si="0"/>
        <v>287055596.89999998</v>
      </c>
      <c r="F55" s="2" t="s">
        <v>115</v>
      </c>
      <c r="G55" t="s">
        <v>120</v>
      </c>
      <c r="H55" t="s">
        <v>127</v>
      </c>
      <c r="I55" t="s">
        <v>64</v>
      </c>
      <c r="J55" t="s">
        <v>4150</v>
      </c>
      <c r="K55" t="s">
        <v>459</v>
      </c>
      <c r="L55">
        <v>2020</v>
      </c>
    </row>
    <row r="56" spans="1:12">
      <c r="A56" s="3">
        <v>44209</v>
      </c>
      <c r="B56" t="s">
        <v>46</v>
      </c>
      <c r="C56" s="8">
        <v>500000</v>
      </c>
      <c r="D56" s="8">
        <v>0</v>
      </c>
      <c r="E56" s="8">
        <f t="shared" si="0"/>
        <v>286555596.89999998</v>
      </c>
      <c r="F56" s="2" t="s">
        <v>115</v>
      </c>
      <c r="G56" t="s">
        <v>120</v>
      </c>
      <c r="H56" t="s">
        <v>127</v>
      </c>
      <c r="I56" t="s">
        <v>64</v>
      </c>
      <c r="J56" t="s">
        <v>4151</v>
      </c>
      <c r="K56" t="s">
        <v>4152</v>
      </c>
      <c r="L56">
        <v>2020</v>
      </c>
    </row>
    <row r="57" spans="1:12">
      <c r="A57" s="3">
        <v>44209</v>
      </c>
      <c r="B57" t="s">
        <v>47</v>
      </c>
      <c r="C57" s="8">
        <v>500000</v>
      </c>
      <c r="D57" s="8">
        <v>0</v>
      </c>
      <c r="E57" s="8">
        <f t="shared" si="0"/>
        <v>286055596.89999998</v>
      </c>
      <c r="F57" s="2" t="s">
        <v>115</v>
      </c>
      <c r="G57" t="s">
        <v>120</v>
      </c>
      <c r="H57" t="s">
        <v>127</v>
      </c>
      <c r="I57" t="s">
        <v>64</v>
      </c>
      <c r="J57" t="s">
        <v>4150</v>
      </c>
      <c r="K57" t="s">
        <v>622</v>
      </c>
      <c r="L57">
        <v>2020</v>
      </c>
    </row>
    <row r="58" spans="1:12">
      <c r="A58" s="3">
        <v>44209</v>
      </c>
      <c r="B58" t="s">
        <v>48</v>
      </c>
      <c r="C58" s="8">
        <v>300000</v>
      </c>
      <c r="D58" s="8">
        <v>0</v>
      </c>
      <c r="E58" s="8">
        <f t="shared" si="0"/>
        <v>285755596.89999998</v>
      </c>
      <c r="F58" s="2" t="s">
        <v>115</v>
      </c>
      <c r="G58" t="s">
        <v>120</v>
      </c>
      <c r="H58" t="s">
        <v>134</v>
      </c>
      <c r="I58" t="s">
        <v>64</v>
      </c>
      <c r="J58" t="s">
        <v>4150</v>
      </c>
      <c r="K58" t="s">
        <v>622</v>
      </c>
      <c r="L58">
        <v>2020</v>
      </c>
    </row>
    <row r="59" spans="1:12">
      <c r="A59" s="3">
        <v>44209</v>
      </c>
      <c r="B59" t="s">
        <v>49</v>
      </c>
      <c r="C59" s="8">
        <v>300000</v>
      </c>
      <c r="D59" s="8">
        <v>0</v>
      </c>
      <c r="E59" s="8">
        <f t="shared" si="0"/>
        <v>285455596.89999998</v>
      </c>
      <c r="F59" s="2" t="s">
        <v>115</v>
      </c>
      <c r="G59" t="s">
        <v>120</v>
      </c>
      <c r="H59" t="s">
        <v>176</v>
      </c>
      <c r="I59" t="s">
        <v>64</v>
      </c>
      <c r="J59" t="s">
        <v>4150</v>
      </c>
      <c r="K59" t="s">
        <v>4153</v>
      </c>
      <c r="L59">
        <v>2020</v>
      </c>
    </row>
    <row r="60" spans="1:12">
      <c r="A60" s="3">
        <v>44211</v>
      </c>
      <c r="B60" t="s">
        <v>50</v>
      </c>
      <c r="C60" s="8">
        <v>712501</v>
      </c>
      <c r="D60" s="8">
        <v>0</v>
      </c>
      <c r="E60" s="8">
        <f t="shared" si="0"/>
        <v>284743095.89999998</v>
      </c>
      <c r="F60" s="2" t="s">
        <v>115</v>
      </c>
      <c r="G60" t="s">
        <v>116</v>
      </c>
      <c r="H60" t="s">
        <v>136</v>
      </c>
    </row>
    <row r="61" spans="1:12">
      <c r="A61" s="3">
        <v>44211</v>
      </c>
      <c r="B61" s="7" t="s">
        <v>51</v>
      </c>
      <c r="C61" s="8">
        <v>9901000</v>
      </c>
      <c r="D61" s="8">
        <v>0</v>
      </c>
      <c r="E61" s="8">
        <f t="shared" si="0"/>
        <v>274842095.89999998</v>
      </c>
      <c r="F61" s="2" t="s">
        <v>115</v>
      </c>
      <c r="G61" t="s">
        <v>120</v>
      </c>
      <c r="H61" t="s">
        <v>127</v>
      </c>
    </row>
    <row r="62" spans="1:12">
      <c r="A62" s="3">
        <v>44211</v>
      </c>
      <c r="B62" s="7" t="s">
        <v>52</v>
      </c>
      <c r="C62" s="8">
        <v>6000000</v>
      </c>
      <c r="D62" s="8">
        <v>0</v>
      </c>
      <c r="E62" s="8">
        <f t="shared" si="0"/>
        <v>268842095.89999998</v>
      </c>
      <c r="F62" s="2" t="s">
        <v>115</v>
      </c>
      <c r="G62" t="s">
        <v>120</v>
      </c>
      <c r="H62" t="s">
        <v>132</v>
      </c>
    </row>
    <row r="63" spans="1:12">
      <c r="A63" s="3">
        <v>44211</v>
      </c>
      <c r="B63" s="7" t="s">
        <v>53</v>
      </c>
      <c r="C63" s="8">
        <v>14250000</v>
      </c>
      <c r="D63" s="8">
        <v>0</v>
      </c>
      <c r="E63" s="8">
        <f t="shared" si="0"/>
        <v>254592095.89999998</v>
      </c>
      <c r="F63" s="2" t="s">
        <v>137</v>
      </c>
      <c r="G63" t="s">
        <v>138</v>
      </c>
      <c r="H63" s="168" t="s">
        <v>393</v>
      </c>
    </row>
    <row r="64" spans="1:12">
      <c r="A64" s="3">
        <v>44211</v>
      </c>
      <c r="B64" s="7" t="s">
        <v>54</v>
      </c>
      <c r="C64" s="8">
        <v>6000000</v>
      </c>
      <c r="D64" s="8">
        <v>0</v>
      </c>
      <c r="E64" s="8">
        <f t="shared" si="0"/>
        <v>248592095.89999998</v>
      </c>
      <c r="F64" s="2" t="s">
        <v>115</v>
      </c>
      <c r="G64" t="s">
        <v>120</v>
      </c>
      <c r="H64" t="s">
        <v>131</v>
      </c>
    </row>
    <row r="65" spans="1:8">
      <c r="A65" s="3">
        <v>44211</v>
      </c>
      <c r="B65" s="7" t="s">
        <v>55</v>
      </c>
      <c r="C65" s="8">
        <v>16000000</v>
      </c>
      <c r="D65" s="8">
        <v>0</v>
      </c>
      <c r="E65" s="8">
        <f t="shared" si="0"/>
        <v>232592095.89999998</v>
      </c>
      <c r="F65" s="2" t="s">
        <v>115</v>
      </c>
      <c r="G65" t="s">
        <v>120</v>
      </c>
      <c r="H65" t="s">
        <v>131</v>
      </c>
    </row>
    <row r="66" spans="1:8">
      <c r="A66" s="3">
        <v>44211</v>
      </c>
      <c r="B66" s="7" t="s">
        <v>56</v>
      </c>
      <c r="C66" s="8">
        <v>25961441</v>
      </c>
      <c r="D66" s="8">
        <v>0</v>
      </c>
      <c r="E66" s="8">
        <f t="shared" si="0"/>
        <v>206630654.89999998</v>
      </c>
      <c r="F66" s="2" t="s">
        <v>115</v>
      </c>
      <c r="G66" t="s">
        <v>120</v>
      </c>
      <c r="H66" t="s">
        <v>131</v>
      </c>
    </row>
    <row r="67" spans="1:8">
      <c r="A67" s="3">
        <v>44211</v>
      </c>
      <c r="B67" s="7" t="s">
        <v>57</v>
      </c>
      <c r="C67" s="8">
        <v>5000000</v>
      </c>
      <c r="D67" s="8">
        <v>0</v>
      </c>
      <c r="E67" s="8">
        <f t="shared" si="0"/>
        <v>201630654.89999998</v>
      </c>
      <c r="F67" s="2" t="s">
        <v>137</v>
      </c>
      <c r="G67" t="s">
        <v>138</v>
      </c>
      <c r="H67" s="168" t="s">
        <v>393</v>
      </c>
    </row>
    <row r="68" spans="1:8">
      <c r="A68" s="3">
        <v>44211</v>
      </c>
      <c r="B68" s="7" t="s">
        <v>58</v>
      </c>
      <c r="C68" s="8">
        <v>3000000</v>
      </c>
      <c r="D68" s="8">
        <v>0</v>
      </c>
      <c r="E68" s="8">
        <f t="shared" si="0"/>
        <v>198630654.89999998</v>
      </c>
      <c r="F68" s="2" t="s">
        <v>115</v>
      </c>
      <c r="G68" t="s">
        <v>120</v>
      </c>
      <c r="H68" t="s">
        <v>131</v>
      </c>
    </row>
    <row r="69" spans="1:8">
      <c r="A69" s="3">
        <v>44211</v>
      </c>
      <c r="B69" s="7" t="s">
        <v>59</v>
      </c>
      <c r="C69" s="8">
        <v>32500000</v>
      </c>
      <c r="D69" s="8">
        <v>0</v>
      </c>
      <c r="E69" s="8">
        <f t="shared" si="0"/>
        <v>166130654.89999998</v>
      </c>
      <c r="F69" s="2" t="s">
        <v>115</v>
      </c>
      <c r="G69" t="s">
        <v>120</v>
      </c>
      <c r="H69" t="s">
        <v>131</v>
      </c>
    </row>
    <row r="70" spans="1:8">
      <c r="A70" s="3">
        <v>44211</v>
      </c>
      <c r="B70" t="s">
        <v>60</v>
      </c>
      <c r="C70" s="8">
        <v>20000</v>
      </c>
      <c r="D70" s="8">
        <v>0</v>
      </c>
      <c r="E70" s="8">
        <f t="shared" ref="E70:E134" si="1">E69-C70+D70</f>
        <v>166110654.89999998</v>
      </c>
      <c r="F70" s="2" t="s">
        <v>113</v>
      </c>
      <c r="G70" t="s">
        <v>114</v>
      </c>
    </row>
    <row r="71" spans="1:8">
      <c r="A71" s="3">
        <v>44214</v>
      </c>
      <c r="B71" s="7" t="s">
        <v>153</v>
      </c>
      <c r="C71" s="8">
        <v>75000000</v>
      </c>
      <c r="D71" s="8">
        <v>0</v>
      </c>
      <c r="E71" s="8">
        <f t="shared" si="1"/>
        <v>91110654.899999976</v>
      </c>
      <c r="F71" s="2" t="s">
        <v>137</v>
      </c>
      <c r="G71" t="s">
        <v>138</v>
      </c>
      <c r="H71" t="s">
        <v>173</v>
      </c>
    </row>
    <row r="72" spans="1:8">
      <c r="A72" s="3">
        <v>44214</v>
      </c>
      <c r="B72" s="7" t="s">
        <v>154</v>
      </c>
      <c r="C72" s="8">
        <v>20000000</v>
      </c>
      <c r="D72" s="8">
        <v>0</v>
      </c>
      <c r="E72" s="8">
        <f t="shared" si="1"/>
        <v>71110654.899999976</v>
      </c>
      <c r="F72" s="2" t="s">
        <v>137</v>
      </c>
      <c r="G72" t="s">
        <v>138</v>
      </c>
      <c r="H72" t="s">
        <v>173</v>
      </c>
    </row>
    <row r="73" spans="1:8">
      <c r="A73" s="3">
        <v>44215</v>
      </c>
      <c r="B73" s="7" t="s">
        <v>5</v>
      </c>
      <c r="C73" s="8">
        <v>0</v>
      </c>
      <c r="D73" s="8">
        <v>25000000</v>
      </c>
      <c r="E73" s="8">
        <f t="shared" si="1"/>
        <v>96110654.899999976</v>
      </c>
      <c r="F73" s="2" t="s">
        <v>107</v>
      </c>
      <c r="G73" t="s">
        <v>108</v>
      </c>
    </row>
    <row r="74" spans="1:8">
      <c r="A74" s="3">
        <v>44215</v>
      </c>
      <c r="B74" s="7" t="s">
        <v>5</v>
      </c>
      <c r="C74" s="8">
        <v>0</v>
      </c>
      <c r="D74" s="8">
        <v>25000000</v>
      </c>
      <c r="E74" s="8">
        <f t="shared" si="1"/>
        <v>121110654.89999998</v>
      </c>
      <c r="F74" s="2" t="s">
        <v>107</v>
      </c>
      <c r="G74" t="s">
        <v>108</v>
      </c>
    </row>
    <row r="75" spans="1:8">
      <c r="A75" s="3">
        <v>44215</v>
      </c>
      <c r="B75" s="7" t="s">
        <v>155</v>
      </c>
      <c r="C75" s="8">
        <v>116000000</v>
      </c>
      <c r="D75" s="8">
        <v>0</v>
      </c>
      <c r="E75" s="8">
        <f t="shared" si="1"/>
        <v>5110654.8999999762</v>
      </c>
      <c r="F75" s="2" t="s">
        <v>137</v>
      </c>
      <c r="G75" t="s">
        <v>138</v>
      </c>
      <c r="H75" t="s">
        <v>173</v>
      </c>
    </row>
    <row r="76" spans="1:8">
      <c r="A76" s="3">
        <v>44215</v>
      </c>
      <c r="B76" s="7" t="s">
        <v>156</v>
      </c>
      <c r="C76" s="8">
        <v>3000000</v>
      </c>
      <c r="D76" s="8">
        <v>0</v>
      </c>
      <c r="E76" s="8">
        <f t="shared" si="1"/>
        <v>2110654.8999999762</v>
      </c>
      <c r="F76" s="2" t="s">
        <v>137</v>
      </c>
      <c r="G76" t="s">
        <v>138</v>
      </c>
      <c r="H76" t="s">
        <v>173</v>
      </c>
    </row>
    <row r="77" spans="1:8">
      <c r="A77" s="3">
        <v>44216</v>
      </c>
      <c r="B77" s="7" t="s">
        <v>25</v>
      </c>
      <c r="C77" s="8">
        <v>0</v>
      </c>
      <c r="D77" s="8">
        <v>250000000</v>
      </c>
      <c r="E77" s="8">
        <f t="shared" si="1"/>
        <v>252110654.89999998</v>
      </c>
      <c r="F77" s="2" t="s">
        <v>107</v>
      </c>
      <c r="G77" t="s">
        <v>108</v>
      </c>
    </row>
    <row r="78" spans="1:8">
      <c r="A78" s="3">
        <v>44216</v>
      </c>
      <c r="B78" s="7" t="s">
        <v>157</v>
      </c>
      <c r="C78" s="11">
        <v>6250000</v>
      </c>
      <c r="D78" s="8">
        <v>0</v>
      </c>
      <c r="E78" s="8">
        <f t="shared" si="1"/>
        <v>245860654.89999998</v>
      </c>
      <c r="F78" s="2" t="s">
        <v>137</v>
      </c>
      <c r="G78" t="s">
        <v>138</v>
      </c>
      <c r="H78" t="s">
        <v>173</v>
      </c>
    </row>
    <row r="79" spans="1:8">
      <c r="A79" s="3">
        <v>44216</v>
      </c>
      <c r="B79" s="7" t="s">
        <v>24</v>
      </c>
      <c r="C79" s="8">
        <v>2910400</v>
      </c>
      <c r="D79" s="8">
        <v>0</v>
      </c>
      <c r="E79" s="8">
        <f t="shared" si="1"/>
        <v>242950254.89999998</v>
      </c>
      <c r="F79" s="2" t="s">
        <v>107</v>
      </c>
      <c r="G79" t="s">
        <v>129</v>
      </c>
    </row>
    <row r="80" spans="1:8">
      <c r="A80" s="3">
        <v>44216</v>
      </c>
      <c r="B80" s="7" t="s">
        <v>158</v>
      </c>
      <c r="C80" s="8">
        <v>11450000</v>
      </c>
      <c r="D80" s="8">
        <v>0</v>
      </c>
      <c r="E80" s="8">
        <f t="shared" si="1"/>
        <v>231500254.89999998</v>
      </c>
      <c r="F80" s="2" t="s">
        <v>137</v>
      </c>
      <c r="G80" t="s">
        <v>138</v>
      </c>
      <c r="H80" t="s">
        <v>173</v>
      </c>
    </row>
    <row r="81" spans="1:8">
      <c r="A81" s="3">
        <v>44216</v>
      </c>
      <c r="B81" s="7" t="s">
        <v>159</v>
      </c>
      <c r="C81" s="8">
        <v>37500000</v>
      </c>
      <c r="D81" s="8">
        <v>0</v>
      </c>
      <c r="E81" s="8">
        <f t="shared" si="1"/>
        <v>194000254.89999998</v>
      </c>
      <c r="F81" s="2" t="s">
        <v>137</v>
      </c>
      <c r="G81" t="s">
        <v>138</v>
      </c>
      <c r="H81" t="s">
        <v>173</v>
      </c>
    </row>
    <row r="82" spans="1:8">
      <c r="A82" s="3">
        <v>44216</v>
      </c>
      <c r="B82" s="7" t="s">
        <v>160</v>
      </c>
      <c r="C82" s="8">
        <v>64000000</v>
      </c>
      <c r="D82" s="8">
        <v>0</v>
      </c>
      <c r="E82" s="8">
        <f t="shared" si="1"/>
        <v>130000254.89999998</v>
      </c>
      <c r="F82" s="2" t="s">
        <v>137</v>
      </c>
      <c r="G82" t="s">
        <v>138</v>
      </c>
      <c r="H82" t="s">
        <v>173</v>
      </c>
    </row>
    <row r="83" spans="1:8">
      <c r="A83" s="3">
        <v>44216</v>
      </c>
      <c r="B83" s="7" t="s">
        <v>161</v>
      </c>
      <c r="C83" s="8">
        <v>40000000</v>
      </c>
      <c r="D83" s="8">
        <v>0</v>
      </c>
      <c r="E83" s="8">
        <f t="shared" si="1"/>
        <v>90000254.899999976</v>
      </c>
      <c r="F83" s="2" t="s">
        <v>137</v>
      </c>
      <c r="G83" t="s">
        <v>138</v>
      </c>
      <c r="H83" t="s">
        <v>173</v>
      </c>
    </row>
    <row r="84" spans="1:8">
      <c r="A84" s="3">
        <v>44216</v>
      </c>
      <c r="B84" s="7" t="s">
        <v>162</v>
      </c>
      <c r="C84" s="8">
        <v>4093000</v>
      </c>
      <c r="D84" s="8">
        <v>0</v>
      </c>
      <c r="E84" s="8">
        <f t="shared" si="1"/>
        <v>85907254.899999976</v>
      </c>
      <c r="F84" s="2" t="s">
        <v>107</v>
      </c>
      <c r="G84" t="s">
        <v>666</v>
      </c>
      <c r="H84" t="s">
        <v>671</v>
      </c>
    </row>
    <row r="85" spans="1:8">
      <c r="A85" s="3">
        <v>44216</v>
      </c>
      <c r="B85" s="7" t="s">
        <v>163</v>
      </c>
      <c r="C85" s="8">
        <v>2000000</v>
      </c>
      <c r="D85" s="8">
        <v>0</v>
      </c>
      <c r="E85" s="8">
        <f t="shared" si="1"/>
        <v>83907254.899999976</v>
      </c>
      <c r="F85" s="2" t="s">
        <v>137</v>
      </c>
      <c r="G85" t="s">
        <v>138</v>
      </c>
      <c r="H85" s="168" t="s">
        <v>393</v>
      </c>
    </row>
    <row r="86" spans="1:8">
      <c r="A86" s="3">
        <v>44216</v>
      </c>
      <c r="B86" s="7" t="s">
        <v>164</v>
      </c>
      <c r="C86" s="8">
        <v>1750000</v>
      </c>
      <c r="D86" s="8">
        <v>0</v>
      </c>
      <c r="E86" s="8">
        <f t="shared" si="1"/>
        <v>82157254.899999976</v>
      </c>
      <c r="F86" s="2" t="s">
        <v>137</v>
      </c>
      <c r="G86" t="s">
        <v>138</v>
      </c>
      <c r="H86" s="168" t="s">
        <v>393</v>
      </c>
    </row>
    <row r="87" spans="1:8">
      <c r="A87" s="3">
        <v>44216</v>
      </c>
      <c r="B87" s="7" t="s">
        <v>165</v>
      </c>
      <c r="C87" s="8">
        <v>60000000</v>
      </c>
      <c r="D87" s="8">
        <v>0</v>
      </c>
      <c r="E87" s="8">
        <f t="shared" si="1"/>
        <v>22157254.899999976</v>
      </c>
      <c r="F87" s="2" t="s">
        <v>115</v>
      </c>
      <c r="G87" t="s">
        <v>120</v>
      </c>
      <c r="H87" t="s">
        <v>131</v>
      </c>
    </row>
    <row r="88" spans="1:8">
      <c r="A88" s="3">
        <v>44216</v>
      </c>
      <c r="B88" s="7" t="s">
        <v>166</v>
      </c>
      <c r="C88" s="8">
        <v>2470000</v>
      </c>
      <c r="D88" s="8">
        <v>0</v>
      </c>
      <c r="E88" s="8">
        <f t="shared" si="1"/>
        <v>19687254.899999976</v>
      </c>
      <c r="F88" s="2" t="s">
        <v>115</v>
      </c>
      <c r="G88" t="s">
        <v>120</v>
      </c>
      <c r="H88" t="s">
        <v>131</v>
      </c>
    </row>
    <row r="89" spans="1:8">
      <c r="A89" s="3">
        <v>44216</v>
      </c>
      <c r="B89" s="7" t="s">
        <v>168</v>
      </c>
      <c r="C89" s="8">
        <v>2025000</v>
      </c>
      <c r="D89" s="8">
        <v>0</v>
      </c>
      <c r="E89" s="8">
        <f t="shared" si="1"/>
        <v>17662254.899999976</v>
      </c>
      <c r="F89" s="2" t="s">
        <v>115</v>
      </c>
      <c r="G89" t="s">
        <v>120</v>
      </c>
      <c r="H89" t="s">
        <v>131</v>
      </c>
    </row>
    <row r="90" spans="1:8">
      <c r="A90" s="3">
        <v>44216</v>
      </c>
      <c r="B90" s="7" t="s">
        <v>167</v>
      </c>
      <c r="C90" s="8">
        <v>712500</v>
      </c>
      <c r="D90" s="8">
        <v>0</v>
      </c>
      <c r="E90" s="8">
        <f t="shared" si="1"/>
        <v>16949754.899999976</v>
      </c>
      <c r="F90" s="2" t="s">
        <v>115</v>
      </c>
      <c r="G90" t="s">
        <v>120</v>
      </c>
      <c r="H90" t="s">
        <v>127</v>
      </c>
    </row>
    <row r="91" spans="1:8">
      <c r="A91" s="3">
        <v>44216</v>
      </c>
      <c r="B91" s="7" t="s">
        <v>170</v>
      </c>
      <c r="C91" s="8">
        <v>650000</v>
      </c>
      <c r="D91" s="8">
        <v>0</v>
      </c>
      <c r="E91" s="8">
        <f t="shared" si="1"/>
        <v>16299754.899999976</v>
      </c>
      <c r="F91" s="2" t="s">
        <v>115</v>
      </c>
      <c r="G91" t="s">
        <v>120</v>
      </c>
      <c r="H91" t="s">
        <v>176</v>
      </c>
    </row>
    <row r="92" spans="1:8">
      <c r="A92" s="3">
        <v>44216</v>
      </c>
      <c r="B92" s="7" t="s">
        <v>169</v>
      </c>
      <c r="C92" s="8">
        <v>2800000</v>
      </c>
      <c r="D92" s="8">
        <v>0</v>
      </c>
      <c r="E92" s="8">
        <f t="shared" si="1"/>
        <v>13499754.899999976</v>
      </c>
      <c r="F92" s="2" t="s">
        <v>137</v>
      </c>
      <c r="G92" t="s">
        <v>138</v>
      </c>
      <c r="H92" t="s">
        <v>175</v>
      </c>
    </row>
    <row r="93" spans="1:8">
      <c r="A93" s="3">
        <v>44216</v>
      </c>
      <c r="B93" s="7" t="s">
        <v>171</v>
      </c>
      <c r="C93" s="8">
        <v>1520000</v>
      </c>
      <c r="D93" s="8">
        <v>0</v>
      </c>
      <c r="E93" s="8">
        <f t="shared" si="1"/>
        <v>11979754.899999976</v>
      </c>
      <c r="F93" s="2" t="s">
        <v>137</v>
      </c>
      <c r="G93" t="s">
        <v>138</v>
      </c>
      <c r="H93" t="s">
        <v>175</v>
      </c>
    </row>
    <row r="94" spans="1:8">
      <c r="A94" s="3">
        <v>44221</v>
      </c>
      <c r="B94" s="7" t="s">
        <v>172</v>
      </c>
      <c r="C94" s="8">
        <v>7000000</v>
      </c>
      <c r="D94" s="8">
        <v>0</v>
      </c>
      <c r="E94" s="8">
        <f t="shared" si="1"/>
        <v>4979754.8999999762</v>
      </c>
      <c r="F94" s="2" t="s">
        <v>107</v>
      </c>
      <c r="G94" t="s">
        <v>666</v>
      </c>
      <c r="H94" t="s">
        <v>677</v>
      </c>
    </row>
    <row r="95" spans="1:8">
      <c r="A95" s="3">
        <v>44221</v>
      </c>
      <c r="B95" s="7" t="s">
        <v>2456</v>
      </c>
      <c r="C95" s="8">
        <v>0</v>
      </c>
      <c r="D95" s="8">
        <v>450000000</v>
      </c>
      <c r="E95" s="8">
        <f t="shared" si="1"/>
        <v>454979754.89999998</v>
      </c>
      <c r="F95" s="2" t="s">
        <v>107</v>
      </c>
      <c r="G95" t="s">
        <v>108</v>
      </c>
    </row>
    <row r="96" spans="1:8">
      <c r="A96" s="3">
        <v>44221</v>
      </c>
      <c r="B96" s="7" t="s">
        <v>193</v>
      </c>
      <c r="C96" s="8">
        <v>64100000</v>
      </c>
      <c r="D96" s="8">
        <v>0</v>
      </c>
      <c r="E96" s="8">
        <f t="shared" si="1"/>
        <v>390879754.89999998</v>
      </c>
      <c r="F96" s="2" t="s">
        <v>115</v>
      </c>
      <c r="G96" t="s">
        <v>120</v>
      </c>
      <c r="H96" t="s">
        <v>131</v>
      </c>
    </row>
    <row r="97" spans="1:9">
      <c r="A97" s="3">
        <v>44221</v>
      </c>
      <c r="B97" s="7" t="s">
        <v>194</v>
      </c>
      <c r="C97" s="8">
        <v>87780000</v>
      </c>
      <c r="D97" s="8">
        <v>0</v>
      </c>
      <c r="E97" s="8">
        <f t="shared" si="1"/>
        <v>303099754.89999998</v>
      </c>
      <c r="F97" s="2" t="s">
        <v>137</v>
      </c>
      <c r="G97" t="s">
        <v>138</v>
      </c>
      <c r="H97" t="s">
        <v>173</v>
      </c>
    </row>
    <row r="98" spans="1:9">
      <c r="A98" s="3">
        <v>44221</v>
      </c>
      <c r="B98" s="7" t="s">
        <v>195</v>
      </c>
      <c r="C98" s="8">
        <v>18000000</v>
      </c>
      <c r="D98" s="8">
        <v>0</v>
      </c>
      <c r="E98" s="8">
        <f t="shared" si="1"/>
        <v>285099754.89999998</v>
      </c>
      <c r="F98" s="2" t="s">
        <v>137</v>
      </c>
      <c r="G98" t="s">
        <v>138</v>
      </c>
      <c r="H98" t="s">
        <v>175</v>
      </c>
    </row>
    <row r="99" spans="1:9">
      <c r="A99" s="3">
        <v>44221</v>
      </c>
      <c r="B99" s="7" t="s">
        <v>196</v>
      </c>
      <c r="C99" s="8">
        <v>1250000</v>
      </c>
      <c r="D99" s="8">
        <v>0</v>
      </c>
      <c r="E99" s="8">
        <f t="shared" si="1"/>
        <v>283849754.89999998</v>
      </c>
      <c r="F99" s="2" t="s">
        <v>137</v>
      </c>
      <c r="G99" t="s">
        <v>138</v>
      </c>
      <c r="H99" s="168" t="s">
        <v>393</v>
      </c>
    </row>
    <row r="100" spans="1:9">
      <c r="A100" s="3">
        <v>44221</v>
      </c>
      <c r="B100" s="7" t="s">
        <v>197</v>
      </c>
      <c r="C100" s="8">
        <v>6250000</v>
      </c>
      <c r="D100" s="8">
        <v>0</v>
      </c>
      <c r="E100" s="8">
        <f t="shared" si="1"/>
        <v>277599754.89999998</v>
      </c>
      <c r="F100" s="2" t="s">
        <v>137</v>
      </c>
      <c r="G100" t="s">
        <v>138</v>
      </c>
      <c r="H100" t="s">
        <v>173</v>
      </c>
    </row>
    <row r="101" spans="1:9">
      <c r="A101" s="3">
        <v>44221</v>
      </c>
      <c r="B101" s="7" t="s">
        <v>198</v>
      </c>
      <c r="C101" s="8">
        <v>14250000</v>
      </c>
      <c r="D101" s="8">
        <v>0</v>
      </c>
      <c r="E101" s="8">
        <f t="shared" si="1"/>
        <v>263349754.89999998</v>
      </c>
      <c r="F101" s="2" t="s">
        <v>115</v>
      </c>
      <c r="G101" t="s">
        <v>120</v>
      </c>
      <c r="H101" t="s">
        <v>131</v>
      </c>
    </row>
    <row r="102" spans="1:9">
      <c r="A102" s="3">
        <v>44221</v>
      </c>
      <c r="B102" s="7" t="s">
        <v>199</v>
      </c>
      <c r="C102" s="8">
        <v>5000000</v>
      </c>
      <c r="D102" s="8">
        <v>0</v>
      </c>
      <c r="E102" s="8">
        <f t="shared" si="1"/>
        <v>258349754.89999998</v>
      </c>
      <c r="F102" s="2" t="s">
        <v>137</v>
      </c>
      <c r="G102" t="s">
        <v>138</v>
      </c>
      <c r="H102" t="s">
        <v>175</v>
      </c>
    </row>
    <row r="103" spans="1:9">
      <c r="A103" s="3">
        <v>44221</v>
      </c>
      <c r="B103" s="7" t="s">
        <v>2457</v>
      </c>
      <c r="C103" s="8">
        <v>2250000</v>
      </c>
      <c r="D103" s="8">
        <v>0</v>
      </c>
      <c r="E103" s="8">
        <f t="shared" si="1"/>
        <v>256099754.89999998</v>
      </c>
      <c r="F103" s="2" t="s">
        <v>137</v>
      </c>
      <c r="G103" t="s">
        <v>138</v>
      </c>
      <c r="H103" t="s">
        <v>173</v>
      </c>
    </row>
    <row r="104" spans="1:9">
      <c r="A104" s="3">
        <v>44221</v>
      </c>
      <c r="B104" s="7" t="s">
        <v>200</v>
      </c>
      <c r="C104" s="8">
        <v>3500000</v>
      </c>
      <c r="D104" s="8">
        <v>0</v>
      </c>
      <c r="E104" s="8">
        <f t="shared" si="1"/>
        <v>252599754.89999998</v>
      </c>
      <c r="F104" s="2" t="s">
        <v>137</v>
      </c>
      <c r="G104" t="s">
        <v>138</v>
      </c>
      <c r="H104" t="s">
        <v>173</v>
      </c>
    </row>
    <row r="105" spans="1:9">
      <c r="A105" s="3">
        <v>44221</v>
      </c>
      <c r="B105" s="7" t="s">
        <v>201</v>
      </c>
      <c r="C105" s="8">
        <v>16553000</v>
      </c>
      <c r="D105" s="8">
        <v>0</v>
      </c>
      <c r="E105" s="8">
        <f t="shared" si="1"/>
        <v>236046754.89999998</v>
      </c>
      <c r="F105" s="2" t="s">
        <v>115</v>
      </c>
      <c r="G105" t="s">
        <v>120</v>
      </c>
      <c r="H105" t="s">
        <v>127</v>
      </c>
      <c r="I105" t="s">
        <v>444</v>
      </c>
    </row>
    <row r="106" spans="1:9">
      <c r="A106" s="3">
        <v>44221</v>
      </c>
      <c r="B106" s="7" t="s">
        <v>202</v>
      </c>
      <c r="C106" s="8">
        <v>1200000</v>
      </c>
      <c r="D106" s="8">
        <v>0</v>
      </c>
      <c r="E106" s="8">
        <f t="shared" si="1"/>
        <v>234846754.89999998</v>
      </c>
      <c r="F106" s="2" t="s">
        <v>137</v>
      </c>
      <c r="G106" t="s">
        <v>138</v>
      </c>
      <c r="H106" s="168" t="s">
        <v>393</v>
      </c>
    </row>
    <row r="107" spans="1:9">
      <c r="A107" s="3">
        <v>44221</v>
      </c>
      <c r="B107" s="7" t="s">
        <v>203</v>
      </c>
      <c r="C107" s="8">
        <v>7750000</v>
      </c>
      <c r="D107" s="8">
        <v>0</v>
      </c>
      <c r="E107" s="8">
        <f t="shared" si="1"/>
        <v>227096754.89999998</v>
      </c>
      <c r="F107" s="2" t="s">
        <v>137</v>
      </c>
      <c r="G107" t="s">
        <v>138</v>
      </c>
      <c r="H107" s="168" t="s">
        <v>393</v>
      </c>
    </row>
    <row r="108" spans="1:9">
      <c r="A108" s="3">
        <v>44221</v>
      </c>
      <c r="B108" s="7" t="s">
        <v>204</v>
      </c>
      <c r="C108" s="8">
        <v>4500000</v>
      </c>
      <c r="D108" s="8">
        <v>0</v>
      </c>
      <c r="E108" s="8">
        <f t="shared" si="1"/>
        <v>222596754.89999998</v>
      </c>
      <c r="F108" s="2" t="s">
        <v>137</v>
      </c>
      <c r="G108" t="s">
        <v>138</v>
      </c>
      <c r="H108" s="168" t="s">
        <v>393</v>
      </c>
    </row>
    <row r="109" spans="1:9">
      <c r="A109" s="3">
        <v>44221</v>
      </c>
      <c r="B109" s="7" t="s">
        <v>205</v>
      </c>
      <c r="C109" s="8">
        <v>747500</v>
      </c>
      <c r="D109" s="8">
        <v>0</v>
      </c>
      <c r="E109" s="8">
        <f t="shared" si="1"/>
        <v>221849254.89999998</v>
      </c>
      <c r="F109" s="2" t="s">
        <v>115</v>
      </c>
      <c r="G109" t="s">
        <v>116</v>
      </c>
      <c r="H109" t="s">
        <v>244</v>
      </c>
    </row>
    <row r="110" spans="1:9" s="14" customFormat="1">
      <c r="A110" s="138">
        <v>44222</v>
      </c>
      <c r="B110" s="49" t="s">
        <v>5077</v>
      </c>
      <c r="C110" s="53">
        <v>0</v>
      </c>
      <c r="D110" s="53">
        <v>800000</v>
      </c>
      <c r="E110" s="53">
        <f t="shared" si="1"/>
        <v>222649254.89999998</v>
      </c>
      <c r="F110" s="81" t="s">
        <v>252</v>
      </c>
      <c r="G110" s="14" t="s">
        <v>664</v>
      </c>
      <c r="H110" s="14" t="s">
        <v>64</v>
      </c>
    </row>
    <row r="111" spans="1:9">
      <c r="A111" s="3">
        <v>44222</v>
      </c>
      <c r="B111" s="7" t="s">
        <v>206</v>
      </c>
      <c r="C111" s="8">
        <f>8550000+D112</f>
        <v>9050000</v>
      </c>
      <c r="D111" s="8">
        <v>0</v>
      </c>
      <c r="E111" s="8">
        <f t="shared" si="1"/>
        <v>213599254.89999998</v>
      </c>
      <c r="F111" s="2" t="s">
        <v>137</v>
      </c>
      <c r="G111" t="s">
        <v>138</v>
      </c>
      <c r="H111" t="s">
        <v>173</v>
      </c>
    </row>
    <row r="112" spans="1:9">
      <c r="A112" s="3">
        <v>44222</v>
      </c>
      <c r="B112" s="7" t="s">
        <v>206</v>
      </c>
      <c r="C112" s="8">
        <v>0</v>
      </c>
      <c r="D112" s="8">
        <v>500000</v>
      </c>
      <c r="E112" s="8">
        <f t="shared" si="1"/>
        <v>214099254.89999998</v>
      </c>
      <c r="F112" s="2" t="s">
        <v>110</v>
      </c>
      <c r="G112" s="14" t="s">
        <v>321</v>
      </c>
      <c r="H112" s="16" t="s">
        <v>612</v>
      </c>
    </row>
    <row r="113" spans="1:12">
      <c r="A113" s="3">
        <v>44222</v>
      </c>
      <c r="B113" s="7" t="s">
        <v>207</v>
      </c>
      <c r="C113" s="8">
        <v>3258000</v>
      </c>
      <c r="D113" s="8">
        <v>0</v>
      </c>
      <c r="E113" s="8">
        <f t="shared" si="1"/>
        <v>210841254.89999998</v>
      </c>
      <c r="F113" s="2" t="s">
        <v>115</v>
      </c>
      <c r="G113" t="s">
        <v>120</v>
      </c>
      <c r="H113" t="s">
        <v>127</v>
      </c>
      <c r="I113" t="s">
        <v>444</v>
      </c>
    </row>
    <row r="114" spans="1:12">
      <c r="A114" s="3">
        <v>44222</v>
      </c>
      <c r="B114" s="7" t="s">
        <v>208</v>
      </c>
      <c r="C114" s="8">
        <v>11510000</v>
      </c>
      <c r="D114" s="8">
        <v>0</v>
      </c>
      <c r="E114" s="8">
        <f t="shared" si="1"/>
        <v>199331254.89999998</v>
      </c>
      <c r="F114" s="2" t="s">
        <v>115</v>
      </c>
      <c r="G114" t="s">
        <v>120</v>
      </c>
      <c r="H114" t="s">
        <v>127</v>
      </c>
      <c r="I114" t="s">
        <v>444</v>
      </c>
    </row>
    <row r="115" spans="1:12">
      <c r="A115" s="3">
        <v>44222</v>
      </c>
      <c r="B115" s="7" t="s">
        <v>209</v>
      </c>
      <c r="C115" s="8">
        <v>10295000</v>
      </c>
      <c r="D115" s="8">
        <v>0</v>
      </c>
      <c r="E115" s="8">
        <f t="shared" si="1"/>
        <v>189036254.89999998</v>
      </c>
      <c r="F115" s="2" t="s">
        <v>115</v>
      </c>
      <c r="G115" t="s">
        <v>120</v>
      </c>
      <c r="H115" t="s">
        <v>127</v>
      </c>
      <c r="I115" t="s">
        <v>444</v>
      </c>
    </row>
    <row r="116" spans="1:12">
      <c r="A116" s="3">
        <v>44222</v>
      </c>
      <c r="B116" s="7" t="s">
        <v>210</v>
      </c>
      <c r="C116" s="8">
        <v>2000000</v>
      </c>
      <c r="D116" s="8">
        <v>0</v>
      </c>
      <c r="E116" s="8">
        <f t="shared" si="1"/>
        <v>187036254.89999998</v>
      </c>
      <c r="F116" s="2" t="s">
        <v>137</v>
      </c>
      <c r="G116" t="s">
        <v>138</v>
      </c>
      <c r="H116" t="s">
        <v>173</v>
      </c>
    </row>
    <row r="117" spans="1:12">
      <c r="A117" s="3">
        <v>44222</v>
      </c>
      <c r="B117" s="7" t="s">
        <v>2458</v>
      </c>
      <c r="C117" s="8">
        <v>300000</v>
      </c>
      <c r="D117" s="8">
        <v>0</v>
      </c>
      <c r="E117" s="8">
        <f t="shared" si="1"/>
        <v>186736254.89999998</v>
      </c>
      <c r="F117" s="2" t="s">
        <v>137</v>
      </c>
      <c r="G117" t="s">
        <v>138</v>
      </c>
      <c r="H117" s="168" t="s">
        <v>393</v>
      </c>
      <c r="I117" t="s">
        <v>64</v>
      </c>
      <c r="J117" t="s">
        <v>4150</v>
      </c>
      <c r="K117" t="s">
        <v>4154</v>
      </c>
      <c r="L117">
        <v>2021</v>
      </c>
    </row>
    <row r="118" spans="1:12">
      <c r="A118" s="3">
        <v>44222</v>
      </c>
      <c r="B118" s="7" t="s">
        <v>211</v>
      </c>
      <c r="C118" s="8">
        <v>600000</v>
      </c>
      <c r="D118" s="8">
        <v>0</v>
      </c>
      <c r="E118" s="8">
        <f t="shared" si="1"/>
        <v>186136254.89999998</v>
      </c>
      <c r="F118" s="2" t="s">
        <v>137</v>
      </c>
      <c r="G118" t="s">
        <v>138</v>
      </c>
      <c r="H118" t="s">
        <v>173</v>
      </c>
      <c r="I118" t="s">
        <v>4155</v>
      </c>
      <c r="J118" t="s">
        <v>4150</v>
      </c>
      <c r="K118" t="s">
        <v>4154</v>
      </c>
      <c r="L118">
        <v>2021</v>
      </c>
    </row>
    <row r="119" spans="1:12">
      <c r="A119" s="3">
        <v>44222</v>
      </c>
      <c r="B119" s="7" t="s">
        <v>2459</v>
      </c>
      <c r="C119" s="8">
        <v>300000</v>
      </c>
      <c r="D119" s="8">
        <v>0</v>
      </c>
      <c r="E119" s="8">
        <f t="shared" si="1"/>
        <v>185836254.89999998</v>
      </c>
      <c r="F119" s="2" t="s">
        <v>137</v>
      </c>
      <c r="G119" t="s">
        <v>138</v>
      </c>
      <c r="H119" t="s">
        <v>173</v>
      </c>
      <c r="I119" t="s">
        <v>64</v>
      </c>
      <c r="J119" t="s">
        <v>4150</v>
      </c>
      <c r="K119" t="s">
        <v>625</v>
      </c>
      <c r="L119">
        <v>2021</v>
      </c>
    </row>
    <row r="120" spans="1:12">
      <c r="A120" s="3">
        <v>44222</v>
      </c>
      <c r="B120" s="7" t="s">
        <v>212</v>
      </c>
      <c r="C120" s="8">
        <v>150000</v>
      </c>
      <c r="D120" s="8">
        <v>0</v>
      </c>
      <c r="E120" s="8">
        <f t="shared" si="1"/>
        <v>185686254.89999998</v>
      </c>
      <c r="F120" s="2" t="s">
        <v>137</v>
      </c>
      <c r="G120" t="s">
        <v>138</v>
      </c>
      <c r="H120" s="168" t="s">
        <v>393</v>
      </c>
      <c r="I120" t="s">
        <v>64</v>
      </c>
      <c r="J120" t="s">
        <v>4150</v>
      </c>
      <c r="K120" t="s">
        <v>625</v>
      </c>
      <c r="L120">
        <v>2021</v>
      </c>
    </row>
    <row r="121" spans="1:12">
      <c r="A121" s="3">
        <v>44222</v>
      </c>
      <c r="B121" s="7" t="s">
        <v>213</v>
      </c>
      <c r="C121" s="8">
        <v>150000</v>
      </c>
      <c r="D121" s="8">
        <v>0</v>
      </c>
      <c r="E121" s="8">
        <f t="shared" si="1"/>
        <v>185536254.89999998</v>
      </c>
      <c r="F121" s="2" t="s">
        <v>137</v>
      </c>
      <c r="G121" t="s">
        <v>138</v>
      </c>
      <c r="H121" t="s">
        <v>175</v>
      </c>
      <c r="I121" t="s">
        <v>64</v>
      </c>
      <c r="J121" t="s">
        <v>4150</v>
      </c>
      <c r="K121" t="s">
        <v>2083</v>
      </c>
      <c r="L121">
        <v>2021</v>
      </c>
    </row>
    <row r="122" spans="1:12">
      <c r="A122" s="3">
        <v>44222</v>
      </c>
      <c r="B122" s="7" t="s">
        <v>214</v>
      </c>
      <c r="C122" s="8">
        <v>150000</v>
      </c>
      <c r="D122" s="8">
        <v>0</v>
      </c>
      <c r="E122" s="8">
        <f t="shared" si="1"/>
        <v>185386254.89999998</v>
      </c>
      <c r="F122" s="2" t="s">
        <v>137</v>
      </c>
      <c r="G122" t="s">
        <v>138</v>
      </c>
      <c r="H122" s="168" t="s">
        <v>393</v>
      </c>
      <c r="I122" t="s">
        <v>64</v>
      </c>
      <c r="J122" t="s">
        <v>4150</v>
      </c>
      <c r="K122" t="s">
        <v>2083</v>
      </c>
      <c r="L122">
        <v>2021</v>
      </c>
    </row>
    <row r="123" spans="1:12">
      <c r="A123" s="3">
        <v>44222</v>
      </c>
      <c r="B123" s="7" t="s">
        <v>215</v>
      </c>
      <c r="C123" s="8">
        <v>300000</v>
      </c>
      <c r="D123" s="8">
        <v>0</v>
      </c>
      <c r="E123" s="8">
        <f t="shared" si="1"/>
        <v>185086254.89999998</v>
      </c>
      <c r="F123" s="2" t="s">
        <v>137</v>
      </c>
      <c r="G123" t="s">
        <v>138</v>
      </c>
      <c r="H123" t="s">
        <v>173</v>
      </c>
      <c r="I123" t="s">
        <v>64</v>
      </c>
      <c r="J123" t="s">
        <v>4150</v>
      </c>
      <c r="K123" t="s">
        <v>2083</v>
      </c>
      <c r="L123">
        <v>2021</v>
      </c>
    </row>
    <row r="124" spans="1:12">
      <c r="A124" s="3">
        <v>44222</v>
      </c>
      <c r="B124" t="s">
        <v>216</v>
      </c>
      <c r="C124" s="8">
        <v>300000</v>
      </c>
      <c r="D124" s="8">
        <v>0</v>
      </c>
      <c r="E124" s="8">
        <f t="shared" si="1"/>
        <v>184786254.89999998</v>
      </c>
      <c r="F124" s="2" t="s">
        <v>137</v>
      </c>
      <c r="G124" t="s">
        <v>138</v>
      </c>
      <c r="H124" t="s">
        <v>173</v>
      </c>
      <c r="I124" t="s">
        <v>64</v>
      </c>
      <c r="J124" t="s">
        <v>4150</v>
      </c>
      <c r="K124" t="s">
        <v>4153</v>
      </c>
      <c r="L124">
        <v>2021</v>
      </c>
    </row>
    <row r="125" spans="1:12">
      <c r="A125" s="3">
        <v>44222</v>
      </c>
      <c r="B125" s="7" t="s">
        <v>217</v>
      </c>
      <c r="C125" s="8">
        <v>5250000</v>
      </c>
      <c r="D125" s="8">
        <v>0</v>
      </c>
      <c r="E125" s="8">
        <f t="shared" si="1"/>
        <v>179536254.89999998</v>
      </c>
      <c r="F125" s="2" t="s">
        <v>115</v>
      </c>
      <c r="G125" t="s">
        <v>120</v>
      </c>
      <c r="H125" t="s">
        <v>124</v>
      </c>
      <c r="I125" t="s">
        <v>4149</v>
      </c>
    </row>
    <row r="126" spans="1:12">
      <c r="A126" s="3">
        <v>44222</v>
      </c>
      <c r="B126" s="7" t="s">
        <v>218</v>
      </c>
      <c r="C126" s="8">
        <v>1600000</v>
      </c>
      <c r="D126" s="8">
        <v>0</v>
      </c>
      <c r="E126" s="8">
        <f t="shared" si="1"/>
        <v>177936254.89999998</v>
      </c>
      <c r="F126" s="2" t="s">
        <v>115</v>
      </c>
      <c r="G126" t="s">
        <v>120</v>
      </c>
      <c r="H126" t="s">
        <v>131</v>
      </c>
      <c r="I126" t="s">
        <v>64</v>
      </c>
      <c r="J126" t="s">
        <v>4150</v>
      </c>
      <c r="K126" t="s">
        <v>459</v>
      </c>
      <c r="L126">
        <v>2020</v>
      </c>
    </row>
    <row r="127" spans="1:12">
      <c r="A127" s="3">
        <v>44222</v>
      </c>
      <c r="B127" s="7" t="s">
        <v>219</v>
      </c>
      <c r="C127" s="8">
        <v>1600000</v>
      </c>
      <c r="D127" s="8">
        <v>0</v>
      </c>
      <c r="E127" s="8">
        <f t="shared" si="1"/>
        <v>176336254.89999998</v>
      </c>
      <c r="F127" s="2" t="s">
        <v>115</v>
      </c>
      <c r="G127" t="s">
        <v>120</v>
      </c>
      <c r="H127" t="s">
        <v>131</v>
      </c>
      <c r="I127" t="s">
        <v>64</v>
      </c>
      <c r="J127" t="s">
        <v>4150</v>
      </c>
      <c r="K127" t="s">
        <v>622</v>
      </c>
      <c r="L127">
        <v>2020</v>
      </c>
    </row>
    <row r="128" spans="1:12">
      <c r="A128" s="3">
        <v>44222</v>
      </c>
      <c r="B128" s="7" t="s">
        <v>220</v>
      </c>
      <c r="C128" s="8">
        <v>500000</v>
      </c>
      <c r="D128" s="8">
        <v>0</v>
      </c>
      <c r="E128" s="8">
        <f t="shared" si="1"/>
        <v>175836254.89999998</v>
      </c>
      <c r="F128" s="2" t="s">
        <v>137</v>
      </c>
      <c r="G128" t="s">
        <v>138</v>
      </c>
      <c r="H128" s="168" t="s">
        <v>393</v>
      </c>
    </row>
    <row r="129" spans="1:12">
      <c r="A129" s="3">
        <v>44222</v>
      </c>
      <c r="B129" s="7" t="s">
        <v>221</v>
      </c>
      <c r="C129" s="8">
        <v>1600000</v>
      </c>
      <c r="D129" s="8">
        <v>0</v>
      </c>
      <c r="E129" s="8">
        <f t="shared" si="1"/>
        <v>174236254.89999998</v>
      </c>
      <c r="F129" s="2" t="s">
        <v>115</v>
      </c>
      <c r="G129" t="s">
        <v>120</v>
      </c>
      <c r="H129" t="s">
        <v>131</v>
      </c>
      <c r="I129" t="s">
        <v>64</v>
      </c>
      <c r="J129" t="s">
        <v>4150</v>
      </c>
      <c r="K129" t="s">
        <v>4152</v>
      </c>
      <c r="L129">
        <v>2020</v>
      </c>
    </row>
    <row r="130" spans="1:12">
      <c r="A130" s="3">
        <v>44222</v>
      </c>
      <c r="B130" s="7" t="s">
        <v>222</v>
      </c>
      <c r="C130" s="8">
        <v>960000</v>
      </c>
      <c r="D130" s="8">
        <v>0</v>
      </c>
      <c r="E130" s="8">
        <f t="shared" si="1"/>
        <v>173276254.89999998</v>
      </c>
      <c r="F130" s="2" t="s">
        <v>137</v>
      </c>
      <c r="G130" t="s">
        <v>138</v>
      </c>
      <c r="H130" s="168" t="s">
        <v>393</v>
      </c>
    </row>
    <row r="131" spans="1:12">
      <c r="A131" s="3">
        <v>44222</v>
      </c>
      <c r="B131" s="7" t="s">
        <v>223</v>
      </c>
      <c r="C131" s="8">
        <v>500000</v>
      </c>
      <c r="D131" s="8">
        <v>0</v>
      </c>
      <c r="E131" s="8">
        <f t="shared" si="1"/>
        <v>172776254.89999998</v>
      </c>
      <c r="F131" s="2" t="s">
        <v>137</v>
      </c>
      <c r="G131" t="s">
        <v>138</v>
      </c>
      <c r="H131" s="168" t="s">
        <v>393</v>
      </c>
      <c r="I131" t="s">
        <v>64</v>
      </c>
      <c r="J131" t="s">
        <v>4150</v>
      </c>
      <c r="K131" t="s">
        <v>119</v>
      </c>
      <c r="L131">
        <v>2021</v>
      </c>
    </row>
    <row r="132" spans="1:12">
      <c r="A132" s="3">
        <v>44222</v>
      </c>
      <c r="B132" t="s">
        <v>224</v>
      </c>
      <c r="C132" s="8">
        <v>500000</v>
      </c>
      <c r="D132" s="8">
        <v>0</v>
      </c>
      <c r="E132" s="8">
        <f t="shared" si="1"/>
        <v>172276254.89999998</v>
      </c>
      <c r="F132" s="2" t="s">
        <v>137</v>
      </c>
      <c r="G132" t="s">
        <v>138</v>
      </c>
      <c r="H132" t="s">
        <v>175</v>
      </c>
      <c r="I132" t="s">
        <v>64</v>
      </c>
      <c r="J132" t="s">
        <v>4150</v>
      </c>
      <c r="K132" t="s">
        <v>119</v>
      </c>
      <c r="L132">
        <v>2021</v>
      </c>
    </row>
    <row r="133" spans="1:12">
      <c r="A133" s="3">
        <v>44222</v>
      </c>
      <c r="B133" t="s">
        <v>225</v>
      </c>
      <c r="C133" s="8">
        <v>500000</v>
      </c>
      <c r="D133" s="8">
        <v>0</v>
      </c>
      <c r="E133" s="8">
        <f t="shared" si="1"/>
        <v>171776254.89999998</v>
      </c>
      <c r="F133" s="2" t="s">
        <v>137</v>
      </c>
      <c r="G133" t="s">
        <v>138</v>
      </c>
      <c r="H133" s="168" t="s">
        <v>393</v>
      </c>
      <c r="I133" t="s">
        <v>64</v>
      </c>
      <c r="J133" t="s">
        <v>4150</v>
      </c>
      <c r="K133" t="s">
        <v>3990</v>
      </c>
      <c r="L133">
        <v>2021</v>
      </c>
    </row>
    <row r="134" spans="1:12">
      <c r="A134" s="12">
        <v>44222</v>
      </c>
      <c r="B134" s="7" t="s">
        <v>226</v>
      </c>
      <c r="C134" s="8">
        <v>1000000</v>
      </c>
      <c r="D134" s="8">
        <v>0</v>
      </c>
      <c r="E134" s="8">
        <f t="shared" si="1"/>
        <v>170776254.89999998</v>
      </c>
      <c r="F134" s="2" t="s">
        <v>137</v>
      </c>
      <c r="G134" t="s">
        <v>138</v>
      </c>
      <c r="H134" t="s">
        <v>173</v>
      </c>
      <c r="I134" t="s">
        <v>64</v>
      </c>
      <c r="J134" t="s">
        <v>4150</v>
      </c>
      <c r="K134" t="s">
        <v>3990</v>
      </c>
      <c r="L134">
        <v>2021</v>
      </c>
    </row>
    <row r="135" spans="1:12">
      <c r="A135" s="3">
        <v>44223</v>
      </c>
      <c r="B135" s="7" t="s">
        <v>227</v>
      </c>
      <c r="C135" s="8">
        <v>0</v>
      </c>
      <c r="D135" s="8">
        <v>63000</v>
      </c>
      <c r="E135" s="8">
        <f t="shared" ref="E135:E198" si="2">E134-C135+D135</f>
        <v>170839254.89999998</v>
      </c>
      <c r="F135" s="2" t="s">
        <v>107</v>
      </c>
      <c r="G135" t="s">
        <v>668</v>
      </c>
      <c r="H135" t="s">
        <v>671</v>
      </c>
    </row>
    <row r="136" spans="1:12">
      <c r="A136" s="3">
        <v>44224</v>
      </c>
      <c r="B136" s="7" t="s">
        <v>228</v>
      </c>
      <c r="C136" s="8">
        <v>25000000</v>
      </c>
      <c r="D136" s="8">
        <v>0</v>
      </c>
      <c r="E136" s="8">
        <f t="shared" si="2"/>
        <v>145839254.89999998</v>
      </c>
      <c r="F136" s="2" t="s">
        <v>137</v>
      </c>
      <c r="G136" t="s">
        <v>138</v>
      </c>
      <c r="H136" t="s">
        <v>245</v>
      </c>
    </row>
    <row r="137" spans="1:12">
      <c r="A137" s="3">
        <v>44225</v>
      </c>
      <c r="B137" s="7" t="s">
        <v>229</v>
      </c>
      <c r="C137" s="8">
        <v>12880000</v>
      </c>
      <c r="D137" s="8">
        <v>0</v>
      </c>
      <c r="E137" s="8">
        <f t="shared" si="2"/>
        <v>132959254.89999998</v>
      </c>
      <c r="F137" s="2" t="s">
        <v>115</v>
      </c>
      <c r="G137" t="s">
        <v>246</v>
      </c>
      <c r="H137" t="s">
        <v>247</v>
      </c>
    </row>
    <row r="138" spans="1:12">
      <c r="A138" s="3">
        <v>44225</v>
      </c>
      <c r="B138" s="7" t="s">
        <v>230</v>
      </c>
      <c r="C138" s="8">
        <v>57635000</v>
      </c>
      <c r="D138" s="8">
        <v>0</v>
      </c>
      <c r="E138" s="8">
        <f t="shared" si="2"/>
        <v>75324254.899999976</v>
      </c>
      <c r="F138" s="2" t="s">
        <v>248</v>
      </c>
      <c r="G138" t="s">
        <v>249</v>
      </c>
    </row>
    <row r="139" spans="1:12">
      <c r="A139" s="3">
        <v>44225</v>
      </c>
      <c r="B139" s="7" t="s">
        <v>231</v>
      </c>
      <c r="C139" s="8">
        <v>35625000</v>
      </c>
      <c r="D139" s="8">
        <v>0</v>
      </c>
      <c r="E139" s="8">
        <f t="shared" si="2"/>
        <v>39699254.899999976</v>
      </c>
      <c r="F139" s="83" t="s">
        <v>107</v>
      </c>
      <c r="G139" s="14" t="s">
        <v>250</v>
      </c>
    </row>
    <row r="140" spans="1:12">
      <c r="A140" s="3">
        <v>44225</v>
      </c>
      <c r="B140" t="s">
        <v>232</v>
      </c>
      <c r="C140" s="8">
        <v>0</v>
      </c>
      <c r="D140" s="8">
        <v>35625000</v>
      </c>
      <c r="E140" s="8">
        <f t="shared" si="2"/>
        <v>75324254.899999976</v>
      </c>
      <c r="F140" s="83" t="s">
        <v>107</v>
      </c>
      <c r="G140" s="14" t="s">
        <v>250</v>
      </c>
    </row>
    <row r="141" spans="1:12">
      <c r="A141" s="3">
        <v>44225</v>
      </c>
      <c r="B141" s="7" t="s">
        <v>233</v>
      </c>
      <c r="C141" s="8">
        <v>7800000</v>
      </c>
      <c r="D141" s="8">
        <v>0</v>
      </c>
      <c r="E141" s="8">
        <f t="shared" si="2"/>
        <v>67524254.899999976</v>
      </c>
      <c r="F141" s="2" t="s">
        <v>115</v>
      </c>
      <c r="G141" t="s">
        <v>120</v>
      </c>
      <c r="H141" t="s">
        <v>127</v>
      </c>
      <c r="I141" t="s">
        <v>444</v>
      </c>
    </row>
    <row r="142" spans="1:12">
      <c r="A142" s="3">
        <v>44225</v>
      </c>
      <c r="B142" s="7" t="s">
        <v>234</v>
      </c>
      <c r="C142" s="8">
        <v>1001000</v>
      </c>
      <c r="D142" s="8">
        <v>0</v>
      </c>
      <c r="E142" s="8">
        <f t="shared" si="2"/>
        <v>66523254.899999976</v>
      </c>
      <c r="F142" s="2" t="s">
        <v>115</v>
      </c>
      <c r="G142" t="s">
        <v>120</v>
      </c>
      <c r="H142" t="s">
        <v>125</v>
      </c>
      <c r="I142" t="s">
        <v>444</v>
      </c>
    </row>
    <row r="143" spans="1:12">
      <c r="A143" s="3">
        <v>44225</v>
      </c>
      <c r="B143" s="7" t="s">
        <v>2460</v>
      </c>
      <c r="C143" s="8">
        <v>550000</v>
      </c>
      <c r="D143" s="8">
        <v>0</v>
      </c>
      <c r="E143" s="8">
        <f t="shared" si="2"/>
        <v>65973254.899999976</v>
      </c>
      <c r="F143" s="2" t="s">
        <v>137</v>
      </c>
      <c r="G143" t="s">
        <v>138</v>
      </c>
      <c r="H143" t="s">
        <v>251</v>
      </c>
    </row>
    <row r="144" spans="1:12">
      <c r="A144" s="3">
        <v>44225</v>
      </c>
      <c r="B144" s="7" t="s">
        <v>235</v>
      </c>
      <c r="C144" s="8">
        <v>301000</v>
      </c>
      <c r="D144" s="8">
        <v>0</v>
      </c>
      <c r="E144" s="8">
        <f t="shared" si="2"/>
        <v>65672254.899999976</v>
      </c>
      <c r="F144" s="2" t="s">
        <v>115</v>
      </c>
      <c r="G144" t="s">
        <v>120</v>
      </c>
      <c r="H144" t="s">
        <v>255</v>
      </c>
    </row>
    <row r="145" spans="1:9">
      <c r="A145" s="3">
        <v>44225</v>
      </c>
      <c r="B145" s="7" t="s">
        <v>236</v>
      </c>
      <c r="C145" s="8">
        <v>18100000</v>
      </c>
      <c r="D145" s="8">
        <v>0</v>
      </c>
      <c r="E145" s="8">
        <f t="shared" si="2"/>
        <v>47572254.899999976</v>
      </c>
      <c r="F145" s="2" t="s">
        <v>137</v>
      </c>
      <c r="G145" t="s">
        <v>138</v>
      </c>
      <c r="H145" t="s">
        <v>173</v>
      </c>
    </row>
    <row r="146" spans="1:9">
      <c r="A146" s="3">
        <v>44225</v>
      </c>
      <c r="B146" s="7" t="s">
        <v>237</v>
      </c>
      <c r="C146" s="8">
        <v>15000000</v>
      </c>
      <c r="D146" s="8">
        <v>0</v>
      </c>
      <c r="E146" s="8">
        <f t="shared" si="2"/>
        <v>32572254.899999976</v>
      </c>
      <c r="F146" s="2" t="s">
        <v>115</v>
      </c>
      <c r="G146" t="s">
        <v>120</v>
      </c>
      <c r="H146" t="s">
        <v>131</v>
      </c>
    </row>
    <row r="147" spans="1:9">
      <c r="A147" s="3">
        <v>44225</v>
      </c>
      <c r="B147" s="7" t="s">
        <v>238</v>
      </c>
      <c r="C147" s="8">
        <v>0</v>
      </c>
      <c r="D147" s="8">
        <v>23000000</v>
      </c>
      <c r="E147" s="8">
        <f t="shared" si="2"/>
        <v>55572254.899999976</v>
      </c>
      <c r="F147" s="2" t="s">
        <v>107</v>
      </c>
      <c r="G147" t="s">
        <v>108</v>
      </c>
    </row>
    <row r="148" spans="1:9">
      <c r="A148" s="3">
        <v>44227</v>
      </c>
      <c r="B148" t="s">
        <v>239</v>
      </c>
      <c r="C148" s="8">
        <v>0</v>
      </c>
      <c r="D148" s="8">
        <v>61.47</v>
      </c>
      <c r="E148" s="8">
        <f t="shared" si="2"/>
        <v>55572316.369999975</v>
      </c>
      <c r="F148" s="2" t="s">
        <v>252</v>
      </c>
      <c r="G148" t="s">
        <v>253</v>
      </c>
    </row>
    <row r="149" spans="1:9">
      <c r="A149" s="3">
        <v>44227</v>
      </c>
      <c r="B149" t="s">
        <v>240</v>
      </c>
      <c r="C149" s="8">
        <v>0</v>
      </c>
      <c r="D149" s="8">
        <v>4497.08</v>
      </c>
      <c r="E149" s="8">
        <f t="shared" si="2"/>
        <v>55576813.449999973</v>
      </c>
      <c r="F149" s="2" t="s">
        <v>252</v>
      </c>
      <c r="G149" t="s">
        <v>253</v>
      </c>
    </row>
    <row r="150" spans="1:9">
      <c r="A150" s="3">
        <v>44227</v>
      </c>
      <c r="B150" t="s">
        <v>241</v>
      </c>
      <c r="C150" s="8">
        <v>911.71</v>
      </c>
      <c r="D150" s="8">
        <v>0</v>
      </c>
      <c r="E150" s="8">
        <f t="shared" si="2"/>
        <v>55575901.739999972</v>
      </c>
      <c r="F150" s="2" t="s">
        <v>252</v>
      </c>
      <c r="G150" t="s">
        <v>253</v>
      </c>
    </row>
    <row r="151" spans="1:9">
      <c r="A151" s="3">
        <v>44228</v>
      </c>
      <c r="B151" t="s">
        <v>278</v>
      </c>
      <c r="C151" s="8">
        <v>0</v>
      </c>
      <c r="D151" s="8">
        <v>19000000</v>
      </c>
      <c r="E151" s="8">
        <f t="shared" si="2"/>
        <v>74575901.73999998</v>
      </c>
      <c r="F151" s="2" t="s">
        <v>107</v>
      </c>
      <c r="G151" t="s">
        <v>254</v>
      </c>
    </row>
    <row r="152" spans="1:9">
      <c r="A152" s="3">
        <v>44228</v>
      </c>
      <c r="B152" t="s">
        <v>242</v>
      </c>
      <c r="C152" s="8">
        <v>10000000</v>
      </c>
      <c r="D152" s="8">
        <v>0</v>
      </c>
      <c r="E152" s="8">
        <f t="shared" si="2"/>
        <v>64575901.73999998</v>
      </c>
      <c r="F152" s="2" t="s">
        <v>137</v>
      </c>
      <c r="G152" t="s">
        <v>138</v>
      </c>
      <c r="H152" t="s">
        <v>251</v>
      </c>
    </row>
    <row r="153" spans="1:9">
      <c r="A153" s="3">
        <v>44228</v>
      </c>
      <c r="B153" t="s">
        <v>7</v>
      </c>
      <c r="C153" s="8">
        <v>2900</v>
      </c>
      <c r="D153" s="8">
        <v>0</v>
      </c>
      <c r="E153" s="8">
        <f t="shared" si="2"/>
        <v>64573001.73999998</v>
      </c>
      <c r="F153" s="2" t="s">
        <v>113</v>
      </c>
      <c r="G153" t="s">
        <v>114</v>
      </c>
    </row>
    <row r="154" spans="1:9">
      <c r="A154" s="3">
        <v>44228</v>
      </c>
      <c r="B154" t="s">
        <v>243</v>
      </c>
      <c r="C154" s="8">
        <v>16000000</v>
      </c>
      <c r="D154" s="8">
        <v>0</v>
      </c>
      <c r="E154" s="8">
        <f t="shared" si="2"/>
        <v>48573001.73999998</v>
      </c>
      <c r="F154" s="2" t="s">
        <v>137</v>
      </c>
      <c r="G154" t="s">
        <v>138</v>
      </c>
      <c r="H154" t="s">
        <v>251</v>
      </c>
    </row>
    <row r="155" spans="1:9">
      <c r="A155" s="3">
        <v>44228</v>
      </c>
      <c r="B155" t="s">
        <v>7</v>
      </c>
      <c r="C155" s="8">
        <v>2900</v>
      </c>
      <c r="D155" s="8">
        <v>0</v>
      </c>
      <c r="E155" s="8">
        <f t="shared" si="2"/>
        <v>48570101.73999998</v>
      </c>
      <c r="F155" s="2" t="s">
        <v>113</v>
      </c>
      <c r="G155" t="s">
        <v>114</v>
      </c>
    </row>
    <row r="156" spans="1:9">
      <c r="A156" s="3">
        <v>44228</v>
      </c>
      <c r="B156" t="s">
        <v>275</v>
      </c>
      <c r="C156" s="8">
        <v>0</v>
      </c>
      <c r="D156" s="8">
        <v>113500000</v>
      </c>
      <c r="E156" s="8">
        <f t="shared" si="2"/>
        <v>162070101.73999998</v>
      </c>
      <c r="F156" s="2" t="s">
        <v>107</v>
      </c>
      <c r="G156" t="s">
        <v>108</v>
      </c>
    </row>
    <row r="157" spans="1:9">
      <c r="A157" s="3">
        <v>44228</v>
      </c>
      <c r="B157" t="s">
        <v>276</v>
      </c>
      <c r="C157" s="8">
        <v>95375000</v>
      </c>
      <c r="D157" s="8">
        <v>0</v>
      </c>
      <c r="E157" s="8">
        <f t="shared" si="2"/>
        <v>66695101.73999998</v>
      </c>
      <c r="F157" s="2" t="s">
        <v>115</v>
      </c>
      <c r="G157" t="s">
        <v>120</v>
      </c>
      <c r="H157" t="s">
        <v>131</v>
      </c>
    </row>
    <row r="158" spans="1:9">
      <c r="A158" s="3">
        <v>44228</v>
      </c>
      <c r="B158" t="s">
        <v>277</v>
      </c>
      <c r="C158" s="8">
        <v>59300000</v>
      </c>
      <c r="D158" s="8">
        <v>0</v>
      </c>
      <c r="E158" s="8">
        <f t="shared" si="2"/>
        <v>7395101.7399999797</v>
      </c>
      <c r="F158" s="2" t="s">
        <v>115</v>
      </c>
      <c r="G158" t="s">
        <v>120</v>
      </c>
      <c r="H158" t="s">
        <v>131</v>
      </c>
    </row>
    <row r="159" spans="1:9">
      <c r="A159" s="3">
        <v>44229</v>
      </c>
      <c r="B159" s="7" t="s">
        <v>287</v>
      </c>
      <c r="C159" s="8">
        <v>0</v>
      </c>
      <c r="D159" s="8">
        <v>807500</v>
      </c>
      <c r="E159" s="8">
        <f t="shared" si="2"/>
        <v>8202601.7399999797</v>
      </c>
      <c r="F159" s="2" t="s">
        <v>110</v>
      </c>
      <c r="G159" t="s">
        <v>118</v>
      </c>
      <c r="H159" t="s">
        <v>128</v>
      </c>
      <c r="I159" s="124" t="s">
        <v>64</v>
      </c>
    </row>
    <row r="160" spans="1:9">
      <c r="A160" s="3">
        <v>44230</v>
      </c>
      <c r="B160" s="7" t="s">
        <v>24</v>
      </c>
      <c r="C160" s="8">
        <v>2994000</v>
      </c>
      <c r="D160" s="8">
        <v>0</v>
      </c>
      <c r="E160" s="8">
        <f t="shared" si="2"/>
        <v>5208601.7399999797</v>
      </c>
      <c r="F160" s="2" t="s">
        <v>107</v>
      </c>
      <c r="G160" t="s">
        <v>129</v>
      </c>
    </row>
    <row r="161" spans="1:12">
      <c r="A161" s="3">
        <v>44230</v>
      </c>
      <c r="B161" s="7" t="s">
        <v>288</v>
      </c>
      <c r="C161" s="8">
        <v>400000</v>
      </c>
      <c r="D161" s="8">
        <v>0</v>
      </c>
      <c r="E161" s="8">
        <f t="shared" si="2"/>
        <v>4808601.7399999797</v>
      </c>
      <c r="F161" s="2" t="s">
        <v>137</v>
      </c>
      <c r="G161" t="s">
        <v>138</v>
      </c>
      <c r="H161" t="s">
        <v>173</v>
      </c>
      <c r="I161" t="s">
        <v>64</v>
      </c>
      <c r="J161" t="s">
        <v>4150</v>
      </c>
      <c r="K161" t="s">
        <v>623</v>
      </c>
      <c r="L161">
        <v>2021</v>
      </c>
    </row>
    <row r="162" spans="1:12">
      <c r="A162" s="3">
        <v>44230</v>
      </c>
      <c r="B162" s="7" t="s">
        <v>289</v>
      </c>
      <c r="C162" s="8">
        <v>976500</v>
      </c>
      <c r="D162" s="8">
        <v>0</v>
      </c>
      <c r="E162" s="8">
        <f t="shared" si="2"/>
        <v>3832101.7399999797</v>
      </c>
      <c r="F162" s="2" t="s">
        <v>319</v>
      </c>
      <c r="G162" t="s">
        <v>320</v>
      </c>
    </row>
    <row r="163" spans="1:12">
      <c r="A163" s="3">
        <v>44230</v>
      </c>
      <c r="B163" s="7" t="s">
        <v>290</v>
      </c>
      <c r="C163" s="8">
        <v>1000000</v>
      </c>
      <c r="D163" s="8">
        <v>0</v>
      </c>
      <c r="E163" s="8">
        <f t="shared" si="2"/>
        <v>2832101.7399999797</v>
      </c>
      <c r="F163" s="2" t="s">
        <v>319</v>
      </c>
      <c r="G163" t="s">
        <v>1016</v>
      </c>
    </row>
    <row r="164" spans="1:12">
      <c r="A164" s="3">
        <v>44230</v>
      </c>
      <c r="B164" s="7" t="s">
        <v>291</v>
      </c>
      <c r="C164" s="8">
        <v>0</v>
      </c>
      <c r="D164" s="8">
        <v>1569216</v>
      </c>
      <c r="E164" s="8">
        <f t="shared" si="2"/>
        <v>4401317.7399999797</v>
      </c>
      <c r="F164" s="2" t="s">
        <v>107</v>
      </c>
      <c r="G164" t="s">
        <v>668</v>
      </c>
      <c r="H164" t="s">
        <v>677</v>
      </c>
    </row>
    <row r="165" spans="1:12">
      <c r="A165" s="3">
        <v>44230</v>
      </c>
      <c r="B165" s="7" t="s">
        <v>292</v>
      </c>
      <c r="C165" s="8">
        <v>0</v>
      </c>
      <c r="D165" s="8">
        <v>5000000</v>
      </c>
      <c r="E165" s="8">
        <f t="shared" si="2"/>
        <v>9401317.7399999797</v>
      </c>
      <c r="F165" s="2" t="s">
        <v>107</v>
      </c>
      <c r="G165" t="s">
        <v>668</v>
      </c>
      <c r="H165" t="s">
        <v>667</v>
      </c>
      <c r="I165" t="s">
        <v>64</v>
      </c>
    </row>
    <row r="166" spans="1:12">
      <c r="A166" s="3">
        <v>44232</v>
      </c>
      <c r="B166" s="7" t="s">
        <v>293</v>
      </c>
      <c r="C166" s="8">
        <v>0</v>
      </c>
      <c r="D166" s="8">
        <v>141200</v>
      </c>
      <c r="E166" s="8">
        <f t="shared" si="2"/>
        <v>9542517.7399999797</v>
      </c>
      <c r="F166" s="2" t="s">
        <v>110</v>
      </c>
      <c r="G166" t="s">
        <v>118</v>
      </c>
      <c r="H166" t="s">
        <v>119</v>
      </c>
    </row>
    <row r="167" spans="1:12">
      <c r="A167" s="3">
        <v>44235</v>
      </c>
      <c r="B167" s="7" t="s">
        <v>294</v>
      </c>
      <c r="C167" s="8">
        <v>0</v>
      </c>
      <c r="D167" s="8">
        <v>100000000</v>
      </c>
      <c r="E167" s="8">
        <f t="shared" si="2"/>
        <v>109542517.73999998</v>
      </c>
      <c r="F167" s="2" t="s">
        <v>110</v>
      </c>
      <c r="G167" t="s">
        <v>188</v>
      </c>
      <c r="H167" t="s">
        <v>322</v>
      </c>
      <c r="I167">
        <v>11</v>
      </c>
    </row>
    <row r="168" spans="1:12">
      <c r="A168" s="3">
        <v>44235</v>
      </c>
      <c r="B168" s="7" t="s">
        <v>295</v>
      </c>
      <c r="C168" s="8">
        <v>1000000</v>
      </c>
      <c r="D168" s="8">
        <v>0</v>
      </c>
      <c r="E168" s="8">
        <f t="shared" si="2"/>
        <v>108542517.73999998</v>
      </c>
      <c r="F168" s="2" t="s">
        <v>137</v>
      </c>
      <c r="G168" t="s">
        <v>138</v>
      </c>
      <c r="H168" t="s">
        <v>175</v>
      </c>
    </row>
    <row r="169" spans="1:12">
      <c r="A169" s="3">
        <v>44235</v>
      </c>
      <c r="B169" s="7" t="s">
        <v>296</v>
      </c>
      <c r="C169" s="8">
        <v>3500000</v>
      </c>
      <c r="D169" s="8">
        <v>0</v>
      </c>
      <c r="E169" s="8">
        <f t="shared" si="2"/>
        <v>105042517.73999998</v>
      </c>
      <c r="F169" s="2" t="s">
        <v>137</v>
      </c>
      <c r="G169" t="s">
        <v>138</v>
      </c>
      <c r="H169" t="s">
        <v>173</v>
      </c>
    </row>
    <row r="170" spans="1:12">
      <c r="A170" s="3">
        <v>44235</v>
      </c>
      <c r="B170" s="7" t="s">
        <v>297</v>
      </c>
      <c r="C170" s="8">
        <v>750000</v>
      </c>
      <c r="D170" s="8">
        <v>0</v>
      </c>
      <c r="E170" s="8">
        <f t="shared" si="2"/>
        <v>104292517.73999998</v>
      </c>
      <c r="F170" s="2" t="s">
        <v>137</v>
      </c>
      <c r="G170" t="s">
        <v>138</v>
      </c>
      <c r="H170" t="s">
        <v>3029</v>
      </c>
    </row>
    <row r="171" spans="1:12">
      <c r="A171" s="3">
        <v>44235</v>
      </c>
      <c r="B171" s="7" t="s">
        <v>298</v>
      </c>
      <c r="C171" s="8">
        <v>1500000</v>
      </c>
      <c r="D171" s="8">
        <v>0</v>
      </c>
      <c r="E171" s="8">
        <f t="shared" si="2"/>
        <v>102792517.73999998</v>
      </c>
      <c r="F171" s="2" t="s">
        <v>137</v>
      </c>
      <c r="G171" t="s">
        <v>138</v>
      </c>
      <c r="H171" t="s">
        <v>245</v>
      </c>
    </row>
    <row r="172" spans="1:12">
      <c r="A172" s="3">
        <v>44235</v>
      </c>
      <c r="B172" s="7" t="s">
        <v>2461</v>
      </c>
      <c r="C172" s="8">
        <v>500000</v>
      </c>
      <c r="D172" s="8">
        <v>0</v>
      </c>
      <c r="E172" s="8">
        <f t="shared" si="2"/>
        <v>102292517.73999998</v>
      </c>
      <c r="F172" s="2" t="s">
        <v>137</v>
      </c>
      <c r="G172" t="s">
        <v>138</v>
      </c>
      <c r="H172" s="168" t="s">
        <v>393</v>
      </c>
      <c r="I172" t="s">
        <v>64</v>
      </c>
      <c r="J172" t="s">
        <v>4150</v>
      </c>
      <c r="K172" t="s">
        <v>462</v>
      </c>
      <c r="L172">
        <v>2021</v>
      </c>
    </row>
    <row r="173" spans="1:12">
      <c r="A173" s="3">
        <v>44235</v>
      </c>
      <c r="B173" s="7" t="s">
        <v>299</v>
      </c>
      <c r="C173" s="8">
        <v>650000</v>
      </c>
      <c r="D173" s="8">
        <v>0</v>
      </c>
      <c r="E173" s="8">
        <f t="shared" si="2"/>
        <v>101642517.73999998</v>
      </c>
      <c r="F173" s="2" t="s">
        <v>137</v>
      </c>
      <c r="G173" t="s">
        <v>138</v>
      </c>
      <c r="H173" t="s">
        <v>173</v>
      </c>
      <c r="I173" t="s">
        <v>64</v>
      </c>
      <c r="J173" t="s">
        <v>4150</v>
      </c>
      <c r="K173" t="s">
        <v>462</v>
      </c>
      <c r="L173">
        <v>2021</v>
      </c>
    </row>
    <row r="174" spans="1:12">
      <c r="A174" s="3">
        <v>44235</v>
      </c>
      <c r="B174" s="7" t="s">
        <v>300</v>
      </c>
      <c r="C174" s="8">
        <v>1000000</v>
      </c>
      <c r="D174" s="8">
        <v>0</v>
      </c>
      <c r="E174" s="8">
        <f t="shared" si="2"/>
        <v>100642517.73999998</v>
      </c>
      <c r="F174" s="2" t="s">
        <v>137</v>
      </c>
      <c r="G174" t="s">
        <v>138</v>
      </c>
      <c r="H174" t="s">
        <v>173</v>
      </c>
    </row>
    <row r="175" spans="1:12">
      <c r="A175" s="3">
        <v>44235</v>
      </c>
      <c r="B175" s="7" t="s">
        <v>2462</v>
      </c>
      <c r="C175" s="8">
        <v>2500000</v>
      </c>
      <c r="D175" s="8">
        <v>0</v>
      </c>
      <c r="E175" s="8">
        <f t="shared" si="2"/>
        <v>98142517.73999998</v>
      </c>
      <c r="F175" s="2" t="s">
        <v>137</v>
      </c>
      <c r="G175" t="s">
        <v>138</v>
      </c>
      <c r="H175" t="s">
        <v>175</v>
      </c>
    </row>
    <row r="176" spans="1:12">
      <c r="A176" s="3">
        <v>44235</v>
      </c>
      <c r="B176" s="7" t="s">
        <v>301</v>
      </c>
      <c r="C176" s="8">
        <v>10000000</v>
      </c>
      <c r="D176" s="8">
        <v>0</v>
      </c>
      <c r="E176" s="8">
        <f t="shared" si="2"/>
        <v>88142517.73999998</v>
      </c>
      <c r="F176" s="2" t="s">
        <v>137</v>
      </c>
      <c r="G176" t="s">
        <v>138</v>
      </c>
      <c r="H176" t="s">
        <v>173</v>
      </c>
    </row>
    <row r="177" spans="1:8">
      <c r="A177" s="3">
        <v>44235</v>
      </c>
      <c r="B177" s="7" t="s">
        <v>302</v>
      </c>
      <c r="C177" s="8">
        <v>3500000</v>
      </c>
      <c r="D177" s="8">
        <v>0</v>
      </c>
      <c r="E177" s="8">
        <f t="shared" si="2"/>
        <v>84642517.73999998</v>
      </c>
      <c r="F177" s="2" t="s">
        <v>137</v>
      </c>
      <c r="G177" t="s">
        <v>138</v>
      </c>
      <c r="H177" t="s">
        <v>175</v>
      </c>
    </row>
    <row r="178" spans="1:8">
      <c r="A178" s="3">
        <v>44235</v>
      </c>
      <c r="B178" s="7" t="s">
        <v>303</v>
      </c>
      <c r="C178" s="8">
        <v>7300000</v>
      </c>
      <c r="D178" s="8">
        <v>0</v>
      </c>
      <c r="E178" s="8">
        <f t="shared" si="2"/>
        <v>77342517.73999998</v>
      </c>
      <c r="F178" s="2" t="s">
        <v>137</v>
      </c>
      <c r="G178" t="s">
        <v>138</v>
      </c>
      <c r="H178" t="s">
        <v>245</v>
      </c>
    </row>
    <row r="179" spans="1:8">
      <c r="A179" s="3">
        <v>44235</v>
      </c>
      <c r="B179" s="7" t="s">
        <v>304</v>
      </c>
      <c r="C179" s="8">
        <v>3180000</v>
      </c>
      <c r="D179" s="8">
        <v>0</v>
      </c>
      <c r="E179" s="8">
        <f t="shared" si="2"/>
        <v>74162517.73999998</v>
      </c>
      <c r="F179" s="2" t="s">
        <v>248</v>
      </c>
      <c r="G179" t="s">
        <v>130</v>
      </c>
      <c r="H179" t="s">
        <v>623</v>
      </c>
    </row>
    <row r="180" spans="1:8">
      <c r="A180" s="3">
        <v>44235</v>
      </c>
      <c r="B180" s="7" t="s">
        <v>305</v>
      </c>
      <c r="C180" s="8">
        <v>845000</v>
      </c>
      <c r="D180" s="8">
        <v>0</v>
      </c>
      <c r="E180" s="8">
        <f t="shared" si="2"/>
        <v>73317517.73999998</v>
      </c>
      <c r="F180" s="2" t="s">
        <v>248</v>
      </c>
      <c r="G180" t="s">
        <v>130</v>
      </c>
      <c r="H180" t="s">
        <v>2083</v>
      </c>
    </row>
    <row r="181" spans="1:8">
      <c r="A181" s="3">
        <v>44235</v>
      </c>
      <c r="B181" s="7" t="s">
        <v>306</v>
      </c>
      <c r="C181" s="8">
        <v>630000</v>
      </c>
      <c r="D181" s="8">
        <v>0</v>
      </c>
      <c r="E181" s="8">
        <f t="shared" si="2"/>
        <v>72687517.73999998</v>
      </c>
      <c r="F181" s="2" t="s">
        <v>248</v>
      </c>
      <c r="G181" t="s">
        <v>130</v>
      </c>
      <c r="H181" t="s">
        <v>625</v>
      </c>
    </row>
    <row r="182" spans="1:8">
      <c r="A182" s="3">
        <v>44235</v>
      </c>
      <c r="B182" s="7" t="s">
        <v>24</v>
      </c>
      <c r="C182" s="8">
        <v>2882583</v>
      </c>
      <c r="D182" s="8">
        <v>0</v>
      </c>
      <c r="E182" s="8">
        <f t="shared" si="2"/>
        <v>69804934.73999998</v>
      </c>
      <c r="F182" s="2" t="s">
        <v>107</v>
      </c>
      <c r="G182" t="s">
        <v>129</v>
      </c>
    </row>
    <row r="183" spans="1:8">
      <c r="A183" s="3">
        <v>44235</v>
      </c>
      <c r="B183" s="7" t="s">
        <v>307</v>
      </c>
      <c r="C183" s="8">
        <v>3056000</v>
      </c>
      <c r="D183" s="8">
        <v>0</v>
      </c>
      <c r="E183" s="8">
        <f t="shared" si="2"/>
        <v>66748934.73999998</v>
      </c>
      <c r="F183" s="2" t="s">
        <v>137</v>
      </c>
      <c r="G183" t="s">
        <v>138</v>
      </c>
      <c r="H183" s="168" t="s">
        <v>393</v>
      </c>
    </row>
    <row r="184" spans="1:8">
      <c r="A184" s="3">
        <v>44235</v>
      </c>
      <c r="B184" s="7" t="s">
        <v>308</v>
      </c>
      <c r="C184" s="8">
        <v>3746260</v>
      </c>
      <c r="D184" s="8">
        <v>0</v>
      </c>
      <c r="E184" s="8">
        <f t="shared" si="2"/>
        <v>63002674.73999998</v>
      </c>
      <c r="F184" s="2" t="s">
        <v>137</v>
      </c>
      <c r="G184" t="s">
        <v>138</v>
      </c>
      <c r="H184" t="s">
        <v>3029</v>
      </c>
    </row>
    <row r="185" spans="1:8">
      <c r="A185" s="3">
        <v>44235</v>
      </c>
      <c r="B185" s="7" t="s">
        <v>309</v>
      </c>
      <c r="C185" s="8">
        <v>522000</v>
      </c>
      <c r="D185" s="8">
        <v>0</v>
      </c>
      <c r="E185" s="8">
        <f t="shared" si="2"/>
        <v>62480674.73999998</v>
      </c>
      <c r="F185" s="2" t="s">
        <v>115</v>
      </c>
      <c r="G185" t="s">
        <v>439</v>
      </c>
      <c r="H185" t="s">
        <v>119</v>
      </c>
    </row>
    <row r="186" spans="1:8">
      <c r="A186" s="3">
        <v>44235</v>
      </c>
      <c r="B186" s="7" t="s">
        <v>310</v>
      </c>
      <c r="C186" s="8">
        <v>2500000</v>
      </c>
      <c r="D186" s="8">
        <v>0</v>
      </c>
      <c r="E186" s="8">
        <f t="shared" si="2"/>
        <v>59980674.73999998</v>
      </c>
      <c r="F186" s="2" t="s">
        <v>137</v>
      </c>
      <c r="G186" t="s">
        <v>138</v>
      </c>
      <c r="H186" t="s">
        <v>175</v>
      </c>
    </row>
    <row r="187" spans="1:8">
      <c r="A187" s="3">
        <v>44235</v>
      </c>
      <c r="B187" s="7" t="s">
        <v>311</v>
      </c>
      <c r="C187" s="8">
        <v>2000000</v>
      </c>
      <c r="D187" s="8">
        <v>0</v>
      </c>
      <c r="E187" s="8">
        <f t="shared" si="2"/>
        <v>57980674.73999998</v>
      </c>
      <c r="F187" s="2" t="s">
        <v>137</v>
      </c>
      <c r="G187" t="s">
        <v>138</v>
      </c>
      <c r="H187" s="168" t="s">
        <v>393</v>
      </c>
    </row>
    <row r="188" spans="1:8">
      <c r="A188" s="3">
        <v>44235</v>
      </c>
      <c r="B188" s="7" t="s">
        <v>312</v>
      </c>
      <c r="C188" s="8">
        <v>4000000</v>
      </c>
      <c r="D188" s="8">
        <v>0</v>
      </c>
      <c r="E188" s="8">
        <f t="shared" si="2"/>
        <v>53980674.73999998</v>
      </c>
      <c r="F188" s="2" t="s">
        <v>137</v>
      </c>
      <c r="G188" t="s">
        <v>138</v>
      </c>
      <c r="H188" t="s">
        <v>173</v>
      </c>
    </row>
    <row r="189" spans="1:8">
      <c r="A189" s="3">
        <v>44235</v>
      </c>
      <c r="B189" s="7" t="s">
        <v>313</v>
      </c>
      <c r="C189" s="8">
        <v>3900000</v>
      </c>
      <c r="D189" s="8">
        <v>0</v>
      </c>
      <c r="E189" s="8">
        <f t="shared" si="2"/>
        <v>50080674.73999998</v>
      </c>
      <c r="F189" s="2" t="s">
        <v>137</v>
      </c>
      <c r="G189" t="s">
        <v>138</v>
      </c>
      <c r="H189" t="s">
        <v>173</v>
      </c>
    </row>
    <row r="190" spans="1:8">
      <c r="A190" s="3">
        <v>44235</v>
      </c>
      <c r="B190" s="7" t="s">
        <v>314</v>
      </c>
      <c r="C190" s="8">
        <v>793259</v>
      </c>
      <c r="D190" s="8">
        <v>0</v>
      </c>
      <c r="E190" s="8">
        <f t="shared" si="2"/>
        <v>49287415.73999998</v>
      </c>
      <c r="F190" s="2" t="s">
        <v>137</v>
      </c>
      <c r="G190" t="s">
        <v>138</v>
      </c>
      <c r="H190" t="s">
        <v>251</v>
      </c>
    </row>
    <row r="191" spans="1:8">
      <c r="A191" s="3">
        <v>44235</v>
      </c>
      <c r="B191" s="7" t="s">
        <v>315</v>
      </c>
      <c r="C191" s="8">
        <v>7875000</v>
      </c>
      <c r="D191" s="8">
        <v>0</v>
      </c>
      <c r="E191" s="8">
        <f t="shared" si="2"/>
        <v>41412415.73999998</v>
      </c>
      <c r="F191" s="2" t="s">
        <v>115</v>
      </c>
      <c r="G191" t="s">
        <v>120</v>
      </c>
      <c r="H191" t="s">
        <v>133</v>
      </c>
    </row>
    <row r="192" spans="1:8">
      <c r="A192" s="3">
        <v>44235</v>
      </c>
      <c r="B192" s="7" t="s">
        <v>316</v>
      </c>
      <c r="C192" s="8">
        <v>7500000</v>
      </c>
      <c r="D192" s="8">
        <v>0</v>
      </c>
      <c r="E192" s="8">
        <f t="shared" si="2"/>
        <v>33912415.73999998</v>
      </c>
      <c r="F192" s="2" t="s">
        <v>137</v>
      </c>
      <c r="G192" t="s">
        <v>138</v>
      </c>
      <c r="H192" t="s">
        <v>173</v>
      </c>
    </row>
    <row r="193" spans="1:12">
      <c r="A193" s="3">
        <v>44235</v>
      </c>
      <c r="B193" s="7" t="s">
        <v>317</v>
      </c>
      <c r="C193" s="8">
        <v>3000000</v>
      </c>
      <c r="D193" s="8">
        <v>0</v>
      </c>
      <c r="E193" s="8">
        <f t="shared" si="2"/>
        <v>30912415.73999998</v>
      </c>
      <c r="F193" s="2" t="s">
        <v>137</v>
      </c>
      <c r="G193" t="s">
        <v>138</v>
      </c>
      <c r="H193" s="168" t="s">
        <v>393</v>
      </c>
    </row>
    <row r="194" spans="1:12">
      <c r="A194" s="3">
        <v>44235</v>
      </c>
      <c r="B194" s="7" t="s">
        <v>318</v>
      </c>
      <c r="C194" s="8">
        <v>900000</v>
      </c>
      <c r="D194" s="8">
        <v>0</v>
      </c>
      <c r="E194" s="8">
        <f t="shared" si="2"/>
        <v>30012415.73999998</v>
      </c>
      <c r="F194" s="2" t="s">
        <v>115</v>
      </c>
      <c r="G194" t="s">
        <v>120</v>
      </c>
      <c r="H194" t="s">
        <v>127</v>
      </c>
      <c r="I194" t="s">
        <v>444</v>
      </c>
      <c r="J194" t="s">
        <v>4150</v>
      </c>
      <c r="K194" t="s">
        <v>128</v>
      </c>
      <c r="L194">
        <v>2020</v>
      </c>
    </row>
    <row r="195" spans="1:12">
      <c r="A195" s="3">
        <v>44235</v>
      </c>
      <c r="B195" s="7" t="s">
        <v>339</v>
      </c>
      <c r="C195" s="8">
        <v>671000</v>
      </c>
      <c r="D195" s="8">
        <v>0</v>
      </c>
      <c r="E195" s="8">
        <f t="shared" si="2"/>
        <v>29341415.73999998</v>
      </c>
      <c r="F195" s="83" t="s">
        <v>107</v>
      </c>
      <c r="G195" s="14" t="s">
        <v>250</v>
      </c>
    </row>
    <row r="196" spans="1:12">
      <c r="A196" s="3">
        <v>44235</v>
      </c>
      <c r="B196" t="s">
        <v>7</v>
      </c>
      <c r="C196" s="8">
        <v>2900</v>
      </c>
      <c r="D196" s="8">
        <v>0</v>
      </c>
      <c r="E196" s="8">
        <f t="shared" si="2"/>
        <v>29338515.73999998</v>
      </c>
      <c r="F196" s="2" t="s">
        <v>113</v>
      </c>
      <c r="G196" t="s">
        <v>114</v>
      </c>
    </row>
    <row r="197" spans="1:12">
      <c r="A197" s="3">
        <v>44235</v>
      </c>
      <c r="B197" s="7" t="s">
        <v>340</v>
      </c>
      <c r="C197" s="8">
        <v>1309046</v>
      </c>
      <c r="D197" s="8">
        <v>0</v>
      </c>
      <c r="E197" s="8">
        <f t="shared" si="2"/>
        <v>28029469.73999998</v>
      </c>
      <c r="F197" s="83" t="s">
        <v>107</v>
      </c>
      <c r="G197" s="14" t="s">
        <v>250</v>
      </c>
    </row>
    <row r="198" spans="1:12">
      <c r="A198" s="3">
        <v>44235</v>
      </c>
      <c r="B198" t="s">
        <v>7</v>
      </c>
      <c r="C198" s="8">
        <v>2900</v>
      </c>
      <c r="D198" s="8">
        <v>0</v>
      </c>
      <c r="E198" s="8">
        <f t="shared" si="2"/>
        <v>28026569.73999998</v>
      </c>
      <c r="F198" s="2" t="s">
        <v>113</v>
      </c>
      <c r="G198" t="s">
        <v>114</v>
      </c>
    </row>
    <row r="199" spans="1:12">
      <c r="A199" s="3">
        <v>44235</v>
      </c>
      <c r="B199" t="s">
        <v>341</v>
      </c>
      <c r="C199" s="8">
        <v>0</v>
      </c>
      <c r="D199" s="8">
        <v>1309046</v>
      </c>
      <c r="E199" s="8">
        <f t="shared" ref="E199:E266" si="3">E198-C199+D199</f>
        <v>29335615.73999998</v>
      </c>
      <c r="F199" s="83" t="s">
        <v>107</v>
      </c>
      <c r="G199" s="14" t="s">
        <v>250</v>
      </c>
    </row>
    <row r="200" spans="1:12">
      <c r="A200" s="3">
        <v>44235</v>
      </c>
      <c r="B200" t="s">
        <v>342</v>
      </c>
      <c r="C200" s="8">
        <v>0</v>
      </c>
      <c r="D200" s="8">
        <v>671000</v>
      </c>
      <c r="E200" s="8">
        <f t="shared" si="3"/>
        <v>30006615.73999998</v>
      </c>
      <c r="F200" s="83" t="s">
        <v>107</v>
      </c>
      <c r="G200" s="14" t="s">
        <v>250</v>
      </c>
    </row>
    <row r="201" spans="1:12">
      <c r="A201" s="3">
        <v>44236</v>
      </c>
      <c r="B201" s="7" t="s">
        <v>343</v>
      </c>
      <c r="C201" s="8">
        <v>1600000</v>
      </c>
      <c r="D201" s="8">
        <v>0</v>
      </c>
      <c r="E201" s="8">
        <f t="shared" si="3"/>
        <v>28406615.73999998</v>
      </c>
      <c r="F201" s="2" t="s">
        <v>115</v>
      </c>
      <c r="G201" t="s">
        <v>120</v>
      </c>
      <c r="H201" t="s">
        <v>372</v>
      </c>
      <c r="I201" t="s">
        <v>64</v>
      </c>
      <c r="J201" t="s">
        <v>4150</v>
      </c>
      <c r="K201" t="s">
        <v>458</v>
      </c>
      <c r="L201">
        <v>2020</v>
      </c>
    </row>
    <row r="202" spans="1:12">
      <c r="A202" s="3">
        <v>44236</v>
      </c>
      <c r="B202" s="7" t="s">
        <v>344</v>
      </c>
      <c r="C202" s="8">
        <v>1050000</v>
      </c>
      <c r="D202" s="8">
        <v>0</v>
      </c>
      <c r="E202" s="8">
        <f t="shared" si="3"/>
        <v>27356615.73999998</v>
      </c>
      <c r="F202" s="2" t="s">
        <v>115</v>
      </c>
      <c r="G202" t="s">
        <v>120</v>
      </c>
      <c r="H202" t="s">
        <v>373</v>
      </c>
      <c r="I202" t="s">
        <v>64</v>
      </c>
      <c r="J202" t="s">
        <v>4150</v>
      </c>
      <c r="K202" t="s">
        <v>458</v>
      </c>
      <c r="L202">
        <v>2020</v>
      </c>
    </row>
    <row r="203" spans="1:12">
      <c r="A203" s="3">
        <v>44236</v>
      </c>
      <c r="B203" s="7" t="s">
        <v>345</v>
      </c>
      <c r="C203" s="8">
        <v>1750000</v>
      </c>
      <c r="D203" s="8">
        <v>0</v>
      </c>
      <c r="E203" s="8">
        <f t="shared" si="3"/>
        <v>25606615.73999998</v>
      </c>
      <c r="F203" s="2" t="s">
        <v>115</v>
      </c>
      <c r="G203" t="s">
        <v>120</v>
      </c>
      <c r="H203" t="s">
        <v>374</v>
      </c>
      <c r="I203" t="s">
        <v>64</v>
      </c>
      <c r="J203" t="s">
        <v>4150</v>
      </c>
      <c r="K203" t="s">
        <v>458</v>
      </c>
      <c r="L203">
        <v>2020</v>
      </c>
    </row>
    <row r="204" spans="1:12">
      <c r="A204" s="3">
        <v>44236</v>
      </c>
      <c r="B204" s="7" t="s">
        <v>346</v>
      </c>
      <c r="C204" s="8">
        <v>600000</v>
      </c>
      <c r="D204" s="8">
        <v>0</v>
      </c>
      <c r="E204" s="8">
        <f t="shared" si="3"/>
        <v>25006615.73999998</v>
      </c>
      <c r="F204" s="2" t="s">
        <v>115</v>
      </c>
      <c r="G204" t="s">
        <v>120</v>
      </c>
      <c r="H204" t="s">
        <v>375</v>
      </c>
      <c r="I204" t="s">
        <v>64</v>
      </c>
      <c r="J204" t="s">
        <v>4150</v>
      </c>
      <c r="K204" t="s">
        <v>458</v>
      </c>
      <c r="L204">
        <v>2020</v>
      </c>
    </row>
    <row r="205" spans="1:12">
      <c r="A205" s="3">
        <v>44236</v>
      </c>
      <c r="B205" s="7" t="s">
        <v>347</v>
      </c>
      <c r="C205" s="8">
        <v>1050000</v>
      </c>
      <c r="D205" s="8">
        <v>0</v>
      </c>
      <c r="E205" s="8">
        <f t="shared" si="3"/>
        <v>23956615.73999998</v>
      </c>
      <c r="F205" s="2" t="s">
        <v>115</v>
      </c>
      <c r="G205" t="s">
        <v>120</v>
      </c>
      <c r="H205" t="s">
        <v>376</v>
      </c>
      <c r="I205" t="s">
        <v>64</v>
      </c>
      <c r="J205" t="s">
        <v>4150</v>
      </c>
      <c r="K205" t="s">
        <v>458</v>
      </c>
      <c r="L205">
        <v>2020</v>
      </c>
    </row>
    <row r="206" spans="1:12">
      <c r="A206" s="3">
        <v>44236</v>
      </c>
      <c r="B206" s="7" t="s">
        <v>348</v>
      </c>
      <c r="C206" s="8">
        <v>1050000</v>
      </c>
      <c r="D206" s="8">
        <v>0</v>
      </c>
      <c r="E206" s="8">
        <f t="shared" si="3"/>
        <v>22906615.73999998</v>
      </c>
      <c r="F206" s="2" t="s">
        <v>115</v>
      </c>
      <c r="G206" t="s">
        <v>120</v>
      </c>
      <c r="H206" t="s">
        <v>377</v>
      </c>
      <c r="I206" t="s">
        <v>64</v>
      </c>
      <c r="J206" t="s">
        <v>4150</v>
      </c>
      <c r="K206" t="s">
        <v>458</v>
      </c>
      <c r="L206">
        <v>2020</v>
      </c>
    </row>
    <row r="207" spans="1:12">
      <c r="A207" s="3">
        <v>44236</v>
      </c>
      <c r="B207" s="7" t="s">
        <v>349</v>
      </c>
      <c r="C207" s="8">
        <v>1050000</v>
      </c>
      <c r="D207" s="8">
        <v>0</v>
      </c>
      <c r="E207" s="8">
        <f t="shared" si="3"/>
        <v>21856615.73999998</v>
      </c>
      <c r="F207" s="2" t="s">
        <v>115</v>
      </c>
      <c r="G207" t="s">
        <v>120</v>
      </c>
      <c r="H207" t="s">
        <v>378</v>
      </c>
      <c r="I207" t="s">
        <v>64</v>
      </c>
      <c r="J207" t="s">
        <v>4150</v>
      </c>
      <c r="K207" t="s">
        <v>458</v>
      </c>
      <c r="L207">
        <v>2020</v>
      </c>
    </row>
    <row r="208" spans="1:12">
      <c r="A208" s="3">
        <v>44236</v>
      </c>
      <c r="B208" s="7" t="s">
        <v>350</v>
      </c>
      <c r="C208" s="8">
        <v>1050000</v>
      </c>
      <c r="D208" s="8">
        <v>0</v>
      </c>
      <c r="E208" s="8">
        <f t="shared" si="3"/>
        <v>20806615.73999998</v>
      </c>
      <c r="F208" s="2" t="s">
        <v>115</v>
      </c>
      <c r="G208" t="s">
        <v>120</v>
      </c>
      <c r="H208" t="s">
        <v>124</v>
      </c>
      <c r="I208" t="s">
        <v>64</v>
      </c>
      <c r="J208" t="s">
        <v>4150</v>
      </c>
      <c r="K208" t="s">
        <v>458</v>
      </c>
      <c r="L208">
        <v>2020</v>
      </c>
    </row>
    <row r="209" spans="1:12">
      <c r="A209" s="3">
        <v>44236</v>
      </c>
      <c r="B209" s="7" t="s">
        <v>351</v>
      </c>
      <c r="C209" s="8">
        <v>1050000</v>
      </c>
      <c r="D209" s="8">
        <v>0</v>
      </c>
      <c r="E209" s="8">
        <f t="shared" si="3"/>
        <v>19756615.73999998</v>
      </c>
      <c r="F209" s="2" t="s">
        <v>115</v>
      </c>
      <c r="G209" t="s">
        <v>120</v>
      </c>
      <c r="H209" t="s">
        <v>121</v>
      </c>
      <c r="I209" t="s">
        <v>64</v>
      </c>
      <c r="J209" t="s">
        <v>4150</v>
      </c>
      <c r="K209" t="s">
        <v>458</v>
      </c>
      <c r="L209">
        <v>2020</v>
      </c>
    </row>
    <row r="210" spans="1:12">
      <c r="A210" s="3">
        <v>44236</v>
      </c>
      <c r="B210" s="7" t="s">
        <v>352</v>
      </c>
      <c r="C210" s="8">
        <v>1000000</v>
      </c>
      <c r="D210" s="8">
        <v>0</v>
      </c>
      <c r="E210" s="8">
        <f t="shared" si="3"/>
        <v>18756615.73999998</v>
      </c>
      <c r="F210" s="2" t="s">
        <v>115</v>
      </c>
      <c r="G210" t="s">
        <v>120</v>
      </c>
      <c r="H210" t="s">
        <v>282</v>
      </c>
      <c r="I210" t="s">
        <v>64</v>
      </c>
      <c r="J210" t="s">
        <v>4150</v>
      </c>
      <c r="K210" t="s">
        <v>480</v>
      </c>
      <c r="L210">
        <v>2020</v>
      </c>
    </row>
    <row r="211" spans="1:12">
      <c r="A211" s="3">
        <v>44236</v>
      </c>
      <c r="B211" s="7" t="s">
        <v>353</v>
      </c>
      <c r="C211" s="8">
        <v>1000000</v>
      </c>
      <c r="D211" s="8">
        <v>0</v>
      </c>
      <c r="E211" s="8">
        <f t="shared" si="3"/>
        <v>17756615.73999998</v>
      </c>
      <c r="F211" s="2" t="s">
        <v>137</v>
      </c>
      <c r="G211" t="s">
        <v>138</v>
      </c>
      <c r="H211" t="s">
        <v>245</v>
      </c>
    </row>
    <row r="212" spans="1:12">
      <c r="A212" s="3">
        <v>44236</v>
      </c>
      <c r="B212" s="7" t="s">
        <v>354</v>
      </c>
      <c r="C212" s="8">
        <v>2250000</v>
      </c>
      <c r="D212" s="8">
        <v>0</v>
      </c>
      <c r="E212" s="8">
        <f t="shared" si="3"/>
        <v>15506615.73999998</v>
      </c>
      <c r="F212" s="2" t="s">
        <v>115</v>
      </c>
      <c r="G212" t="s">
        <v>120</v>
      </c>
      <c r="H212" t="s">
        <v>131</v>
      </c>
    </row>
    <row r="213" spans="1:12">
      <c r="A213" s="3">
        <v>44236</v>
      </c>
      <c r="B213" s="7" t="s">
        <v>355</v>
      </c>
      <c r="C213" s="8">
        <v>1130000</v>
      </c>
      <c r="D213" s="8">
        <v>0</v>
      </c>
      <c r="E213" s="8">
        <f t="shared" si="3"/>
        <v>14376615.73999998</v>
      </c>
      <c r="F213" s="2" t="s">
        <v>137</v>
      </c>
      <c r="G213" t="s">
        <v>138</v>
      </c>
      <c r="H213" t="s">
        <v>245</v>
      </c>
      <c r="I213" t="s">
        <v>64</v>
      </c>
    </row>
    <row r="214" spans="1:12">
      <c r="A214" s="3">
        <v>44236</v>
      </c>
      <c r="B214" s="7" t="s">
        <v>356</v>
      </c>
      <c r="C214" s="54">
        <v>939000</v>
      </c>
      <c r="D214" s="54">
        <v>0</v>
      </c>
      <c r="E214" s="54">
        <f t="shared" si="3"/>
        <v>13437615.73999998</v>
      </c>
      <c r="F214" s="82" t="s">
        <v>137</v>
      </c>
      <c r="G214" t="s">
        <v>138</v>
      </c>
      <c r="H214" t="s">
        <v>3029</v>
      </c>
    </row>
    <row r="215" spans="1:12">
      <c r="A215" s="3">
        <v>44236</v>
      </c>
      <c r="B215" s="7" t="s">
        <v>357</v>
      </c>
      <c r="C215" s="54">
        <v>7193000</v>
      </c>
      <c r="D215" s="54">
        <v>0</v>
      </c>
      <c r="E215" s="54">
        <f t="shared" si="3"/>
        <v>6244615.7399999797</v>
      </c>
      <c r="F215" s="165" t="s">
        <v>115</v>
      </c>
      <c r="G215" s="10" t="s">
        <v>120</v>
      </c>
      <c r="H215" t="s">
        <v>127</v>
      </c>
      <c r="I215" t="s">
        <v>444</v>
      </c>
    </row>
    <row r="216" spans="1:12">
      <c r="A216" s="3">
        <v>44236</v>
      </c>
      <c r="B216" s="7" t="s">
        <v>4620</v>
      </c>
      <c r="C216" s="54">
        <v>5000000</v>
      </c>
      <c r="D216" s="54">
        <v>0</v>
      </c>
      <c r="E216" s="54">
        <f t="shared" si="3"/>
        <v>1244615.7399999797</v>
      </c>
      <c r="F216" s="82" t="s">
        <v>319</v>
      </c>
      <c r="G216" t="s">
        <v>370</v>
      </c>
    </row>
    <row r="217" spans="1:12">
      <c r="A217" s="3">
        <v>44236</v>
      </c>
      <c r="B217" s="7" t="s">
        <v>4620</v>
      </c>
      <c r="C217" s="54">
        <v>500000</v>
      </c>
      <c r="D217" s="54">
        <v>0</v>
      </c>
      <c r="E217" s="54">
        <f t="shared" si="3"/>
        <v>744615.73999997973</v>
      </c>
      <c r="F217" s="82" t="s">
        <v>110</v>
      </c>
      <c r="G217" t="s">
        <v>616</v>
      </c>
      <c r="H217" t="s">
        <v>4621</v>
      </c>
    </row>
    <row r="218" spans="1:12">
      <c r="A218" s="3">
        <v>44236</v>
      </c>
      <c r="B218" s="7" t="s">
        <v>4620</v>
      </c>
      <c r="C218" s="54">
        <v>0</v>
      </c>
      <c r="D218" s="54">
        <v>100000</v>
      </c>
      <c r="E218" s="54">
        <f t="shared" si="3"/>
        <v>844615.73999997973</v>
      </c>
      <c r="F218" s="82" t="s">
        <v>115</v>
      </c>
      <c r="G218" t="s">
        <v>441</v>
      </c>
      <c r="H218" t="s">
        <v>596</v>
      </c>
    </row>
    <row r="219" spans="1:12">
      <c r="A219" s="3">
        <v>44236</v>
      </c>
      <c r="B219" s="7" t="s">
        <v>358</v>
      </c>
      <c r="C219" s="54">
        <v>747500</v>
      </c>
      <c r="D219" s="54">
        <v>0</v>
      </c>
      <c r="E219" s="54">
        <f t="shared" si="3"/>
        <v>97115.739999979734</v>
      </c>
      <c r="F219" s="82" t="s">
        <v>319</v>
      </c>
      <c r="G219" t="s">
        <v>244</v>
      </c>
    </row>
    <row r="220" spans="1:12">
      <c r="A220" s="3">
        <v>44237</v>
      </c>
      <c r="B220" s="7" t="s">
        <v>278</v>
      </c>
      <c r="C220" s="54">
        <v>0</v>
      </c>
      <c r="D220" s="54">
        <v>250000000</v>
      </c>
      <c r="E220" s="54">
        <f t="shared" si="3"/>
        <v>250097115.73999998</v>
      </c>
      <c r="F220" s="82" t="s">
        <v>107</v>
      </c>
      <c r="G220" t="s">
        <v>254</v>
      </c>
    </row>
    <row r="221" spans="1:12">
      <c r="A221" s="3">
        <v>44237</v>
      </c>
      <c r="B221" s="7" t="s">
        <v>359</v>
      </c>
      <c r="C221" s="54">
        <v>2483871</v>
      </c>
      <c r="D221" s="54">
        <v>0</v>
      </c>
      <c r="E221" s="54">
        <f t="shared" si="3"/>
        <v>247613244.73999998</v>
      </c>
      <c r="F221" s="82" t="s">
        <v>319</v>
      </c>
      <c r="G221" t="s">
        <v>370</v>
      </c>
    </row>
    <row r="222" spans="1:12">
      <c r="A222" s="3">
        <v>44237</v>
      </c>
      <c r="B222" s="7" t="s">
        <v>359</v>
      </c>
      <c r="C222" s="54">
        <v>248387</v>
      </c>
      <c r="D222" s="54">
        <v>0</v>
      </c>
      <c r="E222" s="54">
        <f t="shared" si="3"/>
        <v>247364857.73999998</v>
      </c>
      <c r="F222" s="82" t="s">
        <v>110</v>
      </c>
      <c r="G222" t="s">
        <v>616</v>
      </c>
      <c r="H222" t="s">
        <v>4621</v>
      </c>
    </row>
    <row r="223" spans="1:12">
      <c r="A223" s="3">
        <v>44237</v>
      </c>
      <c r="B223" s="7" t="s">
        <v>359</v>
      </c>
      <c r="C223" s="54">
        <v>0</v>
      </c>
      <c r="D223" s="54">
        <v>49677</v>
      </c>
      <c r="E223" s="54">
        <f t="shared" si="3"/>
        <v>247414534.73999998</v>
      </c>
      <c r="F223" s="82" t="s">
        <v>115</v>
      </c>
      <c r="G223" t="s">
        <v>441</v>
      </c>
      <c r="H223" t="s">
        <v>596</v>
      </c>
    </row>
    <row r="224" spans="1:12">
      <c r="A224" s="3">
        <v>44237</v>
      </c>
      <c r="B224" s="7" t="s">
        <v>360</v>
      </c>
      <c r="C224" s="54">
        <v>115000000</v>
      </c>
      <c r="D224" s="54">
        <v>0</v>
      </c>
      <c r="E224" s="54">
        <f t="shared" si="3"/>
        <v>132414534.73999998</v>
      </c>
      <c r="F224" s="165" t="s">
        <v>115</v>
      </c>
      <c r="G224" s="10" t="s">
        <v>120</v>
      </c>
      <c r="H224" t="s">
        <v>125</v>
      </c>
      <c r="I224" t="s">
        <v>444</v>
      </c>
    </row>
    <row r="225" spans="1:12">
      <c r="A225" s="3">
        <v>44237</v>
      </c>
      <c r="B225" s="7" t="s">
        <v>361</v>
      </c>
      <c r="C225" s="54">
        <v>10125000</v>
      </c>
      <c r="D225" s="54">
        <v>0</v>
      </c>
      <c r="E225" s="54">
        <f t="shared" si="3"/>
        <v>122289534.73999998</v>
      </c>
      <c r="F225" s="82" t="s">
        <v>137</v>
      </c>
      <c r="G225" t="s">
        <v>138</v>
      </c>
      <c r="H225" t="s">
        <v>173</v>
      </c>
    </row>
    <row r="226" spans="1:12">
      <c r="A226" s="3">
        <v>44237</v>
      </c>
      <c r="B226" s="7" t="s">
        <v>362</v>
      </c>
      <c r="C226" s="54">
        <v>7900000</v>
      </c>
      <c r="D226" s="54">
        <v>0</v>
      </c>
      <c r="E226" s="54">
        <f t="shared" si="3"/>
        <v>114389534.73999998</v>
      </c>
      <c r="F226" s="82" t="s">
        <v>137</v>
      </c>
      <c r="G226" t="s">
        <v>138</v>
      </c>
      <c r="H226" t="s">
        <v>173</v>
      </c>
    </row>
    <row r="227" spans="1:12">
      <c r="A227" s="3">
        <v>44237</v>
      </c>
      <c r="B227" s="7" t="s">
        <v>363</v>
      </c>
      <c r="C227" s="54">
        <v>6000000</v>
      </c>
      <c r="D227" s="54">
        <v>0</v>
      </c>
      <c r="E227" s="54">
        <f t="shared" si="3"/>
        <v>108389534.73999998</v>
      </c>
      <c r="F227" s="82" t="s">
        <v>137</v>
      </c>
      <c r="G227" t="s">
        <v>138</v>
      </c>
      <c r="H227" t="s">
        <v>173</v>
      </c>
    </row>
    <row r="228" spans="1:12">
      <c r="A228" s="3">
        <v>44237</v>
      </c>
      <c r="B228" s="7" t="s">
        <v>364</v>
      </c>
      <c r="C228" s="54">
        <v>9070000</v>
      </c>
      <c r="D228" s="54">
        <v>0</v>
      </c>
      <c r="E228" s="54">
        <f t="shared" si="3"/>
        <v>99319534.73999998</v>
      </c>
      <c r="F228" s="82" t="s">
        <v>137</v>
      </c>
      <c r="G228" t="s">
        <v>138</v>
      </c>
      <c r="H228" t="s">
        <v>173</v>
      </c>
    </row>
    <row r="229" spans="1:12">
      <c r="A229" s="3">
        <v>44237</v>
      </c>
      <c r="B229" s="7" t="s">
        <v>365</v>
      </c>
      <c r="C229" s="8">
        <v>3500000</v>
      </c>
      <c r="D229" s="8">
        <v>0</v>
      </c>
      <c r="E229" s="8">
        <f t="shared" si="3"/>
        <v>95819534.73999998</v>
      </c>
      <c r="F229" s="2" t="s">
        <v>137</v>
      </c>
      <c r="G229" t="s">
        <v>138</v>
      </c>
      <c r="H229" t="s">
        <v>245</v>
      </c>
    </row>
    <row r="230" spans="1:12">
      <c r="A230" s="3">
        <v>44237</v>
      </c>
      <c r="B230" s="7" t="s">
        <v>366</v>
      </c>
      <c r="C230" s="8">
        <v>24500000</v>
      </c>
      <c r="D230" s="8">
        <v>0</v>
      </c>
      <c r="E230" s="8">
        <f t="shared" si="3"/>
        <v>71319534.73999998</v>
      </c>
      <c r="F230" s="2" t="s">
        <v>137</v>
      </c>
      <c r="G230" t="s">
        <v>138</v>
      </c>
      <c r="H230" t="s">
        <v>173</v>
      </c>
    </row>
    <row r="231" spans="1:12">
      <c r="A231" s="3">
        <v>44237</v>
      </c>
      <c r="B231" s="7" t="s">
        <v>367</v>
      </c>
      <c r="C231" s="8">
        <v>41721800</v>
      </c>
      <c r="D231" s="8">
        <v>0</v>
      </c>
      <c r="E231" s="8">
        <f t="shared" si="3"/>
        <v>29597734.73999998</v>
      </c>
      <c r="F231" s="166" t="s">
        <v>115</v>
      </c>
      <c r="G231" s="10" t="s">
        <v>120</v>
      </c>
      <c r="H231" t="s">
        <v>131</v>
      </c>
    </row>
    <row r="232" spans="1:12">
      <c r="A232" s="3">
        <v>44237</v>
      </c>
      <c r="B232" s="7" t="s">
        <v>368</v>
      </c>
      <c r="C232" s="8">
        <v>6000000</v>
      </c>
      <c r="D232" s="8">
        <v>0</v>
      </c>
      <c r="E232" s="8">
        <f t="shared" si="3"/>
        <v>23597734.73999998</v>
      </c>
      <c r="F232" s="2" t="s">
        <v>137</v>
      </c>
      <c r="G232" t="s">
        <v>138</v>
      </c>
      <c r="H232" t="s">
        <v>173</v>
      </c>
    </row>
    <row r="233" spans="1:12">
      <c r="A233" s="3">
        <v>44237</v>
      </c>
      <c r="B233" s="7" t="s">
        <v>369</v>
      </c>
      <c r="C233" s="8">
        <v>2149001</v>
      </c>
      <c r="D233" s="8">
        <v>0</v>
      </c>
      <c r="E233" s="8">
        <f t="shared" si="3"/>
        <v>21448733.73999998</v>
      </c>
      <c r="F233" s="2" t="s">
        <v>137</v>
      </c>
      <c r="G233" t="s">
        <v>138</v>
      </c>
      <c r="H233" t="s">
        <v>251</v>
      </c>
    </row>
    <row r="234" spans="1:12" s="14" customFormat="1">
      <c r="A234" s="138">
        <v>44242</v>
      </c>
      <c r="B234" s="49" t="s">
        <v>761</v>
      </c>
      <c r="C234" s="50">
        <v>1050000</v>
      </c>
      <c r="D234" s="50">
        <v>0</v>
      </c>
      <c r="E234" s="8">
        <f t="shared" si="3"/>
        <v>20398733.73999998</v>
      </c>
      <c r="F234" s="83" t="s">
        <v>115</v>
      </c>
      <c r="G234" s="14" t="s">
        <v>120</v>
      </c>
      <c r="H234" s="14" t="s">
        <v>543</v>
      </c>
      <c r="I234" s="14" t="s">
        <v>64</v>
      </c>
      <c r="J234" t="s">
        <v>4150</v>
      </c>
      <c r="K234" t="s">
        <v>458</v>
      </c>
      <c r="L234">
        <v>2020</v>
      </c>
    </row>
    <row r="235" spans="1:12" s="14" customFormat="1">
      <c r="A235" s="138">
        <v>44242</v>
      </c>
      <c r="B235" s="49" t="s">
        <v>762</v>
      </c>
      <c r="C235" s="50">
        <v>1500000</v>
      </c>
      <c r="D235" s="50">
        <v>0</v>
      </c>
      <c r="E235" s="8">
        <f t="shared" si="3"/>
        <v>18898733.73999998</v>
      </c>
      <c r="F235" s="83" t="s">
        <v>115</v>
      </c>
      <c r="G235" s="14" t="s">
        <v>120</v>
      </c>
      <c r="H235" s="14" t="s">
        <v>543</v>
      </c>
      <c r="I235" s="14" t="s">
        <v>64</v>
      </c>
      <c r="J235" t="s">
        <v>4150</v>
      </c>
      <c r="K235" t="s">
        <v>458</v>
      </c>
      <c r="L235">
        <v>2020</v>
      </c>
    </row>
    <row r="236" spans="1:12" s="14" customFormat="1">
      <c r="A236" s="138">
        <v>44242</v>
      </c>
      <c r="B236" s="49" t="s">
        <v>748</v>
      </c>
      <c r="C236" s="50">
        <v>900000</v>
      </c>
      <c r="D236" s="50">
        <v>0</v>
      </c>
      <c r="E236" s="50">
        <f t="shared" si="3"/>
        <v>17998733.73999998</v>
      </c>
      <c r="F236" s="83" t="s">
        <v>115</v>
      </c>
      <c r="G236" s="14" t="s">
        <v>120</v>
      </c>
      <c r="H236" s="14" t="s">
        <v>541</v>
      </c>
      <c r="I236" s="14" t="s">
        <v>64</v>
      </c>
      <c r="J236" t="s">
        <v>4150</v>
      </c>
      <c r="K236" t="s">
        <v>458</v>
      </c>
      <c r="L236">
        <v>2020</v>
      </c>
    </row>
    <row r="237" spans="1:12" s="14" customFormat="1">
      <c r="A237" s="138">
        <v>44242</v>
      </c>
      <c r="B237" s="49" t="s">
        <v>749</v>
      </c>
      <c r="C237" s="50">
        <v>1150000</v>
      </c>
      <c r="D237" s="50">
        <v>0</v>
      </c>
      <c r="E237" s="50">
        <f t="shared" si="3"/>
        <v>16848733.73999998</v>
      </c>
      <c r="F237" s="83" t="s">
        <v>115</v>
      </c>
      <c r="G237" s="14" t="s">
        <v>120</v>
      </c>
      <c r="H237" s="14" t="s">
        <v>282</v>
      </c>
      <c r="I237" s="14" t="s">
        <v>64</v>
      </c>
      <c r="J237" t="s">
        <v>4150</v>
      </c>
      <c r="K237" t="s">
        <v>458</v>
      </c>
      <c r="L237">
        <v>2020</v>
      </c>
    </row>
    <row r="238" spans="1:12" s="14" customFormat="1">
      <c r="A238" s="138">
        <v>44242</v>
      </c>
      <c r="B238" s="49" t="s">
        <v>750</v>
      </c>
      <c r="C238" s="50">
        <v>1050000</v>
      </c>
      <c r="D238" s="50">
        <v>0</v>
      </c>
      <c r="E238" s="50">
        <f t="shared" si="3"/>
        <v>15798733.73999998</v>
      </c>
      <c r="F238" s="83" t="s">
        <v>115</v>
      </c>
      <c r="G238" s="14" t="s">
        <v>120</v>
      </c>
      <c r="H238" s="14" t="s">
        <v>539</v>
      </c>
      <c r="I238" s="14" t="s">
        <v>4156</v>
      </c>
      <c r="J238" t="s">
        <v>4150</v>
      </c>
      <c r="K238" t="s">
        <v>458</v>
      </c>
      <c r="L238">
        <v>2020</v>
      </c>
    </row>
    <row r="239" spans="1:12" s="14" customFormat="1">
      <c r="A239" s="138">
        <v>44242</v>
      </c>
      <c r="B239" s="49" t="s">
        <v>751</v>
      </c>
      <c r="C239" s="50">
        <v>700000</v>
      </c>
      <c r="D239" s="50">
        <v>0</v>
      </c>
      <c r="E239" s="50">
        <f t="shared" si="3"/>
        <v>15098733.73999998</v>
      </c>
      <c r="F239" s="83" t="s">
        <v>115</v>
      </c>
      <c r="G239" s="14" t="s">
        <v>120</v>
      </c>
      <c r="H239" s="14" t="s">
        <v>601</v>
      </c>
      <c r="I239" s="14" t="s">
        <v>64</v>
      </c>
      <c r="J239" t="s">
        <v>4150</v>
      </c>
      <c r="K239" t="s">
        <v>458</v>
      </c>
      <c r="L239">
        <v>2020</v>
      </c>
    </row>
    <row r="240" spans="1:12" s="14" customFormat="1">
      <c r="A240" s="138">
        <v>44242</v>
      </c>
      <c r="B240" s="49" t="s">
        <v>752</v>
      </c>
      <c r="C240" s="50">
        <v>1050000</v>
      </c>
      <c r="D240" s="50">
        <v>0</v>
      </c>
      <c r="E240" s="50">
        <f t="shared" si="3"/>
        <v>14048733.73999998</v>
      </c>
      <c r="F240" s="83" t="s">
        <v>115</v>
      </c>
      <c r="G240" s="14" t="s">
        <v>120</v>
      </c>
      <c r="H240" s="14" t="s">
        <v>486</v>
      </c>
      <c r="I240" s="14" t="s">
        <v>64</v>
      </c>
      <c r="J240" t="s">
        <v>4150</v>
      </c>
      <c r="K240" t="s">
        <v>458</v>
      </c>
      <c r="L240">
        <v>2020</v>
      </c>
    </row>
    <row r="241" spans="1:12" s="14" customFormat="1">
      <c r="A241" s="138">
        <v>44242</v>
      </c>
      <c r="B241" s="49" t="s">
        <v>753</v>
      </c>
      <c r="C241" s="50">
        <v>1600000</v>
      </c>
      <c r="D241" s="50">
        <v>0</v>
      </c>
      <c r="E241" s="50">
        <f t="shared" si="3"/>
        <v>12448733.73999998</v>
      </c>
      <c r="F241" s="83" t="s">
        <v>115</v>
      </c>
      <c r="G241" s="14" t="s">
        <v>120</v>
      </c>
      <c r="H241" s="14" t="s">
        <v>486</v>
      </c>
      <c r="I241" s="14" t="s">
        <v>64</v>
      </c>
      <c r="J241" t="s">
        <v>4150</v>
      </c>
      <c r="K241" t="s">
        <v>458</v>
      </c>
      <c r="L241">
        <v>2020</v>
      </c>
    </row>
    <row r="242" spans="1:12" s="14" customFormat="1">
      <c r="A242" s="138">
        <v>44242</v>
      </c>
      <c r="B242" s="49" t="s">
        <v>754</v>
      </c>
      <c r="C242" s="50">
        <v>900000</v>
      </c>
      <c r="D242" s="50">
        <v>0</v>
      </c>
      <c r="E242" s="50">
        <f t="shared" si="3"/>
        <v>11548733.73999998</v>
      </c>
      <c r="F242" s="83" t="s">
        <v>115</v>
      </c>
      <c r="G242" s="14" t="s">
        <v>120</v>
      </c>
      <c r="H242" s="14" t="s">
        <v>132</v>
      </c>
      <c r="I242" s="14" t="s">
        <v>64</v>
      </c>
      <c r="J242" t="s">
        <v>4150</v>
      </c>
      <c r="K242" t="s">
        <v>458</v>
      </c>
      <c r="L242">
        <v>2020</v>
      </c>
    </row>
    <row r="243" spans="1:12" s="14" customFormat="1">
      <c r="A243" s="138">
        <v>44242</v>
      </c>
      <c r="B243" s="49" t="s">
        <v>755</v>
      </c>
      <c r="C243" s="50">
        <v>1350000</v>
      </c>
      <c r="D243" s="50">
        <v>0</v>
      </c>
      <c r="E243" s="50">
        <f t="shared" si="3"/>
        <v>10198733.73999998</v>
      </c>
      <c r="F243" s="83" t="s">
        <v>115</v>
      </c>
      <c r="G243" s="14" t="s">
        <v>120</v>
      </c>
      <c r="H243" s="14" t="s">
        <v>371</v>
      </c>
      <c r="I243" s="14" t="s">
        <v>64</v>
      </c>
      <c r="J243" t="s">
        <v>4150</v>
      </c>
      <c r="K243" t="s">
        <v>458</v>
      </c>
      <c r="L243">
        <v>2020</v>
      </c>
    </row>
    <row r="244" spans="1:12" s="14" customFormat="1">
      <c r="A244" s="138">
        <v>44242</v>
      </c>
      <c r="B244" s="49" t="s">
        <v>756</v>
      </c>
      <c r="C244" s="50">
        <v>600000</v>
      </c>
      <c r="D244" s="50">
        <v>0</v>
      </c>
      <c r="E244" s="50">
        <f t="shared" si="3"/>
        <v>9598733.7399999797</v>
      </c>
      <c r="F244" s="83" t="s">
        <v>115</v>
      </c>
      <c r="G244" s="14" t="s">
        <v>120</v>
      </c>
      <c r="H244" s="14" t="s">
        <v>127</v>
      </c>
      <c r="I244" s="14" t="s">
        <v>64</v>
      </c>
      <c r="J244" t="s">
        <v>4150</v>
      </c>
      <c r="K244" t="s">
        <v>458</v>
      </c>
      <c r="L244">
        <v>2020</v>
      </c>
    </row>
    <row r="245" spans="1:12" s="14" customFormat="1">
      <c r="A245" s="138">
        <v>44242</v>
      </c>
      <c r="B245" s="49" t="s">
        <v>757</v>
      </c>
      <c r="C245" s="50">
        <v>1600000</v>
      </c>
      <c r="D245" s="50">
        <v>0</v>
      </c>
      <c r="E245" s="50">
        <f t="shared" si="3"/>
        <v>7998733.7399999797</v>
      </c>
      <c r="F245" s="83" t="s">
        <v>115</v>
      </c>
      <c r="G245" s="14" t="s">
        <v>120</v>
      </c>
      <c r="H245" s="14" t="s">
        <v>127</v>
      </c>
      <c r="I245" s="14" t="s">
        <v>64</v>
      </c>
      <c r="J245" t="s">
        <v>4150</v>
      </c>
      <c r="K245" t="s">
        <v>128</v>
      </c>
      <c r="L245">
        <v>2020</v>
      </c>
    </row>
    <row r="246" spans="1:12" s="14" customFormat="1">
      <c r="A246" s="138">
        <v>44242</v>
      </c>
      <c r="B246" s="49" t="s">
        <v>758</v>
      </c>
      <c r="C246" s="50">
        <v>800000</v>
      </c>
      <c r="D246" s="50">
        <v>0</v>
      </c>
      <c r="E246" s="50">
        <f t="shared" si="3"/>
        <v>7198733.7399999797</v>
      </c>
      <c r="F246" s="83" t="s">
        <v>137</v>
      </c>
      <c r="G246" s="14" t="s">
        <v>138</v>
      </c>
      <c r="H246" s="14" t="s">
        <v>173</v>
      </c>
      <c r="I246" s="14" t="s">
        <v>64</v>
      </c>
      <c r="J246" t="s">
        <v>4150</v>
      </c>
      <c r="K246" t="s">
        <v>119</v>
      </c>
      <c r="L246" s="10">
        <v>2021</v>
      </c>
    </row>
    <row r="247" spans="1:12" s="14" customFormat="1">
      <c r="A247" s="138">
        <v>44242</v>
      </c>
      <c r="B247" s="49" t="s">
        <v>759</v>
      </c>
      <c r="C247" s="50">
        <v>1650000</v>
      </c>
      <c r="D247" s="50">
        <v>0</v>
      </c>
      <c r="E247" s="50">
        <f t="shared" si="3"/>
        <v>5548733.7399999797</v>
      </c>
      <c r="F247" s="83" t="s">
        <v>137</v>
      </c>
      <c r="G247" s="14" t="s">
        <v>138</v>
      </c>
      <c r="H247" s="14" t="s">
        <v>245</v>
      </c>
    </row>
    <row r="248" spans="1:12" s="14" customFormat="1">
      <c r="A248" s="138">
        <v>44242</v>
      </c>
      <c r="B248" s="49" t="s">
        <v>760</v>
      </c>
      <c r="C248" s="50">
        <v>3020000</v>
      </c>
      <c r="D248" s="50">
        <v>0</v>
      </c>
      <c r="E248" s="50">
        <f t="shared" si="3"/>
        <v>2528733.7399999797</v>
      </c>
      <c r="F248" s="83" t="s">
        <v>137</v>
      </c>
      <c r="G248" s="14" t="s">
        <v>138</v>
      </c>
      <c r="H248" s="14" t="s">
        <v>245</v>
      </c>
    </row>
    <row r="249" spans="1:12" s="14" customFormat="1">
      <c r="A249" s="138">
        <v>44242</v>
      </c>
      <c r="B249" s="49" t="s">
        <v>763</v>
      </c>
      <c r="C249" s="50">
        <v>0</v>
      </c>
      <c r="D249" s="50">
        <v>22219177</v>
      </c>
      <c r="E249" s="50">
        <f t="shared" si="3"/>
        <v>24747910.73999998</v>
      </c>
      <c r="F249" s="83" t="s">
        <v>110</v>
      </c>
      <c r="G249" s="14" t="s">
        <v>111</v>
      </c>
      <c r="H249" s="14" t="s">
        <v>247</v>
      </c>
    </row>
    <row r="250" spans="1:12" s="14" customFormat="1">
      <c r="A250" s="138">
        <v>44242</v>
      </c>
      <c r="B250" s="49" t="s">
        <v>764</v>
      </c>
      <c r="C250" s="50">
        <v>0</v>
      </c>
      <c r="D250" s="50">
        <v>1646000</v>
      </c>
      <c r="E250" s="50">
        <f t="shared" si="3"/>
        <v>26393910.73999998</v>
      </c>
      <c r="F250" s="83" t="s">
        <v>110</v>
      </c>
      <c r="G250" s="14" t="s">
        <v>118</v>
      </c>
      <c r="H250" s="14" t="s">
        <v>123</v>
      </c>
    </row>
    <row r="251" spans="1:12" s="14" customFormat="1">
      <c r="A251" s="138">
        <v>44242</v>
      </c>
      <c r="B251" s="49" t="s">
        <v>5</v>
      </c>
      <c r="C251" s="50">
        <v>0</v>
      </c>
      <c r="D251" s="50">
        <v>11000000</v>
      </c>
      <c r="E251" s="50">
        <f t="shared" si="3"/>
        <v>37393910.73999998</v>
      </c>
      <c r="F251" s="83" t="s">
        <v>107</v>
      </c>
      <c r="G251" s="14" t="s">
        <v>108</v>
      </c>
    </row>
    <row r="252" spans="1:12" s="14" customFormat="1">
      <c r="A252" s="138">
        <v>44242</v>
      </c>
      <c r="B252" s="49" t="s">
        <v>765</v>
      </c>
      <c r="C252" s="50">
        <v>9100000</v>
      </c>
      <c r="D252" s="50">
        <v>0</v>
      </c>
      <c r="E252" s="50">
        <f t="shared" si="3"/>
        <v>28293910.73999998</v>
      </c>
      <c r="F252" s="83" t="s">
        <v>137</v>
      </c>
      <c r="G252" s="14" t="s">
        <v>138</v>
      </c>
      <c r="H252" s="14" t="s">
        <v>245</v>
      </c>
    </row>
    <row r="253" spans="1:12" s="14" customFormat="1">
      <c r="A253" s="138">
        <v>44242</v>
      </c>
      <c r="B253" s="49" t="s">
        <v>766</v>
      </c>
      <c r="C253" s="50">
        <v>8500000</v>
      </c>
      <c r="D253" s="50">
        <v>0</v>
      </c>
      <c r="E253" s="50">
        <f t="shared" si="3"/>
        <v>19793910.73999998</v>
      </c>
      <c r="F253" s="83" t="s">
        <v>137</v>
      </c>
      <c r="G253" s="14" t="s">
        <v>138</v>
      </c>
      <c r="H253" s="14" t="s">
        <v>245</v>
      </c>
    </row>
    <row r="254" spans="1:12" s="14" customFormat="1">
      <c r="A254" s="138">
        <v>44242</v>
      </c>
      <c r="B254" s="49" t="s">
        <v>767</v>
      </c>
      <c r="C254" s="50">
        <v>18612500</v>
      </c>
      <c r="D254" s="50">
        <v>0</v>
      </c>
      <c r="E254" s="50">
        <f t="shared" si="3"/>
        <v>1181410.7399999797</v>
      </c>
      <c r="F254" s="83" t="s">
        <v>137</v>
      </c>
      <c r="G254" s="14" t="s">
        <v>138</v>
      </c>
      <c r="H254" s="14" t="s">
        <v>245</v>
      </c>
    </row>
    <row r="255" spans="1:12">
      <c r="A255" s="138">
        <v>44242</v>
      </c>
      <c r="B255" s="7" t="s">
        <v>278</v>
      </c>
      <c r="C255" s="8">
        <v>0</v>
      </c>
      <c r="D255" s="8">
        <v>500000000</v>
      </c>
      <c r="E255" s="50">
        <f t="shared" si="3"/>
        <v>501181410.74000001</v>
      </c>
      <c r="F255" s="83" t="s">
        <v>107</v>
      </c>
      <c r="G255" s="14" t="s">
        <v>254</v>
      </c>
    </row>
    <row r="256" spans="1:12">
      <c r="A256" s="138">
        <v>44242</v>
      </c>
      <c r="B256" s="7" t="s">
        <v>768</v>
      </c>
      <c r="C256" s="8">
        <v>59000000</v>
      </c>
      <c r="D256" s="8">
        <v>0</v>
      </c>
      <c r="E256" s="50">
        <f t="shared" si="3"/>
        <v>442181410.74000001</v>
      </c>
      <c r="F256" s="83" t="s">
        <v>115</v>
      </c>
      <c r="G256" s="14" t="s">
        <v>120</v>
      </c>
      <c r="H256" s="14" t="s">
        <v>529</v>
      </c>
    </row>
    <row r="257" spans="1:9">
      <c r="A257" s="138">
        <v>44242</v>
      </c>
      <c r="B257" s="7" t="s">
        <v>769</v>
      </c>
      <c r="C257" s="8">
        <v>41250000</v>
      </c>
      <c r="D257" s="8">
        <v>0</v>
      </c>
      <c r="E257" s="50">
        <f t="shared" si="3"/>
        <v>400931410.74000001</v>
      </c>
      <c r="F257" s="83" t="s">
        <v>137</v>
      </c>
      <c r="G257" s="14" t="s">
        <v>138</v>
      </c>
      <c r="H257" s="14" t="s">
        <v>173</v>
      </c>
    </row>
    <row r="258" spans="1:9">
      <c r="A258" s="138">
        <v>44242</v>
      </c>
      <c r="B258" s="7" t="s">
        <v>770</v>
      </c>
      <c r="C258" s="8">
        <v>36750000</v>
      </c>
      <c r="D258" s="8">
        <v>0</v>
      </c>
      <c r="E258" s="50">
        <f t="shared" si="3"/>
        <v>364181410.74000001</v>
      </c>
      <c r="F258" s="83" t="s">
        <v>137</v>
      </c>
      <c r="G258" s="14" t="s">
        <v>138</v>
      </c>
      <c r="H258" s="14" t="s">
        <v>173</v>
      </c>
    </row>
    <row r="259" spans="1:9">
      <c r="A259" s="138">
        <v>44242</v>
      </c>
      <c r="B259" s="7" t="s">
        <v>771</v>
      </c>
      <c r="C259" s="8">
        <v>95300000</v>
      </c>
      <c r="D259" s="8">
        <v>0</v>
      </c>
      <c r="E259" s="50">
        <f t="shared" si="3"/>
        <v>268881410.74000001</v>
      </c>
      <c r="F259" s="83" t="s">
        <v>137</v>
      </c>
      <c r="G259" s="14" t="s">
        <v>138</v>
      </c>
      <c r="H259" s="14" t="s">
        <v>173</v>
      </c>
    </row>
    <row r="260" spans="1:9">
      <c r="A260" s="138">
        <v>44242</v>
      </c>
      <c r="B260" s="7" t="s">
        <v>773</v>
      </c>
      <c r="C260" s="8">
        <v>0</v>
      </c>
      <c r="D260" s="8">
        <v>23700000</v>
      </c>
      <c r="E260" s="50">
        <f t="shared" si="3"/>
        <v>292581410.74000001</v>
      </c>
      <c r="F260" s="2" t="s">
        <v>107</v>
      </c>
      <c r="G260" t="s">
        <v>108</v>
      </c>
    </row>
    <row r="261" spans="1:9">
      <c r="A261" s="3">
        <v>44243</v>
      </c>
      <c r="B261" s="7" t="s">
        <v>772</v>
      </c>
      <c r="C261" s="8">
        <v>133500000</v>
      </c>
      <c r="D261" s="8">
        <v>0</v>
      </c>
      <c r="E261" s="50">
        <f t="shared" si="3"/>
        <v>159081410.74000001</v>
      </c>
      <c r="F261" s="83" t="s">
        <v>137</v>
      </c>
      <c r="G261" s="14" t="s">
        <v>138</v>
      </c>
      <c r="H261" s="14" t="s">
        <v>173</v>
      </c>
    </row>
    <row r="262" spans="1:9">
      <c r="A262" s="3">
        <v>44243</v>
      </c>
      <c r="B262" s="7" t="s">
        <v>797</v>
      </c>
      <c r="C262" s="8">
        <v>43684500</v>
      </c>
      <c r="D262" s="8">
        <v>0</v>
      </c>
      <c r="E262" s="50">
        <f t="shared" si="3"/>
        <v>115396910.74000001</v>
      </c>
      <c r="F262" s="83" t="s">
        <v>107</v>
      </c>
      <c r="G262" s="14" t="s">
        <v>666</v>
      </c>
      <c r="H262" s="14" t="s">
        <v>3405</v>
      </c>
      <c r="I262" t="s">
        <v>3406</v>
      </c>
    </row>
    <row r="263" spans="1:9">
      <c r="A263" s="3">
        <v>44243</v>
      </c>
      <c r="B263" s="7" t="s">
        <v>798</v>
      </c>
      <c r="C263" s="8">
        <v>2985570</v>
      </c>
      <c r="D263" s="8">
        <v>0</v>
      </c>
      <c r="E263" s="50">
        <f t="shared" si="3"/>
        <v>112411340.74000001</v>
      </c>
      <c r="F263" s="83" t="s">
        <v>107</v>
      </c>
      <c r="G263" s="14" t="s">
        <v>129</v>
      </c>
      <c r="H263" s="14"/>
    </row>
    <row r="264" spans="1:9">
      <c r="A264" s="3">
        <v>44244</v>
      </c>
      <c r="B264" s="7" t="s">
        <v>810</v>
      </c>
      <c r="C264" s="8">
        <v>671000</v>
      </c>
      <c r="D264" s="8">
        <v>0</v>
      </c>
      <c r="E264" s="50">
        <f t="shared" si="3"/>
        <v>111740340.74000001</v>
      </c>
      <c r="F264" s="83" t="s">
        <v>137</v>
      </c>
      <c r="G264" s="14" t="s">
        <v>138</v>
      </c>
      <c r="H264" s="14" t="s">
        <v>251</v>
      </c>
    </row>
    <row r="265" spans="1:9">
      <c r="A265" s="3">
        <v>44244</v>
      </c>
      <c r="B265" s="7" t="s">
        <v>925</v>
      </c>
      <c r="C265" s="8">
        <v>6500</v>
      </c>
      <c r="D265" s="8">
        <v>0</v>
      </c>
      <c r="E265" s="50">
        <f t="shared" si="3"/>
        <v>111733840.74000001</v>
      </c>
      <c r="F265" s="83" t="s">
        <v>113</v>
      </c>
      <c r="G265" s="14" t="s">
        <v>114</v>
      </c>
      <c r="H265" s="14"/>
    </row>
    <row r="266" spans="1:9">
      <c r="A266" s="3">
        <v>44244</v>
      </c>
      <c r="B266" s="7" t="s">
        <v>811</v>
      </c>
      <c r="C266" s="8">
        <v>1309046</v>
      </c>
      <c r="D266" s="8">
        <v>0</v>
      </c>
      <c r="E266" s="50">
        <f t="shared" si="3"/>
        <v>110424794.74000001</v>
      </c>
      <c r="F266" s="83" t="s">
        <v>137</v>
      </c>
      <c r="G266" s="14" t="s">
        <v>138</v>
      </c>
      <c r="H266" s="14" t="s">
        <v>251</v>
      </c>
    </row>
    <row r="267" spans="1:9">
      <c r="A267" s="3">
        <v>44244</v>
      </c>
      <c r="B267" s="7" t="s">
        <v>925</v>
      </c>
      <c r="C267" s="8">
        <v>6500</v>
      </c>
      <c r="D267" s="8">
        <v>0</v>
      </c>
      <c r="E267" s="50">
        <f t="shared" ref="E267:E332" si="4">E266-C267+D267</f>
        <v>110418294.74000001</v>
      </c>
      <c r="F267" s="83" t="s">
        <v>113</v>
      </c>
      <c r="G267" s="14" t="s">
        <v>114</v>
      </c>
      <c r="H267" s="14"/>
    </row>
    <row r="268" spans="1:9">
      <c r="A268" s="3">
        <v>44244</v>
      </c>
      <c r="B268" s="7" t="s">
        <v>926</v>
      </c>
      <c r="C268" s="8">
        <v>1500000</v>
      </c>
      <c r="D268" s="8">
        <v>0</v>
      </c>
      <c r="E268" s="50">
        <f t="shared" si="4"/>
        <v>108918294.74000001</v>
      </c>
      <c r="F268" s="83" t="s">
        <v>107</v>
      </c>
      <c r="G268" s="14" t="s">
        <v>666</v>
      </c>
      <c r="H268" s="14" t="s">
        <v>3405</v>
      </c>
      <c r="I268" t="s">
        <v>3407</v>
      </c>
    </row>
    <row r="269" spans="1:9">
      <c r="A269" s="3">
        <v>44246</v>
      </c>
      <c r="B269" s="7" t="s">
        <v>924</v>
      </c>
      <c r="C269" s="8">
        <v>0</v>
      </c>
      <c r="D269" s="8">
        <v>9056500</v>
      </c>
      <c r="E269" s="50">
        <f t="shared" si="4"/>
        <v>117974794.74000001</v>
      </c>
      <c r="F269" s="82" t="s">
        <v>107</v>
      </c>
      <c r="G269" t="s">
        <v>668</v>
      </c>
      <c r="I269" t="s">
        <v>64</v>
      </c>
    </row>
    <row r="270" spans="1:9">
      <c r="A270" s="3">
        <v>44246</v>
      </c>
      <c r="B270" s="7" t="s">
        <v>60</v>
      </c>
      <c r="C270" s="8">
        <v>20000</v>
      </c>
      <c r="D270" s="8">
        <v>0</v>
      </c>
      <c r="E270" s="50">
        <f t="shared" si="4"/>
        <v>117954794.74000001</v>
      </c>
      <c r="F270" s="83" t="s">
        <v>113</v>
      </c>
      <c r="G270" s="14" t="s">
        <v>114</v>
      </c>
      <c r="H270" s="14"/>
    </row>
    <row r="271" spans="1:9">
      <c r="A271" s="3">
        <v>44249</v>
      </c>
      <c r="B271" s="7" t="s">
        <v>929</v>
      </c>
      <c r="C271" s="8">
        <v>0</v>
      </c>
      <c r="D271" s="8">
        <v>234211</v>
      </c>
      <c r="E271" s="50">
        <f t="shared" si="4"/>
        <v>118189005.74000001</v>
      </c>
      <c r="F271" s="83" t="s">
        <v>110</v>
      </c>
      <c r="G271" s="14" t="s">
        <v>118</v>
      </c>
      <c r="H271" s="14" t="s">
        <v>128</v>
      </c>
    </row>
    <row r="272" spans="1:9">
      <c r="A272" s="3">
        <v>44249</v>
      </c>
      <c r="B272" s="7" t="s">
        <v>934</v>
      </c>
      <c r="C272" s="8">
        <v>7501000</v>
      </c>
      <c r="D272" s="8">
        <v>0</v>
      </c>
      <c r="E272" s="50">
        <f t="shared" si="4"/>
        <v>110688005.74000001</v>
      </c>
      <c r="F272" s="83" t="s">
        <v>137</v>
      </c>
      <c r="G272" s="14" t="s">
        <v>138</v>
      </c>
      <c r="H272" s="14" t="s">
        <v>251</v>
      </c>
    </row>
    <row r="273" spans="1:12">
      <c r="A273" s="3">
        <v>44249</v>
      </c>
      <c r="B273" s="7" t="s">
        <v>2463</v>
      </c>
      <c r="C273" s="8">
        <v>800000</v>
      </c>
      <c r="D273" s="8">
        <v>0</v>
      </c>
      <c r="E273" s="50">
        <f t="shared" si="4"/>
        <v>109888005.74000001</v>
      </c>
      <c r="F273" s="83" t="s">
        <v>137</v>
      </c>
      <c r="G273" s="14" t="s">
        <v>138</v>
      </c>
      <c r="H273" s="14" t="s">
        <v>245</v>
      </c>
      <c r="J273" t="s">
        <v>4150</v>
      </c>
      <c r="K273" t="s">
        <v>119</v>
      </c>
      <c r="L273" s="10">
        <v>2021</v>
      </c>
    </row>
    <row r="274" spans="1:12">
      <c r="A274" s="3">
        <v>44249</v>
      </c>
      <c r="B274" s="7" t="s">
        <v>935</v>
      </c>
      <c r="C274" s="8">
        <v>10001000</v>
      </c>
      <c r="D274" s="8">
        <v>0</v>
      </c>
      <c r="E274" s="50">
        <f t="shared" si="4"/>
        <v>99887005.74000001</v>
      </c>
      <c r="F274" s="83" t="s">
        <v>137</v>
      </c>
      <c r="G274" s="14" t="s">
        <v>138</v>
      </c>
      <c r="H274" s="14" t="s">
        <v>251</v>
      </c>
    </row>
    <row r="275" spans="1:12">
      <c r="A275" s="3">
        <v>44249</v>
      </c>
      <c r="B275" s="7" t="s">
        <v>930</v>
      </c>
      <c r="C275" s="8">
        <v>550024</v>
      </c>
      <c r="D275" s="8">
        <v>0</v>
      </c>
      <c r="E275" s="50">
        <f t="shared" si="4"/>
        <v>99336981.74000001</v>
      </c>
      <c r="F275" s="83" t="s">
        <v>115</v>
      </c>
      <c r="G275" s="14" t="s">
        <v>116</v>
      </c>
      <c r="H275" t="s">
        <v>117</v>
      </c>
    </row>
    <row r="276" spans="1:12">
      <c r="A276" s="3">
        <v>44249</v>
      </c>
      <c r="B276" s="7" t="s">
        <v>931</v>
      </c>
      <c r="C276" s="8">
        <v>1000000</v>
      </c>
      <c r="D276" s="8">
        <v>0</v>
      </c>
      <c r="E276" s="50">
        <f t="shared" si="4"/>
        <v>98336981.74000001</v>
      </c>
      <c r="F276" s="83" t="s">
        <v>248</v>
      </c>
      <c r="G276" s="14" t="s">
        <v>391</v>
      </c>
      <c r="H276" s="14"/>
    </row>
    <row r="277" spans="1:12">
      <c r="A277" s="3">
        <v>44249</v>
      </c>
      <c r="B277" s="7" t="s">
        <v>932</v>
      </c>
      <c r="C277" s="8">
        <v>1000000</v>
      </c>
      <c r="D277" s="8">
        <v>0</v>
      </c>
      <c r="E277" s="50">
        <f t="shared" si="4"/>
        <v>97336981.74000001</v>
      </c>
      <c r="F277" s="83" t="s">
        <v>137</v>
      </c>
      <c r="G277" s="14" t="s">
        <v>138</v>
      </c>
      <c r="H277" s="14" t="s">
        <v>245</v>
      </c>
    </row>
    <row r="278" spans="1:12">
      <c r="A278" s="3">
        <v>44249</v>
      </c>
      <c r="B278" s="7" t="s">
        <v>933</v>
      </c>
      <c r="C278" s="8">
        <v>2500000</v>
      </c>
      <c r="D278" s="8">
        <v>0</v>
      </c>
      <c r="E278" s="50">
        <f t="shared" si="4"/>
        <v>94836981.74000001</v>
      </c>
      <c r="F278" s="83" t="s">
        <v>248</v>
      </c>
      <c r="G278" s="14" t="s">
        <v>729</v>
      </c>
      <c r="H278" s="14"/>
    </row>
    <row r="279" spans="1:12">
      <c r="A279" s="3">
        <v>44249</v>
      </c>
      <c r="B279" s="7" t="s">
        <v>936</v>
      </c>
      <c r="C279" s="8">
        <v>26100000</v>
      </c>
      <c r="D279" s="8">
        <v>0</v>
      </c>
      <c r="E279" s="50">
        <f t="shared" si="4"/>
        <v>68736981.74000001</v>
      </c>
      <c r="F279" s="83" t="s">
        <v>137</v>
      </c>
      <c r="G279" s="14" t="s">
        <v>138</v>
      </c>
      <c r="H279" s="168" t="s">
        <v>393</v>
      </c>
    </row>
    <row r="280" spans="1:12">
      <c r="A280" s="3">
        <v>44249</v>
      </c>
      <c r="B280" s="7" t="s">
        <v>7</v>
      </c>
      <c r="C280" s="8">
        <v>2900</v>
      </c>
      <c r="D280" s="8">
        <v>0</v>
      </c>
      <c r="E280" s="50">
        <f t="shared" si="4"/>
        <v>68734081.74000001</v>
      </c>
      <c r="F280" s="83" t="s">
        <v>113</v>
      </c>
      <c r="G280" s="14" t="s">
        <v>114</v>
      </c>
      <c r="H280" s="14"/>
    </row>
    <row r="281" spans="1:12">
      <c r="A281" s="3">
        <v>44249</v>
      </c>
      <c r="B281" s="7" t="s">
        <v>937</v>
      </c>
      <c r="C281" s="8">
        <v>560109</v>
      </c>
      <c r="D281" s="8">
        <v>0</v>
      </c>
      <c r="E281" s="50">
        <f t="shared" si="4"/>
        <v>68173972.74000001</v>
      </c>
      <c r="F281" s="83" t="s">
        <v>319</v>
      </c>
      <c r="G281" s="14" t="s">
        <v>1016</v>
      </c>
      <c r="H281" s="14"/>
    </row>
    <row r="282" spans="1:12">
      <c r="A282" s="3">
        <v>44250</v>
      </c>
      <c r="B282" s="7" t="s">
        <v>975</v>
      </c>
      <c r="C282" s="8">
        <v>4352000</v>
      </c>
      <c r="D282" s="8">
        <v>0</v>
      </c>
      <c r="E282" s="50">
        <f t="shared" si="4"/>
        <v>63821972.74000001</v>
      </c>
      <c r="F282" s="83" t="s">
        <v>137</v>
      </c>
      <c r="G282" s="14" t="s">
        <v>138</v>
      </c>
      <c r="H282" s="14" t="s">
        <v>603</v>
      </c>
    </row>
    <row r="283" spans="1:12">
      <c r="A283" s="3">
        <v>44250</v>
      </c>
      <c r="B283" s="7" t="s">
        <v>976</v>
      </c>
      <c r="C283" s="8">
        <v>578500</v>
      </c>
      <c r="D283" s="8">
        <v>0</v>
      </c>
      <c r="E283" s="50">
        <f t="shared" si="4"/>
        <v>63243472.74000001</v>
      </c>
      <c r="F283" s="83" t="s">
        <v>137</v>
      </c>
      <c r="G283" s="14" t="s">
        <v>138</v>
      </c>
      <c r="H283" s="168" t="s">
        <v>393</v>
      </c>
    </row>
    <row r="284" spans="1:12">
      <c r="A284" s="3">
        <v>44250</v>
      </c>
      <c r="B284" s="7" t="s">
        <v>977</v>
      </c>
      <c r="C284" s="8">
        <v>1050000</v>
      </c>
      <c r="D284" s="8">
        <v>0</v>
      </c>
      <c r="E284" s="50">
        <f t="shared" si="4"/>
        <v>62193472.74000001</v>
      </c>
      <c r="F284" s="83" t="s">
        <v>115</v>
      </c>
      <c r="G284" s="14" t="s">
        <v>120</v>
      </c>
      <c r="H284" s="14" t="s">
        <v>135</v>
      </c>
      <c r="I284" t="s">
        <v>64</v>
      </c>
      <c r="J284" t="s">
        <v>4150</v>
      </c>
      <c r="K284" t="s">
        <v>458</v>
      </c>
      <c r="L284" s="10">
        <v>2020</v>
      </c>
    </row>
    <row r="285" spans="1:12">
      <c r="A285" s="3">
        <v>44250</v>
      </c>
      <c r="B285" s="7" t="s">
        <v>978</v>
      </c>
      <c r="C285" s="8">
        <v>1050000</v>
      </c>
      <c r="D285" s="8">
        <v>0</v>
      </c>
      <c r="E285" s="50">
        <f t="shared" si="4"/>
        <v>61143472.74000001</v>
      </c>
      <c r="F285" s="83" t="s">
        <v>137</v>
      </c>
      <c r="G285" s="14" t="s">
        <v>138</v>
      </c>
      <c r="H285" t="s">
        <v>3029</v>
      </c>
      <c r="I285" t="s">
        <v>64</v>
      </c>
      <c r="J285" t="s">
        <v>4150</v>
      </c>
      <c r="K285" t="s">
        <v>119</v>
      </c>
      <c r="L285" s="10">
        <v>2021</v>
      </c>
    </row>
    <row r="286" spans="1:12">
      <c r="A286" s="3">
        <v>44250</v>
      </c>
      <c r="B286" s="7" t="s">
        <v>979</v>
      </c>
      <c r="C286" s="8">
        <v>300000</v>
      </c>
      <c r="D286" s="8">
        <v>0</v>
      </c>
      <c r="E286" s="50">
        <f t="shared" si="4"/>
        <v>60843472.74000001</v>
      </c>
      <c r="F286" s="83" t="s">
        <v>115</v>
      </c>
      <c r="G286" s="14" t="s">
        <v>120</v>
      </c>
      <c r="H286" s="14" t="s">
        <v>127</v>
      </c>
      <c r="I286" s="14" t="s">
        <v>444</v>
      </c>
      <c r="J286" s="14" t="s">
        <v>4150</v>
      </c>
      <c r="K286" s="14" t="s">
        <v>119</v>
      </c>
      <c r="L286" s="10">
        <v>2020</v>
      </c>
    </row>
    <row r="287" spans="1:12">
      <c r="A287" s="3">
        <v>44250</v>
      </c>
      <c r="B287" s="7" t="s">
        <v>980</v>
      </c>
      <c r="C287" s="8">
        <v>2000000</v>
      </c>
      <c r="D287" s="8">
        <v>0</v>
      </c>
      <c r="E287" s="50">
        <f t="shared" si="4"/>
        <v>58843472.74000001</v>
      </c>
      <c r="F287" s="83" t="s">
        <v>137</v>
      </c>
      <c r="G287" s="14" t="s">
        <v>138</v>
      </c>
      <c r="H287" s="14" t="s">
        <v>173</v>
      </c>
    </row>
    <row r="288" spans="1:12">
      <c r="A288" s="3">
        <v>44250</v>
      </c>
      <c r="B288" s="7" t="s">
        <v>981</v>
      </c>
      <c r="C288" s="8">
        <v>17630095</v>
      </c>
      <c r="D288" s="8">
        <v>0</v>
      </c>
      <c r="E288" s="50">
        <f t="shared" si="4"/>
        <v>41213377.74000001</v>
      </c>
      <c r="F288" s="83" t="s">
        <v>137</v>
      </c>
      <c r="G288" s="14" t="s">
        <v>138</v>
      </c>
      <c r="H288" s="14" t="s">
        <v>990</v>
      </c>
    </row>
    <row r="289" spans="1:12">
      <c r="A289" s="3">
        <v>44250</v>
      </c>
      <c r="B289" s="7" t="s">
        <v>982</v>
      </c>
      <c r="C289" s="8">
        <v>668700</v>
      </c>
      <c r="D289" s="8">
        <v>0</v>
      </c>
      <c r="E289" s="50">
        <f t="shared" si="4"/>
        <v>40544677.74000001</v>
      </c>
      <c r="F289" s="83" t="s">
        <v>137</v>
      </c>
      <c r="G289" s="14" t="s">
        <v>138</v>
      </c>
      <c r="H289" s="14" t="s">
        <v>173</v>
      </c>
    </row>
    <row r="290" spans="1:12">
      <c r="A290" s="3">
        <v>44250</v>
      </c>
      <c r="B290" s="7" t="s">
        <v>983</v>
      </c>
      <c r="C290" s="8">
        <v>710726</v>
      </c>
      <c r="D290" s="8">
        <v>0</v>
      </c>
      <c r="E290" s="50">
        <f t="shared" si="4"/>
        <v>39833951.74000001</v>
      </c>
      <c r="F290" s="83" t="s">
        <v>137</v>
      </c>
      <c r="G290" s="14" t="s">
        <v>138</v>
      </c>
      <c r="H290" s="14" t="s">
        <v>173</v>
      </c>
    </row>
    <row r="291" spans="1:12">
      <c r="A291" s="3">
        <v>44250</v>
      </c>
      <c r="B291" s="7" t="s">
        <v>984</v>
      </c>
      <c r="C291" s="8">
        <v>790175</v>
      </c>
      <c r="D291" s="8">
        <v>0</v>
      </c>
      <c r="E291" s="50">
        <f t="shared" si="4"/>
        <v>39043776.74000001</v>
      </c>
      <c r="F291" s="83" t="s">
        <v>137</v>
      </c>
      <c r="G291" s="14" t="s">
        <v>138</v>
      </c>
      <c r="H291" s="14" t="s">
        <v>245</v>
      </c>
    </row>
    <row r="292" spans="1:12">
      <c r="A292" s="3">
        <v>44253</v>
      </c>
      <c r="B292" s="7" t="s">
        <v>991</v>
      </c>
      <c r="C292" s="8">
        <v>2801000</v>
      </c>
      <c r="D292" s="8">
        <v>0</v>
      </c>
      <c r="E292" s="50">
        <f t="shared" si="4"/>
        <v>36242776.74000001</v>
      </c>
      <c r="F292" s="83" t="s">
        <v>137</v>
      </c>
      <c r="G292" s="14" t="s">
        <v>138</v>
      </c>
      <c r="H292" s="14" t="s">
        <v>251</v>
      </c>
    </row>
    <row r="293" spans="1:12">
      <c r="A293" s="3">
        <v>44253</v>
      </c>
      <c r="B293" s="7" t="s">
        <v>24</v>
      </c>
      <c r="C293" s="8">
        <v>2978503</v>
      </c>
      <c r="D293" s="8">
        <v>0</v>
      </c>
      <c r="E293" s="50">
        <f t="shared" si="4"/>
        <v>33264273.74000001</v>
      </c>
      <c r="F293" s="83" t="s">
        <v>107</v>
      </c>
      <c r="G293" s="14" t="s">
        <v>129</v>
      </c>
      <c r="H293" s="14"/>
    </row>
    <row r="294" spans="1:12">
      <c r="A294" s="3">
        <v>44253</v>
      </c>
      <c r="B294" s="7" t="s">
        <v>985</v>
      </c>
      <c r="C294" s="8">
        <v>3500000</v>
      </c>
      <c r="D294" s="8">
        <v>0</v>
      </c>
      <c r="E294" s="50">
        <f t="shared" si="4"/>
        <v>29764273.74000001</v>
      </c>
      <c r="F294" s="83" t="s">
        <v>137</v>
      </c>
      <c r="G294" s="14" t="s">
        <v>138</v>
      </c>
      <c r="H294" s="14" t="s">
        <v>990</v>
      </c>
    </row>
    <row r="295" spans="1:12">
      <c r="A295" s="3">
        <v>44253</v>
      </c>
      <c r="B295" s="7" t="s">
        <v>986</v>
      </c>
      <c r="C295" s="8">
        <v>8000000</v>
      </c>
      <c r="D295" s="8">
        <v>0</v>
      </c>
      <c r="E295" s="50">
        <f t="shared" si="4"/>
        <v>21764273.74000001</v>
      </c>
      <c r="F295" s="83" t="s">
        <v>137</v>
      </c>
      <c r="G295" s="14" t="s">
        <v>138</v>
      </c>
      <c r="H295" s="14" t="s">
        <v>990</v>
      </c>
    </row>
    <row r="296" spans="1:12">
      <c r="A296" s="3">
        <v>44253</v>
      </c>
      <c r="B296" s="7" t="s">
        <v>987</v>
      </c>
      <c r="C296" s="8">
        <v>1050000</v>
      </c>
      <c r="D296" s="8">
        <v>0</v>
      </c>
      <c r="E296" s="50">
        <f t="shared" si="4"/>
        <v>20714273.74000001</v>
      </c>
      <c r="F296" s="83" t="s">
        <v>115</v>
      </c>
      <c r="G296" s="14" t="s">
        <v>120</v>
      </c>
      <c r="H296" s="14" t="s">
        <v>133</v>
      </c>
      <c r="I296" t="s">
        <v>64</v>
      </c>
      <c r="J296" t="s">
        <v>4150</v>
      </c>
      <c r="K296" t="s">
        <v>458</v>
      </c>
      <c r="L296" s="10">
        <v>2020</v>
      </c>
    </row>
    <row r="297" spans="1:12" s="14" customFormat="1">
      <c r="A297" s="138">
        <v>44253</v>
      </c>
      <c r="B297" s="49" t="s">
        <v>988</v>
      </c>
      <c r="C297" s="50">
        <v>3000000</v>
      </c>
      <c r="D297" s="50">
        <v>0</v>
      </c>
      <c r="E297" s="50">
        <f t="shared" si="4"/>
        <v>17714273.74000001</v>
      </c>
      <c r="F297" s="83" t="s">
        <v>115</v>
      </c>
      <c r="G297" s="14" t="s">
        <v>120</v>
      </c>
      <c r="H297" s="14" t="s">
        <v>133</v>
      </c>
      <c r="I297" s="14" t="s">
        <v>64</v>
      </c>
      <c r="J297" t="s">
        <v>4150</v>
      </c>
      <c r="K297" t="s">
        <v>119</v>
      </c>
      <c r="L297" s="10">
        <v>2020</v>
      </c>
    </row>
    <row r="298" spans="1:12" s="14" customFormat="1">
      <c r="A298" s="138">
        <v>44253</v>
      </c>
      <c r="B298" s="49" t="s">
        <v>989</v>
      </c>
      <c r="C298" s="50">
        <v>7000000</v>
      </c>
      <c r="D298" s="50">
        <v>0</v>
      </c>
      <c r="E298" s="50">
        <f t="shared" si="4"/>
        <v>10714273.74000001</v>
      </c>
      <c r="F298" s="83" t="s">
        <v>115</v>
      </c>
      <c r="G298" s="14" t="s">
        <v>120</v>
      </c>
      <c r="H298" s="14" t="s">
        <v>133</v>
      </c>
    </row>
    <row r="299" spans="1:12">
      <c r="A299" s="3">
        <v>44253</v>
      </c>
      <c r="B299" s="7" t="s">
        <v>25</v>
      </c>
      <c r="C299" s="8">
        <v>0</v>
      </c>
      <c r="D299" s="8">
        <v>250000000</v>
      </c>
      <c r="E299" s="50">
        <f t="shared" si="4"/>
        <v>260714273.74000001</v>
      </c>
      <c r="F299" s="83" t="s">
        <v>107</v>
      </c>
      <c r="G299" s="14" t="s">
        <v>108</v>
      </c>
      <c r="H299" s="14"/>
    </row>
    <row r="300" spans="1:12">
      <c r="A300" s="3">
        <v>44255</v>
      </c>
      <c r="B300" s="7" t="s">
        <v>240</v>
      </c>
      <c r="C300" s="8">
        <v>0</v>
      </c>
      <c r="D300" s="8">
        <v>4024.56</v>
      </c>
      <c r="E300" s="50">
        <f t="shared" si="4"/>
        <v>260718298.30000001</v>
      </c>
      <c r="F300" s="83" t="s">
        <v>252</v>
      </c>
      <c r="G300" s="14" t="s">
        <v>253</v>
      </c>
      <c r="H300" s="14"/>
    </row>
    <row r="301" spans="1:12">
      <c r="A301" s="3">
        <v>44255</v>
      </c>
      <c r="B301" s="7" t="s">
        <v>241</v>
      </c>
      <c r="C301" s="8">
        <v>804.91</v>
      </c>
      <c r="D301" s="8">
        <v>0</v>
      </c>
      <c r="E301" s="50">
        <f t="shared" si="4"/>
        <v>260717493.39000002</v>
      </c>
      <c r="F301" s="83" t="s">
        <v>252</v>
      </c>
      <c r="G301" s="14" t="s">
        <v>253</v>
      </c>
      <c r="H301" s="14"/>
    </row>
    <row r="302" spans="1:12">
      <c r="A302" s="3">
        <v>44256</v>
      </c>
      <c r="B302" s="7" t="s">
        <v>1017</v>
      </c>
      <c r="C302" s="8">
        <v>76135000</v>
      </c>
      <c r="D302" s="8">
        <v>0</v>
      </c>
      <c r="E302" s="50">
        <f t="shared" si="4"/>
        <v>184582493.39000002</v>
      </c>
      <c r="F302" s="83" t="s">
        <v>248</v>
      </c>
      <c r="G302" s="14" t="s">
        <v>249</v>
      </c>
      <c r="H302" s="14"/>
    </row>
    <row r="303" spans="1:12">
      <c r="A303" s="3">
        <v>44257</v>
      </c>
      <c r="B303" s="7" t="s">
        <v>1018</v>
      </c>
      <c r="C303" s="8">
        <v>666226</v>
      </c>
      <c r="D303" s="8">
        <v>0</v>
      </c>
      <c r="E303" s="50">
        <f t="shared" si="4"/>
        <v>183916267.39000002</v>
      </c>
      <c r="F303" s="83" t="s">
        <v>319</v>
      </c>
      <c r="G303" s="14" t="s">
        <v>1016</v>
      </c>
      <c r="H303" s="14"/>
    </row>
    <row r="304" spans="1:12">
      <c r="A304" s="3">
        <v>44257</v>
      </c>
      <c r="B304" s="7" t="s">
        <v>2464</v>
      </c>
      <c r="C304" s="8">
        <v>1830000</v>
      </c>
      <c r="D304" s="8">
        <v>0</v>
      </c>
      <c r="E304" s="50">
        <f t="shared" si="4"/>
        <v>182086267.39000002</v>
      </c>
      <c r="F304" s="83" t="s">
        <v>319</v>
      </c>
      <c r="G304" s="14" t="s">
        <v>676</v>
      </c>
      <c r="H304" s="14"/>
    </row>
    <row r="305" spans="1:9">
      <c r="A305" s="3">
        <v>44260</v>
      </c>
      <c r="B305" s="7" t="s">
        <v>1019</v>
      </c>
      <c r="C305" s="8">
        <v>747500</v>
      </c>
      <c r="D305" s="8">
        <v>0</v>
      </c>
      <c r="E305" s="50">
        <f t="shared" si="4"/>
        <v>181338767.39000002</v>
      </c>
      <c r="F305" s="83" t="s">
        <v>319</v>
      </c>
      <c r="G305" s="14" t="s">
        <v>244</v>
      </c>
      <c r="H305" s="14"/>
    </row>
    <row r="306" spans="1:9">
      <c r="A306" s="3">
        <v>44260</v>
      </c>
      <c r="B306" s="7" t="s">
        <v>1020</v>
      </c>
      <c r="C306" s="8">
        <v>1290900</v>
      </c>
      <c r="D306" s="8">
        <v>0</v>
      </c>
      <c r="E306" s="50">
        <f t="shared" si="4"/>
        <v>180047867.39000002</v>
      </c>
      <c r="F306" s="83" t="s">
        <v>137</v>
      </c>
      <c r="G306" s="14" t="s">
        <v>138</v>
      </c>
      <c r="H306" s="14" t="s">
        <v>251</v>
      </c>
    </row>
    <row r="307" spans="1:9">
      <c r="A307" s="3">
        <v>44260</v>
      </c>
      <c r="B307" s="7" t="s">
        <v>24</v>
      </c>
      <c r="C307" s="8">
        <v>2767500</v>
      </c>
      <c r="D307" s="8">
        <v>0</v>
      </c>
      <c r="E307" s="50">
        <f t="shared" si="4"/>
        <v>177280367.39000002</v>
      </c>
      <c r="F307" s="83" t="s">
        <v>107</v>
      </c>
      <c r="G307" s="14" t="s">
        <v>129</v>
      </c>
      <c r="H307" s="14"/>
    </row>
    <row r="308" spans="1:9">
      <c r="A308" s="3">
        <v>44260</v>
      </c>
      <c r="B308" s="7" t="s">
        <v>1021</v>
      </c>
      <c r="C308" s="8">
        <v>775000</v>
      </c>
      <c r="D308" s="8">
        <v>0</v>
      </c>
      <c r="E308" s="50">
        <f t="shared" si="4"/>
        <v>176505367.39000002</v>
      </c>
      <c r="F308" s="83" t="s">
        <v>248</v>
      </c>
      <c r="G308" s="14" t="s">
        <v>130</v>
      </c>
      <c r="H308" t="s">
        <v>625</v>
      </c>
    </row>
    <row r="309" spans="1:9">
      <c r="A309" s="3">
        <v>44260</v>
      </c>
      <c r="B309" s="7" t="s">
        <v>1022</v>
      </c>
      <c r="C309" s="8">
        <v>2480000</v>
      </c>
      <c r="D309" s="8">
        <v>0</v>
      </c>
      <c r="E309" s="50">
        <f t="shared" si="4"/>
        <v>174025367.39000002</v>
      </c>
      <c r="F309" s="83" t="s">
        <v>248</v>
      </c>
      <c r="G309" s="14" t="s">
        <v>130</v>
      </c>
      <c r="H309" t="s">
        <v>623</v>
      </c>
    </row>
    <row r="310" spans="1:9">
      <c r="A310" s="3">
        <v>44260</v>
      </c>
      <c r="B310" s="7" t="s">
        <v>1023</v>
      </c>
      <c r="C310" s="8">
        <v>525101</v>
      </c>
      <c r="D310" s="8">
        <v>0</v>
      </c>
      <c r="E310" s="50">
        <f t="shared" si="4"/>
        <v>173500266.39000002</v>
      </c>
      <c r="F310" s="83" t="s">
        <v>736</v>
      </c>
      <c r="G310" s="14" t="s">
        <v>737</v>
      </c>
      <c r="H310" s="14"/>
    </row>
    <row r="311" spans="1:9">
      <c r="A311" s="3">
        <v>44260</v>
      </c>
      <c r="B311" s="7" t="s">
        <v>1024</v>
      </c>
      <c r="C311" s="8">
        <v>81000000</v>
      </c>
      <c r="D311" s="8">
        <v>0</v>
      </c>
      <c r="E311" s="50">
        <f t="shared" si="4"/>
        <v>92500266.390000015</v>
      </c>
      <c r="F311" s="83" t="s">
        <v>137</v>
      </c>
      <c r="G311" s="14" t="s">
        <v>138</v>
      </c>
      <c r="H311" s="14" t="s">
        <v>1015</v>
      </c>
    </row>
    <row r="312" spans="1:9">
      <c r="A312" s="3">
        <v>44260</v>
      </c>
      <c r="B312" s="7" t="s">
        <v>1025</v>
      </c>
      <c r="C312" s="8">
        <v>6250000</v>
      </c>
      <c r="D312" s="8">
        <v>0</v>
      </c>
      <c r="E312" s="50">
        <f t="shared" si="4"/>
        <v>86250266.390000015</v>
      </c>
      <c r="F312" s="83" t="s">
        <v>137</v>
      </c>
      <c r="G312" s="14" t="s">
        <v>138</v>
      </c>
      <c r="H312" s="14" t="s">
        <v>1015</v>
      </c>
    </row>
    <row r="313" spans="1:9">
      <c r="A313" s="3">
        <v>44263</v>
      </c>
      <c r="B313" s="7" t="s">
        <v>1074</v>
      </c>
      <c r="C313" s="8">
        <v>0</v>
      </c>
      <c r="D313" s="8">
        <v>84666120</v>
      </c>
      <c r="E313" s="50">
        <f t="shared" si="4"/>
        <v>170916386.39000002</v>
      </c>
      <c r="F313" s="83" t="s">
        <v>110</v>
      </c>
      <c r="G313" s="14" t="s">
        <v>188</v>
      </c>
      <c r="H313" s="14" t="s">
        <v>151</v>
      </c>
      <c r="I313">
        <v>68</v>
      </c>
    </row>
    <row r="314" spans="1:9">
      <c r="A314" s="3">
        <v>44263</v>
      </c>
      <c r="B314" s="7" t="s">
        <v>1075</v>
      </c>
      <c r="C314" s="8">
        <v>0</v>
      </c>
      <c r="D314" s="8">
        <v>229851160</v>
      </c>
      <c r="E314" s="50">
        <f t="shared" si="4"/>
        <v>400767546.38999999</v>
      </c>
      <c r="F314" s="83" t="s">
        <v>110</v>
      </c>
      <c r="G314" s="14" t="s">
        <v>188</v>
      </c>
      <c r="H314" s="14" t="s">
        <v>151</v>
      </c>
      <c r="I314">
        <v>68</v>
      </c>
    </row>
    <row r="315" spans="1:9">
      <c r="A315" s="3">
        <v>44263</v>
      </c>
      <c r="B315" s="7" t="s">
        <v>1076</v>
      </c>
      <c r="C315" s="8">
        <v>0</v>
      </c>
      <c r="D315" s="8">
        <v>18000000</v>
      </c>
      <c r="E315" s="50">
        <f t="shared" si="4"/>
        <v>418767546.38999999</v>
      </c>
      <c r="F315" s="83" t="s">
        <v>110</v>
      </c>
      <c r="G315" s="14" t="s">
        <v>188</v>
      </c>
      <c r="H315" s="13" t="s">
        <v>371</v>
      </c>
      <c r="I315">
        <v>83</v>
      </c>
    </row>
    <row r="316" spans="1:9">
      <c r="A316" s="3">
        <v>44264</v>
      </c>
      <c r="B316" s="7" t="s">
        <v>1077</v>
      </c>
      <c r="C316" s="8">
        <v>2500000</v>
      </c>
      <c r="D316" s="8">
        <v>0</v>
      </c>
      <c r="E316" s="50">
        <f t="shared" si="4"/>
        <v>416267546.38999999</v>
      </c>
      <c r="F316" s="83" t="s">
        <v>137</v>
      </c>
      <c r="G316" s="14" t="s">
        <v>138</v>
      </c>
      <c r="H316" s="14" t="s">
        <v>1015</v>
      </c>
    </row>
    <row r="317" spans="1:9">
      <c r="A317" s="3">
        <v>44264</v>
      </c>
      <c r="B317" s="7" t="s">
        <v>1078</v>
      </c>
      <c r="C317" s="8">
        <v>5950000</v>
      </c>
      <c r="D317" s="8">
        <v>0</v>
      </c>
      <c r="E317" s="50">
        <f t="shared" si="4"/>
        <v>410317546.38999999</v>
      </c>
      <c r="F317" s="83" t="s">
        <v>137</v>
      </c>
      <c r="G317" s="14" t="s">
        <v>138</v>
      </c>
      <c r="H317" s="14" t="s">
        <v>1015</v>
      </c>
    </row>
    <row r="318" spans="1:9">
      <c r="A318" s="3">
        <v>44264</v>
      </c>
      <c r="B318" s="7" t="s">
        <v>1079</v>
      </c>
      <c r="C318" s="54">
        <v>3500000</v>
      </c>
      <c r="D318" s="54">
        <v>0</v>
      </c>
      <c r="E318" s="53">
        <f t="shared" si="4"/>
        <v>406817546.38999999</v>
      </c>
      <c r="F318" s="80" t="s">
        <v>319</v>
      </c>
      <c r="G318" s="14" t="s">
        <v>370</v>
      </c>
      <c r="H318" s="14"/>
    </row>
    <row r="319" spans="1:9">
      <c r="A319" s="3">
        <v>44264</v>
      </c>
      <c r="B319" s="7" t="s">
        <v>1079</v>
      </c>
      <c r="C319" s="54">
        <v>350000</v>
      </c>
      <c r="D319" s="54">
        <v>0</v>
      </c>
      <c r="E319" s="53">
        <f t="shared" si="4"/>
        <v>406467546.38999999</v>
      </c>
      <c r="F319" s="82" t="s">
        <v>110</v>
      </c>
      <c r="G319" t="s">
        <v>616</v>
      </c>
      <c r="H319" t="s">
        <v>4621</v>
      </c>
    </row>
    <row r="320" spans="1:9">
      <c r="A320" s="3">
        <v>44264</v>
      </c>
      <c r="B320" s="7" t="s">
        <v>1079</v>
      </c>
      <c r="C320" s="54">
        <v>0</v>
      </c>
      <c r="D320" s="54">
        <v>70000</v>
      </c>
      <c r="E320" s="53">
        <f t="shared" si="4"/>
        <v>406537546.38999999</v>
      </c>
      <c r="F320" s="82" t="s">
        <v>115</v>
      </c>
      <c r="G320" t="s">
        <v>441</v>
      </c>
      <c r="H320" t="s">
        <v>596</v>
      </c>
    </row>
    <row r="321" spans="1:12">
      <c r="A321" s="3">
        <v>44264</v>
      </c>
      <c r="B321" s="7" t="s">
        <v>1080</v>
      </c>
      <c r="C321" s="54">
        <v>2450000</v>
      </c>
      <c r="D321" s="54">
        <v>0</v>
      </c>
      <c r="E321" s="53">
        <f t="shared" si="4"/>
        <v>404087546.38999999</v>
      </c>
      <c r="F321" s="80" t="s">
        <v>137</v>
      </c>
      <c r="G321" s="14" t="s">
        <v>138</v>
      </c>
      <c r="H321" s="14" t="s">
        <v>1015</v>
      </c>
    </row>
    <row r="322" spans="1:12">
      <c r="A322" s="3">
        <v>44264</v>
      </c>
      <c r="B322" s="7" t="s">
        <v>1081</v>
      </c>
      <c r="C322" s="54">
        <v>50000000</v>
      </c>
      <c r="D322" s="54">
        <v>0</v>
      </c>
      <c r="E322" s="53">
        <f t="shared" si="4"/>
        <v>354087546.38999999</v>
      </c>
      <c r="F322" s="80" t="s">
        <v>137</v>
      </c>
      <c r="G322" s="14" t="s">
        <v>138</v>
      </c>
      <c r="H322" s="14" t="s">
        <v>1015</v>
      </c>
    </row>
    <row r="323" spans="1:12">
      <c r="A323" s="3">
        <v>44264</v>
      </c>
      <c r="B323" s="7" t="s">
        <v>1082</v>
      </c>
      <c r="C323" s="8">
        <v>9600000</v>
      </c>
      <c r="D323" s="8">
        <v>0</v>
      </c>
      <c r="E323" s="50">
        <f t="shared" si="4"/>
        <v>344487546.38999999</v>
      </c>
      <c r="F323" s="83" t="s">
        <v>137</v>
      </c>
      <c r="G323" s="14" t="s">
        <v>138</v>
      </c>
      <c r="H323" s="14" t="s">
        <v>1015</v>
      </c>
    </row>
    <row r="324" spans="1:12">
      <c r="A324" s="3">
        <v>44264</v>
      </c>
      <c r="B324" s="7" t="s">
        <v>1083</v>
      </c>
      <c r="C324" s="8">
        <v>2940000</v>
      </c>
      <c r="D324" s="8">
        <v>0</v>
      </c>
      <c r="E324" s="50">
        <f t="shared" si="4"/>
        <v>341547546.38999999</v>
      </c>
      <c r="F324" s="83" t="s">
        <v>137</v>
      </c>
      <c r="G324" s="14" t="s">
        <v>138</v>
      </c>
      <c r="H324" s="14" t="s">
        <v>1015</v>
      </c>
    </row>
    <row r="325" spans="1:12">
      <c r="A325" s="3">
        <v>44264</v>
      </c>
      <c r="B325" s="7" t="s">
        <v>1084</v>
      </c>
      <c r="C325" s="8">
        <v>8000000</v>
      </c>
      <c r="D325" s="8">
        <v>0</v>
      </c>
      <c r="E325" s="50">
        <f t="shared" si="4"/>
        <v>333547546.38999999</v>
      </c>
      <c r="F325" s="83" t="s">
        <v>137</v>
      </c>
      <c r="G325" s="14" t="s">
        <v>138</v>
      </c>
      <c r="H325" s="14" t="s">
        <v>1015</v>
      </c>
    </row>
    <row r="326" spans="1:12">
      <c r="A326" s="3">
        <v>44264</v>
      </c>
      <c r="B326" s="7" t="s">
        <v>1085</v>
      </c>
      <c r="C326" s="8">
        <v>8200000</v>
      </c>
      <c r="D326" s="8">
        <v>0</v>
      </c>
      <c r="E326" s="50">
        <f t="shared" si="4"/>
        <v>325347546.38999999</v>
      </c>
      <c r="F326" s="83" t="s">
        <v>137</v>
      </c>
      <c r="G326" s="14" t="s">
        <v>138</v>
      </c>
      <c r="H326" s="14" t="s">
        <v>1015</v>
      </c>
    </row>
    <row r="327" spans="1:12">
      <c r="A327" s="3">
        <v>44264</v>
      </c>
      <c r="B327" s="7" t="s">
        <v>1086</v>
      </c>
      <c r="C327" s="8">
        <v>7501000</v>
      </c>
      <c r="D327" s="8">
        <v>0</v>
      </c>
      <c r="E327" s="50">
        <f t="shared" si="4"/>
        <v>317846546.38999999</v>
      </c>
      <c r="F327" s="83" t="s">
        <v>137</v>
      </c>
      <c r="G327" s="14" t="s">
        <v>138</v>
      </c>
      <c r="H327" s="14" t="s">
        <v>251</v>
      </c>
    </row>
    <row r="328" spans="1:12">
      <c r="A328" s="3">
        <v>44264</v>
      </c>
      <c r="B328" s="7" t="s">
        <v>1087</v>
      </c>
      <c r="C328" s="8">
        <v>1001000</v>
      </c>
      <c r="D328" s="8">
        <v>0</v>
      </c>
      <c r="E328" s="50">
        <f t="shared" si="4"/>
        <v>316845546.38999999</v>
      </c>
      <c r="F328" s="83" t="s">
        <v>137</v>
      </c>
      <c r="G328" s="14" t="s">
        <v>138</v>
      </c>
      <c r="H328" s="14" t="s">
        <v>603</v>
      </c>
    </row>
    <row r="329" spans="1:12">
      <c r="A329" s="3">
        <v>44264</v>
      </c>
      <c r="B329" s="7" t="s">
        <v>1088</v>
      </c>
      <c r="C329" s="8">
        <v>2001000</v>
      </c>
      <c r="D329" s="8">
        <v>0</v>
      </c>
      <c r="E329" s="50">
        <f t="shared" si="4"/>
        <v>314844546.38999999</v>
      </c>
      <c r="F329" s="83" t="s">
        <v>137</v>
      </c>
      <c r="G329" s="14" t="s">
        <v>138</v>
      </c>
      <c r="H329" s="14" t="s">
        <v>603</v>
      </c>
    </row>
    <row r="330" spans="1:12">
      <c r="A330" s="3">
        <v>44264</v>
      </c>
      <c r="B330" s="7" t="s">
        <v>1089</v>
      </c>
      <c r="C330" s="8">
        <v>1050000</v>
      </c>
      <c r="D330" s="8">
        <v>0</v>
      </c>
      <c r="E330" s="50">
        <f t="shared" si="4"/>
        <v>313794546.38999999</v>
      </c>
      <c r="F330" s="83" t="s">
        <v>115</v>
      </c>
      <c r="G330" s="14" t="s">
        <v>120</v>
      </c>
      <c r="H330" s="14" t="s">
        <v>131</v>
      </c>
      <c r="I330" t="s">
        <v>64</v>
      </c>
      <c r="J330" t="s">
        <v>4150</v>
      </c>
      <c r="K330" t="s">
        <v>480</v>
      </c>
      <c r="L330" s="10">
        <v>2020</v>
      </c>
    </row>
    <row r="331" spans="1:12">
      <c r="A331" s="3">
        <v>44264</v>
      </c>
      <c r="B331" s="7" t="s">
        <v>1090</v>
      </c>
      <c r="C331" s="8">
        <v>1050000</v>
      </c>
      <c r="D331" s="8">
        <v>0</v>
      </c>
      <c r="E331" s="50">
        <f t="shared" si="4"/>
        <v>312744546.38999999</v>
      </c>
      <c r="F331" s="83" t="s">
        <v>137</v>
      </c>
      <c r="G331" s="14" t="s">
        <v>138</v>
      </c>
      <c r="H331" s="14" t="s">
        <v>173</v>
      </c>
      <c r="I331" t="s">
        <v>64</v>
      </c>
      <c r="J331" t="s">
        <v>4150</v>
      </c>
      <c r="K331" t="s">
        <v>480</v>
      </c>
      <c r="L331" s="10">
        <v>2021</v>
      </c>
    </row>
    <row r="332" spans="1:12">
      <c r="A332" s="3">
        <v>44267</v>
      </c>
      <c r="B332" s="7" t="s">
        <v>1134</v>
      </c>
      <c r="C332" s="8">
        <v>22000000</v>
      </c>
      <c r="D332" s="8">
        <v>0</v>
      </c>
      <c r="E332" s="50">
        <f t="shared" si="4"/>
        <v>290744546.38999999</v>
      </c>
      <c r="F332" s="83" t="s">
        <v>248</v>
      </c>
      <c r="G332" s="14" t="s">
        <v>729</v>
      </c>
      <c r="H332" s="14"/>
    </row>
    <row r="333" spans="1:12">
      <c r="A333" s="3">
        <v>44267</v>
      </c>
      <c r="B333" s="7" t="s">
        <v>1306</v>
      </c>
      <c r="C333" s="8">
        <v>0</v>
      </c>
      <c r="D333" s="8">
        <v>207498830</v>
      </c>
      <c r="E333" s="50">
        <f t="shared" ref="E333:E347" si="5">E332-C333+D333</f>
        <v>498243376.38999999</v>
      </c>
      <c r="F333" s="83" t="s">
        <v>110</v>
      </c>
      <c r="G333" s="14" t="s">
        <v>188</v>
      </c>
      <c r="H333" s="13" t="s">
        <v>151</v>
      </c>
      <c r="I333">
        <v>68</v>
      </c>
    </row>
    <row r="334" spans="1:12">
      <c r="A334" s="3">
        <v>44267</v>
      </c>
      <c r="B334" s="7" t="s">
        <v>1307</v>
      </c>
      <c r="C334" s="8">
        <v>0</v>
      </c>
      <c r="D334" s="8">
        <v>248920980</v>
      </c>
      <c r="E334" s="50">
        <f t="shared" si="5"/>
        <v>747164356.38999999</v>
      </c>
      <c r="F334" s="83" t="s">
        <v>110</v>
      </c>
      <c r="G334" s="14" t="s">
        <v>188</v>
      </c>
      <c r="H334" s="13" t="s">
        <v>151</v>
      </c>
      <c r="I334">
        <v>68</v>
      </c>
    </row>
    <row r="335" spans="1:12">
      <c r="A335" s="3">
        <v>44271</v>
      </c>
      <c r="B335" s="7" t="s">
        <v>4402</v>
      </c>
      <c r="C335" s="54">
        <v>0</v>
      </c>
      <c r="D335" s="54">
        <v>155146134</v>
      </c>
      <c r="E335" s="53">
        <f t="shared" si="5"/>
        <v>902310490.38999999</v>
      </c>
      <c r="F335" s="80" t="s">
        <v>581</v>
      </c>
      <c r="G335" s="14" t="s">
        <v>582</v>
      </c>
      <c r="H335" t="s">
        <v>173</v>
      </c>
      <c r="I335">
        <v>21</v>
      </c>
    </row>
    <row r="336" spans="1:12">
      <c r="A336" s="3">
        <v>44271</v>
      </c>
      <c r="B336" s="7" t="s">
        <v>4402</v>
      </c>
      <c r="C336" s="54">
        <v>0</v>
      </c>
      <c r="D336" s="54">
        <f>203560100-D335</f>
        <v>48413966</v>
      </c>
      <c r="E336" s="53">
        <f t="shared" si="5"/>
        <v>950724456.38999999</v>
      </c>
      <c r="F336" s="80" t="s">
        <v>110</v>
      </c>
      <c r="G336" s="14" t="s">
        <v>118</v>
      </c>
      <c r="H336" s="14" t="s">
        <v>146</v>
      </c>
    </row>
    <row r="337" spans="1:12">
      <c r="A337" s="3">
        <v>44274</v>
      </c>
      <c r="B337" s="7" t="s">
        <v>60</v>
      </c>
      <c r="C337" s="54">
        <v>20000</v>
      </c>
      <c r="D337" s="54">
        <v>0</v>
      </c>
      <c r="E337" s="53">
        <f t="shared" si="5"/>
        <v>950704456.38999999</v>
      </c>
      <c r="F337" s="80" t="s">
        <v>113</v>
      </c>
      <c r="G337" s="14" t="s">
        <v>114</v>
      </c>
      <c r="H337" s="14"/>
    </row>
    <row r="338" spans="1:12">
      <c r="A338" s="3">
        <v>44277</v>
      </c>
      <c r="B338" s="7" t="s">
        <v>1135</v>
      </c>
      <c r="C338" s="8">
        <v>890911</v>
      </c>
      <c r="D338" s="8">
        <v>0</v>
      </c>
      <c r="E338" s="50">
        <f t="shared" si="5"/>
        <v>949813545.38999999</v>
      </c>
      <c r="F338" s="83" t="s">
        <v>319</v>
      </c>
      <c r="G338" s="14" t="s">
        <v>1016</v>
      </c>
      <c r="H338" s="14"/>
    </row>
    <row r="339" spans="1:12">
      <c r="A339" s="3">
        <v>44277</v>
      </c>
      <c r="B339" s="7" t="s">
        <v>24</v>
      </c>
      <c r="C339" s="8">
        <v>2951205</v>
      </c>
      <c r="D339" s="8">
        <v>0</v>
      </c>
      <c r="E339" s="50">
        <f t="shared" si="5"/>
        <v>946862340.38999999</v>
      </c>
      <c r="F339" s="83" t="s">
        <v>107</v>
      </c>
      <c r="G339" s="14" t="s">
        <v>129</v>
      </c>
      <c r="H339" s="14"/>
    </row>
    <row r="340" spans="1:12">
      <c r="A340" s="3">
        <v>44277</v>
      </c>
      <c r="B340" s="7" t="s">
        <v>1136</v>
      </c>
      <c r="C340" s="8">
        <v>2206500</v>
      </c>
      <c r="D340" s="8">
        <v>0</v>
      </c>
      <c r="E340" s="50">
        <f t="shared" si="5"/>
        <v>944655840.38999999</v>
      </c>
      <c r="F340" s="83" t="s">
        <v>137</v>
      </c>
      <c r="G340" s="14" t="s">
        <v>138</v>
      </c>
      <c r="H340" t="s">
        <v>251</v>
      </c>
    </row>
    <row r="341" spans="1:12">
      <c r="A341" s="3">
        <v>44277</v>
      </c>
      <c r="B341" s="7" t="s">
        <v>1137</v>
      </c>
      <c r="C341" s="8">
        <v>1600000</v>
      </c>
      <c r="D341" s="8">
        <v>0</v>
      </c>
      <c r="E341" s="50">
        <f t="shared" si="5"/>
        <v>943055840.38999999</v>
      </c>
      <c r="F341" s="83" t="s">
        <v>137</v>
      </c>
      <c r="G341" s="14" t="s">
        <v>138</v>
      </c>
      <c r="H341" s="14" t="s">
        <v>1126</v>
      </c>
    </row>
    <row r="342" spans="1:12">
      <c r="A342" s="3">
        <v>44277</v>
      </c>
      <c r="B342" s="7" t="s">
        <v>1138</v>
      </c>
      <c r="C342" s="8">
        <v>1743204</v>
      </c>
      <c r="D342" s="8">
        <v>0</v>
      </c>
      <c r="E342" s="50">
        <f t="shared" si="5"/>
        <v>941312636.38999999</v>
      </c>
      <c r="F342" s="83" t="s">
        <v>137</v>
      </c>
      <c r="G342" s="14" t="s">
        <v>138</v>
      </c>
      <c r="H342" t="s">
        <v>251</v>
      </c>
    </row>
    <row r="343" spans="1:12">
      <c r="A343" s="3">
        <v>44277</v>
      </c>
      <c r="B343" s="7" t="s">
        <v>1139</v>
      </c>
      <c r="C343" s="8">
        <v>29999000</v>
      </c>
      <c r="D343" s="8">
        <v>0</v>
      </c>
      <c r="E343" s="50">
        <f t="shared" si="5"/>
        <v>911313636.38999999</v>
      </c>
      <c r="F343" s="83" t="s">
        <v>137</v>
      </c>
      <c r="G343" s="14" t="s">
        <v>138</v>
      </c>
      <c r="H343" t="s">
        <v>603</v>
      </c>
    </row>
    <row r="344" spans="1:12">
      <c r="A344" s="3">
        <v>44277</v>
      </c>
      <c r="B344" s="7" t="s">
        <v>1140</v>
      </c>
      <c r="C344" s="8">
        <v>66000000</v>
      </c>
      <c r="D344" s="8">
        <v>0</v>
      </c>
      <c r="E344" s="50">
        <f t="shared" si="5"/>
        <v>845313636.38999999</v>
      </c>
      <c r="F344" s="83" t="s">
        <v>137</v>
      </c>
      <c r="G344" s="14" t="s">
        <v>138</v>
      </c>
      <c r="H344" s="14" t="s">
        <v>1015</v>
      </c>
    </row>
    <row r="345" spans="1:12">
      <c r="A345" s="3">
        <v>44277</v>
      </c>
      <c r="B345" s="7" t="s">
        <v>2465</v>
      </c>
      <c r="C345" s="8">
        <v>15050000</v>
      </c>
      <c r="D345" s="8">
        <v>0</v>
      </c>
      <c r="E345" s="50">
        <f t="shared" si="5"/>
        <v>830263636.38999999</v>
      </c>
      <c r="F345" s="83" t="s">
        <v>137</v>
      </c>
      <c r="G345" s="14" t="s">
        <v>138</v>
      </c>
      <c r="H345" s="14" t="s">
        <v>1015</v>
      </c>
    </row>
    <row r="346" spans="1:12">
      <c r="A346" s="3">
        <v>44277</v>
      </c>
      <c r="B346" s="7" t="s">
        <v>1141</v>
      </c>
      <c r="C346" s="8">
        <v>30525000</v>
      </c>
      <c r="D346" s="8">
        <v>0</v>
      </c>
      <c r="E346" s="50">
        <f t="shared" si="5"/>
        <v>799738636.38999999</v>
      </c>
      <c r="F346" s="83" t="s">
        <v>137</v>
      </c>
      <c r="G346" s="14" t="s">
        <v>138</v>
      </c>
      <c r="H346" t="s">
        <v>245</v>
      </c>
    </row>
    <row r="347" spans="1:12">
      <c r="A347" s="3">
        <v>44277</v>
      </c>
      <c r="B347" s="7" t="s">
        <v>1142</v>
      </c>
      <c r="C347" s="8">
        <v>7500000</v>
      </c>
      <c r="D347" s="8">
        <v>0</v>
      </c>
      <c r="E347" s="50">
        <f t="shared" si="5"/>
        <v>792238636.38999999</v>
      </c>
      <c r="F347" s="83" t="s">
        <v>137</v>
      </c>
      <c r="G347" s="14" t="s">
        <v>138</v>
      </c>
      <c r="H347" s="14" t="s">
        <v>1015</v>
      </c>
    </row>
    <row r="348" spans="1:12">
      <c r="A348" s="3">
        <v>44277</v>
      </c>
      <c r="B348" s="7" t="s">
        <v>1143</v>
      </c>
      <c r="C348" s="8">
        <v>8900000</v>
      </c>
      <c r="D348" s="8">
        <v>0</v>
      </c>
      <c r="E348" s="50">
        <f t="shared" ref="E348:E397" si="6">E347-C348+D348</f>
        <v>783338636.38999999</v>
      </c>
      <c r="F348" s="83" t="s">
        <v>137</v>
      </c>
      <c r="G348" s="14" t="s">
        <v>138</v>
      </c>
      <c r="H348" s="14" t="s">
        <v>1015</v>
      </c>
    </row>
    <row r="349" spans="1:12">
      <c r="A349" s="3">
        <v>44277</v>
      </c>
      <c r="B349" s="7" t="s">
        <v>1144</v>
      </c>
      <c r="C349" s="8">
        <v>2000000</v>
      </c>
      <c r="D349" s="8">
        <v>0</v>
      </c>
      <c r="E349" s="50">
        <f t="shared" si="6"/>
        <v>781338636.38999999</v>
      </c>
      <c r="F349" s="83" t="s">
        <v>137</v>
      </c>
      <c r="G349" s="14" t="s">
        <v>138</v>
      </c>
      <c r="H349" s="14" t="s">
        <v>1015</v>
      </c>
    </row>
    <row r="350" spans="1:12">
      <c r="A350" s="3">
        <v>44277</v>
      </c>
      <c r="B350" s="7" t="s">
        <v>2466</v>
      </c>
      <c r="C350" s="8">
        <v>5550000</v>
      </c>
      <c r="D350" s="8">
        <v>0</v>
      </c>
      <c r="E350" s="50">
        <f t="shared" si="6"/>
        <v>775788636.38999999</v>
      </c>
      <c r="F350" s="83" t="s">
        <v>137</v>
      </c>
      <c r="G350" s="14" t="s">
        <v>138</v>
      </c>
      <c r="H350" s="14" t="s">
        <v>1015</v>
      </c>
    </row>
    <row r="351" spans="1:12">
      <c r="A351" s="3">
        <v>44277</v>
      </c>
      <c r="B351" s="7" t="s">
        <v>1145</v>
      </c>
      <c r="C351" s="8">
        <v>3750000</v>
      </c>
      <c r="D351" s="8">
        <v>0</v>
      </c>
      <c r="E351" s="50">
        <f t="shared" si="6"/>
        <v>772038636.38999999</v>
      </c>
      <c r="F351" s="83" t="s">
        <v>137</v>
      </c>
      <c r="G351" s="14" t="s">
        <v>138</v>
      </c>
      <c r="H351" s="14" t="s">
        <v>1015</v>
      </c>
    </row>
    <row r="352" spans="1:12">
      <c r="A352" s="3">
        <v>44277</v>
      </c>
      <c r="B352" s="7" t="s">
        <v>2467</v>
      </c>
      <c r="C352" s="8">
        <v>1200000</v>
      </c>
      <c r="D352" s="8">
        <v>0</v>
      </c>
      <c r="E352" s="50">
        <f t="shared" si="6"/>
        <v>770838636.38999999</v>
      </c>
      <c r="F352" s="83" t="s">
        <v>137</v>
      </c>
      <c r="G352" s="14" t="s">
        <v>138</v>
      </c>
      <c r="H352" s="14" t="s">
        <v>1015</v>
      </c>
      <c r="I352" t="s">
        <v>64</v>
      </c>
      <c r="J352" t="s">
        <v>4150</v>
      </c>
      <c r="K352" t="s">
        <v>4154</v>
      </c>
      <c r="L352" s="10">
        <v>2021</v>
      </c>
    </row>
    <row r="353" spans="1:12">
      <c r="A353" s="3">
        <v>44277</v>
      </c>
      <c r="B353" s="7" t="s">
        <v>1146</v>
      </c>
      <c r="C353" s="8">
        <v>600000</v>
      </c>
      <c r="D353" s="8">
        <v>0</v>
      </c>
      <c r="E353" s="50">
        <f t="shared" si="6"/>
        <v>770238636.38999999</v>
      </c>
      <c r="F353" s="83" t="s">
        <v>137</v>
      </c>
      <c r="G353" s="14" t="s">
        <v>138</v>
      </c>
      <c r="H353" s="14" t="s">
        <v>1130</v>
      </c>
    </row>
    <row r="354" spans="1:12">
      <c r="A354" s="3">
        <v>44277</v>
      </c>
      <c r="B354" s="7" t="s">
        <v>1147</v>
      </c>
      <c r="C354" s="8">
        <v>600000</v>
      </c>
      <c r="D354" s="8">
        <v>0</v>
      </c>
      <c r="E354" s="50">
        <f t="shared" si="6"/>
        <v>769638636.38999999</v>
      </c>
      <c r="F354" s="83" t="s">
        <v>137</v>
      </c>
      <c r="G354" s="14" t="s">
        <v>138</v>
      </c>
      <c r="H354" s="14" t="s">
        <v>1015</v>
      </c>
      <c r="I354" t="s">
        <v>64</v>
      </c>
      <c r="J354" t="s">
        <v>4150</v>
      </c>
      <c r="K354" t="s">
        <v>2083</v>
      </c>
      <c r="L354" s="10">
        <v>2021</v>
      </c>
    </row>
    <row r="355" spans="1:12">
      <c r="A355" s="3">
        <v>44277</v>
      </c>
      <c r="B355" s="7" t="s">
        <v>1148</v>
      </c>
      <c r="C355" s="8">
        <v>27000000</v>
      </c>
      <c r="D355" s="8">
        <v>0</v>
      </c>
      <c r="E355" s="50">
        <f t="shared" si="6"/>
        <v>742638636.38999999</v>
      </c>
      <c r="F355" s="83" t="s">
        <v>137</v>
      </c>
      <c r="G355" s="14" t="s">
        <v>138</v>
      </c>
      <c r="H355" s="14" t="s">
        <v>1015</v>
      </c>
    </row>
    <row r="356" spans="1:12">
      <c r="A356" s="3">
        <v>44277</v>
      </c>
      <c r="B356" s="7" t="s">
        <v>1149</v>
      </c>
      <c r="C356" s="8">
        <v>2631421</v>
      </c>
      <c r="D356" s="8">
        <v>0</v>
      </c>
      <c r="E356" s="50">
        <f t="shared" si="6"/>
        <v>740007215.38999999</v>
      </c>
      <c r="F356" s="83" t="s">
        <v>137</v>
      </c>
      <c r="G356" s="14" t="s">
        <v>138</v>
      </c>
      <c r="H356" s="14" t="s">
        <v>251</v>
      </c>
    </row>
    <row r="357" spans="1:12">
      <c r="A357" s="3">
        <v>44277</v>
      </c>
      <c r="B357" s="7" t="s">
        <v>1150</v>
      </c>
      <c r="C357" s="8">
        <v>767000</v>
      </c>
      <c r="D357" s="8">
        <v>0</v>
      </c>
      <c r="E357" s="50">
        <f t="shared" si="6"/>
        <v>739240215.38999999</v>
      </c>
      <c r="F357" s="83" t="s">
        <v>137</v>
      </c>
      <c r="G357" s="14" t="s">
        <v>138</v>
      </c>
      <c r="H357" s="14" t="s">
        <v>251</v>
      </c>
    </row>
    <row r="358" spans="1:12">
      <c r="A358" s="3">
        <v>44277</v>
      </c>
      <c r="B358" s="7" t="s">
        <v>1151</v>
      </c>
      <c r="C358" s="8">
        <v>501000</v>
      </c>
      <c r="D358" s="8">
        <v>0</v>
      </c>
      <c r="E358" s="50">
        <f t="shared" si="6"/>
        <v>738739215.38999999</v>
      </c>
      <c r="F358" s="83" t="s">
        <v>137</v>
      </c>
      <c r="G358" s="14" t="s">
        <v>138</v>
      </c>
      <c r="H358" s="14" t="s">
        <v>251</v>
      </c>
    </row>
    <row r="359" spans="1:12">
      <c r="A359" s="3">
        <v>44277</v>
      </c>
      <c r="B359" s="7" t="s">
        <v>1152</v>
      </c>
      <c r="C359" s="8">
        <v>600000</v>
      </c>
      <c r="D359" s="8">
        <v>0</v>
      </c>
      <c r="E359" s="50">
        <f t="shared" si="6"/>
        <v>738139215.38999999</v>
      </c>
      <c r="F359" s="83" t="s">
        <v>137</v>
      </c>
      <c r="G359" s="14" t="s">
        <v>138</v>
      </c>
      <c r="H359" s="14" t="s">
        <v>1129</v>
      </c>
    </row>
    <row r="360" spans="1:12">
      <c r="A360" s="3">
        <v>44277</v>
      </c>
      <c r="B360" s="7" t="s">
        <v>2468</v>
      </c>
      <c r="C360" s="8">
        <v>11750000</v>
      </c>
      <c r="D360" s="8">
        <v>0</v>
      </c>
      <c r="E360" s="50">
        <f t="shared" si="6"/>
        <v>726389215.38999999</v>
      </c>
      <c r="F360" s="83" t="s">
        <v>137</v>
      </c>
      <c r="G360" s="14" t="s">
        <v>138</v>
      </c>
      <c r="H360" s="14" t="s">
        <v>1015</v>
      </c>
    </row>
    <row r="361" spans="1:12">
      <c r="A361" s="3">
        <v>44279</v>
      </c>
      <c r="B361" s="7" t="s">
        <v>24</v>
      </c>
      <c r="C361" s="8">
        <v>2976500</v>
      </c>
      <c r="D361" s="8">
        <v>0</v>
      </c>
      <c r="E361" s="50">
        <f t="shared" si="6"/>
        <v>723412715.38999999</v>
      </c>
      <c r="F361" s="83" t="s">
        <v>107</v>
      </c>
      <c r="G361" s="14" t="s">
        <v>129</v>
      </c>
      <c r="H361" s="14"/>
    </row>
    <row r="362" spans="1:12">
      <c r="A362" s="3">
        <v>44279</v>
      </c>
      <c r="B362" s="7" t="s">
        <v>1154</v>
      </c>
      <c r="C362" s="8">
        <v>600000</v>
      </c>
      <c r="D362" s="8">
        <v>0</v>
      </c>
      <c r="E362" s="50">
        <f t="shared" si="6"/>
        <v>722812715.38999999</v>
      </c>
      <c r="F362" s="83" t="s">
        <v>137</v>
      </c>
      <c r="G362" s="14" t="s">
        <v>138</v>
      </c>
      <c r="H362" s="14" t="s">
        <v>1015</v>
      </c>
      <c r="J362" t="s">
        <v>4150</v>
      </c>
      <c r="K362" t="s">
        <v>119</v>
      </c>
      <c r="L362" s="10">
        <v>2021</v>
      </c>
    </row>
    <row r="363" spans="1:12">
      <c r="A363" s="3">
        <v>44279</v>
      </c>
      <c r="B363" s="7" t="s">
        <v>1155</v>
      </c>
      <c r="C363" s="8">
        <v>800000</v>
      </c>
      <c r="D363" s="8">
        <v>0</v>
      </c>
      <c r="E363" s="50">
        <f t="shared" si="6"/>
        <v>722012715.38999999</v>
      </c>
      <c r="F363" s="83" t="s">
        <v>137</v>
      </c>
      <c r="G363" s="14" t="s">
        <v>138</v>
      </c>
      <c r="H363" t="s">
        <v>393</v>
      </c>
      <c r="J363" t="s">
        <v>4150</v>
      </c>
      <c r="K363" t="s">
        <v>622</v>
      </c>
      <c r="L363" s="10">
        <v>2021</v>
      </c>
    </row>
    <row r="364" spans="1:12">
      <c r="A364" s="3">
        <v>44279</v>
      </c>
      <c r="B364" s="7" t="s">
        <v>2469</v>
      </c>
      <c r="C364" s="8">
        <v>650000</v>
      </c>
      <c r="D364" s="8">
        <v>0</v>
      </c>
      <c r="E364" s="50">
        <f t="shared" si="6"/>
        <v>721362715.38999999</v>
      </c>
      <c r="F364" s="83" t="s">
        <v>137</v>
      </c>
      <c r="G364" s="14" t="s">
        <v>138</v>
      </c>
      <c r="H364" s="14" t="s">
        <v>175</v>
      </c>
      <c r="J364" t="s">
        <v>4150</v>
      </c>
      <c r="K364" t="s">
        <v>622</v>
      </c>
      <c r="L364" s="10">
        <v>2021</v>
      </c>
    </row>
    <row r="365" spans="1:12">
      <c r="A365" s="3">
        <v>44279</v>
      </c>
      <c r="B365" s="7" t="s">
        <v>1156</v>
      </c>
      <c r="C365" s="8">
        <v>950000</v>
      </c>
      <c r="D365" s="8">
        <v>0</v>
      </c>
      <c r="E365" s="50">
        <f t="shared" si="6"/>
        <v>720412715.38999999</v>
      </c>
      <c r="F365" s="83" t="s">
        <v>137</v>
      </c>
      <c r="G365" s="14" t="s">
        <v>138</v>
      </c>
      <c r="H365" t="s">
        <v>173</v>
      </c>
      <c r="J365" t="s">
        <v>4150</v>
      </c>
      <c r="K365" t="s">
        <v>622</v>
      </c>
      <c r="L365" s="10">
        <v>2021</v>
      </c>
    </row>
    <row r="366" spans="1:12">
      <c r="A366" s="3">
        <v>44279</v>
      </c>
      <c r="B366" s="7" t="s">
        <v>1157</v>
      </c>
      <c r="C366" s="8">
        <v>600000</v>
      </c>
      <c r="D366" s="8">
        <v>0</v>
      </c>
      <c r="E366" s="50">
        <f t="shared" si="6"/>
        <v>719812715.38999999</v>
      </c>
      <c r="F366" s="83" t="s">
        <v>137</v>
      </c>
      <c r="G366" s="14" t="s">
        <v>138</v>
      </c>
      <c r="H366" t="s">
        <v>3022</v>
      </c>
      <c r="J366" t="s">
        <v>4150</v>
      </c>
      <c r="K366" t="s">
        <v>622</v>
      </c>
      <c r="L366" s="10">
        <v>2021</v>
      </c>
    </row>
    <row r="367" spans="1:12">
      <c r="A367" s="3">
        <v>44279</v>
      </c>
      <c r="B367" s="7" t="s">
        <v>1158</v>
      </c>
      <c r="C367" s="8">
        <v>800000</v>
      </c>
      <c r="D367" s="8">
        <v>0</v>
      </c>
      <c r="E367" s="50">
        <f t="shared" si="6"/>
        <v>719012715.38999999</v>
      </c>
      <c r="F367" s="83" t="s">
        <v>137</v>
      </c>
      <c r="G367" s="14" t="s">
        <v>138</v>
      </c>
      <c r="H367" t="s">
        <v>245</v>
      </c>
      <c r="J367" t="s">
        <v>4150</v>
      </c>
      <c r="K367" t="s">
        <v>622</v>
      </c>
      <c r="L367" s="10">
        <v>2021</v>
      </c>
    </row>
    <row r="368" spans="1:12">
      <c r="A368" s="3">
        <v>44279</v>
      </c>
      <c r="B368" s="7" t="s">
        <v>1159</v>
      </c>
      <c r="C368" s="8">
        <v>800000</v>
      </c>
      <c r="D368" s="8">
        <v>0</v>
      </c>
      <c r="E368" s="50">
        <f t="shared" si="6"/>
        <v>718212715.38999999</v>
      </c>
      <c r="F368" s="83" t="s">
        <v>137</v>
      </c>
      <c r="G368" s="14" t="s">
        <v>138</v>
      </c>
      <c r="H368" s="14" t="s">
        <v>990</v>
      </c>
      <c r="J368" t="s">
        <v>4150</v>
      </c>
      <c r="K368" t="s">
        <v>622</v>
      </c>
      <c r="L368" s="10">
        <v>2021</v>
      </c>
    </row>
    <row r="369" spans="1:12">
      <c r="A369" s="3">
        <v>44279</v>
      </c>
      <c r="B369" s="7" t="s">
        <v>1160</v>
      </c>
      <c r="C369" s="8">
        <v>1400000</v>
      </c>
      <c r="D369" s="8">
        <v>0</v>
      </c>
      <c r="E369" s="50">
        <f t="shared" si="6"/>
        <v>716812715.38999999</v>
      </c>
      <c r="F369" s="83" t="s">
        <v>137</v>
      </c>
      <c r="G369" s="14" t="s">
        <v>138</v>
      </c>
      <c r="H369" s="14" t="s">
        <v>1015</v>
      </c>
      <c r="J369" t="s">
        <v>4150</v>
      </c>
      <c r="K369" t="s">
        <v>622</v>
      </c>
      <c r="L369" s="10">
        <v>2021</v>
      </c>
    </row>
    <row r="370" spans="1:12">
      <c r="A370" s="3">
        <v>44279</v>
      </c>
      <c r="B370" s="7" t="s">
        <v>1161</v>
      </c>
      <c r="C370" s="8">
        <v>1400000</v>
      </c>
      <c r="D370" s="8">
        <v>0</v>
      </c>
      <c r="E370" s="50">
        <f t="shared" si="6"/>
        <v>715412715.38999999</v>
      </c>
      <c r="F370" s="83" t="s">
        <v>137</v>
      </c>
      <c r="G370" s="14" t="s">
        <v>138</v>
      </c>
      <c r="H370" s="14" t="s">
        <v>1015</v>
      </c>
      <c r="J370" s="14" t="s">
        <v>4150</v>
      </c>
      <c r="K370" s="14" t="s">
        <v>480</v>
      </c>
      <c r="L370" s="10">
        <v>2021</v>
      </c>
    </row>
    <row r="371" spans="1:12">
      <c r="A371" s="3">
        <v>44279</v>
      </c>
      <c r="B371" s="7" t="s">
        <v>1162</v>
      </c>
      <c r="C371" s="8">
        <v>1300000</v>
      </c>
      <c r="D371" s="8">
        <v>0</v>
      </c>
      <c r="E371" s="50">
        <f t="shared" si="6"/>
        <v>714112715.38999999</v>
      </c>
      <c r="F371" s="83" t="s">
        <v>137</v>
      </c>
      <c r="G371" s="14" t="s">
        <v>138</v>
      </c>
      <c r="H371" t="s">
        <v>245</v>
      </c>
      <c r="J371" s="14" t="s">
        <v>4150</v>
      </c>
      <c r="K371" s="14" t="s">
        <v>480</v>
      </c>
      <c r="L371" s="10">
        <v>2021</v>
      </c>
    </row>
    <row r="372" spans="1:12">
      <c r="A372" s="3">
        <v>44279</v>
      </c>
      <c r="B372" s="7" t="s">
        <v>1163</v>
      </c>
      <c r="C372" s="8">
        <v>1300000</v>
      </c>
      <c r="D372" s="8">
        <v>0</v>
      </c>
      <c r="E372" s="50">
        <f t="shared" si="6"/>
        <v>712812715.38999999</v>
      </c>
      <c r="F372" s="83" t="s">
        <v>137</v>
      </c>
      <c r="G372" s="14" t="s">
        <v>138</v>
      </c>
      <c r="H372" s="14" t="s">
        <v>175</v>
      </c>
      <c r="J372" s="14" t="s">
        <v>4150</v>
      </c>
      <c r="K372" s="14" t="s">
        <v>480</v>
      </c>
      <c r="L372" s="10">
        <v>2021</v>
      </c>
    </row>
    <row r="373" spans="1:12">
      <c r="A373" s="3">
        <v>44279</v>
      </c>
      <c r="B373" s="7" t="s">
        <v>1164</v>
      </c>
      <c r="C373" s="8">
        <v>1300000</v>
      </c>
      <c r="D373" s="8">
        <v>0</v>
      </c>
      <c r="E373" s="50">
        <f t="shared" si="6"/>
        <v>711512715.38999999</v>
      </c>
      <c r="F373" s="83" t="s">
        <v>137</v>
      </c>
      <c r="G373" s="14" t="s">
        <v>138</v>
      </c>
      <c r="H373" t="s">
        <v>393</v>
      </c>
      <c r="J373" s="14" t="s">
        <v>4150</v>
      </c>
      <c r="K373" s="14" t="s">
        <v>480</v>
      </c>
      <c r="L373" s="10">
        <v>2021</v>
      </c>
    </row>
    <row r="374" spans="1:12">
      <c r="A374" s="3">
        <v>44279</v>
      </c>
      <c r="B374" s="7" t="s">
        <v>1165</v>
      </c>
      <c r="C374" s="11">
        <v>1150000</v>
      </c>
      <c r="D374" s="8">
        <v>0</v>
      </c>
      <c r="E374" s="50">
        <f t="shared" si="6"/>
        <v>710362715.38999999</v>
      </c>
      <c r="F374" s="83" t="s">
        <v>115</v>
      </c>
      <c r="G374" s="14" t="s">
        <v>120</v>
      </c>
      <c r="H374" s="14" t="s">
        <v>127</v>
      </c>
      <c r="I374" s="14" t="s">
        <v>444</v>
      </c>
      <c r="J374" s="14" t="s">
        <v>4150</v>
      </c>
      <c r="K374" s="14" t="s">
        <v>480</v>
      </c>
      <c r="L374" s="10">
        <v>2020</v>
      </c>
    </row>
    <row r="375" spans="1:12">
      <c r="A375" s="3">
        <v>44279</v>
      </c>
      <c r="B375" s="7" t="s">
        <v>1166</v>
      </c>
      <c r="C375" s="8">
        <v>1050000</v>
      </c>
      <c r="D375" s="8">
        <v>0</v>
      </c>
      <c r="E375" s="50">
        <f t="shared" si="6"/>
        <v>709312715.38999999</v>
      </c>
      <c r="F375" s="83" t="s">
        <v>137</v>
      </c>
      <c r="G375" s="14" t="s">
        <v>138</v>
      </c>
      <c r="H375" t="s">
        <v>173</v>
      </c>
      <c r="J375" s="14" t="s">
        <v>4150</v>
      </c>
      <c r="K375" s="14" t="s">
        <v>4148</v>
      </c>
      <c r="L375" s="10">
        <v>2021</v>
      </c>
    </row>
    <row r="376" spans="1:12">
      <c r="A376" s="3">
        <v>44279</v>
      </c>
      <c r="B376" s="7" t="s">
        <v>1167</v>
      </c>
      <c r="C376" s="8">
        <v>1350000</v>
      </c>
      <c r="D376" s="8">
        <v>0</v>
      </c>
      <c r="E376" s="50">
        <f t="shared" si="6"/>
        <v>707962715.38999999</v>
      </c>
      <c r="F376" s="83" t="s">
        <v>137</v>
      </c>
      <c r="G376" s="14" t="s">
        <v>138</v>
      </c>
      <c r="H376" s="14" t="s">
        <v>1015</v>
      </c>
      <c r="J376" s="14" t="s">
        <v>4150</v>
      </c>
      <c r="K376" s="14" t="s">
        <v>4148</v>
      </c>
      <c r="L376" s="10">
        <v>2021</v>
      </c>
    </row>
    <row r="377" spans="1:12">
      <c r="A377" s="3">
        <v>44279</v>
      </c>
      <c r="B377" s="7" t="s">
        <v>1168</v>
      </c>
      <c r="C377" s="8">
        <v>900000</v>
      </c>
      <c r="D377" s="8">
        <v>0</v>
      </c>
      <c r="E377" s="50">
        <f t="shared" si="6"/>
        <v>707062715.38999999</v>
      </c>
      <c r="F377" s="83" t="s">
        <v>137</v>
      </c>
      <c r="G377" s="14" t="s">
        <v>138</v>
      </c>
      <c r="H377" t="s">
        <v>245</v>
      </c>
      <c r="I377" s="14" t="s">
        <v>64</v>
      </c>
      <c r="J377" s="14" t="s">
        <v>4150</v>
      </c>
      <c r="K377" s="14" t="s">
        <v>4148</v>
      </c>
      <c r="L377" s="10">
        <v>2021</v>
      </c>
    </row>
    <row r="378" spans="1:12">
      <c r="A378" s="3">
        <v>44279</v>
      </c>
      <c r="B378" s="7" t="s">
        <v>1169</v>
      </c>
      <c r="C378" s="8">
        <v>1300000</v>
      </c>
      <c r="D378" s="8">
        <v>0</v>
      </c>
      <c r="E378" s="50">
        <f t="shared" si="6"/>
        <v>705762715.38999999</v>
      </c>
      <c r="F378" s="83" t="s">
        <v>137</v>
      </c>
      <c r="G378" s="14" t="s">
        <v>138</v>
      </c>
      <c r="H378" t="s">
        <v>3022</v>
      </c>
      <c r="J378" s="14" t="s">
        <v>4150</v>
      </c>
      <c r="K378" s="14" t="s">
        <v>4148</v>
      </c>
      <c r="L378" s="10">
        <v>2021</v>
      </c>
    </row>
    <row r="379" spans="1:12">
      <c r="A379" s="3">
        <v>44279</v>
      </c>
      <c r="B379" s="7" t="s">
        <v>2470</v>
      </c>
      <c r="C379" s="8">
        <v>900000</v>
      </c>
      <c r="D379" s="8">
        <v>0</v>
      </c>
      <c r="E379" s="50">
        <f t="shared" si="6"/>
        <v>704862715.38999999</v>
      </c>
      <c r="F379" s="83" t="s">
        <v>137</v>
      </c>
      <c r="G379" s="14" t="s">
        <v>138</v>
      </c>
      <c r="H379" s="14" t="s">
        <v>990</v>
      </c>
      <c r="J379" s="14" t="s">
        <v>4150</v>
      </c>
      <c r="K379" s="14" t="s">
        <v>4148</v>
      </c>
      <c r="L379" s="10">
        <v>2021</v>
      </c>
    </row>
    <row r="380" spans="1:12">
      <c r="A380" s="3">
        <v>44279</v>
      </c>
      <c r="B380" s="7" t="s">
        <v>1170</v>
      </c>
      <c r="C380" s="8">
        <v>900000</v>
      </c>
      <c r="D380" s="8">
        <v>0</v>
      </c>
      <c r="E380" s="50">
        <f t="shared" si="6"/>
        <v>703962715.38999999</v>
      </c>
      <c r="F380" s="83" t="s">
        <v>137</v>
      </c>
      <c r="G380" s="14" t="s">
        <v>138</v>
      </c>
      <c r="H380" t="s">
        <v>393</v>
      </c>
      <c r="J380" s="14" t="s">
        <v>4150</v>
      </c>
      <c r="K380" s="14" t="s">
        <v>4148</v>
      </c>
      <c r="L380" s="10">
        <v>2021</v>
      </c>
    </row>
    <row r="381" spans="1:12">
      <c r="A381" s="3">
        <v>44279</v>
      </c>
      <c r="B381" s="7" t="s">
        <v>1171</v>
      </c>
      <c r="C381" s="8">
        <v>900000</v>
      </c>
      <c r="D381" s="8">
        <v>0</v>
      </c>
      <c r="E381" s="50">
        <f t="shared" si="6"/>
        <v>703062715.38999999</v>
      </c>
      <c r="F381" s="83" t="s">
        <v>137</v>
      </c>
      <c r="G381" s="14" t="s">
        <v>138</v>
      </c>
      <c r="H381" s="14" t="s">
        <v>175</v>
      </c>
      <c r="J381" s="14" t="s">
        <v>4150</v>
      </c>
      <c r="K381" s="14" t="s">
        <v>4148</v>
      </c>
      <c r="L381" s="10">
        <v>2021</v>
      </c>
    </row>
    <row r="382" spans="1:12">
      <c r="A382" s="3">
        <v>44279</v>
      </c>
      <c r="B382" s="7" t="s">
        <v>1172</v>
      </c>
      <c r="C382" s="8">
        <v>500000</v>
      </c>
      <c r="D382" s="8">
        <v>0</v>
      </c>
      <c r="E382" s="50">
        <f t="shared" si="6"/>
        <v>702562715.38999999</v>
      </c>
      <c r="F382" s="83" t="s">
        <v>137</v>
      </c>
      <c r="G382" s="14" t="s">
        <v>138</v>
      </c>
      <c r="H382" s="14" t="s">
        <v>1015</v>
      </c>
      <c r="J382" s="14" t="s">
        <v>4150</v>
      </c>
      <c r="K382" s="14" t="s">
        <v>462</v>
      </c>
      <c r="L382" s="10">
        <v>2021</v>
      </c>
    </row>
    <row r="383" spans="1:12">
      <c r="A383" s="3">
        <v>44279</v>
      </c>
      <c r="B383" s="7" t="s">
        <v>2471</v>
      </c>
      <c r="C383" s="8">
        <v>1550000</v>
      </c>
      <c r="D383" s="8">
        <v>0</v>
      </c>
      <c r="E383" s="50">
        <f t="shared" si="6"/>
        <v>701012715.38999999</v>
      </c>
      <c r="F383" s="83" t="s">
        <v>137</v>
      </c>
      <c r="G383" s="14" t="s">
        <v>138</v>
      </c>
      <c r="H383" s="14" t="s">
        <v>1015</v>
      </c>
      <c r="J383" s="14" t="s">
        <v>4150</v>
      </c>
      <c r="K383" s="14" t="s">
        <v>3990</v>
      </c>
      <c r="L383" s="10">
        <v>2021</v>
      </c>
    </row>
    <row r="384" spans="1:12">
      <c r="A384" s="3">
        <v>44279</v>
      </c>
      <c r="B384" s="7" t="s">
        <v>1173</v>
      </c>
      <c r="C384" s="8">
        <v>1125500</v>
      </c>
      <c r="D384" s="8">
        <v>0</v>
      </c>
      <c r="E384" s="50">
        <f t="shared" si="6"/>
        <v>699887215.38999999</v>
      </c>
      <c r="F384" s="83" t="s">
        <v>137</v>
      </c>
      <c r="G384" s="14" t="s">
        <v>138</v>
      </c>
      <c r="H384" s="14" t="s">
        <v>1015</v>
      </c>
    </row>
    <row r="385" spans="1:8">
      <c r="A385" s="3">
        <v>44279</v>
      </c>
      <c r="B385" s="7" t="s">
        <v>1174</v>
      </c>
      <c r="C385" s="8">
        <v>3778100</v>
      </c>
      <c r="D385" s="8">
        <v>0</v>
      </c>
      <c r="E385" s="50">
        <f t="shared" si="6"/>
        <v>696109115.38999999</v>
      </c>
      <c r="F385" s="83" t="s">
        <v>137</v>
      </c>
      <c r="G385" s="14" t="s">
        <v>138</v>
      </c>
      <c r="H385" s="14" t="s">
        <v>1015</v>
      </c>
    </row>
    <row r="386" spans="1:8">
      <c r="A386" s="3">
        <v>44279</v>
      </c>
      <c r="B386" s="7" t="s">
        <v>1175</v>
      </c>
      <c r="C386" s="8">
        <v>718700</v>
      </c>
      <c r="D386" s="8">
        <v>0</v>
      </c>
      <c r="E386" s="50">
        <f t="shared" si="6"/>
        <v>695390415.38999999</v>
      </c>
      <c r="F386" s="83" t="s">
        <v>137</v>
      </c>
      <c r="G386" s="14" t="s">
        <v>138</v>
      </c>
      <c r="H386" s="14" t="s">
        <v>990</v>
      </c>
    </row>
    <row r="387" spans="1:8">
      <c r="A387" s="3">
        <v>44279</v>
      </c>
      <c r="B387" s="7" t="s">
        <v>1176</v>
      </c>
      <c r="C387" s="8">
        <v>568600</v>
      </c>
      <c r="D387" s="8">
        <v>0</v>
      </c>
      <c r="E387" s="50">
        <f t="shared" si="6"/>
        <v>694821815.38999999</v>
      </c>
      <c r="F387" s="83" t="s">
        <v>137</v>
      </c>
      <c r="G387" s="14" t="s">
        <v>138</v>
      </c>
      <c r="H387" t="s">
        <v>245</v>
      </c>
    </row>
    <row r="388" spans="1:8">
      <c r="A388" s="3">
        <v>44279</v>
      </c>
      <c r="B388" s="7" t="s">
        <v>1177</v>
      </c>
      <c r="C388" s="8">
        <v>774000</v>
      </c>
      <c r="D388" s="8">
        <v>0</v>
      </c>
      <c r="E388" s="50">
        <f t="shared" si="6"/>
        <v>694047815.38999999</v>
      </c>
      <c r="F388" s="83" t="s">
        <v>137</v>
      </c>
      <c r="G388" s="14" t="s">
        <v>138</v>
      </c>
      <c r="H388" s="14" t="s">
        <v>1131</v>
      </c>
    </row>
    <row r="389" spans="1:8">
      <c r="A389" s="3">
        <v>44279</v>
      </c>
      <c r="B389" s="7" t="s">
        <v>1178</v>
      </c>
      <c r="C389" s="8">
        <v>2250000</v>
      </c>
      <c r="D389" s="8">
        <v>0</v>
      </c>
      <c r="E389" s="50">
        <f t="shared" si="6"/>
        <v>691797815.38999999</v>
      </c>
      <c r="F389" s="83" t="s">
        <v>137</v>
      </c>
      <c r="G389" s="14" t="s">
        <v>138</v>
      </c>
      <c r="H389" s="14" t="s">
        <v>1015</v>
      </c>
    </row>
    <row r="390" spans="1:8">
      <c r="A390" s="3">
        <v>44279</v>
      </c>
      <c r="B390" s="7" t="s">
        <v>1179</v>
      </c>
      <c r="C390" s="8">
        <v>5250000</v>
      </c>
      <c r="D390" s="8">
        <v>0</v>
      </c>
      <c r="E390" s="50">
        <f t="shared" si="6"/>
        <v>686547815.38999999</v>
      </c>
      <c r="F390" s="83" t="s">
        <v>137</v>
      </c>
      <c r="G390" s="14" t="s">
        <v>138</v>
      </c>
      <c r="H390" s="14" t="s">
        <v>1015</v>
      </c>
    </row>
    <row r="391" spans="1:8">
      <c r="A391" s="3">
        <v>44279</v>
      </c>
      <c r="B391" s="7" t="s">
        <v>1180</v>
      </c>
      <c r="C391" s="8">
        <v>4400000</v>
      </c>
      <c r="D391" s="8">
        <v>0</v>
      </c>
      <c r="E391" s="50">
        <f t="shared" si="6"/>
        <v>682147815.38999999</v>
      </c>
      <c r="F391" s="83" t="s">
        <v>137</v>
      </c>
      <c r="G391" s="14" t="s">
        <v>138</v>
      </c>
      <c r="H391" t="s">
        <v>3022</v>
      </c>
    </row>
    <row r="392" spans="1:8">
      <c r="A392" s="3">
        <v>44279</v>
      </c>
      <c r="B392" s="7" t="s">
        <v>1181</v>
      </c>
      <c r="C392" s="8">
        <v>10875000</v>
      </c>
      <c r="D392" s="8">
        <v>0</v>
      </c>
      <c r="E392" s="50">
        <f t="shared" si="6"/>
        <v>671272815.38999999</v>
      </c>
      <c r="F392" s="83" t="s">
        <v>137</v>
      </c>
      <c r="G392" s="14" t="s">
        <v>138</v>
      </c>
      <c r="H392" s="14" t="s">
        <v>3022</v>
      </c>
    </row>
    <row r="393" spans="1:8">
      <c r="A393" s="3">
        <v>44279</v>
      </c>
      <c r="B393" s="7" t="s">
        <v>1182</v>
      </c>
      <c r="C393" s="8">
        <v>747500</v>
      </c>
      <c r="D393" s="8">
        <v>0</v>
      </c>
      <c r="E393" s="50">
        <f t="shared" si="6"/>
        <v>670525315.38999999</v>
      </c>
      <c r="F393" s="83" t="s">
        <v>319</v>
      </c>
      <c r="G393" s="14" t="s">
        <v>244</v>
      </c>
      <c r="H393" s="14"/>
    </row>
    <row r="394" spans="1:8">
      <c r="A394" s="3">
        <v>44279</v>
      </c>
      <c r="B394" s="7" t="s">
        <v>1183</v>
      </c>
      <c r="C394" s="8">
        <v>1038000</v>
      </c>
      <c r="D394" s="8">
        <v>0</v>
      </c>
      <c r="E394" s="50">
        <f t="shared" si="6"/>
        <v>669487315.38999999</v>
      </c>
      <c r="F394" s="83" t="s">
        <v>137</v>
      </c>
      <c r="G394" s="14" t="s">
        <v>138</v>
      </c>
      <c r="H394" t="s">
        <v>251</v>
      </c>
    </row>
    <row r="395" spans="1:8">
      <c r="A395" s="3">
        <v>44284</v>
      </c>
      <c r="B395" s="7" t="s">
        <v>4400</v>
      </c>
      <c r="C395" s="8">
        <v>0</v>
      </c>
      <c r="D395" s="8">
        <v>13000000</v>
      </c>
      <c r="E395" s="50">
        <f t="shared" si="6"/>
        <v>682487315.38999999</v>
      </c>
      <c r="F395" s="83" t="s">
        <v>110</v>
      </c>
      <c r="G395" s="14" t="s">
        <v>118</v>
      </c>
      <c r="H395" t="s">
        <v>146</v>
      </c>
    </row>
    <row r="396" spans="1:8">
      <c r="A396" s="3">
        <v>44284</v>
      </c>
      <c r="B396" s="7" t="s">
        <v>4401</v>
      </c>
      <c r="C396" s="8">
        <v>0</v>
      </c>
      <c r="D396" s="8">
        <v>25000000</v>
      </c>
      <c r="E396" s="50">
        <f t="shared" si="6"/>
        <v>707487315.38999999</v>
      </c>
      <c r="F396" s="83" t="s">
        <v>110</v>
      </c>
      <c r="G396" s="14" t="s">
        <v>118</v>
      </c>
      <c r="H396" t="s">
        <v>146</v>
      </c>
    </row>
    <row r="397" spans="1:8">
      <c r="A397" s="3">
        <v>44285</v>
      </c>
      <c r="B397" s="7" t="s">
        <v>5009</v>
      </c>
      <c r="C397" s="8">
        <v>76135000</v>
      </c>
      <c r="D397" s="8">
        <v>0</v>
      </c>
      <c r="E397" s="50">
        <f t="shared" si="6"/>
        <v>631352315.38999999</v>
      </c>
      <c r="F397" s="83" t="s">
        <v>248</v>
      </c>
      <c r="G397" s="14" t="s">
        <v>249</v>
      </c>
      <c r="H397" s="14"/>
    </row>
    <row r="398" spans="1:8">
      <c r="A398" s="3">
        <v>44285</v>
      </c>
      <c r="B398" s="7" t="s">
        <v>5009</v>
      </c>
      <c r="C398" s="54">
        <f>128675000-C397</f>
        <v>52540000</v>
      </c>
      <c r="D398" s="54">
        <v>0</v>
      </c>
      <c r="E398" s="53">
        <f t="shared" ref="E398:E405" si="7">E397-C398+D398</f>
        <v>578812315.38999999</v>
      </c>
      <c r="F398" s="80" t="s">
        <v>115</v>
      </c>
      <c r="G398" s="14" t="s">
        <v>116</v>
      </c>
      <c r="H398" s="14" t="s">
        <v>249</v>
      </c>
    </row>
    <row r="399" spans="1:8">
      <c r="A399" s="3">
        <v>44286</v>
      </c>
      <c r="B399" s="7" t="s">
        <v>1184</v>
      </c>
      <c r="C399" s="8">
        <v>292.01</v>
      </c>
      <c r="D399" s="8">
        <v>0</v>
      </c>
      <c r="E399" s="50">
        <f t="shared" si="7"/>
        <v>578812023.38</v>
      </c>
      <c r="F399" s="83" t="s">
        <v>252</v>
      </c>
      <c r="G399" s="14" t="s">
        <v>253</v>
      </c>
      <c r="H399" s="14"/>
    </row>
    <row r="400" spans="1:8">
      <c r="A400" s="3">
        <v>44286</v>
      </c>
      <c r="B400" s="7" t="s">
        <v>240</v>
      </c>
      <c r="C400" s="8">
        <v>0</v>
      </c>
      <c r="D400" s="8">
        <f>37774.03</f>
        <v>37774.03</v>
      </c>
      <c r="E400" s="50">
        <f t="shared" si="7"/>
        <v>578849797.40999997</v>
      </c>
      <c r="F400" s="83" t="s">
        <v>252</v>
      </c>
      <c r="G400" s="14" t="s">
        <v>253</v>
      </c>
      <c r="H400" s="14"/>
    </row>
    <row r="401" spans="1:12">
      <c r="A401" s="3">
        <v>44286</v>
      </c>
      <c r="B401" s="7" t="s">
        <v>241</v>
      </c>
      <c r="C401" s="8">
        <v>7496.4</v>
      </c>
      <c r="D401" s="8">
        <v>0</v>
      </c>
      <c r="E401" s="50">
        <f t="shared" si="7"/>
        <v>578842301.00999999</v>
      </c>
      <c r="F401" s="83" t="s">
        <v>252</v>
      </c>
      <c r="G401" s="14" t="s">
        <v>253</v>
      </c>
      <c r="H401" s="14"/>
    </row>
    <row r="402" spans="1:12">
      <c r="A402" s="3">
        <v>44287</v>
      </c>
      <c r="B402" s="7" t="s">
        <v>1185</v>
      </c>
      <c r="C402" s="8">
        <v>7600000</v>
      </c>
      <c r="D402" s="8">
        <v>0</v>
      </c>
      <c r="E402" s="50">
        <f t="shared" si="7"/>
        <v>571242301.00999999</v>
      </c>
      <c r="F402" s="83" t="s">
        <v>137</v>
      </c>
      <c r="G402" s="14" t="s">
        <v>138</v>
      </c>
      <c r="H402" s="14" t="s">
        <v>1015</v>
      </c>
    </row>
    <row r="403" spans="1:12">
      <c r="A403" s="3">
        <v>44287</v>
      </c>
      <c r="B403" s="7" t="s">
        <v>1186</v>
      </c>
      <c r="C403" s="8">
        <v>800000</v>
      </c>
      <c r="D403" s="8">
        <v>0</v>
      </c>
      <c r="E403" s="50">
        <f t="shared" si="7"/>
        <v>570442301.00999999</v>
      </c>
      <c r="F403" s="83" t="s">
        <v>137</v>
      </c>
      <c r="G403" s="14" t="s">
        <v>138</v>
      </c>
      <c r="H403" s="14" t="s">
        <v>990</v>
      </c>
      <c r="J403" t="s">
        <v>4150</v>
      </c>
      <c r="K403" t="s">
        <v>119</v>
      </c>
      <c r="L403" s="10">
        <v>2021</v>
      </c>
    </row>
    <row r="404" spans="1:12">
      <c r="A404" s="3">
        <v>44287</v>
      </c>
      <c r="B404" s="7" t="s">
        <v>1187</v>
      </c>
      <c r="C404" s="8">
        <v>713000</v>
      </c>
      <c r="D404" s="8">
        <v>0</v>
      </c>
      <c r="E404" s="50">
        <f t="shared" si="7"/>
        <v>569729301.00999999</v>
      </c>
      <c r="F404" s="83" t="s">
        <v>137</v>
      </c>
      <c r="G404" s="14" t="s">
        <v>138</v>
      </c>
      <c r="H404" s="14" t="s">
        <v>1015</v>
      </c>
      <c r="J404" t="s">
        <v>4150</v>
      </c>
      <c r="K404" t="s">
        <v>119</v>
      </c>
      <c r="L404" s="10">
        <v>2021</v>
      </c>
    </row>
    <row r="405" spans="1:12">
      <c r="A405" s="3">
        <v>44287</v>
      </c>
      <c r="B405" s="7" t="s">
        <v>1188</v>
      </c>
      <c r="C405" s="8">
        <v>2000000</v>
      </c>
      <c r="D405" s="8">
        <v>0</v>
      </c>
      <c r="E405" s="50">
        <f t="shared" si="7"/>
        <v>567729301.00999999</v>
      </c>
      <c r="F405" s="83" t="s">
        <v>137</v>
      </c>
      <c r="G405" s="14" t="s">
        <v>138</v>
      </c>
      <c r="H405" s="14" t="s">
        <v>393</v>
      </c>
      <c r="J405" t="s">
        <v>4150</v>
      </c>
      <c r="K405" t="s">
        <v>119</v>
      </c>
      <c r="L405" s="10">
        <v>2021</v>
      </c>
    </row>
    <row r="406" spans="1:12">
      <c r="A406" s="3">
        <v>44287</v>
      </c>
      <c r="B406" s="7" t="s">
        <v>2472</v>
      </c>
      <c r="C406" s="8">
        <v>1000000</v>
      </c>
      <c r="D406" s="8">
        <v>0</v>
      </c>
      <c r="E406" s="50">
        <f t="shared" ref="E406" si="8">E405-C406+D406</f>
        <v>566729301.00999999</v>
      </c>
      <c r="F406" s="83" t="s">
        <v>137</v>
      </c>
      <c r="G406" s="14" t="s">
        <v>138</v>
      </c>
      <c r="H406" t="s">
        <v>3022</v>
      </c>
      <c r="J406" t="s">
        <v>4150</v>
      </c>
      <c r="K406" t="s">
        <v>119</v>
      </c>
      <c r="L406" s="10">
        <v>2021</v>
      </c>
    </row>
    <row r="407" spans="1:12">
      <c r="A407" s="3">
        <v>44287</v>
      </c>
      <c r="B407" s="7" t="s">
        <v>1189</v>
      </c>
      <c r="C407" s="8">
        <v>1000000</v>
      </c>
      <c r="D407" s="8">
        <v>0</v>
      </c>
      <c r="E407" s="50">
        <f t="shared" ref="E407:E464" si="9">E406-C407+D407</f>
        <v>565729301.00999999</v>
      </c>
      <c r="F407" s="83" t="s">
        <v>137</v>
      </c>
      <c r="G407" s="14" t="s">
        <v>138</v>
      </c>
      <c r="H407" s="14" t="s">
        <v>990</v>
      </c>
      <c r="J407" t="s">
        <v>4150</v>
      </c>
      <c r="K407" t="s">
        <v>119</v>
      </c>
      <c r="L407" s="10">
        <v>2021</v>
      </c>
    </row>
    <row r="408" spans="1:12">
      <c r="A408" s="3">
        <v>44287</v>
      </c>
      <c r="B408" s="7" t="s">
        <v>1190</v>
      </c>
      <c r="C408" s="8">
        <v>300000</v>
      </c>
      <c r="D408" s="8">
        <v>0</v>
      </c>
      <c r="E408" s="50">
        <f t="shared" si="9"/>
        <v>565429301.00999999</v>
      </c>
      <c r="F408" s="83" t="s">
        <v>137</v>
      </c>
      <c r="G408" s="14" t="s">
        <v>138</v>
      </c>
      <c r="H408" t="s">
        <v>883</v>
      </c>
      <c r="J408" t="s">
        <v>4150</v>
      </c>
      <c r="K408" t="s">
        <v>119</v>
      </c>
      <c r="L408" s="10">
        <v>2021</v>
      </c>
    </row>
    <row r="409" spans="1:12">
      <c r="A409" s="3">
        <v>44287</v>
      </c>
      <c r="B409" s="7" t="s">
        <v>2473</v>
      </c>
      <c r="C409" s="8">
        <v>500000</v>
      </c>
      <c r="D409" s="8">
        <v>0</v>
      </c>
      <c r="E409" s="50">
        <f t="shared" si="9"/>
        <v>564929301.00999999</v>
      </c>
      <c r="F409" s="83" t="s">
        <v>137</v>
      </c>
      <c r="G409" s="14" t="s">
        <v>138</v>
      </c>
      <c r="H409" s="14" t="s">
        <v>393</v>
      </c>
      <c r="J409" t="s">
        <v>4150</v>
      </c>
      <c r="K409" t="s">
        <v>4152</v>
      </c>
      <c r="L409" s="10">
        <v>2021</v>
      </c>
    </row>
    <row r="410" spans="1:12">
      <c r="A410" s="3">
        <v>44287</v>
      </c>
      <c r="B410" s="7" t="s">
        <v>1191</v>
      </c>
      <c r="C410" s="8">
        <v>500000</v>
      </c>
      <c r="D410" s="8">
        <v>0</v>
      </c>
      <c r="E410" s="50">
        <f t="shared" si="9"/>
        <v>564429301.00999999</v>
      </c>
      <c r="F410" s="83" t="s">
        <v>137</v>
      </c>
      <c r="G410" s="14" t="s">
        <v>138</v>
      </c>
      <c r="H410" s="14" t="s">
        <v>175</v>
      </c>
      <c r="J410" t="s">
        <v>4150</v>
      </c>
      <c r="K410" t="s">
        <v>4152</v>
      </c>
      <c r="L410" s="10">
        <v>2021</v>
      </c>
    </row>
    <row r="411" spans="1:12">
      <c r="A411" s="3">
        <v>44287</v>
      </c>
      <c r="B411" s="7" t="s">
        <v>1192</v>
      </c>
      <c r="C411" s="8">
        <v>650000</v>
      </c>
      <c r="D411" s="8">
        <v>0</v>
      </c>
      <c r="E411" s="50">
        <f t="shared" si="9"/>
        <v>563779301.00999999</v>
      </c>
      <c r="F411" s="83" t="s">
        <v>137</v>
      </c>
      <c r="G411" s="14" t="s">
        <v>138</v>
      </c>
      <c r="H411" t="s">
        <v>173</v>
      </c>
      <c r="J411" t="s">
        <v>4150</v>
      </c>
      <c r="K411" t="s">
        <v>4152</v>
      </c>
      <c r="L411" s="10">
        <v>2021</v>
      </c>
    </row>
    <row r="412" spans="1:12">
      <c r="A412" s="3">
        <v>44287</v>
      </c>
      <c r="B412" s="7" t="s">
        <v>1193</v>
      </c>
      <c r="C412" s="8">
        <v>650000</v>
      </c>
      <c r="D412" s="8">
        <v>0</v>
      </c>
      <c r="E412" s="50">
        <f t="shared" si="9"/>
        <v>563129301.00999999</v>
      </c>
      <c r="F412" s="83" t="s">
        <v>137</v>
      </c>
      <c r="G412" s="14" t="s">
        <v>138</v>
      </c>
      <c r="H412" t="s">
        <v>245</v>
      </c>
      <c r="J412" t="s">
        <v>4150</v>
      </c>
      <c r="K412" t="s">
        <v>4152</v>
      </c>
      <c r="L412" s="10">
        <v>2021</v>
      </c>
    </row>
    <row r="413" spans="1:12">
      <c r="A413" s="3">
        <v>44287</v>
      </c>
      <c r="B413" s="7" t="s">
        <v>1194</v>
      </c>
      <c r="C413" s="8">
        <v>650000</v>
      </c>
      <c r="D413" s="8">
        <v>0</v>
      </c>
      <c r="E413" s="50">
        <f t="shared" si="9"/>
        <v>562479301.00999999</v>
      </c>
      <c r="F413" s="83" t="s">
        <v>137</v>
      </c>
      <c r="G413" s="14" t="s">
        <v>138</v>
      </c>
      <c r="H413" s="14" t="s">
        <v>990</v>
      </c>
      <c r="J413" t="s">
        <v>4150</v>
      </c>
      <c r="K413" t="s">
        <v>4152</v>
      </c>
      <c r="L413" s="10">
        <v>2021</v>
      </c>
    </row>
    <row r="414" spans="1:12">
      <c r="A414" s="3">
        <v>44287</v>
      </c>
      <c r="B414" s="7" t="s">
        <v>1195</v>
      </c>
      <c r="C414" s="8">
        <v>800000</v>
      </c>
      <c r="D414" s="8">
        <v>0</v>
      </c>
      <c r="E414" s="50">
        <f t="shared" si="9"/>
        <v>561679301.00999999</v>
      </c>
      <c r="F414" s="83" t="s">
        <v>137</v>
      </c>
      <c r="G414" s="14" t="s">
        <v>138</v>
      </c>
      <c r="H414" s="14" t="s">
        <v>1129</v>
      </c>
      <c r="J414" t="s">
        <v>4150</v>
      </c>
      <c r="K414" t="s">
        <v>4152</v>
      </c>
      <c r="L414" s="10">
        <v>2021</v>
      </c>
    </row>
    <row r="415" spans="1:12">
      <c r="A415" s="3">
        <v>44287</v>
      </c>
      <c r="B415" s="7" t="s">
        <v>1196</v>
      </c>
      <c r="C415" s="8">
        <v>800000</v>
      </c>
      <c r="D415" s="8">
        <v>0</v>
      </c>
      <c r="E415" s="50">
        <f t="shared" si="9"/>
        <v>560879301.00999999</v>
      </c>
      <c r="F415" s="83" t="s">
        <v>137</v>
      </c>
      <c r="G415" s="14" t="s">
        <v>138</v>
      </c>
      <c r="H415" s="14" t="s">
        <v>1130</v>
      </c>
      <c r="J415" t="s">
        <v>4150</v>
      </c>
      <c r="K415" t="s">
        <v>4152</v>
      </c>
      <c r="L415" s="10">
        <v>2021</v>
      </c>
    </row>
    <row r="416" spans="1:12">
      <c r="A416" s="3">
        <v>44287</v>
      </c>
      <c r="B416" s="7" t="s">
        <v>1197</v>
      </c>
      <c r="C416" s="8">
        <v>950000</v>
      </c>
      <c r="D416" s="8">
        <v>0</v>
      </c>
      <c r="E416" s="50">
        <f t="shared" si="9"/>
        <v>559929301.00999999</v>
      </c>
      <c r="F416" s="83" t="s">
        <v>137</v>
      </c>
      <c r="G416" s="14" t="s">
        <v>138</v>
      </c>
      <c r="H416" s="14" t="s">
        <v>1015</v>
      </c>
      <c r="J416" t="s">
        <v>4150</v>
      </c>
      <c r="K416" t="s">
        <v>4152</v>
      </c>
      <c r="L416" s="10">
        <v>2021</v>
      </c>
    </row>
    <row r="417" spans="1:12">
      <c r="A417" s="3">
        <v>44287</v>
      </c>
      <c r="B417" s="7" t="s">
        <v>1198</v>
      </c>
      <c r="C417" s="8">
        <v>650000</v>
      </c>
      <c r="D417" s="8">
        <v>0</v>
      </c>
      <c r="E417" s="50">
        <f t="shared" si="9"/>
        <v>559279301.00999999</v>
      </c>
      <c r="F417" s="83" t="s">
        <v>137</v>
      </c>
      <c r="G417" s="14" t="s">
        <v>138</v>
      </c>
      <c r="H417" s="14" t="s">
        <v>393</v>
      </c>
      <c r="J417" t="s">
        <v>4150</v>
      </c>
      <c r="K417" t="s">
        <v>459</v>
      </c>
      <c r="L417" s="10">
        <v>2021</v>
      </c>
    </row>
    <row r="418" spans="1:12">
      <c r="A418" s="3">
        <v>44287</v>
      </c>
      <c r="B418" s="7" t="s">
        <v>1199</v>
      </c>
      <c r="C418" s="8">
        <v>500000</v>
      </c>
      <c r="D418" s="8">
        <v>0</v>
      </c>
      <c r="E418" s="50">
        <f t="shared" si="9"/>
        <v>558779301.00999999</v>
      </c>
      <c r="F418" s="83" t="s">
        <v>137</v>
      </c>
      <c r="G418" s="14" t="s">
        <v>138</v>
      </c>
      <c r="H418" s="14" t="s">
        <v>175</v>
      </c>
      <c r="J418" t="s">
        <v>4150</v>
      </c>
      <c r="K418" t="s">
        <v>459</v>
      </c>
      <c r="L418" s="10">
        <v>2021</v>
      </c>
    </row>
    <row r="419" spans="1:12">
      <c r="A419" s="3">
        <v>44287</v>
      </c>
      <c r="B419" s="7" t="s">
        <v>1200</v>
      </c>
      <c r="C419" s="8">
        <v>650000</v>
      </c>
      <c r="D419" s="8">
        <v>0</v>
      </c>
      <c r="E419" s="50">
        <f t="shared" si="9"/>
        <v>558129301.00999999</v>
      </c>
      <c r="F419" s="83" t="s">
        <v>137</v>
      </c>
      <c r="G419" s="14" t="s">
        <v>138</v>
      </c>
      <c r="H419" t="s">
        <v>173</v>
      </c>
      <c r="J419" t="s">
        <v>4150</v>
      </c>
      <c r="K419" t="s">
        <v>459</v>
      </c>
      <c r="L419" s="10">
        <v>2021</v>
      </c>
    </row>
    <row r="420" spans="1:12">
      <c r="A420" s="3">
        <v>44287</v>
      </c>
      <c r="B420" s="7" t="s">
        <v>1201</v>
      </c>
      <c r="C420" s="8">
        <v>650000</v>
      </c>
      <c r="D420" s="8">
        <v>0</v>
      </c>
      <c r="E420" s="50">
        <f t="shared" si="9"/>
        <v>557479301.00999999</v>
      </c>
      <c r="F420" s="83" t="s">
        <v>137</v>
      </c>
      <c r="G420" s="14" t="s">
        <v>138</v>
      </c>
      <c r="H420" t="s">
        <v>245</v>
      </c>
      <c r="J420" t="s">
        <v>4150</v>
      </c>
      <c r="K420" t="s">
        <v>459</v>
      </c>
      <c r="L420" s="10">
        <v>2021</v>
      </c>
    </row>
    <row r="421" spans="1:12">
      <c r="A421" s="3">
        <v>44287</v>
      </c>
      <c r="B421" s="7" t="s">
        <v>1202</v>
      </c>
      <c r="C421" s="8">
        <v>650000</v>
      </c>
      <c r="D421" s="8">
        <v>0</v>
      </c>
      <c r="E421" s="50">
        <f t="shared" si="9"/>
        <v>556829301.00999999</v>
      </c>
      <c r="F421" s="83" t="s">
        <v>137</v>
      </c>
      <c r="G421" s="14" t="s">
        <v>138</v>
      </c>
      <c r="H421" s="14" t="s">
        <v>990</v>
      </c>
      <c r="J421" t="s">
        <v>4150</v>
      </c>
      <c r="K421" t="s">
        <v>459</v>
      </c>
      <c r="L421" s="10">
        <v>2021</v>
      </c>
    </row>
    <row r="422" spans="1:12">
      <c r="A422" s="3">
        <v>44287</v>
      </c>
      <c r="B422" s="7" t="s">
        <v>1203</v>
      </c>
      <c r="C422" s="8">
        <v>800000</v>
      </c>
      <c r="D422" s="8">
        <v>0</v>
      </c>
      <c r="E422" s="50">
        <f t="shared" si="9"/>
        <v>556029301.00999999</v>
      </c>
      <c r="F422" s="83" t="s">
        <v>137</v>
      </c>
      <c r="G422" s="14" t="s">
        <v>138</v>
      </c>
      <c r="H422" s="14" t="s">
        <v>1129</v>
      </c>
      <c r="J422" t="s">
        <v>4150</v>
      </c>
      <c r="K422" t="s">
        <v>459</v>
      </c>
      <c r="L422" s="10">
        <v>2021</v>
      </c>
    </row>
    <row r="423" spans="1:12">
      <c r="A423" s="3">
        <v>44287</v>
      </c>
      <c r="B423" s="7" t="s">
        <v>1204</v>
      </c>
      <c r="C423" s="8">
        <v>800000</v>
      </c>
      <c r="D423" s="8">
        <v>0</v>
      </c>
      <c r="E423" s="50">
        <f t="shared" si="9"/>
        <v>555229301.00999999</v>
      </c>
      <c r="F423" s="83" t="s">
        <v>137</v>
      </c>
      <c r="G423" s="14" t="s">
        <v>138</v>
      </c>
      <c r="H423" s="14" t="s">
        <v>1130</v>
      </c>
      <c r="J423" t="s">
        <v>4150</v>
      </c>
      <c r="K423" t="s">
        <v>459</v>
      </c>
      <c r="L423" s="10">
        <v>2021</v>
      </c>
    </row>
    <row r="424" spans="1:12">
      <c r="A424" s="3">
        <v>44287</v>
      </c>
      <c r="B424" s="7" t="s">
        <v>1205</v>
      </c>
      <c r="C424" s="8">
        <v>950000</v>
      </c>
      <c r="D424" s="8">
        <v>0</v>
      </c>
      <c r="E424" s="50">
        <f t="shared" si="9"/>
        <v>554279301.00999999</v>
      </c>
      <c r="F424" s="83" t="s">
        <v>137</v>
      </c>
      <c r="G424" s="14" t="s">
        <v>138</v>
      </c>
      <c r="H424" s="14" t="s">
        <v>1015</v>
      </c>
      <c r="J424" t="s">
        <v>4150</v>
      </c>
      <c r="K424" t="s">
        <v>459</v>
      </c>
      <c r="L424" s="10">
        <v>2021</v>
      </c>
    </row>
    <row r="425" spans="1:12">
      <c r="A425" s="3">
        <v>44287</v>
      </c>
      <c r="B425" s="7" t="s">
        <v>1206</v>
      </c>
      <c r="C425" s="8">
        <v>800000</v>
      </c>
      <c r="D425" s="8">
        <v>0</v>
      </c>
      <c r="E425" s="50">
        <f t="shared" si="9"/>
        <v>553479301.00999999</v>
      </c>
      <c r="F425" s="83" t="s">
        <v>137</v>
      </c>
      <c r="G425" s="14" t="s">
        <v>138</v>
      </c>
      <c r="H425" s="14" t="s">
        <v>3022</v>
      </c>
      <c r="J425" t="s">
        <v>4150</v>
      </c>
      <c r="K425" t="s">
        <v>459</v>
      </c>
      <c r="L425" s="10">
        <v>2021</v>
      </c>
    </row>
    <row r="426" spans="1:12">
      <c r="A426" s="3">
        <v>44287</v>
      </c>
      <c r="B426" s="7" t="s">
        <v>1207</v>
      </c>
      <c r="C426" s="8">
        <v>2933619</v>
      </c>
      <c r="D426" s="8">
        <v>0</v>
      </c>
      <c r="E426" s="50">
        <f t="shared" si="9"/>
        <v>550545682.00999999</v>
      </c>
      <c r="F426" s="83" t="s">
        <v>107</v>
      </c>
      <c r="G426" s="14" t="s">
        <v>129</v>
      </c>
      <c r="H426" s="14"/>
    </row>
    <row r="427" spans="1:12">
      <c r="A427" s="3">
        <v>44287</v>
      </c>
      <c r="B427" s="7" t="s">
        <v>1208</v>
      </c>
      <c r="C427" s="8">
        <v>2845000</v>
      </c>
      <c r="D427" s="8">
        <v>0</v>
      </c>
      <c r="E427" s="50">
        <f t="shared" si="9"/>
        <v>547700682.00999999</v>
      </c>
      <c r="F427" s="83" t="s">
        <v>137</v>
      </c>
      <c r="G427" s="14" t="s">
        <v>138</v>
      </c>
      <c r="H427" s="14" t="s">
        <v>1126</v>
      </c>
    </row>
    <row r="428" spans="1:12">
      <c r="A428" s="3">
        <v>44287</v>
      </c>
      <c r="B428" s="7" t="s">
        <v>1082</v>
      </c>
      <c r="C428" s="8">
        <v>1640000</v>
      </c>
      <c r="D428" s="8">
        <v>0</v>
      </c>
      <c r="E428" s="50">
        <f t="shared" si="9"/>
        <v>546060682.00999999</v>
      </c>
      <c r="F428" s="83" t="s">
        <v>137</v>
      </c>
      <c r="G428" s="14" t="s">
        <v>138</v>
      </c>
      <c r="H428" s="14" t="s">
        <v>1015</v>
      </c>
    </row>
    <row r="429" spans="1:12">
      <c r="A429" s="3">
        <v>44287</v>
      </c>
      <c r="B429" s="7" t="s">
        <v>1209</v>
      </c>
      <c r="C429" s="8">
        <v>50000000</v>
      </c>
      <c r="D429" s="8">
        <v>0</v>
      </c>
      <c r="E429" s="50">
        <f t="shared" si="9"/>
        <v>496060682.00999999</v>
      </c>
      <c r="F429" s="83" t="s">
        <v>137</v>
      </c>
      <c r="G429" s="14" t="s">
        <v>138</v>
      </c>
      <c r="H429" s="14" t="s">
        <v>1015</v>
      </c>
    </row>
    <row r="430" spans="1:12">
      <c r="A430" s="3">
        <v>44287</v>
      </c>
      <c r="B430" s="7" t="s">
        <v>1210</v>
      </c>
      <c r="C430" s="8">
        <v>1750000</v>
      </c>
      <c r="D430" s="8">
        <v>0</v>
      </c>
      <c r="E430" s="50">
        <f t="shared" si="9"/>
        <v>494310682.00999999</v>
      </c>
      <c r="F430" s="83" t="s">
        <v>137</v>
      </c>
      <c r="G430" s="14" t="s">
        <v>138</v>
      </c>
      <c r="H430" s="14" t="s">
        <v>1130</v>
      </c>
    </row>
    <row r="431" spans="1:12">
      <c r="A431" s="3">
        <v>44287</v>
      </c>
      <c r="B431" s="7" t="s">
        <v>1211</v>
      </c>
      <c r="C431" s="8">
        <f>11000000-C432</f>
        <v>10000000</v>
      </c>
      <c r="D431" s="8">
        <v>0</v>
      </c>
      <c r="E431" s="50">
        <f t="shared" si="9"/>
        <v>484310682.00999999</v>
      </c>
      <c r="F431" s="83" t="s">
        <v>736</v>
      </c>
      <c r="G431" s="14" t="s">
        <v>738</v>
      </c>
      <c r="H431" s="14"/>
    </row>
    <row r="432" spans="1:12">
      <c r="A432" s="3">
        <v>44287</v>
      </c>
      <c r="B432" s="7" t="s">
        <v>1211</v>
      </c>
      <c r="C432" s="8">
        <v>1000000</v>
      </c>
      <c r="D432" s="8">
        <v>0</v>
      </c>
      <c r="E432" s="50">
        <f t="shared" si="9"/>
        <v>483310682.00999999</v>
      </c>
      <c r="F432" s="83" t="s">
        <v>110</v>
      </c>
      <c r="G432" s="14" t="s">
        <v>616</v>
      </c>
      <c r="H432" t="s">
        <v>4621</v>
      </c>
    </row>
    <row r="433" spans="1:9">
      <c r="A433" s="3">
        <v>44287</v>
      </c>
      <c r="B433" s="7" t="s">
        <v>1212</v>
      </c>
      <c r="C433" s="8">
        <v>2001000</v>
      </c>
      <c r="D433" s="8">
        <v>0</v>
      </c>
      <c r="E433" s="50">
        <f t="shared" si="9"/>
        <v>481309682.00999999</v>
      </c>
      <c r="F433" s="83" t="s">
        <v>137</v>
      </c>
      <c r="G433" s="14" t="s">
        <v>138</v>
      </c>
      <c r="H433" s="14" t="s">
        <v>603</v>
      </c>
    </row>
    <row r="434" spans="1:9">
      <c r="A434" s="3">
        <v>44287</v>
      </c>
      <c r="B434" s="7" t="s">
        <v>1213</v>
      </c>
      <c r="C434" s="54">
        <v>2117500</v>
      </c>
      <c r="D434" s="54">
        <v>0</v>
      </c>
      <c r="E434" s="50">
        <f t="shared" si="9"/>
        <v>479192182.00999999</v>
      </c>
      <c r="F434" s="80" t="s">
        <v>319</v>
      </c>
      <c r="G434" s="14" t="s">
        <v>370</v>
      </c>
      <c r="H434" s="14"/>
    </row>
    <row r="435" spans="1:9">
      <c r="A435" s="3">
        <v>44287</v>
      </c>
      <c r="B435" s="7" t="s">
        <v>1214</v>
      </c>
      <c r="C435" s="8">
        <v>22795900</v>
      </c>
      <c r="D435" s="8">
        <v>0</v>
      </c>
      <c r="E435" s="50">
        <f t="shared" si="9"/>
        <v>456396282.00999999</v>
      </c>
      <c r="F435" s="83" t="s">
        <v>137</v>
      </c>
      <c r="G435" s="14" t="s">
        <v>138</v>
      </c>
      <c r="H435" s="14" t="s">
        <v>251</v>
      </c>
    </row>
    <row r="436" spans="1:9">
      <c r="A436" s="3">
        <v>44287</v>
      </c>
      <c r="B436" s="7" t="s">
        <v>1212</v>
      </c>
      <c r="C436" s="8">
        <v>5101000</v>
      </c>
      <c r="D436" s="8">
        <v>0</v>
      </c>
      <c r="E436" s="50">
        <f t="shared" si="9"/>
        <v>451295282.00999999</v>
      </c>
      <c r="F436" s="83" t="s">
        <v>137</v>
      </c>
      <c r="G436" s="14" t="s">
        <v>138</v>
      </c>
      <c r="H436" s="14" t="s">
        <v>251</v>
      </c>
    </row>
    <row r="437" spans="1:9">
      <c r="A437" s="3">
        <v>44287</v>
      </c>
      <c r="B437" s="7" t="s">
        <v>1215</v>
      </c>
      <c r="C437" s="8">
        <v>5947600</v>
      </c>
      <c r="D437" s="8">
        <v>0</v>
      </c>
      <c r="E437" s="50">
        <f t="shared" si="9"/>
        <v>445347682.00999999</v>
      </c>
      <c r="F437" s="83" t="s">
        <v>137</v>
      </c>
      <c r="G437" s="14" t="s">
        <v>138</v>
      </c>
      <c r="H437" s="14" t="s">
        <v>1129</v>
      </c>
    </row>
    <row r="438" spans="1:9">
      <c r="A438" s="3">
        <v>44287</v>
      </c>
      <c r="B438" s="7" t="s">
        <v>1216</v>
      </c>
      <c r="C438" s="8">
        <v>1603600</v>
      </c>
      <c r="D438" s="8">
        <v>0</v>
      </c>
      <c r="E438" s="50">
        <f t="shared" si="9"/>
        <v>443744082.00999999</v>
      </c>
      <c r="F438" s="83" t="s">
        <v>137</v>
      </c>
      <c r="G438" s="14" t="s">
        <v>138</v>
      </c>
      <c r="H438" s="14" t="s">
        <v>1130</v>
      </c>
    </row>
    <row r="439" spans="1:9">
      <c r="A439" s="3">
        <v>44291</v>
      </c>
      <c r="B439" s="7" t="s">
        <v>5026</v>
      </c>
      <c r="C439" s="54">
        <f>19875000-C440</f>
        <v>11875000</v>
      </c>
      <c r="D439" s="54">
        <v>0</v>
      </c>
      <c r="E439" s="53">
        <f t="shared" si="9"/>
        <v>431869082.00999999</v>
      </c>
      <c r="F439" s="80" t="s">
        <v>115</v>
      </c>
      <c r="G439" s="14" t="s">
        <v>116</v>
      </c>
      <c r="H439" s="14" t="s">
        <v>249</v>
      </c>
    </row>
    <row r="440" spans="1:9">
      <c r="A440" s="3">
        <v>44291</v>
      </c>
      <c r="B440" s="7" t="s">
        <v>5026</v>
      </c>
      <c r="C440" s="54">
        <v>8000000</v>
      </c>
      <c r="D440" s="54">
        <v>0</v>
      </c>
      <c r="E440" s="53">
        <f t="shared" si="9"/>
        <v>423869082.00999999</v>
      </c>
      <c r="F440" s="80" t="s">
        <v>248</v>
      </c>
      <c r="G440" s="14" t="s">
        <v>249</v>
      </c>
      <c r="H440" s="14" t="s">
        <v>64</v>
      </c>
    </row>
    <row r="441" spans="1:9">
      <c r="A441" s="3">
        <v>44292</v>
      </c>
      <c r="B441" s="7" t="s">
        <v>1217</v>
      </c>
      <c r="C441" s="8">
        <v>0</v>
      </c>
      <c r="D441" s="8">
        <v>7000000</v>
      </c>
      <c r="E441" s="50">
        <f t="shared" si="9"/>
        <v>430869082.00999999</v>
      </c>
      <c r="F441" s="83" t="s">
        <v>110</v>
      </c>
      <c r="G441" s="14" t="s">
        <v>188</v>
      </c>
      <c r="H441" s="13" t="s">
        <v>371</v>
      </c>
      <c r="I441">
        <v>83</v>
      </c>
    </row>
    <row r="442" spans="1:9">
      <c r="A442" s="3">
        <v>44293</v>
      </c>
      <c r="B442" s="7" t="s">
        <v>1218</v>
      </c>
      <c r="C442" s="8">
        <v>1696725</v>
      </c>
      <c r="D442" s="8">
        <v>0</v>
      </c>
      <c r="E442" s="50">
        <f t="shared" si="9"/>
        <v>429172357.00999999</v>
      </c>
      <c r="F442" s="83" t="s">
        <v>137</v>
      </c>
      <c r="G442" s="14" t="s">
        <v>138</v>
      </c>
      <c r="H442" s="14" t="s">
        <v>1015</v>
      </c>
    </row>
    <row r="443" spans="1:9">
      <c r="A443" s="3">
        <v>44293</v>
      </c>
      <c r="B443" s="7" t="s">
        <v>1219</v>
      </c>
      <c r="C443" s="8">
        <v>1724130</v>
      </c>
      <c r="D443" s="8">
        <v>0</v>
      </c>
      <c r="E443" s="50">
        <f t="shared" si="9"/>
        <v>427448227.00999999</v>
      </c>
      <c r="F443" s="83" t="s">
        <v>137</v>
      </c>
      <c r="G443" s="14" t="s">
        <v>138</v>
      </c>
      <c r="H443" s="14" t="s">
        <v>1131</v>
      </c>
    </row>
    <row r="444" spans="1:9">
      <c r="A444" s="3">
        <v>44293</v>
      </c>
      <c r="B444" s="7" t="s">
        <v>1220</v>
      </c>
      <c r="C444" s="8">
        <v>968000</v>
      </c>
      <c r="D444" s="8">
        <v>0</v>
      </c>
      <c r="E444" s="50">
        <f t="shared" si="9"/>
        <v>426480227.00999999</v>
      </c>
      <c r="F444" s="83" t="s">
        <v>248</v>
      </c>
      <c r="G444" s="14" t="s">
        <v>391</v>
      </c>
      <c r="H444" s="14"/>
    </row>
    <row r="445" spans="1:9">
      <c r="A445" s="3">
        <v>44293</v>
      </c>
      <c r="B445" s="7" t="s">
        <v>1221</v>
      </c>
      <c r="C445" s="8">
        <v>675000</v>
      </c>
      <c r="D445" s="8">
        <v>0</v>
      </c>
      <c r="E445" s="50">
        <f t="shared" si="9"/>
        <v>425805227.00999999</v>
      </c>
      <c r="F445" s="83" t="s">
        <v>137</v>
      </c>
      <c r="G445" s="14" t="s">
        <v>138</v>
      </c>
      <c r="H445" s="14" t="s">
        <v>1015</v>
      </c>
    </row>
    <row r="446" spans="1:9">
      <c r="A446" s="3">
        <v>44293</v>
      </c>
      <c r="B446" s="7" t="s">
        <v>1222</v>
      </c>
      <c r="C446" s="8">
        <v>4331100</v>
      </c>
      <c r="D446" s="8">
        <v>0</v>
      </c>
      <c r="E446" s="50">
        <f t="shared" si="9"/>
        <v>421474127.00999999</v>
      </c>
      <c r="F446" s="83" t="s">
        <v>248</v>
      </c>
      <c r="G446" s="14" t="s">
        <v>391</v>
      </c>
      <c r="H446" s="14"/>
    </row>
    <row r="447" spans="1:9">
      <c r="A447" s="3">
        <v>44293</v>
      </c>
      <c r="B447" s="7" t="s">
        <v>24</v>
      </c>
      <c r="C447" s="8">
        <v>2972900</v>
      </c>
      <c r="D447" s="8">
        <v>0</v>
      </c>
      <c r="E447" s="50">
        <f t="shared" si="9"/>
        <v>418501227.00999999</v>
      </c>
      <c r="F447" s="83" t="s">
        <v>107</v>
      </c>
      <c r="G447" s="14" t="s">
        <v>129</v>
      </c>
      <c r="H447" s="14"/>
    </row>
    <row r="448" spans="1:9">
      <c r="A448" s="3">
        <v>44293</v>
      </c>
      <c r="B448" s="7" t="s">
        <v>1223</v>
      </c>
      <c r="C448" s="8">
        <v>795000</v>
      </c>
      <c r="D448" s="8">
        <v>0</v>
      </c>
      <c r="E448" s="50">
        <f t="shared" si="9"/>
        <v>417706227.00999999</v>
      </c>
      <c r="F448" s="83" t="s">
        <v>248</v>
      </c>
      <c r="G448" s="14" t="s">
        <v>130</v>
      </c>
      <c r="H448" t="s">
        <v>625</v>
      </c>
    </row>
    <row r="449" spans="1:9">
      <c r="A449" s="3">
        <v>44293</v>
      </c>
      <c r="B449" s="7" t="s">
        <v>1224</v>
      </c>
      <c r="C449" s="8">
        <v>2985000</v>
      </c>
      <c r="D449" s="8">
        <v>0</v>
      </c>
      <c r="E449" s="50">
        <f t="shared" si="9"/>
        <v>414721227.00999999</v>
      </c>
      <c r="F449" s="83" t="s">
        <v>248</v>
      </c>
      <c r="G449" s="14" t="s">
        <v>130</v>
      </c>
      <c r="H449" t="s">
        <v>623</v>
      </c>
    </row>
    <row r="450" spans="1:9">
      <c r="A450" s="3">
        <v>44293</v>
      </c>
      <c r="B450" s="7" t="s">
        <v>1225</v>
      </c>
      <c r="C450" s="8">
        <v>580000</v>
      </c>
      <c r="D450" s="8">
        <v>0</v>
      </c>
      <c r="E450" s="50">
        <f t="shared" si="9"/>
        <v>414141227.00999999</v>
      </c>
      <c r="F450" s="83" t="s">
        <v>248</v>
      </c>
      <c r="G450" s="14" t="s">
        <v>130</v>
      </c>
      <c r="H450" t="s">
        <v>2083</v>
      </c>
    </row>
    <row r="451" spans="1:9">
      <c r="A451" s="3">
        <v>44293</v>
      </c>
      <c r="B451" s="7" t="s">
        <v>1226</v>
      </c>
      <c r="C451" s="8">
        <v>919999</v>
      </c>
      <c r="D451" s="8">
        <v>0</v>
      </c>
      <c r="E451" s="50">
        <f t="shared" si="9"/>
        <v>413221228.00999999</v>
      </c>
      <c r="F451" s="83" t="s">
        <v>137</v>
      </c>
      <c r="G451" s="14" t="s">
        <v>138</v>
      </c>
      <c r="H451" s="14" t="s">
        <v>1128</v>
      </c>
    </row>
    <row r="452" spans="1:9">
      <c r="A452" s="3">
        <v>44293</v>
      </c>
      <c r="B452" s="7" t="s">
        <v>1227</v>
      </c>
      <c r="C452" s="8">
        <v>1348799</v>
      </c>
      <c r="D452" s="8">
        <v>0</v>
      </c>
      <c r="E452" s="50">
        <f t="shared" si="9"/>
        <v>411872429.00999999</v>
      </c>
      <c r="F452" s="83" t="s">
        <v>137</v>
      </c>
      <c r="G452" s="14" t="s">
        <v>138</v>
      </c>
      <c r="H452" s="14" t="s">
        <v>1128</v>
      </c>
    </row>
    <row r="453" spans="1:9">
      <c r="A453" s="3">
        <v>44293</v>
      </c>
      <c r="B453" s="7" t="s">
        <v>1228</v>
      </c>
      <c r="C453" s="8">
        <v>6894400</v>
      </c>
      <c r="D453" s="8">
        <v>0</v>
      </c>
      <c r="E453" s="50">
        <f t="shared" si="9"/>
        <v>404978029.00999999</v>
      </c>
      <c r="F453" s="83" t="s">
        <v>137</v>
      </c>
      <c r="G453" s="14" t="s">
        <v>138</v>
      </c>
      <c r="H453" s="14" t="s">
        <v>1128</v>
      </c>
    </row>
    <row r="454" spans="1:9">
      <c r="A454" s="3">
        <v>44293</v>
      </c>
      <c r="B454" s="7" t="s">
        <v>1229</v>
      </c>
      <c r="C454" s="8">
        <v>1050000</v>
      </c>
      <c r="D454" s="8">
        <v>0</v>
      </c>
      <c r="E454" s="50">
        <f t="shared" si="9"/>
        <v>403928029.00999999</v>
      </c>
      <c r="F454" s="83" t="s">
        <v>319</v>
      </c>
      <c r="G454" s="14" t="s">
        <v>454</v>
      </c>
      <c r="H454" s="14"/>
    </row>
    <row r="455" spans="1:9">
      <c r="A455" s="3">
        <v>44295</v>
      </c>
      <c r="B455" s="7" t="s">
        <v>1230</v>
      </c>
      <c r="C455" s="8">
        <v>861400</v>
      </c>
      <c r="D455" s="8">
        <v>0</v>
      </c>
      <c r="E455" s="50">
        <f t="shared" si="9"/>
        <v>403066629.00999999</v>
      </c>
      <c r="F455" s="83" t="s">
        <v>137</v>
      </c>
      <c r="G455" s="14" t="s">
        <v>138</v>
      </c>
      <c r="H455" s="14" t="s">
        <v>1128</v>
      </c>
    </row>
    <row r="456" spans="1:9">
      <c r="A456" s="3">
        <v>44295</v>
      </c>
      <c r="B456" s="7" t="s">
        <v>1231</v>
      </c>
      <c r="C456" s="8">
        <v>6500</v>
      </c>
      <c r="D456" s="8">
        <v>0</v>
      </c>
      <c r="E456" s="50">
        <f t="shared" si="9"/>
        <v>403060129.00999999</v>
      </c>
      <c r="F456" s="83" t="s">
        <v>113</v>
      </c>
      <c r="G456" s="14" t="s">
        <v>114</v>
      </c>
      <c r="H456" s="14"/>
    </row>
    <row r="457" spans="1:9">
      <c r="A457" s="3">
        <v>44295</v>
      </c>
      <c r="B457" s="7" t="s">
        <v>1232</v>
      </c>
      <c r="C457" s="8">
        <v>1010000</v>
      </c>
      <c r="D457" s="8">
        <v>0</v>
      </c>
      <c r="E457" s="50">
        <f t="shared" si="9"/>
        <v>402050129.00999999</v>
      </c>
      <c r="F457" s="83" t="s">
        <v>115</v>
      </c>
      <c r="G457" s="14" t="s">
        <v>120</v>
      </c>
      <c r="H457" s="14" t="s">
        <v>127</v>
      </c>
      <c r="I457" s="14" t="s">
        <v>444</v>
      </c>
    </row>
    <row r="458" spans="1:9">
      <c r="A458" s="3">
        <v>44295</v>
      </c>
      <c r="B458" s="7" t="s">
        <v>1233</v>
      </c>
      <c r="C458" s="8">
        <v>6500000</v>
      </c>
      <c r="D458" s="8">
        <v>0</v>
      </c>
      <c r="E458" s="50">
        <f t="shared" si="9"/>
        <v>395550129.00999999</v>
      </c>
      <c r="F458" s="83" t="s">
        <v>107</v>
      </c>
      <c r="G458" s="14" t="s">
        <v>666</v>
      </c>
      <c r="H458" s="14" t="s">
        <v>3405</v>
      </c>
      <c r="I458" t="s">
        <v>3409</v>
      </c>
    </row>
    <row r="459" spans="1:9">
      <c r="A459" s="3">
        <v>44300</v>
      </c>
      <c r="B459" s="7" t="s">
        <v>1212</v>
      </c>
      <c r="C459" s="8">
        <v>4651000</v>
      </c>
      <c r="D459" s="8">
        <v>0</v>
      </c>
      <c r="E459" s="50">
        <f t="shared" si="9"/>
        <v>390899129.00999999</v>
      </c>
      <c r="F459" s="83" t="s">
        <v>137</v>
      </c>
      <c r="G459" s="14" t="s">
        <v>138</v>
      </c>
      <c r="H459" s="14" t="s">
        <v>3030</v>
      </c>
    </row>
    <row r="460" spans="1:9">
      <c r="A460" s="3">
        <v>44300</v>
      </c>
      <c r="B460" s="7" t="s">
        <v>24</v>
      </c>
      <c r="C460" s="8">
        <v>2579000</v>
      </c>
      <c r="D460" s="8">
        <v>0</v>
      </c>
      <c r="E460" s="50">
        <f t="shared" si="9"/>
        <v>388320129.00999999</v>
      </c>
      <c r="F460" s="83" t="s">
        <v>107</v>
      </c>
      <c r="G460" s="14" t="s">
        <v>129</v>
      </c>
      <c r="H460" s="14"/>
    </row>
    <row r="461" spans="1:9">
      <c r="A461" s="3">
        <v>44300</v>
      </c>
      <c r="B461" s="7" t="s">
        <v>1234</v>
      </c>
      <c r="C461" s="8">
        <v>50000000</v>
      </c>
      <c r="D461" s="8">
        <v>0</v>
      </c>
      <c r="E461" s="50">
        <f t="shared" si="9"/>
        <v>338320129.00999999</v>
      </c>
      <c r="F461" s="83" t="s">
        <v>137</v>
      </c>
      <c r="G461" s="14" t="s">
        <v>138</v>
      </c>
      <c r="H461" s="14" t="s">
        <v>1015</v>
      </c>
    </row>
    <row r="462" spans="1:9">
      <c r="A462" s="3">
        <v>44300</v>
      </c>
      <c r="B462" s="7" t="s">
        <v>1235</v>
      </c>
      <c r="C462" s="8">
        <v>1400000</v>
      </c>
      <c r="D462" s="8">
        <v>0</v>
      </c>
      <c r="E462" s="50">
        <f t="shared" si="9"/>
        <v>336920129.00999999</v>
      </c>
      <c r="F462" s="83" t="s">
        <v>137</v>
      </c>
      <c r="G462" s="14" t="s">
        <v>138</v>
      </c>
      <c r="H462" s="14" t="s">
        <v>2954</v>
      </c>
    </row>
    <row r="463" spans="1:9">
      <c r="A463" s="3">
        <v>44300</v>
      </c>
      <c r="B463" s="7" t="s">
        <v>1236</v>
      </c>
      <c r="C463" s="8">
        <v>700000</v>
      </c>
      <c r="D463" s="8">
        <v>0</v>
      </c>
      <c r="E463" s="50">
        <f t="shared" si="9"/>
        <v>336220129.00999999</v>
      </c>
      <c r="F463" s="83" t="s">
        <v>137</v>
      </c>
      <c r="G463" s="14" t="s">
        <v>138</v>
      </c>
      <c r="H463" s="14" t="s">
        <v>3030</v>
      </c>
    </row>
    <row r="464" spans="1:9">
      <c r="A464" s="3">
        <v>44300</v>
      </c>
      <c r="B464" s="7" t="s">
        <v>1237</v>
      </c>
      <c r="C464" s="8">
        <v>600000</v>
      </c>
      <c r="D464" s="8">
        <v>0</v>
      </c>
      <c r="E464" s="50">
        <f t="shared" si="9"/>
        <v>335620129.00999999</v>
      </c>
      <c r="F464" s="83" t="s">
        <v>137</v>
      </c>
      <c r="G464" s="14" t="s">
        <v>138</v>
      </c>
      <c r="H464" s="14" t="s">
        <v>2954</v>
      </c>
    </row>
    <row r="465" spans="1:12">
      <c r="A465" s="3">
        <v>44300</v>
      </c>
      <c r="B465" s="7" t="s">
        <v>1238</v>
      </c>
      <c r="C465" s="8">
        <v>500000</v>
      </c>
      <c r="D465" s="8">
        <v>0</v>
      </c>
      <c r="E465" s="50">
        <f t="shared" ref="E465:E530" si="10">E464-C465+D465</f>
        <v>335120129.00999999</v>
      </c>
      <c r="F465" s="83" t="s">
        <v>137</v>
      </c>
      <c r="G465" s="14" t="s">
        <v>138</v>
      </c>
      <c r="H465" s="14" t="s">
        <v>1128</v>
      </c>
    </row>
    <row r="466" spans="1:12">
      <c r="A466" s="3">
        <v>44300</v>
      </c>
      <c r="B466" s="7" t="s">
        <v>1239</v>
      </c>
      <c r="C466" s="8">
        <v>1927200</v>
      </c>
      <c r="D466" s="8">
        <v>0</v>
      </c>
      <c r="E466" s="50">
        <f t="shared" si="10"/>
        <v>333192929.00999999</v>
      </c>
      <c r="F466" s="83" t="s">
        <v>137</v>
      </c>
      <c r="G466" s="14" t="s">
        <v>138</v>
      </c>
      <c r="H466" s="14" t="s">
        <v>1128</v>
      </c>
    </row>
    <row r="467" spans="1:12">
      <c r="A467" s="3">
        <v>44300</v>
      </c>
      <c r="B467" s="7" t="s">
        <v>1240</v>
      </c>
      <c r="C467" s="8">
        <v>1803999</v>
      </c>
      <c r="D467" s="8">
        <v>0</v>
      </c>
      <c r="E467" s="50">
        <f t="shared" si="10"/>
        <v>331388930.00999999</v>
      </c>
      <c r="F467" s="83" t="s">
        <v>137</v>
      </c>
      <c r="G467" s="14" t="s">
        <v>138</v>
      </c>
      <c r="H467" s="14" t="s">
        <v>1128</v>
      </c>
    </row>
    <row r="468" spans="1:12">
      <c r="A468" s="3">
        <v>44300</v>
      </c>
      <c r="B468" s="7" t="s">
        <v>1241</v>
      </c>
      <c r="C468" s="8">
        <v>16989199</v>
      </c>
      <c r="D468" s="8">
        <v>0</v>
      </c>
      <c r="E468" s="50">
        <f t="shared" si="10"/>
        <v>314399731.00999999</v>
      </c>
      <c r="F468" s="83" t="s">
        <v>137</v>
      </c>
      <c r="G468" s="14" t="s">
        <v>138</v>
      </c>
      <c r="H468" s="14" t="s">
        <v>1128</v>
      </c>
    </row>
    <row r="469" spans="1:12">
      <c r="A469" s="3">
        <v>44300</v>
      </c>
      <c r="B469" s="7" t="s">
        <v>1242</v>
      </c>
      <c r="C469" s="8">
        <v>1829599</v>
      </c>
      <c r="D469" s="8">
        <v>0</v>
      </c>
      <c r="E469" s="50">
        <f t="shared" si="10"/>
        <v>312570132.00999999</v>
      </c>
      <c r="F469" s="83" t="s">
        <v>137</v>
      </c>
      <c r="G469" s="14" t="s">
        <v>138</v>
      </c>
      <c r="H469" s="14" t="s">
        <v>1128</v>
      </c>
    </row>
    <row r="470" spans="1:12">
      <c r="A470" s="3">
        <v>44300</v>
      </c>
      <c r="B470" s="7" t="s">
        <v>1243</v>
      </c>
      <c r="C470" s="8">
        <v>4736800</v>
      </c>
      <c r="D470" s="8">
        <v>0</v>
      </c>
      <c r="E470" s="50">
        <f t="shared" si="10"/>
        <v>307833332.00999999</v>
      </c>
      <c r="F470" s="83" t="s">
        <v>137</v>
      </c>
      <c r="G470" s="14" t="s">
        <v>138</v>
      </c>
      <c r="H470" s="14" t="s">
        <v>1128</v>
      </c>
    </row>
    <row r="471" spans="1:12">
      <c r="A471" s="3">
        <v>44300</v>
      </c>
      <c r="B471" s="7" t="s">
        <v>1244</v>
      </c>
      <c r="C471" s="8">
        <v>9276399</v>
      </c>
      <c r="D471" s="8">
        <v>0</v>
      </c>
      <c r="E471" s="50">
        <f t="shared" si="10"/>
        <v>298556933.00999999</v>
      </c>
      <c r="F471" s="83" t="s">
        <v>137</v>
      </c>
      <c r="G471" s="14" t="s">
        <v>138</v>
      </c>
      <c r="H471" s="14" t="s">
        <v>1128</v>
      </c>
    </row>
    <row r="472" spans="1:12">
      <c r="A472" s="3">
        <v>44301</v>
      </c>
      <c r="B472" s="7" t="s">
        <v>1245</v>
      </c>
      <c r="C472" s="8">
        <v>1600000</v>
      </c>
      <c r="D472" s="8">
        <v>0</v>
      </c>
      <c r="E472" s="50">
        <f t="shared" si="10"/>
        <v>296956933.00999999</v>
      </c>
      <c r="F472" s="83" t="s">
        <v>137</v>
      </c>
      <c r="G472" s="14" t="s">
        <v>138</v>
      </c>
      <c r="H472" s="14" t="s">
        <v>3030</v>
      </c>
      <c r="J472" t="s">
        <v>4150</v>
      </c>
      <c r="K472" t="s">
        <v>622</v>
      </c>
      <c r="L472" s="10">
        <v>2021</v>
      </c>
    </row>
    <row r="473" spans="1:12">
      <c r="A473" s="3">
        <v>44301</v>
      </c>
      <c r="B473" s="7" t="s">
        <v>1246</v>
      </c>
      <c r="C473" s="8">
        <v>1400000</v>
      </c>
      <c r="D473" s="8">
        <v>0</v>
      </c>
      <c r="E473" s="50">
        <f t="shared" si="10"/>
        <v>295556933.00999999</v>
      </c>
      <c r="F473" s="83" t="s">
        <v>137</v>
      </c>
      <c r="G473" s="14" t="s">
        <v>138</v>
      </c>
      <c r="H473" s="14" t="s">
        <v>1129</v>
      </c>
      <c r="J473" t="s">
        <v>4150</v>
      </c>
      <c r="K473" t="s">
        <v>119</v>
      </c>
      <c r="L473" s="10">
        <v>2021</v>
      </c>
    </row>
    <row r="474" spans="1:12">
      <c r="A474" s="3">
        <v>44301</v>
      </c>
      <c r="B474" s="7" t="s">
        <v>1247</v>
      </c>
      <c r="C474" s="8">
        <v>634600</v>
      </c>
      <c r="D474" s="8">
        <v>0</v>
      </c>
      <c r="E474" s="50">
        <f t="shared" si="10"/>
        <v>294922333.00999999</v>
      </c>
      <c r="F474" s="83" t="s">
        <v>137</v>
      </c>
      <c r="G474" s="14" t="s">
        <v>138</v>
      </c>
      <c r="H474" s="14" t="s">
        <v>2954</v>
      </c>
      <c r="J474" t="s">
        <v>4150</v>
      </c>
      <c r="K474" t="s">
        <v>119</v>
      </c>
      <c r="L474" s="10">
        <v>2021</v>
      </c>
    </row>
    <row r="475" spans="1:12">
      <c r="A475" s="3">
        <v>44301</v>
      </c>
      <c r="B475" s="7" t="s">
        <v>1248</v>
      </c>
      <c r="C475" s="8">
        <v>1200000</v>
      </c>
      <c r="D475" s="8">
        <v>0</v>
      </c>
      <c r="E475" s="50">
        <f t="shared" si="10"/>
        <v>293722333.00999999</v>
      </c>
      <c r="F475" s="83" t="s">
        <v>137</v>
      </c>
      <c r="G475" s="14" t="s">
        <v>138</v>
      </c>
      <c r="H475" s="14" t="s">
        <v>2954</v>
      </c>
      <c r="J475" t="s">
        <v>4150</v>
      </c>
      <c r="K475" t="s">
        <v>119</v>
      </c>
      <c r="L475" s="10">
        <v>2021</v>
      </c>
    </row>
    <row r="476" spans="1:12">
      <c r="A476" s="3">
        <v>44301</v>
      </c>
      <c r="B476" s="7" t="s">
        <v>1249</v>
      </c>
      <c r="C476" s="8">
        <v>1700000</v>
      </c>
      <c r="D476" s="8">
        <v>0</v>
      </c>
      <c r="E476" s="50">
        <f t="shared" si="10"/>
        <v>292022333.00999999</v>
      </c>
      <c r="F476" s="83" t="s">
        <v>137</v>
      </c>
      <c r="G476" s="14" t="s">
        <v>138</v>
      </c>
      <c r="H476" s="14" t="s">
        <v>1961</v>
      </c>
      <c r="J476" t="s">
        <v>4150</v>
      </c>
      <c r="K476" t="s">
        <v>119</v>
      </c>
      <c r="L476" s="10">
        <v>2021</v>
      </c>
    </row>
    <row r="477" spans="1:12">
      <c r="A477" s="3">
        <v>44301</v>
      </c>
      <c r="B477" s="7" t="s">
        <v>1250</v>
      </c>
      <c r="C477" s="8">
        <v>1444000</v>
      </c>
      <c r="D477" s="8">
        <v>0</v>
      </c>
      <c r="E477" s="50">
        <f t="shared" si="10"/>
        <v>290578333.00999999</v>
      </c>
      <c r="F477" s="83" t="s">
        <v>137</v>
      </c>
      <c r="G477" s="14" t="s">
        <v>138</v>
      </c>
      <c r="H477" s="14" t="s">
        <v>1130</v>
      </c>
      <c r="J477" t="s">
        <v>4150</v>
      </c>
      <c r="K477" t="s">
        <v>119</v>
      </c>
      <c r="L477" s="10">
        <v>2021</v>
      </c>
    </row>
    <row r="478" spans="1:12">
      <c r="A478" s="3">
        <v>44301</v>
      </c>
      <c r="B478" s="7" t="s">
        <v>1251</v>
      </c>
      <c r="C478" s="8">
        <v>800000</v>
      </c>
      <c r="D478" s="8">
        <v>0</v>
      </c>
      <c r="E478" s="50">
        <f t="shared" si="10"/>
        <v>289778333.00999999</v>
      </c>
      <c r="F478" s="83" t="s">
        <v>137</v>
      </c>
      <c r="G478" s="14" t="s">
        <v>138</v>
      </c>
      <c r="H478" s="14" t="s">
        <v>1961</v>
      </c>
      <c r="J478" t="s">
        <v>4150</v>
      </c>
      <c r="K478" t="s">
        <v>4152</v>
      </c>
      <c r="L478" s="10">
        <v>2021</v>
      </c>
    </row>
    <row r="479" spans="1:12">
      <c r="A479" s="3">
        <v>44301</v>
      </c>
      <c r="B479" s="7" t="s">
        <v>1252</v>
      </c>
      <c r="C479" s="8">
        <v>1600000</v>
      </c>
      <c r="D479" s="8">
        <v>0</v>
      </c>
      <c r="E479" s="50">
        <f t="shared" si="10"/>
        <v>288178333.00999999</v>
      </c>
      <c r="F479" s="83" t="s">
        <v>137</v>
      </c>
      <c r="G479" s="14" t="s">
        <v>138</v>
      </c>
      <c r="H479" s="14" t="s">
        <v>3030</v>
      </c>
      <c r="J479" t="s">
        <v>4150</v>
      </c>
      <c r="K479" t="s">
        <v>4152</v>
      </c>
      <c r="L479" s="10">
        <v>2021</v>
      </c>
    </row>
    <row r="480" spans="1:12">
      <c r="A480" s="3">
        <v>44301</v>
      </c>
      <c r="B480" s="7" t="s">
        <v>1253</v>
      </c>
      <c r="C480" s="8">
        <v>837318</v>
      </c>
      <c r="D480" s="8">
        <v>0</v>
      </c>
      <c r="E480" s="50">
        <f t="shared" si="10"/>
        <v>287341015.00999999</v>
      </c>
      <c r="F480" s="83" t="s">
        <v>319</v>
      </c>
      <c r="G480" s="14" t="s">
        <v>1016</v>
      </c>
      <c r="H480" s="14"/>
    </row>
    <row r="481" spans="1:8">
      <c r="A481" s="3">
        <v>44301</v>
      </c>
      <c r="B481" s="7" t="s">
        <v>1254</v>
      </c>
      <c r="C481" s="54">
        <v>3500000</v>
      </c>
      <c r="D481" s="54">
        <v>0</v>
      </c>
      <c r="E481" s="53">
        <f t="shared" si="10"/>
        <v>283841015.00999999</v>
      </c>
      <c r="F481" s="80" t="s">
        <v>319</v>
      </c>
      <c r="G481" s="14" t="s">
        <v>370</v>
      </c>
      <c r="H481" s="14"/>
    </row>
    <row r="482" spans="1:8">
      <c r="A482" s="3">
        <v>44301</v>
      </c>
      <c r="B482" s="7" t="s">
        <v>1254</v>
      </c>
      <c r="C482" s="54">
        <v>350000</v>
      </c>
      <c r="D482" s="54">
        <v>0</v>
      </c>
      <c r="E482" s="53">
        <f t="shared" si="10"/>
        <v>283491015.00999999</v>
      </c>
      <c r="F482" s="82" t="s">
        <v>110</v>
      </c>
      <c r="G482" t="s">
        <v>616</v>
      </c>
      <c r="H482" t="s">
        <v>4621</v>
      </c>
    </row>
    <row r="483" spans="1:8">
      <c r="A483" s="3">
        <v>44301</v>
      </c>
      <c r="B483" s="7" t="s">
        <v>1254</v>
      </c>
      <c r="C483" s="54">
        <v>0</v>
      </c>
      <c r="D483" s="54">
        <v>70000</v>
      </c>
      <c r="E483" s="53">
        <f t="shared" si="10"/>
        <v>283561015.00999999</v>
      </c>
      <c r="F483" s="82" t="s">
        <v>115</v>
      </c>
      <c r="G483" t="s">
        <v>441</v>
      </c>
      <c r="H483" t="s">
        <v>596</v>
      </c>
    </row>
    <row r="484" spans="1:8">
      <c r="A484" s="3">
        <v>44301</v>
      </c>
      <c r="B484" s="7" t="s">
        <v>1255</v>
      </c>
      <c r="C484" s="8">
        <v>3907500</v>
      </c>
      <c r="D484" s="8">
        <v>0</v>
      </c>
      <c r="E484" s="50">
        <f t="shared" si="10"/>
        <v>279653515.00999999</v>
      </c>
      <c r="F484" s="83" t="s">
        <v>137</v>
      </c>
      <c r="G484" s="14" t="s">
        <v>138</v>
      </c>
      <c r="H484" t="s">
        <v>251</v>
      </c>
    </row>
    <row r="485" spans="1:8">
      <c r="A485" s="3">
        <v>44301</v>
      </c>
      <c r="B485" s="7" t="s">
        <v>1256</v>
      </c>
      <c r="C485" s="8">
        <v>600168</v>
      </c>
      <c r="D485" s="8">
        <v>0</v>
      </c>
      <c r="E485" s="50">
        <f t="shared" si="10"/>
        <v>279053347.00999999</v>
      </c>
      <c r="F485" s="83" t="s">
        <v>137</v>
      </c>
      <c r="G485" s="14" t="s">
        <v>138</v>
      </c>
      <c r="H485" s="14" t="s">
        <v>1128</v>
      </c>
    </row>
    <row r="486" spans="1:8">
      <c r="A486" s="3">
        <v>44301</v>
      </c>
      <c r="B486" s="7" t="s">
        <v>1257</v>
      </c>
      <c r="C486" s="8">
        <v>7520000</v>
      </c>
      <c r="D486" s="8">
        <v>0</v>
      </c>
      <c r="E486" s="50">
        <f t="shared" si="10"/>
        <v>271533347.00999999</v>
      </c>
      <c r="F486" s="83" t="s">
        <v>137</v>
      </c>
      <c r="G486" s="14" t="s">
        <v>138</v>
      </c>
      <c r="H486" s="14" t="s">
        <v>1015</v>
      </c>
    </row>
    <row r="487" spans="1:8">
      <c r="A487" s="3">
        <v>44301</v>
      </c>
      <c r="B487" s="7" t="s">
        <v>1258</v>
      </c>
      <c r="C487" s="8">
        <v>1200000</v>
      </c>
      <c r="D487" s="8">
        <v>0</v>
      </c>
      <c r="E487" s="50">
        <f t="shared" si="10"/>
        <v>270333347.00999999</v>
      </c>
      <c r="F487" s="83" t="s">
        <v>137</v>
      </c>
      <c r="G487" s="14" t="s">
        <v>138</v>
      </c>
      <c r="H487" s="14" t="s">
        <v>2954</v>
      </c>
    </row>
    <row r="488" spans="1:8">
      <c r="A488" s="3">
        <v>44301</v>
      </c>
      <c r="B488" s="7" t="s">
        <v>1259</v>
      </c>
      <c r="C488" s="8">
        <v>1200000</v>
      </c>
      <c r="D488" s="8">
        <v>0</v>
      </c>
      <c r="E488" s="50">
        <f t="shared" si="10"/>
        <v>269133347.00999999</v>
      </c>
      <c r="F488" s="83" t="s">
        <v>137</v>
      </c>
      <c r="G488" s="14" t="s">
        <v>138</v>
      </c>
      <c r="H488" s="14" t="s">
        <v>1961</v>
      </c>
    </row>
    <row r="489" spans="1:8">
      <c r="A489" s="3">
        <v>44301</v>
      </c>
      <c r="B489" s="7" t="s">
        <v>1260</v>
      </c>
      <c r="C489" s="8">
        <v>1529600</v>
      </c>
      <c r="D489" s="8">
        <v>0</v>
      </c>
      <c r="E489" s="50">
        <f t="shared" si="10"/>
        <v>267603747.00999999</v>
      </c>
      <c r="F489" s="83" t="s">
        <v>137</v>
      </c>
      <c r="G489" s="14" t="s">
        <v>138</v>
      </c>
      <c r="H489" s="14" t="s">
        <v>1128</v>
      </c>
    </row>
    <row r="490" spans="1:8">
      <c r="A490" s="3">
        <v>44301</v>
      </c>
      <c r="B490" s="7" t="s">
        <v>1261</v>
      </c>
      <c r="C490" s="8">
        <v>9150799</v>
      </c>
      <c r="D490" s="8">
        <v>0</v>
      </c>
      <c r="E490" s="50">
        <f t="shared" si="10"/>
        <v>258452948.00999999</v>
      </c>
      <c r="F490" s="83" t="s">
        <v>137</v>
      </c>
      <c r="G490" s="14" t="s">
        <v>138</v>
      </c>
      <c r="H490" s="14" t="s">
        <v>1128</v>
      </c>
    </row>
    <row r="491" spans="1:8">
      <c r="A491" s="3">
        <v>44301</v>
      </c>
      <c r="B491" s="7" t="s">
        <v>1262</v>
      </c>
      <c r="C491" s="8">
        <v>2001000</v>
      </c>
      <c r="D491" s="8">
        <v>0</v>
      </c>
      <c r="E491" s="50">
        <f t="shared" si="10"/>
        <v>256451948.00999999</v>
      </c>
      <c r="F491" s="83" t="s">
        <v>137</v>
      </c>
      <c r="G491" s="14" t="s">
        <v>138</v>
      </c>
      <c r="H491" s="14" t="s">
        <v>603</v>
      </c>
    </row>
    <row r="492" spans="1:8">
      <c r="A492" s="3">
        <v>44301</v>
      </c>
      <c r="B492" s="7" t="s">
        <v>1263</v>
      </c>
      <c r="C492" s="8">
        <v>2001000</v>
      </c>
      <c r="D492" s="8">
        <v>0</v>
      </c>
      <c r="E492" s="50">
        <f t="shared" si="10"/>
        <v>254450948.00999999</v>
      </c>
      <c r="F492" s="83" t="s">
        <v>137</v>
      </c>
      <c r="G492" s="14" t="s">
        <v>138</v>
      </c>
      <c r="H492" s="14" t="s">
        <v>603</v>
      </c>
    </row>
    <row r="493" spans="1:8">
      <c r="A493" s="3">
        <v>44301</v>
      </c>
      <c r="B493" s="7" t="s">
        <v>1264</v>
      </c>
      <c r="C493" s="8">
        <v>2001000</v>
      </c>
      <c r="D493" s="8">
        <v>0</v>
      </c>
      <c r="E493" s="50">
        <f t="shared" si="10"/>
        <v>252449948.00999999</v>
      </c>
      <c r="F493" s="83" t="s">
        <v>137</v>
      </c>
      <c r="G493" s="14" t="s">
        <v>138</v>
      </c>
      <c r="H493" s="14" t="s">
        <v>603</v>
      </c>
    </row>
    <row r="494" spans="1:8">
      <c r="A494" s="3">
        <v>44301</v>
      </c>
      <c r="B494" s="7" t="s">
        <v>1265</v>
      </c>
      <c r="C494" s="8">
        <v>50000000</v>
      </c>
      <c r="D494" s="8">
        <v>0</v>
      </c>
      <c r="E494" s="50">
        <f t="shared" si="10"/>
        <v>202449948.00999999</v>
      </c>
      <c r="F494" s="83" t="s">
        <v>107</v>
      </c>
      <c r="G494" s="14" t="s">
        <v>109</v>
      </c>
      <c r="H494" s="14"/>
    </row>
    <row r="495" spans="1:8">
      <c r="A495" s="3">
        <v>44301</v>
      </c>
      <c r="B495" s="7" t="s">
        <v>1266</v>
      </c>
      <c r="C495" s="8">
        <v>6500</v>
      </c>
      <c r="D495" s="8">
        <v>0</v>
      </c>
      <c r="E495" s="50">
        <f t="shared" si="10"/>
        <v>202443448.00999999</v>
      </c>
      <c r="F495" s="83" t="s">
        <v>113</v>
      </c>
      <c r="G495" s="14" t="s">
        <v>114</v>
      </c>
      <c r="H495" s="14"/>
    </row>
    <row r="496" spans="1:8">
      <c r="A496" s="3">
        <v>44301</v>
      </c>
      <c r="B496" s="7" t="s">
        <v>1265</v>
      </c>
      <c r="C496" s="8">
        <v>50000000</v>
      </c>
      <c r="D496" s="8">
        <v>0</v>
      </c>
      <c r="E496" s="50">
        <f t="shared" si="10"/>
        <v>152443448.00999999</v>
      </c>
      <c r="F496" s="83" t="s">
        <v>107</v>
      </c>
      <c r="G496" s="14" t="s">
        <v>109</v>
      </c>
      <c r="H496" s="14"/>
    </row>
    <row r="497" spans="1:9">
      <c r="A497" s="3">
        <v>44301</v>
      </c>
      <c r="B497" s="7" t="s">
        <v>1266</v>
      </c>
      <c r="C497" s="8">
        <v>6500</v>
      </c>
      <c r="D497" s="8">
        <v>0</v>
      </c>
      <c r="E497" s="50">
        <f t="shared" si="10"/>
        <v>152436948.00999999</v>
      </c>
      <c r="F497" s="83" t="s">
        <v>113</v>
      </c>
      <c r="G497" s="14" t="s">
        <v>114</v>
      </c>
      <c r="H497" s="14"/>
    </row>
    <row r="498" spans="1:9">
      <c r="A498" s="3">
        <v>44302</v>
      </c>
      <c r="B498" s="7" t="s">
        <v>1267</v>
      </c>
      <c r="C498" s="8">
        <v>11950000</v>
      </c>
      <c r="D498" s="8">
        <v>0</v>
      </c>
      <c r="E498" s="50">
        <f t="shared" si="10"/>
        <v>140486948.00999999</v>
      </c>
      <c r="F498" s="83" t="s">
        <v>137</v>
      </c>
      <c r="G498" s="14" t="s">
        <v>138</v>
      </c>
      <c r="H498" s="14" t="s">
        <v>1128</v>
      </c>
    </row>
    <row r="499" spans="1:9">
      <c r="A499" s="3">
        <v>44302</v>
      </c>
      <c r="B499" s="7" t="s">
        <v>1212</v>
      </c>
      <c r="C499" s="54">
        <v>2311000</v>
      </c>
      <c r="D499" s="54">
        <v>0</v>
      </c>
      <c r="E499" s="53">
        <f t="shared" si="10"/>
        <v>138175948.00999999</v>
      </c>
      <c r="F499" s="80" t="s">
        <v>115</v>
      </c>
      <c r="G499" s="14" t="s">
        <v>120</v>
      </c>
      <c r="H499" s="14" t="s">
        <v>127</v>
      </c>
      <c r="I499" t="s">
        <v>444</v>
      </c>
    </row>
    <row r="500" spans="1:9">
      <c r="A500" s="3">
        <v>44302</v>
      </c>
      <c r="B500" s="7" t="s">
        <v>1268</v>
      </c>
      <c r="C500" s="8">
        <v>20000</v>
      </c>
      <c r="D500" s="8">
        <v>0</v>
      </c>
      <c r="E500" s="50">
        <f t="shared" si="10"/>
        <v>138155948.00999999</v>
      </c>
      <c r="F500" s="83" t="s">
        <v>113</v>
      </c>
      <c r="G500" s="14" t="s">
        <v>114</v>
      </c>
      <c r="H500" s="14"/>
    </row>
    <row r="501" spans="1:9">
      <c r="A501" s="3">
        <v>44305</v>
      </c>
      <c r="B501" s="7" t="s">
        <v>1269</v>
      </c>
      <c r="C501" s="54">
        <v>8405000</v>
      </c>
      <c r="D501" s="54">
        <v>0</v>
      </c>
      <c r="E501" s="53">
        <f t="shared" si="10"/>
        <v>129750948.00999999</v>
      </c>
      <c r="F501" s="80" t="s">
        <v>115</v>
      </c>
      <c r="G501" s="14" t="s">
        <v>120</v>
      </c>
      <c r="H501" s="14" t="s">
        <v>127</v>
      </c>
      <c r="I501" s="14" t="s">
        <v>444</v>
      </c>
    </row>
    <row r="502" spans="1:9">
      <c r="A502" s="3">
        <v>44305</v>
      </c>
      <c r="B502" s="7" t="s">
        <v>2474</v>
      </c>
      <c r="C502" s="8">
        <v>8700000</v>
      </c>
      <c r="D502" s="8">
        <v>0</v>
      </c>
      <c r="E502" s="50">
        <f t="shared" si="10"/>
        <v>121050948.00999999</v>
      </c>
      <c r="F502" s="83" t="s">
        <v>137</v>
      </c>
      <c r="G502" s="14" t="s">
        <v>138</v>
      </c>
      <c r="H502" s="14" t="s">
        <v>1128</v>
      </c>
    </row>
    <row r="503" spans="1:9">
      <c r="A503" s="3">
        <v>44305</v>
      </c>
      <c r="B503" s="7" t="s">
        <v>1270</v>
      </c>
      <c r="C503" s="8">
        <v>25000000</v>
      </c>
      <c r="D503" s="8">
        <v>0</v>
      </c>
      <c r="E503" s="50">
        <f t="shared" si="10"/>
        <v>96050948.00999999</v>
      </c>
      <c r="F503" s="83" t="s">
        <v>107</v>
      </c>
      <c r="G503" s="14" t="s">
        <v>109</v>
      </c>
      <c r="H503" s="14"/>
    </row>
    <row r="504" spans="1:9">
      <c r="A504" s="3">
        <v>44305</v>
      </c>
      <c r="B504" s="7" t="s">
        <v>1271</v>
      </c>
      <c r="C504" s="8">
        <v>6500</v>
      </c>
      <c r="D504" s="8">
        <v>0</v>
      </c>
      <c r="E504" s="50">
        <f t="shared" si="10"/>
        <v>96044448.00999999</v>
      </c>
      <c r="F504" s="83" t="s">
        <v>113</v>
      </c>
      <c r="G504" s="14" t="s">
        <v>114</v>
      </c>
      <c r="H504" s="14"/>
    </row>
    <row r="505" spans="1:9">
      <c r="A505" s="3">
        <v>44306</v>
      </c>
      <c r="B505" s="7" t="s">
        <v>1272</v>
      </c>
      <c r="C505" s="8">
        <v>0</v>
      </c>
      <c r="D505" s="8">
        <v>1800000</v>
      </c>
      <c r="E505" s="50">
        <f t="shared" si="10"/>
        <v>97844448.00999999</v>
      </c>
      <c r="F505" s="83" t="s">
        <v>110</v>
      </c>
      <c r="G505" s="14" t="s">
        <v>188</v>
      </c>
      <c r="H505" s="13" t="s">
        <v>371</v>
      </c>
      <c r="I505">
        <v>83</v>
      </c>
    </row>
    <row r="506" spans="1:9">
      <c r="A506" s="3">
        <v>44307</v>
      </c>
      <c r="B506" s="7" t="s">
        <v>1273</v>
      </c>
      <c r="C506" s="8">
        <v>3100000</v>
      </c>
      <c r="D506" s="8">
        <v>0</v>
      </c>
      <c r="E506" s="50">
        <f t="shared" si="10"/>
        <v>94744448.00999999</v>
      </c>
      <c r="F506" s="83" t="s">
        <v>137</v>
      </c>
      <c r="G506" s="14" t="s">
        <v>138</v>
      </c>
      <c r="H506" s="14" t="s">
        <v>1128</v>
      </c>
    </row>
    <row r="507" spans="1:9">
      <c r="A507" s="3">
        <v>44307</v>
      </c>
      <c r="B507" s="7" t="s">
        <v>1274</v>
      </c>
      <c r="C507" s="54">
        <v>1460000</v>
      </c>
      <c r="D507" s="54">
        <v>0</v>
      </c>
      <c r="E507" s="53">
        <f t="shared" si="10"/>
        <v>93284448.00999999</v>
      </c>
      <c r="F507" s="80" t="s">
        <v>115</v>
      </c>
      <c r="G507" s="14" t="s">
        <v>120</v>
      </c>
      <c r="H507" s="14" t="s">
        <v>127</v>
      </c>
      <c r="I507" s="14" t="s">
        <v>444</v>
      </c>
    </row>
    <row r="508" spans="1:9">
      <c r="A508" s="3">
        <v>44307</v>
      </c>
      <c r="B508" s="7" t="s">
        <v>1275</v>
      </c>
      <c r="C508" s="8">
        <v>550000</v>
      </c>
      <c r="D508" s="8">
        <v>0</v>
      </c>
      <c r="E508" s="50">
        <f t="shared" si="10"/>
        <v>92734448.00999999</v>
      </c>
      <c r="F508" s="83" t="s">
        <v>137</v>
      </c>
      <c r="G508" s="14" t="s">
        <v>138</v>
      </c>
      <c r="H508" s="14" t="s">
        <v>1128</v>
      </c>
    </row>
    <row r="509" spans="1:9">
      <c r="A509" s="3">
        <v>44307</v>
      </c>
      <c r="B509" s="7" t="s">
        <v>1276</v>
      </c>
      <c r="C509" s="8">
        <v>718000</v>
      </c>
      <c r="D509" s="8">
        <v>0</v>
      </c>
      <c r="E509" s="50">
        <f t="shared" si="10"/>
        <v>92016448.00999999</v>
      </c>
      <c r="F509" s="83" t="s">
        <v>137</v>
      </c>
      <c r="G509" s="14" t="s">
        <v>138</v>
      </c>
      <c r="H509" s="14" t="s">
        <v>251</v>
      </c>
    </row>
    <row r="510" spans="1:9">
      <c r="A510" s="3">
        <v>44307</v>
      </c>
      <c r="B510" s="7" t="s">
        <v>1277</v>
      </c>
      <c r="C510" s="8">
        <v>8742799</v>
      </c>
      <c r="D510" s="8">
        <v>0</v>
      </c>
      <c r="E510" s="50">
        <f t="shared" si="10"/>
        <v>83273649.00999999</v>
      </c>
      <c r="F510" s="83" t="s">
        <v>137</v>
      </c>
      <c r="G510" s="14" t="s">
        <v>138</v>
      </c>
      <c r="H510" s="14" t="s">
        <v>1128</v>
      </c>
    </row>
    <row r="511" spans="1:9">
      <c r="A511" s="3">
        <v>44307</v>
      </c>
      <c r="B511" s="7" t="s">
        <v>1278</v>
      </c>
      <c r="C511" s="8">
        <v>4000000</v>
      </c>
      <c r="D511" s="8">
        <v>0</v>
      </c>
      <c r="E511" s="50">
        <f t="shared" si="10"/>
        <v>79273649.00999999</v>
      </c>
      <c r="F511" s="83" t="s">
        <v>137</v>
      </c>
      <c r="G511" s="14" t="s">
        <v>138</v>
      </c>
      <c r="H511" s="14" t="s">
        <v>3031</v>
      </c>
    </row>
    <row r="512" spans="1:9">
      <c r="A512" s="3">
        <v>44307</v>
      </c>
      <c r="B512" s="7" t="s">
        <v>1279</v>
      </c>
      <c r="C512" s="8">
        <v>2279900</v>
      </c>
      <c r="D512" s="8">
        <v>0</v>
      </c>
      <c r="E512" s="50">
        <f t="shared" si="10"/>
        <v>76993749.00999999</v>
      </c>
      <c r="F512" s="83" t="s">
        <v>137</v>
      </c>
      <c r="G512" s="14" t="s">
        <v>138</v>
      </c>
      <c r="H512" s="14" t="s">
        <v>3031</v>
      </c>
    </row>
    <row r="513" spans="1:12">
      <c r="A513" s="3">
        <v>44307</v>
      </c>
      <c r="B513" s="7" t="s">
        <v>1280</v>
      </c>
      <c r="C513" s="8">
        <v>2000000</v>
      </c>
      <c r="D513" s="8">
        <v>0</v>
      </c>
      <c r="E513" s="50">
        <f t="shared" si="10"/>
        <v>74993749.00999999</v>
      </c>
      <c r="F513" s="83" t="s">
        <v>736</v>
      </c>
      <c r="G513" s="14" t="s">
        <v>3994</v>
      </c>
      <c r="H513" s="229" t="s">
        <v>64</v>
      </c>
    </row>
    <row r="514" spans="1:12">
      <c r="A514" s="3">
        <v>44307</v>
      </c>
      <c r="B514" s="7" t="s">
        <v>1281</v>
      </c>
      <c r="C514" s="8">
        <v>1200000</v>
      </c>
      <c r="D514" s="8">
        <v>0</v>
      </c>
      <c r="E514" s="50">
        <f t="shared" si="10"/>
        <v>73793749.00999999</v>
      </c>
      <c r="F514" s="83" t="s">
        <v>137</v>
      </c>
      <c r="G514" s="14" t="s">
        <v>138</v>
      </c>
      <c r="H514" s="14" t="s">
        <v>2954</v>
      </c>
      <c r="J514" t="s">
        <v>4150</v>
      </c>
      <c r="K514" t="s">
        <v>459</v>
      </c>
      <c r="L514" s="10">
        <v>2021</v>
      </c>
    </row>
    <row r="515" spans="1:12">
      <c r="A515" s="3">
        <v>44307</v>
      </c>
      <c r="B515" s="7" t="s">
        <v>1282</v>
      </c>
      <c r="C515" s="8">
        <v>1200000</v>
      </c>
      <c r="D515" s="8">
        <v>0</v>
      </c>
      <c r="E515" s="50">
        <f t="shared" si="10"/>
        <v>72593749.00999999</v>
      </c>
      <c r="F515" s="83" t="s">
        <v>137</v>
      </c>
      <c r="G515" s="14" t="s">
        <v>138</v>
      </c>
      <c r="H515" s="14" t="s">
        <v>1961</v>
      </c>
      <c r="J515" t="s">
        <v>4150</v>
      </c>
      <c r="K515" t="s">
        <v>459</v>
      </c>
      <c r="L515" s="10">
        <v>2021</v>
      </c>
    </row>
    <row r="516" spans="1:12">
      <c r="A516" s="3">
        <v>44307</v>
      </c>
      <c r="B516" s="7" t="s">
        <v>1283</v>
      </c>
      <c r="C516" s="8">
        <v>800000</v>
      </c>
      <c r="D516" s="8">
        <v>0</v>
      </c>
      <c r="E516" s="50">
        <f t="shared" si="10"/>
        <v>71793749.00999999</v>
      </c>
      <c r="F516" s="83" t="s">
        <v>137</v>
      </c>
      <c r="G516" s="14" t="s">
        <v>138</v>
      </c>
      <c r="H516" s="14" t="s">
        <v>3031</v>
      </c>
      <c r="J516" t="s">
        <v>4150</v>
      </c>
      <c r="K516" t="s">
        <v>459</v>
      </c>
      <c r="L516" s="10">
        <v>2021</v>
      </c>
    </row>
    <row r="517" spans="1:12">
      <c r="A517" s="3">
        <v>44307</v>
      </c>
      <c r="B517" s="7" t="s">
        <v>1284</v>
      </c>
      <c r="C517" s="8">
        <v>1200000</v>
      </c>
      <c r="D517" s="8">
        <v>0</v>
      </c>
      <c r="E517" s="50">
        <f t="shared" si="10"/>
        <v>70593749.00999999</v>
      </c>
      <c r="F517" s="83" t="s">
        <v>137</v>
      </c>
      <c r="G517" s="14" t="s">
        <v>138</v>
      </c>
      <c r="H517" s="14" t="s">
        <v>3030</v>
      </c>
      <c r="J517" t="s">
        <v>4150</v>
      </c>
      <c r="K517" t="s">
        <v>4148</v>
      </c>
      <c r="L517" s="10">
        <v>2021</v>
      </c>
    </row>
    <row r="518" spans="1:12">
      <c r="A518" s="3">
        <v>44307</v>
      </c>
      <c r="B518" s="7" t="s">
        <v>1285</v>
      </c>
      <c r="C518" s="8">
        <v>800000</v>
      </c>
      <c r="D518" s="8">
        <v>0</v>
      </c>
      <c r="E518" s="50">
        <f t="shared" si="10"/>
        <v>69793749.00999999</v>
      </c>
      <c r="F518" s="83" t="s">
        <v>137</v>
      </c>
      <c r="G518" s="14" t="s">
        <v>138</v>
      </c>
      <c r="H518" s="14" t="s">
        <v>3031</v>
      </c>
      <c r="J518" t="s">
        <v>4150</v>
      </c>
      <c r="K518" t="s">
        <v>4148</v>
      </c>
      <c r="L518" s="10">
        <v>2021</v>
      </c>
    </row>
    <row r="519" spans="1:12">
      <c r="A519" s="3">
        <v>44307</v>
      </c>
      <c r="B519" s="7" t="s">
        <v>1286</v>
      </c>
      <c r="C519" s="8">
        <v>800000</v>
      </c>
      <c r="D519" s="8">
        <v>0</v>
      </c>
      <c r="E519" s="50">
        <f t="shared" si="10"/>
        <v>68993749.00999999</v>
      </c>
      <c r="F519" s="83" t="s">
        <v>137</v>
      </c>
      <c r="G519" s="14" t="s">
        <v>138</v>
      </c>
      <c r="H519" s="14" t="s">
        <v>3031</v>
      </c>
      <c r="J519" t="s">
        <v>4150</v>
      </c>
      <c r="K519" t="s">
        <v>622</v>
      </c>
      <c r="L519" s="10">
        <v>2021</v>
      </c>
    </row>
    <row r="520" spans="1:12">
      <c r="A520" s="3">
        <v>44307</v>
      </c>
      <c r="B520" s="7" t="s">
        <v>1287</v>
      </c>
      <c r="C520" s="8">
        <v>32500000</v>
      </c>
      <c r="D520" s="8">
        <v>0</v>
      </c>
      <c r="E520" s="50">
        <f t="shared" si="10"/>
        <v>36493749.00999999</v>
      </c>
      <c r="F520" s="83" t="s">
        <v>137</v>
      </c>
      <c r="G520" s="14" t="s">
        <v>138</v>
      </c>
      <c r="H520" s="14" t="s">
        <v>1128</v>
      </c>
    </row>
    <row r="521" spans="1:12">
      <c r="A521" s="3">
        <v>44309</v>
      </c>
      <c r="B521" s="7" t="s">
        <v>1288</v>
      </c>
      <c r="C521" s="8">
        <v>7500000</v>
      </c>
      <c r="D521" s="8">
        <v>0</v>
      </c>
      <c r="E521" s="50">
        <f t="shared" si="10"/>
        <v>28993749.00999999</v>
      </c>
      <c r="F521" s="83" t="s">
        <v>137</v>
      </c>
      <c r="G521" s="14" t="s">
        <v>138</v>
      </c>
      <c r="H521" s="14" t="s">
        <v>251</v>
      </c>
    </row>
    <row r="522" spans="1:12">
      <c r="A522" s="3">
        <v>44309</v>
      </c>
      <c r="B522" s="7" t="s">
        <v>1289</v>
      </c>
      <c r="C522" s="8">
        <v>6500</v>
      </c>
      <c r="D522" s="8">
        <v>0</v>
      </c>
      <c r="E522" s="50">
        <f t="shared" si="10"/>
        <v>28987249.00999999</v>
      </c>
      <c r="F522" s="83" t="s">
        <v>113</v>
      </c>
      <c r="G522" s="14" t="s">
        <v>114</v>
      </c>
      <c r="H522" s="14"/>
    </row>
    <row r="523" spans="1:12">
      <c r="A523" s="3">
        <v>44312</v>
      </c>
      <c r="B523" s="7" t="s">
        <v>24</v>
      </c>
      <c r="C523" s="8">
        <v>2655119</v>
      </c>
      <c r="D523" s="8">
        <v>0</v>
      </c>
      <c r="E523" s="50">
        <f t="shared" si="10"/>
        <v>26332130.00999999</v>
      </c>
      <c r="F523" s="83" t="s">
        <v>107</v>
      </c>
      <c r="G523" s="14" t="s">
        <v>129</v>
      </c>
      <c r="H523" s="14"/>
    </row>
    <row r="524" spans="1:12">
      <c r="A524" s="3">
        <v>44312</v>
      </c>
      <c r="B524" s="7" t="s">
        <v>1290</v>
      </c>
      <c r="C524" s="8">
        <v>2062000</v>
      </c>
      <c r="D524" s="8">
        <v>0</v>
      </c>
      <c r="E524" s="50">
        <f t="shared" si="10"/>
        <v>24270130.00999999</v>
      </c>
      <c r="F524" s="83" t="s">
        <v>319</v>
      </c>
      <c r="G524" s="14" t="s">
        <v>454</v>
      </c>
      <c r="H524" s="229" t="s">
        <v>64</v>
      </c>
    </row>
    <row r="525" spans="1:12">
      <c r="A525" s="3">
        <v>44312</v>
      </c>
      <c r="B525" s="7" t="s">
        <v>1291</v>
      </c>
      <c r="C525" s="54">
        <v>10500000</v>
      </c>
      <c r="D525" s="54">
        <v>0</v>
      </c>
      <c r="E525" s="53">
        <f t="shared" si="10"/>
        <v>13770130.00999999</v>
      </c>
      <c r="F525" s="80" t="s">
        <v>115</v>
      </c>
      <c r="G525" s="14" t="s">
        <v>120</v>
      </c>
      <c r="H525" t="s">
        <v>3035</v>
      </c>
    </row>
    <row r="526" spans="1:12">
      <c r="A526" s="3">
        <v>44312</v>
      </c>
      <c r="B526" s="7" t="s">
        <v>1292</v>
      </c>
      <c r="C526" s="8">
        <v>7775000</v>
      </c>
      <c r="D526" s="8">
        <v>0</v>
      </c>
      <c r="E526" s="50">
        <f t="shared" si="10"/>
        <v>5995130.0099999905</v>
      </c>
      <c r="F526" s="83" t="s">
        <v>137</v>
      </c>
      <c r="G526" s="14" t="s">
        <v>138</v>
      </c>
      <c r="H526" s="14" t="s">
        <v>1015</v>
      </c>
    </row>
    <row r="527" spans="1:12">
      <c r="A527" s="3">
        <v>44313</v>
      </c>
      <c r="B527" s="7" t="s">
        <v>1293</v>
      </c>
      <c r="C527" s="8">
        <v>3720000</v>
      </c>
      <c r="D527" s="8">
        <v>0</v>
      </c>
      <c r="E527" s="50">
        <f t="shared" si="10"/>
        <v>2275130.0099999905</v>
      </c>
      <c r="F527" s="83" t="s">
        <v>107</v>
      </c>
      <c r="G527" s="14" t="s">
        <v>666</v>
      </c>
      <c r="H527" s="14" t="s">
        <v>3405</v>
      </c>
      <c r="I527" t="s">
        <v>3411</v>
      </c>
    </row>
    <row r="528" spans="1:12">
      <c r="A528" s="3">
        <v>44316</v>
      </c>
      <c r="B528" s="7" t="s">
        <v>1294</v>
      </c>
      <c r="C528" s="8">
        <v>0</v>
      </c>
      <c r="D528" s="8">
        <v>200000000</v>
      </c>
      <c r="E528" s="50">
        <f t="shared" si="10"/>
        <v>202275130.00999999</v>
      </c>
      <c r="F528" s="83" t="s">
        <v>107</v>
      </c>
      <c r="G528" s="14" t="s">
        <v>108</v>
      </c>
      <c r="H528" s="14"/>
    </row>
    <row r="529" spans="1:12">
      <c r="A529" s="3">
        <v>44316</v>
      </c>
      <c r="B529" s="7" t="s">
        <v>1295</v>
      </c>
      <c r="C529" s="8">
        <v>76135000</v>
      </c>
      <c r="D529" s="8">
        <v>0</v>
      </c>
      <c r="E529" s="50">
        <f t="shared" si="10"/>
        <v>126140130.00999999</v>
      </c>
      <c r="F529" s="83" t="s">
        <v>248</v>
      </c>
      <c r="G529" s="14" t="s">
        <v>249</v>
      </c>
      <c r="H529" s="14"/>
    </row>
    <row r="530" spans="1:12">
      <c r="A530" s="3">
        <v>44316</v>
      </c>
      <c r="B530" s="7" t="s">
        <v>1296</v>
      </c>
      <c r="C530" s="8">
        <v>42895000</v>
      </c>
      <c r="D530" s="8">
        <v>0</v>
      </c>
      <c r="E530" s="50">
        <f t="shared" si="10"/>
        <v>83245130.00999999</v>
      </c>
      <c r="F530" s="83" t="s">
        <v>107</v>
      </c>
      <c r="G530" s="14" t="s">
        <v>250</v>
      </c>
      <c r="H530" s="14"/>
    </row>
    <row r="531" spans="1:12">
      <c r="A531" s="3">
        <v>44316</v>
      </c>
      <c r="B531" s="7" t="s">
        <v>1297</v>
      </c>
      <c r="C531" s="8">
        <v>0</v>
      </c>
      <c r="D531" s="8">
        <v>42895000</v>
      </c>
      <c r="E531" s="50">
        <f t="shared" ref="E531:E542" si="11">E530-C531+D531</f>
        <v>126140130.00999999</v>
      </c>
      <c r="F531" s="83" t="s">
        <v>107</v>
      </c>
      <c r="G531" s="14" t="s">
        <v>250</v>
      </c>
      <c r="H531" s="14"/>
    </row>
    <row r="532" spans="1:12">
      <c r="A532" s="3">
        <v>44316</v>
      </c>
      <c r="B532" s="7" t="s">
        <v>1298</v>
      </c>
      <c r="C532" s="8">
        <v>10500000</v>
      </c>
      <c r="D532" s="8">
        <v>0</v>
      </c>
      <c r="E532" s="50">
        <f t="shared" si="11"/>
        <v>115640130.00999999</v>
      </c>
      <c r="F532" s="83" t="s">
        <v>137</v>
      </c>
      <c r="G532" s="14" t="s">
        <v>138</v>
      </c>
      <c r="H532" s="14" t="s">
        <v>3031</v>
      </c>
    </row>
    <row r="533" spans="1:12">
      <c r="A533" s="3">
        <v>44316</v>
      </c>
      <c r="B533" s="7" t="s">
        <v>1299</v>
      </c>
      <c r="C533" s="8">
        <v>1270000</v>
      </c>
      <c r="D533" s="8">
        <v>0</v>
      </c>
      <c r="E533" s="50">
        <f t="shared" si="11"/>
        <v>114370130.00999999</v>
      </c>
      <c r="F533" s="83" t="s">
        <v>137</v>
      </c>
      <c r="G533" s="14" t="s">
        <v>138</v>
      </c>
      <c r="H533" s="14" t="s">
        <v>3031</v>
      </c>
    </row>
    <row r="534" spans="1:12">
      <c r="A534" s="3">
        <v>44316</v>
      </c>
      <c r="B534" s="7" t="s">
        <v>1300</v>
      </c>
      <c r="C534" s="8">
        <v>2375000</v>
      </c>
      <c r="D534" s="8">
        <v>0</v>
      </c>
      <c r="E534" s="50">
        <f t="shared" si="11"/>
        <v>111995130.00999999</v>
      </c>
      <c r="F534" s="83" t="s">
        <v>137</v>
      </c>
      <c r="G534" s="14" t="s">
        <v>138</v>
      </c>
      <c r="H534" s="14" t="s">
        <v>3031</v>
      </c>
    </row>
    <row r="535" spans="1:12">
      <c r="A535" s="3">
        <v>44316</v>
      </c>
      <c r="B535" s="7" t="s">
        <v>1301</v>
      </c>
      <c r="C535" s="8">
        <v>1200000</v>
      </c>
      <c r="D535" s="8">
        <v>0</v>
      </c>
      <c r="E535" s="50">
        <f t="shared" si="11"/>
        <v>110795130.00999999</v>
      </c>
      <c r="F535" s="83" t="s">
        <v>137</v>
      </c>
      <c r="G535" s="14" t="s">
        <v>138</v>
      </c>
      <c r="H535" s="14" t="s">
        <v>1127</v>
      </c>
    </row>
    <row r="536" spans="1:12">
      <c r="A536" s="3">
        <v>44316</v>
      </c>
      <c r="B536" s="7" t="s">
        <v>1302</v>
      </c>
      <c r="C536" s="8">
        <v>1767000</v>
      </c>
      <c r="D536" s="8">
        <v>0</v>
      </c>
      <c r="E536" s="50">
        <f t="shared" si="11"/>
        <v>109028130.00999999</v>
      </c>
      <c r="F536" s="83" t="s">
        <v>137</v>
      </c>
      <c r="G536" s="14" t="s">
        <v>138</v>
      </c>
      <c r="H536" s="14" t="s">
        <v>1128</v>
      </c>
    </row>
    <row r="537" spans="1:12">
      <c r="A537" s="3">
        <v>44316</v>
      </c>
      <c r="B537" s="7" t="s">
        <v>24</v>
      </c>
      <c r="C537" s="8">
        <v>2763289</v>
      </c>
      <c r="D537" s="8">
        <v>0</v>
      </c>
      <c r="E537" s="50">
        <f t="shared" si="11"/>
        <v>106264841.00999999</v>
      </c>
      <c r="F537" s="83" t="s">
        <v>107</v>
      </c>
      <c r="G537" s="14" t="s">
        <v>129</v>
      </c>
      <c r="H537" s="14"/>
    </row>
    <row r="538" spans="1:12">
      <c r="A538" s="3">
        <v>44316</v>
      </c>
      <c r="B538" s="7" t="s">
        <v>1303</v>
      </c>
      <c r="C538" s="8">
        <v>500000</v>
      </c>
      <c r="D538" s="8">
        <v>0</v>
      </c>
      <c r="E538" s="50">
        <f t="shared" si="11"/>
        <v>105764841.00999999</v>
      </c>
      <c r="F538" s="83" t="s">
        <v>137</v>
      </c>
      <c r="G538" s="14" t="s">
        <v>138</v>
      </c>
      <c r="H538" s="14" t="s">
        <v>3031</v>
      </c>
    </row>
    <row r="539" spans="1:12">
      <c r="A539" s="3">
        <v>44316</v>
      </c>
      <c r="B539" s="7" t="s">
        <v>1304</v>
      </c>
      <c r="C539" s="8">
        <v>800000</v>
      </c>
      <c r="D539" s="8">
        <v>0</v>
      </c>
      <c r="E539" s="50">
        <f t="shared" si="11"/>
        <v>104964841.00999999</v>
      </c>
      <c r="F539" s="83" t="s">
        <v>137</v>
      </c>
      <c r="G539" s="14" t="s">
        <v>138</v>
      </c>
      <c r="H539" s="14" t="s">
        <v>3031</v>
      </c>
      <c r="J539" t="s">
        <v>4150</v>
      </c>
      <c r="K539" t="s">
        <v>119</v>
      </c>
      <c r="L539" s="10">
        <v>2021</v>
      </c>
    </row>
    <row r="540" spans="1:12">
      <c r="A540" s="3">
        <v>44316</v>
      </c>
      <c r="B540" s="7" t="s">
        <v>1305</v>
      </c>
      <c r="C540" s="8">
        <v>800000</v>
      </c>
      <c r="D540" s="8">
        <v>0</v>
      </c>
      <c r="E540" s="50">
        <f t="shared" si="11"/>
        <v>104164841.00999999</v>
      </c>
      <c r="F540" s="83" t="s">
        <v>137</v>
      </c>
      <c r="G540" s="14" t="s">
        <v>138</v>
      </c>
      <c r="H540" s="14" t="s">
        <v>3031</v>
      </c>
      <c r="J540" t="s">
        <v>4150</v>
      </c>
      <c r="K540" t="s">
        <v>480</v>
      </c>
      <c r="L540" s="10">
        <v>2021</v>
      </c>
    </row>
    <row r="541" spans="1:12">
      <c r="A541" s="3">
        <v>44316</v>
      </c>
      <c r="B541" s="7" t="s">
        <v>240</v>
      </c>
      <c r="C541" s="8">
        <v>0</v>
      </c>
      <c r="D541" s="8">
        <v>12632.17</v>
      </c>
      <c r="E541" s="50">
        <f t="shared" si="11"/>
        <v>104177473.17999999</v>
      </c>
      <c r="F541" s="83" t="s">
        <v>252</v>
      </c>
      <c r="G541" s="14" t="s">
        <v>253</v>
      </c>
      <c r="H541" s="14"/>
    </row>
    <row r="542" spans="1:12">
      <c r="A542" s="3">
        <v>44316</v>
      </c>
      <c r="B542" s="7" t="s">
        <v>241</v>
      </c>
      <c r="C542" s="8">
        <v>2526.4299999999998</v>
      </c>
      <c r="D542" s="8">
        <v>0</v>
      </c>
      <c r="E542" s="50">
        <f t="shared" si="11"/>
        <v>104174946.74999999</v>
      </c>
      <c r="F542" s="83" t="s">
        <v>252</v>
      </c>
      <c r="G542" s="14" t="s">
        <v>253</v>
      </c>
      <c r="H542" s="14"/>
    </row>
    <row r="543" spans="1:12">
      <c r="A543" s="3">
        <v>44319</v>
      </c>
      <c r="B543" s="7" t="s">
        <v>1542</v>
      </c>
      <c r="C543" s="8">
        <v>4000000</v>
      </c>
      <c r="D543" s="8">
        <v>0</v>
      </c>
      <c r="E543" s="50">
        <f>E542-C543+D543</f>
        <v>100174946.74999999</v>
      </c>
      <c r="F543" s="83" t="s">
        <v>137</v>
      </c>
      <c r="G543" s="14" t="s">
        <v>138</v>
      </c>
      <c r="H543" s="14" t="s">
        <v>3032</v>
      </c>
    </row>
    <row r="544" spans="1:12">
      <c r="A544" s="3">
        <v>44319</v>
      </c>
      <c r="B544" s="7" t="s">
        <v>1543</v>
      </c>
      <c r="C544" s="8">
        <v>50000000</v>
      </c>
      <c r="D544" s="8">
        <v>0</v>
      </c>
      <c r="E544" s="50">
        <f t="shared" ref="E544:E609" si="12">E543-C544+D544</f>
        <v>50174946.749999985</v>
      </c>
      <c r="F544" s="83" t="s">
        <v>107</v>
      </c>
      <c r="G544" s="14" t="s">
        <v>666</v>
      </c>
      <c r="H544" s="14" t="s">
        <v>3405</v>
      </c>
      <c r="I544" t="s">
        <v>3449</v>
      </c>
    </row>
    <row r="545" spans="1:12">
      <c r="A545" s="3">
        <v>44319</v>
      </c>
      <c r="B545" s="7" t="s">
        <v>1544</v>
      </c>
      <c r="C545" s="8">
        <v>30000000</v>
      </c>
      <c r="D545" s="8">
        <v>0</v>
      </c>
      <c r="E545" s="50">
        <f t="shared" si="12"/>
        <v>20174946.749999985</v>
      </c>
      <c r="F545" s="83" t="s">
        <v>107</v>
      </c>
      <c r="G545" s="14" t="s">
        <v>666</v>
      </c>
      <c r="H545" s="14" t="s">
        <v>3405</v>
      </c>
      <c r="I545" t="s">
        <v>3468</v>
      </c>
    </row>
    <row r="546" spans="1:12">
      <c r="A546" s="3">
        <v>44320</v>
      </c>
      <c r="B546" s="7" t="s">
        <v>278</v>
      </c>
      <c r="C546" s="8">
        <v>0</v>
      </c>
      <c r="D546" s="8">
        <v>225000000</v>
      </c>
      <c r="E546" s="50">
        <f t="shared" si="12"/>
        <v>245174946.75</v>
      </c>
      <c r="F546" s="83" t="s">
        <v>107</v>
      </c>
      <c r="G546" s="14" t="s">
        <v>254</v>
      </c>
      <c r="H546" s="14"/>
    </row>
    <row r="547" spans="1:12">
      <c r="A547" s="3">
        <v>44320</v>
      </c>
      <c r="B547" s="7" t="s">
        <v>1545</v>
      </c>
      <c r="C547" s="8">
        <v>47905000</v>
      </c>
      <c r="D547" s="8">
        <v>0</v>
      </c>
      <c r="E547" s="50">
        <f t="shared" si="12"/>
        <v>197269946.75</v>
      </c>
      <c r="F547" s="83" t="s">
        <v>137</v>
      </c>
      <c r="G547" s="14" t="s">
        <v>138</v>
      </c>
      <c r="H547" s="14" t="s">
        <v>1015</v>
      </c>
    </row>
    <row r="548" spans="1:12">
      <c r="A548" s="3">
        <v>44320</v>
      </c>
      <c r="B548" s="7" t="s">
        <v>1546</v>
      </c>
      <c r="C548" s="8">
        <v>143080006</v>
      </c>
      <c r="D548" s="8">
        <v>0</v>
      </c>
      <c r="E548" s="50">
        <f t="shared" si="12"/>
        <v>54189940.75</v>
      </c>
      <c r="F548" s="83" t="s">
        <v>107</v>
      </c>
      <c r="G548" s="14" t="s">
        <v>666</v>
      </c>
      <c r="H548" s="14" t="s">
        <v>142</v>
      </c>
    </row>
    <row r="549" spans="1:12">
      <c r="A549" s="3">
        <v>44320</v>
      </c>
      <c r="B549" s="7" t="s">
        <v>7</v>
      </c>
      <c r="C549" s="8">
        <v>2900</v>
      </c>
      <c r="D549" s="8">
        <v>0</v>
      </c>
      <c r="E549" s="50">
        <f t="shared" si="12"/>
        <v>54187040.75</v>
      </c>
      <c r="F549" s="83" t="s">
        <v>113</v>
      </c>
      <c r="G549" s="14" t="s">
        <v>114</v>
      </c>
      <c r="H549" s="14"/>
    </row>
    <row r="550" spans="1:12">
      <c r="A550" s="3">
        <v>44320</v>
      </c>
      <c r="B550" s="7" t="s">
        <v>1547</v>
      </c>
      <c r="C550" s="8">
        <v>20365276</v>
      </c>
      <c r="D550" s="8">
        <v>0</v>
      </c>
      <c r="E550" s="50">
        <f t="shared" si="12"/>
        <v>33821764.75</v>
      </c>
      <c r="F550" s="83" t="s">
        <v>107</v>
      </c>
      <c r="G550" s="14" t="s">
        <v>666</v>
      </c>
      <c r="H550" s="14" t="s">
        <v>140</v>
      </c>
    </row>
    <row r="551" spans="1:12">
      <c r="A551" s="3">
        <v>44320</v>
      </c>
      <c r="B551" s="7" t="s">
        <v>7</v>
      </c>
      <c r="C551" s="8">
        <v>2900</v>
      </c>
      <c r="D551" s="8">
        <v>0</v>
      </c>
      <c r="E551" s="50">
        <f t="shared" si="12"/>
        <v>33818864.75</v>
      </c>
      <c r="F551" s="83" t="s">
        <v>113</v>
      </c>
      <c r="G551" s="14" t="s">
        <v>114</v>
      </c>
      <c r="H551" s="14"/>
    </row>
    <row r="552" spans="1:12">
      <c r="A552" s="3">
        <v>44320</v>
      </c>
      <c r="B552" s="7" t="s">
        <v>1548</v>
      </c>
      <c r="C552" s="8">
        <v>19109500</v>
      </c>
      <c r="D552" s="8">
        <v>0</v>
      </c>
      <c r="E552" s="50">
        <f t="shared" si="12"/>
        <v>14709364.75</v>
      </c>
      <c r="F552" s="83" t="s">
        <v>107</v>
      </c>
      <c r="G552" s="14" t="s">
        <v>666</v>
      </c>
      <c r="H552" s="14" t="s">
        <v>141</v>
      </c>
    </row>
    <row r="553" spans="1:12">
      <c r="A553" s="3">
        <v>44320</v>
      </c>
      <c r="B553" s="7" t="s">
        <v>7</v>
      </c>
      <c r="C553" s="8">
        <v>2900</v>
      </c>
      <c r="D553" s="8">
        <v>0</v>
      </c>
      <c r="E553" s="50">
        <f t="shared" si="12"/>
        <v>14706464.75</v>
      </c>
      <c r="F553" s="83" t="s">
        <v>113</v>
      </c>
      <c r="G553" s="14" t="s">
        <v>114</v>
      </c>
      <c r="H553" s="14"/>
    </row>
    <row r="554" spans="1:12">
      <c r="A554" s="3">
        <v>44321</v>
      </c>
      <c r="B554" s="7" t="s">
        <v>1549</v>
      </c>
      <c r="C554" s="54">
        <v>800000</v>
      </c>
      <c r="D554" s="54">
        <v>0</v>
      </c>
      <c r="E554" s="53">
        <f t="shared" si="12"/>
        <v>13906464.75</v>
      </c>
      <c r="F554" s="80" t="s">
        <v>115</v>
      </c>
      <c r="G554" s="14" t="s">
        <v>120</v>
      </c>
      <c r="H554" s="14" t="s">
        <v>127</v>
      </c>
      <c r="I554" t="s">
        <v>444</v>
      </c>
      <c r="J554" t="s">
        <v>4150</v>
      </c>
      <c r="K554" t="s">
        <v>4153</v>
      </c>
      <c r="L554" s="10">
        <v>2020</v>
      </c>
    </row>
    <row r="555" spans="1:12">
      <c r="A555" s="3">
        <v>44321</v>
      </c>
      <c r="B555" s="7" t="s">
        <v>1021</v>
      </c>
      <c r="C555" s="8">
        <v>870000</v>
      </c>
      <c r="D555" s="8">
        <v>0</v>
      </c>
      <c r="E555" s="50">
        <f t="shared" si="12"/>
        <v>13036464.75</v>
      </c>
      <c r="F555" s="83" t="s">
        <v>248</v>
      </c>
      <c r="G555" s="14" t="s">
        <v>130</v>
      </c>
      <c r="H555" t="s">
        <v>625</v>
      </c>
    </row>
    <row r="556" spans="1:12">
      <c r="A556" s="3">
        <v>44321</v>
      </c>
      <c r="B556" s="7" t="s">
        <v>1022</v>
      </c>
      <c r="C556" s="8">
        <v>3055000</v>
      </c>
      <c r="D556" s="8">
        <v>0</v>
      </c>
      <c r="E556" s="50">
        <f t="shared" si="12"/>
        <v>9981464.75</v>
      </c>
      <c r="F556" s="83" t="s">
        <v>248</v>
      </c>
      <c r="G556" s="14" t="s">
        <v>130</v>
      </c>
      <c r="H556" t="s">
        <v>623</v>
      </c>
    </row>
    <row r="557" spans="1:12">
      <c r="A557" s="3">
        <v>44322</v>
      </c>
      <c r="B557" s="7" t="s">
        <v>1550</v>
      </c>
      <c r="C557" s="8">
        <v>0</v>
      </c>
      <c r="D557" s="8">
        <v>17000000</v>
      </c>
      <c r="E557" s="50">
        <f t="shared" si="12"/>
        <v>26981464.75</v>
      </c>
      <c r="F557" s="83" t="s">
        <v>107</v>
      </c>
      <c r="G557" s="14" t="s">
        <v>108</v>
      </c>
      <c r="H557" s="14"/>
    </row>
    <row r="558" spans="1:12">
      <c r="A558" s="3">
        <v>44322</v>
      </c>
      <c r="B558" s="7" t="s">
        <v>1551</v>
      </c>
      <c r="C558" s="8">
        <v>18400000</v>
      </c>
      <c r="D558" s="8">
        <v>0</v>
      </c>
      <c r="E558" s="50">
        <f t="shared" si="12"/>
        <v>8581464.75</v>
      </c>
      <c r="F558" s="83" t="s">
        <v>137</v>
      </c>
      <c r="G558" s="14" t="s">
        <v>138</v>
      </c>
      <c r="H558" s="14" t="s">
        <v>1126</v>
      </c>
    </row>
    <row r="559" spans="1:12">
      <c r="A559" s="3">
        <v>44322</v>
      </c>
      <c r="B559" s="7" t="s">
        <v>1552</v>
      </c>
      <c r="C559" s="8">
        <v>0</v>
      </c>
      <c r="D559" s="8">
        <v>88000000</v>
      </c>
      <c r="E559" s="50">
        <f t="shared" si="12"/>
        <v>96581464.75</v>
      </c>
      <c r="F559" s="83" t="s">
        <v>115</v>
      </c>
      <c r="G559" s="14" t="s">
        <v>122</v>
      </c>
      <c r="H559" s="14" t="s">
        <v>247</v>
      </c>
    </row>
    <row r="560" spans="1:12">
      <c r="A560" s="3">
        <v>44322</v>
      </c>
      <c r="B560" s="7" t="s">
        <v>1553</v>
      </c>
      <c r="C560" s="8">
        <v>18400000</v>
      </c>
      <c r="D560" s="8">
        <v>0</v>
      </c>
      <c r="E560" s="50">
        <f t="shared" si="12"/>
        <v>78181464.75</v>
      </c>
      <c r="F560" s="83" t="s">
        <v>137</v>
      </c>
      <c r="G560" s="14" t="s">
        <v>138</v>
      </c>
      <c r="H560" s="14" t="s">
        <v>1126</v>
      </c>
    </row>
    <row r="561" spans="1:8">
      <c r="A561" s="3">
        <v>44322</v>
      </c>
      <c r="B561" s="7" t="s">
        <v>2066</v>
      </c>
      <c r="C561" s="8">
        <v>70000000</v>
      </c>
      <c r="D561" s="8">
        <v>0</v>
      </c>
      <c r="E561" s="50">
        <f t="shared" si="12"/>
        <v>8181464.75</v>
      </c>
      <c r="F561" s="83" t="s">
        <v>137</v>
      </c>
      <c r="G561" s="14" t="s">
        <v>138</v>
      </c>
      <c r="H561" s="14" t="s">
        <v>3030</v>
      </c>
    </row>
    <row r="562" spans="1:8">
      <c r="A562" s="3">
        <v>44322</v>
      </c>
      <c r="B562" s="7" t="s">
        <v>7</v>
      </c>
      <c r="C562" s="8">
        <v>2900</v>
      </c>
      <c r="D562" s="8">
        <v>0</v>
      </c>
      <c r="E562" s="50">
        <f t="shared" si="12"/>
        <v>8178564.75</v>
      </c>
      <c r="F562" s="83" t="s">
        <v>113</v>
      </c>
      <c r="G562" s="14" t="s">
        <v>114</v>
      </c>
      <c r="H562" s="14"/>
    </row>
    <row r="563" spans="1:8">
      <c r="A563" s="3">
        <v>44323</v>
      </c>
      <c r="B563" s="7" t="s">
        <v>1554</v>
      </c>
      <c r="C563" s="8">
        <v>2537000</v>
      </c>
      <c r="D563" s="8">
        <v>0</v>
      </c>
      <c r="E563" s="50">
        <f t="shared" si="12"/>
        <v>5641564.75</v>
      </c>
      <c r="F563" s="83" t="s">
        <v>137</v>
      </c>
      <c r="G563" s="14" t="s">
        <v>138</v>
      </c>
      <c r="H563" s="14" t="s">
        <v>1127</v>
      </c>
    </row>
    <row r="564" spans="1:8">
      <c r="A564" s="3">
        <v>44323</v>
      </c>
      <c r="B564" s="7" t="s">
        <v>2067</v>
      </c>
      <c r="C564" s="8">
        <v>2430000</v>
      </c>
      <c r="D564" s="8">
        <v>0</v>
      </c>
      <c r="E564" s="50">
        <f t="shared" si="12"/>
        <v>3211564.75</v>
      </c>
      <c r="F564" s="83" t="s">
        <v>137</v>
      </c>
      <c r="G564" s="14" t="s">
        <v>138</v>
      </c>
      <c r="H564" s="14" t="s">
        <v>1127</v>
      </c>
    </row>
    <row r="565" spans="1:8">
      <c r="A565" s="3">
        <v>44323</v>
      </c>
      <c r="B565" s="7" t="s">
        <v>24</v>
      </c>
      <c r="C565" s="8">
        <v>2999480</v>
      </c>
      <c r="D565" s="8">
        <v>0</v>
      </c>
      <c r="E565" s="50">
        <f t="shared" si="12"/>
        <v>212084.75</v>
      </c>
      <c r="F565" s="83" t="s">
        <v>107</v>
      </c>
      <c r="G565" s="14" t="s">
        <v>129</v>
      </c>
      <c r="H565" s="14"/>
    </row>
    <row r="566" spans="1:8">
      <c r="A566" s="3">
        <v>44323</v>
      </c>
      <c r="B566" s="7" t="s">
        <v>1552</v>
      </c>
      <c r="C566" s="8">
        <v>0</v>
      </c>
      <c r="D566" s="8">
        <v>43700000</v>
      </c>
      <c r="E566" s="50">
        <f t="shared" si="12"/>
        <v>43912084.75</v>
      </c>
      <c r="F566" s="83" t="s">
        <v>115</v>
      </c>
      <c r="G566" s="14" t="s">
        <v>122</v>
      </c>
      <c r="H566" s="14" t="s">
        <v>247</v>
      </c>
    </row>
    <row r="567" spans="1:8">
      <c r="A567" s="3">
        <v>44323</v>
      </c>
      <c r="B567" s="7" t="s">
        <v>1555</v>
      </c>
      <c r="C567" s="8">
        <v>38772500</v>
      </c>
      <c r="D567" s="8">
        <v>0</v>
      </c>
      <c r="E567" s="50">
        <f t="shared" si="12"/>
        <v>5139584.75</v>
      </c>
      <c r="F567" s="83" t="s">
        <v>137</v>
      </c>
      <c r="G567" s="14" t="s">
        <v>138</v>
      </c>
      <c r="H567" s="14" t="s">
        <v>3020</v>
      </c>
    </row>
    <row r="568" spans="1:8">
      <c r="A568" s="3">
        <v>44323</v>
      </c>
      <c r="B568" s="7" t="s">
        <v>1556</v>
      </c>
      <c r="C568" s="8">
        <v>400000</v>
      </c>
      <c r="D568" s="8">
        <v>0</v>
      </c>
      <c r="E568" s="50">
        <f t="shared" si="12"/>
        <v>4739584.75</v>
      </c>
      <c r="F568" s="83" t="s">
        <v>248</v>
      </c>
      <c r="G568" s="14" t="s">
        <v>130</v>
      </c>
      <c r="H568" t="s">
        <v>2083</v>
      </c>
    </row>
    <row r="569" spans="1:8">
      <c r="A569" s="3">
        <v>44323</v>
      </c>
      <c r="B569" s="7" t="s">
        <v>1557</v>
      </c>
      <c r="C569" s="54">
        <v>3500000</v>
      </c>
      <c r="D569" s="54">
        <v>0</v>
      </c>
      <c r="E569" s="53">
        <f t="shared" si="12"/>
        <v>1239584.75</v>
      </c>
      <c r="F569" s="80" t="s">
        <v>319</v>
      </c>
      <c r="G569" s="14" t="s">
        <v>370</v>
      </c>
      <c r="H569" s="14"/>
    </row>
    <row r="570" spans="1:8">
      <c r="A570" s="3">
        <v>44323</v>
      </c>
      <c r="B570" s="7" t="s">
        <v>1557</v>
      </c>
      <c r="C570" s="54">
        <v>350000</v>
      </c>
      <c r="D570" s="54">
        <v>0</v>
      </c>
      <c r="E570" s="53">
        <f t="shared" si="12"/>
        <v>889584.75</v>
      </c>
      <c r="F570" s="82" t="s">
        <v>110</v>
      </c>
      <c r="G570" t="s">
        <v>616</v>
      </c>
      <c r="H570" t="s">
        <v>4621</v>
      </c>
    </row>
    <row r="571" spans="1:8">
      <c r="A571" s="3">
        <v>44323</v>
      </c>
      <c r="B571" s="7" t="s">
        <v>1557</v>
      </c>
      <c r="C571" s="54">
        <v>0</v>
      </c>
      <c r="D571" s="54">
        <v>70000</v>
      </c>
      <c r="E571" s="53">
        <f t="shared" si="12"/>
        <v>959584.75</v>
      </c>
      <c r="F571" s="82" t="s">
        <v>115</v>
      </c>
      <c r="G571" t="s">
        <v>441</v>
      </c>
      <c r="H571" t="s">
        <v>596</v>
      </c>
    </row>
    <row r="572" spans="1:8">
      <c r="A572" s="3">
        <v>44323</v>
      </c>
      <c r="B572" s="7" t="s">
        <v>1558</v>
      </c>
      <c r="C572" s="8">
        <v>747500</v>
      </c>
      <c r="D572" s="8">
        <v>0</v>
      </c>
      <c r="E572" s="50">
        <f t="shared" si="12"/>
        <v>212084.75</v>
      </c>
      <c r="F572" s="83" t="s">
        <v>319</v>
      </c>
      <c r="G572" s="14" t="s">
        <v>244</v>
      </c>
      <c r="H572" s="14"/>
    </row>
    <row r="573" spans="1:8">
      <c r="A573" s="3">
        <v>44326</v>
      </c>
      <c r="B573" s="7" t="s">
        <v>1559</v>
      </c>
      <c r="C573" s="8">
        <v>0</v>
      </c>
      <c r="D573" s="8">
        <v>400000000</v>
      </c>
      <c r="E573" s="50">
        <f t="shared" si="12"/>
        <v>400212084.75</v>
      </c>
      <c r="F573" s="83" t="s">
        <v>107</v>
      </c>
      <c r="G573" s="14" t="s">
        <v>2947</v>
      </c>
      <c r="H573" s="14"/>
    </row>
    <row r="574" spans="1:8">
      <c r="A574" s="3">
        <v>44326</v>
      </c>
      <c r="B574" s="7" t="s">
        <v>1560</v>
      </c>
      <c r="C574" s="8">
        <v>126675000</v>
      </c>
      <c r="D574" s="8">
        <v>0</v>
      </c>
      <c r="E574" s="50">
        <f t="shared" si="12"/>
        <v>273537084.75</v>
      </c>
      <c r="F574" s="83" t="s">
        <v>248</v>
      </c>
      <c r="G574" s="14" t="s">
        <v>249</v>
      </c>
      <c r="H574" s="14"/>
    </row>
    <row r="575" spans="1:8">
      <c r="A575" s="3">
        <v>44327</v>
      </c>
      <c r="B575" s="7" t="s">
        <v>1561</v>
      </c>
      <c r="C575" s="8">
        <v>1655500</v>
      </c>
      <c r="D575" s="8">
        <v>0</v>
      </c>
      <c r="E575" s="50">
        <f t="shared" si="12"/>
        <v>271881584.75</v>
      </c>
      <c r="F575" s="83" t="s">
        <v>137</v>
      </c>
      <c r="G575" s="14" t="s">
        <v>138</v>
      </c>
      <c r="H575" t="s">
        <v>603</v>
      </c>
    </row>
    <row r="576" spans="1:8">
      <c r="A576" s="3">
        <v>44327</v>
      </c>
      <c r="B576" s="7" t="s">
        <v>1562</v>
      </c>
      <c r="C576" s="8">
        <v>4501000</v>
      </c>
      <c r="D576" s="8">
        <v>0</v>
      </c>
      <c r="E576" s="50">
        <f t="shared" si="12"/>
        <v>267380584.75</v>
      </c>
      <c r="F576" s="83" t="s">
        <v>137</v>
      </c>
      <c r="G576" s="14" t="s">
        <v>138</v>
      </c>
      <c r="H576" s="14" t="s">
        <v>3034</v>
      </c>
    </row>
    <row r="577" spans="1:12">
      <c r="A577" s="3">
        <v>44327</v>
      </c>
      <c r="B577" s="7" t="s">
        <v>1563</v>
      </c>
      <c r="C577" s="8">
        <v>10000000</v>
      </c>
      <c r="D577" s="8">
        <v>0</v>
      </c>
      <c r="E577" s="50">
        <f t="shared" si="12"/>
        <v>257380584.75</v>
      </c>
      <c r="F577" s="83" t="s">
        <v>736</v>
      </c>
      <c r="G577" s="14" t="s">
        <v>3994</v>
      </c>
      <c r="H577" s="14"/>
    </row>
    <row r="578" spans="1:12">
      <c r="A578" s="3">
        <v>44327</v>
      </c>
      <c r="B578" s="7" t="s">
        <v>1564</v>
      </c>
      <c r="C578" s="8">
        <v>54800000</v>
      </c>
      <c r="D578" s="8">
        <v>0</v>
      </c>
      <c r="E578" s="50">
        <f t="shared" si="12"/>
        <v>202580584.75</v>
      </c>
      <c r="F578" s="83" t="s">
        <v>137</v>
      </c>
      <c r="G578" s="14" t="s">
        <v>138</v>
      </c>
      <c r="H578" s="14" t="s">
        <v>1015</v>
      </c>
    </row>
    <row r="579" spans="1:12">
      <c r="A579" s="3">
        <v>44327</v>
      </c>
      <c r="B579" s="7" t="s">
        <v>1565</v>
      </c>
      <c r="C579" s="8">
        <v>12650000</v>
      </c>
      <c r="D579" s="8">
        <v>0</v>
      </c>
      <c r="E579" s="50">
        <f t="shared" si="12"/>
        <v>189930584.75</v>
      </c>
      <c r="F579" s="83" t="s">
        <v>137</v>
      </c>
      <c r="G579" s="14" t="s">
        <v>138</v>
      </c>
      <c r="H579" s="14" t="s">
        <v>1015</v>
      </c>
    </row>
    <row r="580" spans="1:12">
      <c r="A580" s="3">
        <v>44327</v>
      </c>
      <c r="B580" s="7" t="s">
        <v>1566</v>
      </c>
      <c r="C580" s="8">
        <v>3500000</v>
      </c>
      <c r="D580" s="8">
        <v>0</v>
      </c>
      <c r="E580" s="50">
        <f t="shared" si="12"/>
        <v>186430584.75</v>
      </c>
      <c r="F580" s="83" t="s">
        <v>137</v>
      </c>
      <c r="G580" s="14" t="s">
        <v>138</v>
      </c>
      <c r="H580" s="14" t="s">
        <v>3031</v>
      </c>
      <c r="J580" t="s">
        <v>4150</v>
      </c>
      <c r="K580" t="s">
        <v>480</v>
      </c>
      <c r="L580" s="10">
        <v>2021</v>
      </c>
    </row>
    <row r="581" spans="1:12">
      <c r="A581" s="3">
        <v>44327</v>
      </c>
      <c r="B581" s="7" t="s">
        <v>1567</v>
      </c>
      <c r="C581" s="8">
        <v>400000</v>
      </c>
      <c r="D581" s="8">
        <v>0</v>
      </c>
      <c r="E581" s="50">
        <f t="shared" si="12"/>
        <v>186030584.75</v>
      </c>
      <c r="F581" s="83" t="s">
        <v>137</v>
      </c>
      <c r="G581" s="14" t="s">
        <v>138</v>
      </c>
      <c r="H581" s="14" t="s">
        <v>3032</v>
      </c>
      <c r="J581" t="s">
        <v>4150</v>
      </c>
      <c r="K581" t="s">
        <v>480</v>
      </c>
      <c r="L581" s="10">
        <v>2021</v>
      </c>
    </row>
    <row r="582" spans="1:12">
      <c r="A582" s="3">
        <v>44327</v>
      </c>
      <c r="B582" s="7" t="s">
        <v>1568</v>
      </c>
      <c r="C582" s="8">
        <v>400000</v>
      </c>
      <c r="D582" s="8">
        <v>0</v>
      </c>
      <c r="E582" s="50">
        <f t="shared" si="12"/>
        <v>185630584.75</v>
      </c>
      <c r="F582" s="83" t="s">
        <v>137</v>
      </c>
      <c r="G582" s="14" t="s">
        <v>138</v>
      </c>
      <c r="H582" s="14" t="s">
        <v>3032</v>
      </c>
      <c r="J582" t="s">
        <v>4150</v>
      </c>
      <c r="K582" t="s">
        <v>622</v>
      </c>
      <c r="L582" s="10">
        <v>2021</v>
      </c>
    </row>
    <row r="583" spans="1:12">
      <c r="A583" s="3">
        <v>44327</v>
      </c>
      <c r="B583" s="7" t="s">
        <v>1569</v>
      </c>
      <c r="C583" s="8">
        <v>400000</v>
      </c>
      <c r="D583" s="8">
        <v>0</v>
      </c>
      <c r="E583" s="50">
        <f t="shared" si="12"/>
        <v>185230584.75</v>
      </c>
      <c r="F583" s="83" t="s">
        <v>137</v>
      </c>
      <c r="G583" s="14" t="s">
        <v>138</v>
      </c>
      <c r="H583" s="14" t="s">
        <v>3032</v>
      </c>
      <c r="J583" t="s">
        <v>4150</v>
      </c>
      <c r="K583" t="s">
        <v>459</v>
      </c>
      <c r="L583" s="10">
        <v>2021</v>
      </c>
    </row>
    <row r="584" spans="1:12">
      <c r="A584" s="3">
        <v>44327</v>
      </c>
      <c r="B584" s="7" t="s">
        <v>1570</v>
      </c>
      <c r="C584" s="8">
        <v>400000</v>
      </c>
      <c r="D584" s="8">
        <v>0</v>
      </c>
      <c r="E584" s="50">
        <f t="shared" si="12"/>
        <v>184830584.75</v>
      </c>
      <c r="F584" s="83" t="s">
        <v>137</v>
      </c>
      <c r="G584" s="14" t="s">
        <v>138</v>
      </c>
      <c r="H584" s="14" t="s">
        <v>3032</v>
      </c>
      <c r="J584" t="s">
        <v>4150</v>
      </c>
      <c r="K584" t="s">
        <v>4152</v>
      </c>
      <c r="L584" s="10">
        <v>2021</v>
      </c>
    </row>
    <row r="585" spans="1:12">
      <c r="A585" s="3">
        <v>44327</v>
      </c>
      <c r="B585" s="7" t="s">
        <v>1571</v>
      </c>
      <c r="C585" s="8">
        <v>400000</v>
      </c>
      <c r="D585" s="8">
        <v>0</v>
      </c>
      <c r="E585" s="50">
        <f t="shared" si="12"/>
        <v>184430584.75</v>
      </c>
      <c r="F585" s="83" t="s">
        <v>137</v>
      </c>
      <c r="G585" s="14" t="s">
        <v>138</v>
      </c>
      <c r="H585" s="14" t="s">
        <v>3032</v>
      </c>
      <c r="J585" t="s">
        <v>4150</v>
      </c>
      <c r="K585" t="s">
        <v>119</v>
      </c>
      <c r="L585" s="10">
        <v>2021</v>
      </c>
    </row>
    <row r="586" spans="1:12">
      <c r="A586" s="3">
        <v>44327</v>
      </c>
      <c r="B586" s="7" t="s">
        <v>1572</v>
      </c>
      <c r="C586" s="8">
        <v>400000</v>
      </c>
      <c r="D586" s="8">
        <v>0</v>
      </c>
      <c r="E586" s="50">
        <f t="shared" si="12"/>
        <v>184030584.75</v>
      </c>
      <c r="F586" s="83" t="s">
        <v>137</v>
      </c>
      <c r="G586" s="14" t="s">
        <v>138</v>
      </c>
      <c r="H586" s="14" t="s">
        <v>3032</v>
      </c>
      <c r="J586" t="s">
        <v>4150</v>
      </c>
      <c r="K586" t="s">
        <v>4148</v>
      </c>
      <c r="L586" s="10">
        <v>2021</v>
      </c>
    </row>
    <row r="587" spans="1:12">
      <c r="A587" s="3">
        <v>44327</v>
      </c>
      <c r="B587" s="7" t="s">
        <v>1573</v>
      </c>
      <c r="C587" s="8">
        <v>0</v>
      </c>
      <c r="D587" s="8">
        <v>61635</v>
      </c>
      <c r="E587" s="50">
        <f t="shared" si="12"/>
        <v>184092219.75</v>
      </c>
      <c r="F587" s="83" t="s">
        <v>107</v>
      </c>
      <c r="G587" s="14" t="s">
        <v>668</v>
      </c>
      <c r="H587" s="14" t="s">
        <v>3405</v>
      </c>
      <c r="I587" t="s">
        <v>3411</v>
      </c>
    </row>
    <row r="588" spans="1:12">
      <c r="A588" s="3">
        <v>44333</v>
      </c>
      <c r="B588" s="7" t="s">
        <v>1574</v>
      </c>
      <c r="C588" s="8">
        <v>817273</v>
      </c>
      <c r="D588" s="8">
        <v>0</v>
      </c>
      <c r="E588" s="50">
        <f t="shared" si="12"/>
        <v>183274946.75</v>
      </c>
      <c r="F588" s="83" t="s">
        <v>319</v>
      </c>
      <c r="G588" s="14" t="s">
        <v>1016</v>
      </c>
      <c r="H588" s="14"/>
    </row>
    <row r="589" spans="1:12">
      <c r="A589" s="3">
        <v>44333</v>
      </c>
      <c r="B589" s="7" t="s">
        <v>1575</v>
      </c>
      <c r="C589" s="8">
        <v>0</v>
      </c>
      <c r="D589" s="8">
        <v>30000</v>
      </c>
      <c r="E589" s="50">
        <f t="shared" si="12"/>
        <v>183304946.75</v>
      </c>
      <c r="F589" s="83" t="s">
        <v>107</v>
      </c>
      <c r="G589" s="14" t="s">
        <v>668</v>
      </c>
      <c r="H589" s="14" t="s">
        <v>3405</v>
      </c>
      <c r="I589" t="s">
        <v>3449</v>
      </c>
    </row>
    <row r="590" spans="1:12">
      <c r="A590" s="3">
        <v>44334</v>
      </c>
      <c r="B590" s="7" t="s">
        <v>1576</v>
      </c>
      <c r="C590" s="8">
        <v>44400000</v>
      </c>
      <c r="D590" s="8">
        <v>0</v>
      </c>
      <c r="E590" s="50">
        <f t="shared" si="12"/>
        <v>138904946.75</v>
      </c>
      <c r="F590" s="83" t="s">
        <v>137</v>
      </c>
      <c r="G590" s="14" t="s">
        <v>138</v>
      </c>
      <c r="H590" s="14" t="s">
        <v>1015</v>
      </c>
    </row>
    <row r="591" spans="1:12">
      <c r="A591" s="3">
        <v>44334</v>
      </c>
      <c r="B591" s="7" t="s">
        <v>2068</v>
      </c>
      <c r="C591" s="8">
        <v>462000</v>
      </c>
      <c r="D591" s="8">
        <v>0</v>
      </c>
      <c r="E591" s="50">
        <f t="shared" si="12"/>
        <v>138442946.75</v>
      </c>
      <c r="F591" s="83" t="s">
        <v>137</v>
      </c>
      <c r="G591" s="14" t="s">
        <v>138</v>
      </c>
      <c r="H591" s="14" t="s">
        <v>3034</v>
      </c>
    </row>
    <row r="592" spans="1:12">
      <c r="A592" s="3">
        <v>44334</v>
      </c>
      <c r="B592" s="7" t="s">
        <v>1577</v>
      </c>
      <c r="C592" s="8">
        <v>5441079</v>
      </c>
      <c r="D592" s="8">
        <v>0</v>
      </c>
      <c r="E592" s="50">
        <f t="shared" si="12"/>
        <v>133001867.75</v>
      </c>
      <c r="F592" s="83" t="s">
        <v>107</v>
      </c>
      <c r="G592" s="14" t="s">
        <v>250</v>
      </c>
      <c r="H592" s="14"/>
    </row>
    <row r="593" spans="1:9">
      <c r="A593" s="3">
        <v>44334</v>
      </c>
      <c r="B593" s="7" t="s">
        <v>1578</v>
      </c>
      <c r="C593" s="8">
        <v>1712000</v>
      </c>
      <c r="D593" s="8">
        <v>0</v>
      </c>
      <c r="E593" s="50">
        <f t="shared" si="12"/>
        <v>131289867.75</v>
      </c>
      <c r="F593" s="83" t="s">
        <v>137</v>
      </c>
      <c r="G593" s="14" t="s">
        <v>138</v>
      </c>
      <c r="H593" s="14" t="s">
        <v>3033</v>
      </c>
    </row>
    <row r="594" spans="1:9">
      <c r="A594" s="3">
        <v>44334</v>
      </c>
      <c r="B594" s="7" t="s">
        <v>1579</v>
      </c>
      <c r="C594" s="8">
        <v>447800</v>
      </c>
      <c r="D594" s="8">
        <v>0</v>
      </c>
      <c r="E594" s="50">
        <f t="shared" si="12"/>
        <v>130842067.75</v>
      </c>
      <c r="F594" s="83" t="s">
        <v>137</v>
      </c>
      <c r="G594" s="14" t="s">
        <v>138</v>
      </c>
      <c r="H594" s="14" t="s">
        <v>3020</v>
      </c>
    </row>
    <row r="595" spans="1:9">
      <c r="A595" s="3">
        <v>44334</v>
      </c>
      <c r="B595" s="7" t="s">
        <v>2069</v>
      </c>
      <c r="C595" s="54">
        <v>8501000</v>
      </c>
      <c r="D595" s="54">
        <v>0</v>
      </c>
      <c r="E595" s="53">
        <f t="shared" si="12"/>
        <v>122341067.75</v>
      </c>
      <c r="F595" s="80" t="s">
        <v>115</v>
      </c>
      <c r="G595" s="14" t="s">
        <v>120</v>
      </c>
      <c r="H595" s="14" t="s">
        <v>127</v>
      </c>
      <c r="I595" t="s">
        <v>444</v>
      </c>
    </row>
    <row r="596" spans="1:9">
      <c r="A596" s="3">
        <v>44334</v>
      </c>
      <c r="B596" s="7" t="s">
        <v>2070</v>
      </c>
      <c r="C596" s="54">
        <v>8751000</v>
      </c>
      <c r="D596" s="54">
        <v>0</v>
      </c>
      <c r="E596" s="53">
        <f t="shared" si="12"/>
        <v>113590067.75</v>
      </c>
      <c r="F596" s="80" t="s">
        <v>115</v>
      </c>
      <c r="G596" s="14" t="s">
        <v>120</v>
      </c>
      <c r="H596" s="14" t="s">
        <v>127</v>
      </c>
      <c r="I596" t="s">
        <v>444</v>
      </c>
    </row>
    <row r="597" spans="1:9">
      <c r="A597" s="3">
        <v>44334</v>
      </c>
      <c r="B597" s="7" t="s">
        <v>24</v>
      </c>
      <c r="C597" s="8">
        <v>2790680</v>
      </c>
      <c r="D597" s="8">
        <v>0</v>
      </c>
      <c r="E597" s="50">
        <f t="shared" si="12"/>
        <v>110799387.75</v>
      </c>
      <c r="F597" s="83" t="s">
        <v>107</v>
      </c>
      <c r="G597" s="14" t="s">
        <v>129</v>
      </c>
      <c r="H597" s="14"/>
    </row>
    <row r="598" spans="1:9">
      <c r="A598" s="3">
        <v>44334</v>
      </c>
      <c r="B598" s="7" t="s">
        <v>1580</v>
      </c>
      <c r="C598" s="8">
        <v>88000000</v>
      </c>
      <c r="D598" s="8">
        <v>0</v>
      </c>
      <c r="E598" s="50">
        <f t="shared" si="12"/>
        <v>22799387.75</v>
      </c>
      <c r="F598" s="83" t="s">
        <v>115</v>
      </c>
      <c r="G598" s="14" t="s">
        <v>122</v>
      </c>
      <c r="H598" s="14" t="s">
        <v>247</v>
      </c>
    </row>
    <row r="599" spans="1:9">
      <c r="A599" s="3">
        <v>44335</v>
      </c>
      <c r="B599" s="7" t="s">
        <v>1581</v>
      </c>
      <c r="C599" s="8">
        <v>5441079</v>
      </c>
      <c r="D599" s="8">
        <v>0</v>
      </c>
      <c r="E599" s="50">
        <f t="shared" si="12"/>
        <v>17358308.75</v>
      </c>
      <c r="F599" s="83" t="s">
        <v>137</v>
      </c>
      <c r="G599" s="14" t="s">
        <v>138</v>
      </c>
      <c r="H599" t="s">
        <v>603</v>
      </c>
    </row>
    <row r="600" spans="1:9">
      <c r="A600" s="3">
        <v>44335</v>
      </c>
      <c r="B600" s="7" t="s">
        <v>1582</v>
      </c>
      <c r="C600" s="8">
        <v>0</v>
      </c>
      <c r="D600" s="8">
        <v>5441079</v>
      </c>
      <c r="E600" s="50">
        <f t="shared" si="12"/>
        <v>22799387.75</v>
      </c>
      <c r="F600" s="83" t="s">
        <v>107</v>
      </c>
      <c r="G600" s="14" t="s">
        <v>250</v>
      </c>
      <c r="H600" s="14"/>
    </row>
    <row r="601" spans="1:9">
      <c r="A601" s="3">
        <v>44337</v>
      </c>
      <c r="B601" s="7" t="s">
        <v>60</v>
      </c>
      <c r="C601" s="8">
        <v>20000</v>
      </c>
      <c r="D601" s="8">
        <v>0</v>
      </c>
      <c r="E601" s="50">
        <f t="shared" si="12"/>
        <v>22779387.75</v>
      </c>
      <c r="F601" s="83" t="s">
        <v>113</v>
      </c>
      <c r="G601" s="14" t="s">
        <v>114</v>
      </c>
      <c r="H601" s="14"/>
    </row>
    <row r="602" spans="1:9">
      <c r="A602" s="3">
        <v>44340</v>
      </c>
      <c r="B602" s="7" t="s">
        <v>1583</v>
      </c>
      <c r="C602" s="8">
        <v>0</v>
      </c>
      <c r="D602" s="8">
        <v>25000000</v>
      </c>
      <c r="E602" s="50">
        <f t="shared" si="12"/>
        <v>47779387.75</v>
      </c>
      <c r="F602" s="83" t="s">
        <v>107</v>
      </c>
      <c r="G602" s="14" t="s">
        <v>108</v>
      </c>
      <c r="H602" s="14"/>
    </row>
    <row r="603" spans="1:9">
      <c r="A603" s="3">
        <v>44340</v>
      </c>
      <c r="B603" s="7" t="s">
        <v>1584</v>
      </c>
      <c r="C603" s="8">
        <v>1950000</v>
      </c>
      <c r="D603" s="8">
        <v>0</v>
      </c>
      <c r="E603" s="50">
        <f t="shared" si="12"/>
        <v>45829387.75</v>
      </c>
      <c r="F603" s="83" t="s">
        <v>319</v>
      </c>
      <c r="G603" s="14" t="s">
        <v>454</v>
      </c>
      <c r="H603" s="229" t="s">
        <v>64</v>
      </c>
    </row>
    <row r="604" spans="1:9">
      <c r="A604" s="3">
        <v>44340</v>
      </c>
      <c r="B604" s="7" t="s">
        <v>1585</v>
      </c>
      <c r="C604" s="8">
        <v>500000</v>
      </c>
      <c r="D604" s="8">
        <v>0</v>
      </c>
      <c r="E604" s="50">
        <f t="shared" si="12"/>
        <v>45329387.75</v>
      </c>
      <c r="F604" s="83" t="s">
        <v>137</v>
      </c>
      <c r="G604" s="14" t="s">
        <v>138</v>
      </c>
      <c r="H604" s="14" t="s">
        <v>3033</v>
      </c>
    </row>
    <row r="605" spans="1:9">
      <c r="A605" s="3">
        <v>44340</v>
      </c>
      <c r="B605" s="7" t="s">
        <v>1586</v>
      </c>
      <c r="C605" s="8">
        <v>1000000</v>
      </c>
      <c r="D605" s="8">
        <v>0</v>
      </c>
      <c r="E605" s="50">
        <f t="shared" si="12"/>
        <v>44329387.75</v>
      </c>
      <c r="F605" s="83" t="s">
        <v>137</v>
      </c>
      <c r="G605" s="14" t="s">
        <v>138</v>
      </c>
      <c r="H605" s="14" t="s">
        <v>3020</v>
      </c>
    </row>
    <row r="606" spans="1:9">
      <c r="A606" s="3">
        <v>44340</v>
      </c>
      <c r="B606" s="7" t="s">
        <v>1587</v>
      </c>
      <c r="C606" s="8">
        <v>688000</v>
      </c>
      <c r="D606" s="8">
        <v>0</v>
      </c>
      <c r="E606" s="50">
        <f t="shared" si="12"/>
        <v>43641387.75</v>
      </c>
      <c r="F606" s="83" t="s">
        <v>137</v>
      </c>
      <c r="G606" s="14" t="s">
        <v>138</v>
      </c>
      <c r="H606" t="s">
        <v>603</v>
      </c>
    </row>
    <row r="607" spans="1:9">
      <c r="A607" s="3">
        <v>44340</v>
      </c>
      <c r="B607" s="7" t="s">
        <v>1588</v>
      </c>
      <c r="C607" s="8">
        <v>9569890</v>
      </c>
      <c r="D607" s="8">
        <v>0</v>
      </c>
      <c r="E607" s="50">
        <f t="shared" si="12"/>
        <v>34071497.75</v>
      </c>
      <c r="F607" s="83" t="s">
        <v>137</v>
      </c>
      <c r="G607" s="14" t="s">
        <v>138</v>
      </c>
      <c r="H607" t="s">
        <v>603</v>
      </c>
    </row>
    <row r="608" spans="1:9">
      <c r="A608" s="3">
        <v>44340</v>
      </c>
      <c r="B608" s="7" t="s">
        <v>1589</v>
      </c>
      <c r="C608" s="8">
        <v>3000000</v>
      </c>
      <c r="D608" s="8">
        <v>0</v>
      </c>
      <c r="E608" s="50">
        <f t="shared" si="12"/>
        <v>31071497.75</v>
      </c>
      <c r="F608" s="83" t="s">
        <v>137</v>
      </c>
      <c r="G608" s="14" t="s">
        <v>138</v>
      </c>
      <c r="H608" s="14" t="s">
        <v>3031</v>
      </c>
    </row>
    <row r="609" spans="1:9">
      <c r="A609" s="3">
        <v>44340</v>
      </c>
      <c r="B609" s="7" t="s">
        <v>1590</v>
      </c>
      <c r="C609" s="8">
        <v>25050000</v>
      </c>
      <c r="D609" s="8">
        <v>0</v>
      </c>
      <c r="E609" s="50">
        <f t="shared" si="12"/>
        <v>6021497.75</v>
      </c>
      <c r="F609" s="83" t="s">
        <v>137</v>
      </c>
      <c r="G609" s="14" t="s">
        <v>138</v>
      </c>
      <c r="H609" s="14" t="s">
        <v>1015</v>
      </c>
    </row>
    <row r="610" spans="1:9">
      <c r="A610" s="3">
        <v>44340</v>
      </c>
      <c r="B610" s="7" t="s">
        <v>1591</v>
      </c>
      <c r="C610" s="8">
        <v>2000000</v>
      </c>
      <c r="D610" s="8">
        <v>0</v>
      </c>
      <c r="E610" s="50">
        <f t="shared" ref="E610:E675" si="13">E609-C610+D610</f>
        <v>4021497.75</v>
      </c>
      <c r="F610" s="83" t="s">
        <v>137</v>
      </c>
      <c r="G610" s="14" t="s">
        <v>138</v>
      </c>
      <c r="H610" s="14" t="s">
        <v>3032</v>
      </c>
    </row>
    <row r="611" spans="1:9">
      <c r="A611" s="3">
        <v>44340</v>
      </c>
      <c r="B611" s="7" t="s">
        <v>1592</v>
      </c>
      <c r="C611" s="8">
        <v>1020000</v>
      </c>
      <c r="D611" s="8">
        <v>0</v>
      </c>
      <c r="E611" s="50">
        <f t="shared" si="13"/>
        <v>3001497.75</v>
      </c>
      <c r="F611" s="83" t="s">
        <v>137</v>
      </c>
      <c r="G611" s="14" t="s">
        <v>138</v>
      </c>
      <c r="H611" s="14" t="s">
        <v>3032</v>
      </c>
    </row>
    <row r="612" spans="1:9">
      <c r="A612" s="3">
        <v>44340</v>
      </c>
      <c r="B612" s="7" t="s">
        <v>1593</v>
      </c>
      <c r="C612" s="8">
        <v>1750000</v>
      </c>
      <c r="D612" s="8">
        <v>0</v>
      </c>
      <c r="E612" s="50">
        <f t="shared" si="13"/>
        <v>1251497.75</v>
      </c>
      <c r="F612" s="83" t="s">
        <v>137</v>
      </c>
      <c r="G612" s="14" t="s">
        <v>138</v>
      </c>
      <c r="H612" s="14" t="s">
        <v>3032</v>
      </c>
    </row>
    <row r="613" spans="1:9">
      <c r="A613" s="3">
        <v>44340</v>
      </c>
      <c r="B613" s="7" t="s">
        <v>1583</v>
      </c>
      <c r="C613" s="8">
        <v>0</v>
      </c>
      <c r="D613" s="8">
        <v>25000000</v>
      </c>
      <c r="E613" s="50">
        <f t="shared" si="13"/>
        <v>26251497.75</v>
      </c>
      <c r="F613" s="83" t="s">
        <v>107</v>
      </c>
      <c r="G613" s="14" t="s">
        <v>108</v>
      </c>
      <c r="H613" s="14"/>
    </row>
    <row r="614" spans="1:9">
      <c r="A614" s="3">
        <v>44340</v>
      </c>
      <c r="B614" s="7" t="s">
        <v>1594</v>
      </c>
      <c r="C614" s="8">
        <v>9000000</v>
      </c>
      <c r="D614" s="8">
        <v>0</v>
      </c>
      <c r="E614" s="50">
        <f t="shared" si="13"/>
        <v>17251497.75</v>
      </c>
      <c r="F614" s="83" t="s">
        <v>137</v>
      </c>
      <c r="G614" s="14" t="s">
        <v>138</v>
      </c>
      <c r="H614" s="14" t="s">
        <v>3032</v>
      </c>
    </row>
    <row r="615" spans="1:9">
      <c r="A615" s="3">
        <v>44340</v>
      </c>
      <c r="B615" s="7" t="s">
        <v>1595</v>
      </c>
      <c r="C615" s="8">
        <v>3000000</v>
      </c>
      <c r="D615" s="8">
        <v>0</v>
      </c>
      <c r="E615" s="50">
        <f t="shared" si="13"/>
        <v>14251497.75</v>
      </c>
      <c r="F615" s="83" t="s">
        <v>137</v>
      </c>
      <c r="G615" s="14" t="s">
        <v>138</v>
      </c>
      <c r="H615" s="14" t="s">
        <v>3020</v>
      </c>
    </row>
    <row r="616" spans="1:9">
      <c r="A616" s="3">
        <v>44341</v>
      </c>
      <c r="B616" s="7" t="s">
        <v>1596</v>
      </c>
      <c r="C616" s="8">
        <v>2500000</v>
      </c>
      <c r="D616" s="8">
        <v>0</v>
      </c>
      <c r="E616" s="50">
        <f t="shared" si="13"/>
        <v>11751497.75</v>
      </c>
      <c r="F616" s="83" t="s">
        <v>137</v>
      </c>
      <c r="G616" s="14" t="s">
        <v>138</v>
      </c>
      <c r="H616" s="14" t="s">
        <v>4140</v>
      </c>
    </row>
    <row r="617" spans="1:9">
      <c r="A617" s="12">
        <v>44341</v>
      </c>
      <c r="B617" s="7" t="s">
        <v>3470</v>
      </c>
      <c r="C617" s="8">
        <v>10000000</v>
      </c>
      <c r="D617" s="8">
        <v>0</v>
      </c>
      <c r="E617" s="50">
        <f t="shared" si="13"/>
        <v>1751497.75</v>
      </c>
      <c r="F617" s="83" t="s">
        <v>107</v>
      </c>
      <c r="G617" s="14" t="s">
        <v>666</v>
      </c>
      <c r="H617" s="14" t="s">
        <v>3405</v>
      </c>
      <c r="I617" t="s">
        <v>3472</v>
      </c>
    </row>
    <row r="618" spans="1:9">
      <c r="A618" s="3">
        <v>44341</v>
      </c>
      <c r="B618" s="7" t="s">
        <v>1597</v>
      </c>
      <c r="C618" s="8">
        <v>0</v>
      </c>
      <c r="D618" s="8">
        <v>350000000</v>
      </c>
      <c r="E618" s="50">
        <f t="shared" si="13"/>
        <v>351751497.75</v>
      </c>
      <c r="F618" s="83" t="s">
        <v>107</v>
      </c>
      <c r="G618" s="14" t="s">
        <v>254</v>
      </c>
      <c r="H618" s="14"/>
    </row>
    <row r="619" spans="1:9">
      <c r="A619" s="3">
        <v>44341</v>
      </c>
      <c r="B619" s="7" t="s">
        <v>3471</v>
      </c>
      <c r="C619" s="8">
        <v>50000000</v>
      </c>
      <c r="D619" s="8">
        <v>0</v>
      </c>
      <c r="E619" s="50">
        <f t="shared" si="13"/>
        <v>301751497.75</v>
      </c>
      <c r="F619" s="83" t="s">
        <v>107</v>
      </c>
      <c r="G619" s="14" t="s">
        <v>666</v>
      </c>
      <c r="H619" s="14" t="s">
        <v>3405</v>
      </c>
      <c r="I619" t="s">
        <v>3473</v>
      </c>
    </row>
    <row r="620" spans="1:9">
      <c r="A620" s="3">
        <v>44341</v>
      </c>
      <c r="B620" s="7" t="s">
        <v>1598</v>
      </c>
      <c r="C620" s="8">
        <v>43700000</v>
      </c>
      <c r="D620" s="8">
        <v>0</v>
      </c>
      <c r="E620" s="50">
        <f t="shared" si="13"/>
        <v>258051497.75</v>
      </c>
      <c r="F620" s="83" t="s">
        <v>115</v>
      </c>
      <c r="G620" s="14" t="s">
        <v>122</v>
      </c>
      <c r="H620" s="14" t="s">
        <v>247</v>
      </c>
    </row>
    <row r="621" spans="1:9">
      <c r="A621" s="3">
        <v>44343</v>
      </c>
      <c r="B621" s="7" t="s">
        <v>1599</v>
      </c>
      <c r="C621" s="8">
        <v>2850000</v>
      </c>
      <c r="D621" s="8">
        <v>0</v>
      </c>
      <c r="E621" s="50">
        <f t="shared" si="13"/>
        <v>255201497.75</v>
      </c>
      <c r="F621" s="83" t="s">
        <v>137</v>
      </c>
      <c r="G621" s="14" t="s">
        <v>138</v>
      </c>
      <c r="H621" s="14" t="s">
        <v>3012</v>
      </c>
    </row>
    <row r="622" spans="1:9" s="14" customFormat="1">
      <c r="A622" s="138">
        <v>44343</v>
      </c>
      <c r="B622" s="49" t="s">
        <v>1600</v>
      </c>
      <c r="C622" s="53">
        <v>200000000</v>
      </c>
      <c r="D622" s="53">
        <v>0</v>
      </c>
      <c r="E622" s="53">
        <f t="shared" si="13"/>
        <v>55201497.75</v>
      </c>
      <c r="F622" s="14" t="s">
        <v>115</v>
      </c>
      <c r="G622" s="14" t="s">
        <v>439</v>
      </c>
      <c r="H622" s="14" t="s">
        <v>4499</v>
      </c>
    </row>
    <row r="623" spans="1:9">
      <c r="A623" s="3">
        <v>44344</v>
      </c>
      <c r="B623" s="7" t="s">
        <v>1601</v>
      </c>
      <c r="C623" s="8">
        <v>0</v>
      </c>
      <c r="D623" s="8">
        <v>300000000</v>
      </c>
      <c r="E623" s="50">
        <f t="shared" si="13"/>
        <v>355201497.75</v>
      </c>
      <c r="F623" s="83" t="s">
        <v>107</v>
      </c>
      <c r="G623" s="14" t="s">
        <v>254</v>
      </c>
      <c r="H623" s="14"/>
    </row>
    <row r="624" spans="1:9" s="14" customFormat="1">
      <c r="A624" s="138">
        <v>44344</v>
      </c>
      <c r="B624" s="49" t="s">
        <v>1602</v>
      </c>
      <c r="C624" s="53">
        <v>89582000</v>
      </c>
      <c r="D624" s="53">
        <v>0</v>
      </c>
      <c r="E624" s="53">
        <f t="shared" si="13"/>
        <v>265619497.75</v>
      </c>
      <c r="F624" s="14" t="s">
        <v>115</v>
      </c>
      <c r="G624" s="14" t="s">
        <v>439</v>
      </c>
      <c r="H624" s="14" t="s">
        <v>4499</v>
      </c>
    </row>
    <row r="625" spans="1:8">
      <c r="A625" s="3">
        <v>44344</v>
      </c>
      <c r="B625" s="7" t="s">
        <v>1603</v>
      </c>
      <c r="C625" s="8">
        <v>76135000</v>
      </c>
      <c r="D625" s="8">
        <v>0</v>
      </c>
      <c r="E625" s="50">
        <f t="shared" si="13"/>
        <v>189484497.75</v>
      </c>
      <c r="F625" s="83" t="s">
        <v>248</v>
      </c>
      <c r="G625" s="14" t="s">
        <v>249</v>
      </c>
      <c r="H625" s="14"/>
    </row>
    <row r="626" spans="1:8" s="64" customFormat="1">
      <c r="A626" s="220">
        <v>44344</v>
      </c>
      <c r="B626" s="221" t="s">
        <v>1604</v>
      </c>
      <c r="C626" s="63">
        <v>45000000</v>
      </c>
      <c r="D626" s="63">
        <v>0</v>
      </c>
      <c r="E626" s="63">
        <f t="shared" si="13"/>
        <v>144484497.75</v>
      </c>
      <c r="F626" s="222" t="s">
        <v>137</v>
      </c>
      <c r="G626" s="64" t="s">
        <v>138</v>
      </c>
      <c r="H626" s="64" t="s">
        <v>3027</v>
      </c>
    </row>
    <row r="627" spans="1:8">
      <c r="A627" s="3">
        <v>44344</v>
      </c>
      <c r="B627" s="7" t="s">
        <v>1605</v>
      </c>
      <c r="C627" s="8">
        <v>1974500</v>
      </c>
      <c r="D627" s="8">
        <v>0</v>
      </c>
      <c r="E627" s="50">
        <f t="shared" si="13"/>
        <v>142509997.75</v>
      </c>
      <c r="F627" s="83" t="s">
        <v>137</v>
      </c>
      <c r="G627" s="14" t="s">
        <v>138</v>
      </c>
      <c r="H627" s="14" t="s">
        <v>1127</v>
      </c>
    </row>
    <row r="628" spans="1:8">
      <c r="A628" s="3">
        <v>44344</v>
      </c>
      <c r="B628" s="7" t="s">
        <v>24</v>
      </c>
      <c r="C628" s="8">
        <v>2714659</v>
      </c>
      <c r="D628" s="8">
        <v>0</v>
      </c>
      <c r="E628" s="50">
        <f t="shared" si="13"/>
        <v>139795338.75</v>
      </c>
      <c r="F628" s="83" t="s">
        <v>107</v>
      </c>
      <c r="G628" s="14" t="s">
        <v>129</v>
      </c>
      <c r="H628" s="14"/>
    </row>
    <row r="629" spans="1:8">
      <c r="A629" s="3">
        <v>44344</v>
      </c>
      <c r="B629" s="7" t="s">
        <v>1606</v>
      </c>
      <c r="C629" s="8">
        <v>3000000</v>
      </c>
      <c r="D629" s="8">
        <v>0</v>
      </c>
      <c r="E629" s="50">
        <f t="shared" si="13"/>
        <v>136795338.75</v>
      </c>
      <c r="F629" s="83" t="s">
        <v>137</v>
      </c>
      <c r="G629" s="14" t="s">
        <v>138</v>
      </c>
      <c r="H629" s="14" t="s">
        <v>3032</v>
      </c>
    </row>
    <row r="630" spans="1:8">
      <c r="A630" s="3">
        <v>44344</v>
      </c>
      <c r="B630" s="7" t="s">
        <v>1607</v>
      </c>
      <c r="C630" s="8">
        <v>747500</v>
      </c>
      <c r="D630" s="8">
        <v>0</v>
      </c>
      <c r="E630" s="50">
        <f t="shared" si="13"/>
        <v>136047838.75</v>
      </c>
      <c r="F630" s="83" t="s">
        <v>319</v>
      </c>
      <c r="G630" s="14" t="s">
        <v>244</v>
      </c>
      <c r="H630" s="14"/>
    </row>
    <row r="631" spans="1:8">
      <c r="A631" s="3">
        <v>44344</v>
      </c>
      <c r="B631" s="7" t="s">
        <v>1608</v>
      </c>
      <c r="C631" s="8">
        <v>500000</v>
      </c>
      <c r="D631" s="8">
        <v>0</v>
      </c>
      <c r="E631" s="50">
        <f t="shared" si="13"/>
        <v>135547838.75</v>
      </c>
      <c r="F631" s="83" t="s">
        <v>736</v>
      </c>
      <c r="G631" s="14" t="s">
        <v>3994</v>
      </c>
      <c r="H631" s="14"/>
    </row>
    <row r="632" spans="1:8">
      <c r="A632" s="3">
        <v>44344</v>
      </c>
      <c r="B632" s="7" t="s">
        <v>1609</v>
      </c>
      <c r="C632" s="8">
        <v>750000</v>
      </c>
      <c r="D632" s="8">
        <v>0</v>
      </c>
      <c r="E632" s="50">
        <f t="shared" si="13"/>
        <v>134797838.75</v>
      </c>
      <c r="F632" s="83" t="s">
        <v>736</v>
      </c>
      <c r="G632" s="14" t="s">
        <v>3994</v>
      </c>
      <c r="H632" s="14"/>
    </row>
    <row r="633" spans="1:8">
      <c r="A633" s="3">
        <v>44344</v>
      </c>
      <c r="B633" s="7" t="s">
        <v>1610</v>
      </c>
      <c r="C633" s="8">
        <v>1250000</v>
      </c>
      <c r="D633" s="8">
        <v>0</v>
      </c>
      <c r="E633" s="50">
        <f t="shared" si="13"/>
        <v>133547838.75</v>
      </c>
      <c r="F633" s="83" t="s">
        <v>137</v>
      </c>
      <c r="G633" s="14" t="s">
        <v>138</v>
      </c>
      <c r="H633" s="14" t="s">
        <v>2968</v>
      </c>
    </row>
    <row r="634" spans="1:8">
      <c r="A634" s="3">
        <v>44344</v>
      </c>
      <c r="B634" s="7" t="s">
        <v>1611</v>
      </c>
      <c r="C634" s="8">
        <v>3500000</v>
      </c>
      <c r="D634" s="8">
        <v>0</v>
      </c>
      <c r="E634" s="50">
        <f t="shared" si="13"/>
        <v>130047838.75</v>
      </c>
      <c r="F634" s="83" t="s">
        <v>736</v>
      </c>
      <c r="G634" s="14" t="s">
        <v>3994</v>
      </c>
      <c r="H634" s="14"/>
    </row>
    <row r="635" spans="1:8" s="64" customFormat="1">
      <c r="A635" s="220">
        <v>44344</v>
      </c>
      <c r="B635" s="221" t="s">
        <v>1612</v>
      </c>
      <c r="C635" s="63">
        <v>8100000</v>
      </c>
      <c r="D635" s="63">
        <v>0</v>
      </c>
      <c r="E635" s="63">
        <f t="shared" si="13"/>
        <v>121947838.75</v>
      </c>
      <c r="F635" s="222" t="s">
        <v>137</v>
      </c>
      <c r="G635" s="64" t="s">
        <v>138</v>
      </c>
      <c r="H635" s="64" t="s">
        <v>1124</v>
      </c>
    </row>
    <row r="636" spans="1:8">
      <c r="A636" s="3">
        <v>44344</v>
      </c>
      <c r="B636" s="7" t="s">
        <v>1613</v>
      </c>
      <c r="C636" s="8">
        <v>4200000</v>
      </c>
      <c r="D636" s="8">
        <v>0</v>
      </c>
      <c r="E636" s="50">
        <f t="shared" si="13"/>
        <v>117747838.75</v>
      </c>
      <c r="F636" s="83" t="s">
        <v>137</v>
      </c>
      <c r="G636" s="14" t="s">
        <v>138</v>
      </c>
      <c r="H636" s="14" t="s">
        <v>3031</v>
      </c>
    </row>
    <row r="637" spans="1:8">
      <c r="A637" s="3">
        <v>44344</v>
      </c>
      <c r="B637" s="7" t="s">
        <v>1614</v>
      </c>
      <c r="C637" s="8">
        <v>1500000</v>
      </c>
      <c r="D637" s="8">
        <v>0</v>
      </c>
      <c r="E637" s="50">
        <f t="shared" si="13"/>
        <v>116247838.75</v>
      </c>
      <c r="F637" s="83" t="s">
        <v>736</v>
      </c>
      <c r="G637" s="14" t="s">
        <v>737</v>
      </c>
      <c r="H637" s="14"/>
    </row>
    <row r="638" spans="1:8" s="64" customFormat="1">
      <c r="A638" s="220">
        <v>44347</v>
      </c>
      <c r="B638" s="221" t="s">
        <v>1615</v>
      </c>
      <c r="C638" s="63">
        <v>45000000</v>
      </c>
      <c r="D638" s="63">
        <v>0</v>
      </c>
      <c r="E638" s="63">
        <f t="shared" si="13"/>
        <v>71247838.75</v>
      </c>
      <c r="F638" s="222" t="s">
        <v>137</v>
      </c>
      <c r="G638" s="64" t="s">
        <v>138</v>
      </c>
      <c r="H638" s="64" t="s">
        <v>3027</v>
      </c>
    </row>
    <row r="639" spans="1:8" s="64" customFormat="1">
      <c r="A639" s="220">
        <v>44347</v>
      </c>
      <c r="B639" s="221" t="s">
        <v>1616</v>
      </c>
      <c r="C639" s="63">
        <v>45000000</v>
      </c>
      <c r="D639" s="63">
        <v>0</v>
      </c>
      <c r="E639" s="63">
        <f t="shared" si="13"/>
        <v>26247838.75</v>
      </c>
      <c r="F639" s="222" t="s">
        <v>137</v>
      </c>
      <c r="G639" s="64" t="s">
        <v>138</v>
      </c>
      <c r="H639" s="64" t="s">
        <v>3027</v>
      </c>
    </row>
    <row r="640" spans="1:8">
      <c r="A640" s="3">
        <v>44347</v>
      </c>
      <c r="B640" s="7" t="s">
        <v>1583</v>
      </c>
      <c r="C640" s="8">
        <v>0</v>
      </c>
      <c r="D640" s="8">
        <v>25000000</v>
      </c>
      <c r="E640" s="50">
        <f t="shared" si="13"/>
        <v>51247838.75</v>
      </c>
      <c r="F640" s="83" t="s">
        <v>107</v>
      </c>
      <c r="G640" s="14" t="s">
        <v>108</v>
      </c>
      <c r="H640" s="14"/>
    </row>
    <row r="641" spans="1:9" s="64" customFormat="1">
      <c r="A641" s="220">
        <v>44347</v>
      </c>
      <c r="B641" s="221" t="s">
        <v>1617</v>
      </c>
      <c r="C641" s="63">
        <v>45000000</v>
      </c>
      <c r="D641" s="63">
        <v>0</v>
      </c>
      <c r="E641" s="63">
        <f t="shared" si="13"/>
        <v>6247838.75</v>
      </c>
      <c r="F641" s="222" t="s">
        <v>137</v>
      </c>
      <c r="G641" s="64" t="s">
        <v>138</v>
      </c>
      <c r="H641" s="64" t="s">
        <v>3027</v>
      </c>
    </row>
    <row r="642" spans="1:9">
      <c r="A642" s="3">
        <v>44347</v>
      </c>
      <c r="B642" s="7" t="s">
        <v>1603</v>
      </c>
      <c r="C642" s="8">
        <v>2400000</v>
      </c>
      <c r="D642" s="8">
        <v>0</v>
      </c>
      <c r="E642" s="50">
        <f t="shared" si="13"/>
        <v>3847838.75</v>
      </c>
      <c r="F642" s="83" t="s">
        <v>248</v>
      </c>
      <c r="G642" s="14" t="s">
        <v>249</v>
      </c>
      <c r="H642" s="14"/>
    </row>
    <row r="643" spans="1:9">
      <c r="A643" s="3">
        <v>44347</v>
      </c>
      <c r="B643" s="7" t="s">
        <v>1618</v>
      </c>
      <c r="C643" s="8">
        <v>2400000</v>
      </c>
      <c r="D643" s="8">
        <v>0</v>
      </c>
      <c r="E643" s="50">
        <f t="shared" si="13"/>
        <v>1447838.75</v>
      </c>
      <c r="F643" s="83" t="s">
        <v>248</v>
      </c>
      <c r="G643" s="14" t="s">
        <v>249</v>
      </c>
      <c r="H643" s="14"/>
    </row>
    <row r="644" spans="1:9">
      <c r="A644" s="3">
        <v>44347</v>
      </c>
      <c r="B644" s="7" t="s">
        <v>1619</v>
      </c>
      <c r="C644" s="8">
        <v>0</v>
      </c>
      <c r="D644" s="8">
        <v>55000000</v>
      </c>
      <c r="E644" s="50">
        <f t="shared" si="13"/>
        <v>56447838.75</v>
      </c>
      <c r="F644" s="83" t="s">
        <v>107</v>
      </c>
      <c r="G644" s="14" t="s">
        <v>254</v>
      </c>
      <c r="H644" s="14"/>
    </row>
    <row r="645" spans="1:9">
      <c r="A645" s="3">
        <v>44347</v>
      </c>
      <c r="B645" s="7" t="s">
        <v>1620</v>
      </c>
      <c r="C645" s="54">
        <v>42895000</v>
      </c>
      <c r="D645" s="54">
        <v>0</v>
      </c>
      <c r="E645" s="53">
        <f t="shared" si="13"/>
        <v>13552838.75</v>
      </c>
      <c r="F645" s="80" t="s">
        <v>115</v>
      </c>
      <c r="G645" s="14" t="s">
        <v>116</v>
      </c>
      <c r="H645" s="14" t="s">
        <v>249</v>
      </c>
    </row>
    <row r="646" spans="1:9">
      <c r="A646" s="3">
        <v>44347</v>
      </c>
      <c r="B646" s="7" t="s">
        <v>240</v>
      </c>
      <c r="C646" s="8">
        <v>0</v>
      </c>
      <c r="D646" s="8">
        <v>4560.7</v>
      </c>
      <c r="E646" s="50">
        <f t="shared" si="13"/>
        <v>13557399.449999999</v>
      </c>
      <c r="F646" s="83" t="s">
        <v>252</v>
      </c>
      <c r="G646" s="14" t="s">
        <v>253</v>
      </c>
      <c r="H646" s="14"/>
    </row>
    <row r="647" spans="1:9">
      <c r="A647" s="3">
        <v>44347</v>
      </c>
      <c r="B647" s="7" t="s">
        <v>241</v>
      </c>
      <c r="C647" s="8">
        <v>912.14</v>
      </c>
      <c r="D647" s="8">
        <v>0</v>
      </c>
      <c r="E647" s="50">
        <f t="shared" si="13"/>
        <v>13556487.309999999</v>
      </c>
      <c r="F647" s="83" t="s">
        <v>252</v>
      </c>
      <c r="G647" s="14" t="s">
        <v>253</v>
      </c>
      <c r="H647" s="14"/>
    </row>
    <row r="648" spans="1:9">
      <c r="A648" s="3">
        <v>44351</v>
      </c>
      <c r="B648" s="7" t="s">
        <v>1583</v>
      </c>
      <c r="C648" s="8">
        <v>0</v>
      </c>
      <c r="D648" s="8">
        <v>1500000</v>
      </c>
      <c r="E648" s="50">
        <f t="shared" si="13"/>
        <v>15056487.309999999</v>
      </c>
      <c r="F648" s="83" t="s">
        <v>107</v>
      </c>
      <c r="G648" s="14" t="s">
        <v>108</v>
      </c>
      <c r="H648" s="14"/>
    </row>
    <row r="649" spans="1:9">
      <c r="A649" s="3">
        <v>44351</v>
      </c>
      <c r="B649" s="7" t="s">
        <v>1623</v>
      </c>
      <c r="C649" s="8">
        <v>0</v>
      </c>
      <c r="D649" s="8">
        <v>2000000</v>
      </c>
      <c r="E649" s="50">
        <f t="shared" si="13"/>
        <v>17056487.309999999</v>
      </c>
      <c r="F649" s="83" t="s">
        <v>107</v>
      </c>
      <c r="G649" s="14" t="s">
        <v>254</v>
      </c>
      <c r="H649" s="14"/>
    </row>
    <row r="650" spans="1:9">
      <c r="A650" s="3">
        <v>44351</v>
      </c>
      <c r="B650" s="7" t="s">
        <v>1624</v>
      </c>
      <c r="C650" s="8">
        <v>16000000</v>
      </c>
      <c r="D650" s="8">
        <v>0</v>
      </c>
      <c r="E650" s="50">
        <f t="shared" si="13"/>
        <v>1056487.3099999987</v>
      </c>
      <c r="F650" s="83" t="s">
        <v>137</v>
      </c>
      <c r="G650" s="14" t="s">
        <v>138</v>
      </c>
      <c r="H650" s="14" t="s">
        <v>3012</v>
      </c>
    </row>
    <row r="651" spans="1:9">
      <c r="A651" s="12">
        <v>44351</v>
      </c>
      <c r="B651" s="7" t="s">
        <v>1552</v>
      </c>
      <c r="C651" s="8">
        <v>0</v>
      </c>
      <c r="D651" s="8">
        <v>1400000</v>
      </c>
      <c r="E651" s="50">
        <f t="shared" si="13"/>
        <v>2456487.3099999987</v>
      </c>
      <c r="F651" s="83" t="s">
        <v>115</v>
      </c>
      <c r="G651" s="14" t="s">
        <v>122</v>
      </c>
      <c r="H651" s="14" t="s">
        <v>247</v>
      </c>
    </row>
    <row r="652" spans="1:9">
      <c r="A652" s="12">
        <v>44351</v>
      </c>
      <c r="B652" s="7" t="s">
        <v>1625</v>
      </c>
      <c r="C652" s="8">
        <v>2400000</v>
      </c>
      <c r="D652" s="8">
        <v>0</v>
      </c>
      <c r="E652" s="50">
        <f t="shared" si="13"/>
        <v>56487.309999998659</v>
      </c>
      <c r="F652" s="83" t="s">
        <v>137</v>
      </c>
      <c r="G652" s="14" t="s">
        <v>138</v>
      </c>
      <c r="H652" s="14" t="s">
        <v>1127</v>
      </c>
    </row>
    <row r="653" spans="1:9">
      <c r="A653" s="3">
        <v>44354</v>
      </c>
      <c r="B653" s="7" t="s">
        <v>1552</v>
      </c>
      <c r="C653" s="8">
        <v>0</v>
      </c>
      <c r="D653" s="8">
        <v>248500000</v>
      </c>
      <c r="E653" s="50">
        <f t="shared" si="13"/>
        <v>248556487.31</v>
      </c>
      <c r="F653" s="83" t="s">
        <v>115</v>
      </c>
      <c r="G653" s="14" t="s">
        <v>122</v>
      </c>
      <c r="H653" s="14" t="s">
        <v>247</v>
      </c>
    </row>
    <row r="654" spans="1:9">
      <c r="A654" s="3">
        <v>44354</v>
      </c>
      <c r="B654" s="7" t="s">
        <v>12</v>
      </c>
      <c r="C654" s="8">
        <v>0</v>
      </c>
      <c r="D654" s="8">
        <v>76500000</v>
      </c>
      <c r="E654" s="50">
        <f t="shared" si="13"/>
        <v>325056487.31</v>
      </c>
      <c r="F654" s="83" t="s">
        <v>115</v>
      </c>
      <c r="G654" s="14" t="s">
        <v>122</v>
      </c>
      <c r="H654" s="14" t="s">
        <v>123</v>
      </c>
    </row>
    <row r="655" spans="1:9">
      <c r="A655" s="3">
        <v>44355</v>
      </c>
      <c r="B655" s="7" t="s">
        <v>3493</v>
      </c>
      <c r="C655" s="8">
        <v>75000000</v>
      </c>
      <c r="D655" s="8">
        <v>0</v>
      </c>
      <c r="E655" s="50">
        <f t="shared" si="13"/>
        <v>250056487.31</v>
      </c>
      <c r="F655" s="83" t="s">
        <v>107</v>
      </c>
      <c r="G655" s="14" t="s">
        <v>666</v>
      </c>
      <c r="H655" s="14" t="s">
        <v>3405</v>
      </c>
      <c r="I655" t="s">
        <v>3495</v>
      </c>
    </row>
    <row r="656" spans="1:9">
      <c r="A656" s="3">
        <v>44355</v>
      </c>
      <c r="B656" s="7" t="s">
        <v>1627</v>
      </c>
      <c r="C656" s="8">
        <v>2000</v>
      </c>
      <c r="D656" s="8">
        <v>0</v>
      </c>
      <c r="E656" s="50">
        <f t="shared" si="13"/>
        <v>250054487.31</v>
      </c>
      <c r="F656" s="83" t="s">
        <v>113</v>
      </c>
      <c r="G656" s="14" t="s">
        <v>114</v>
      </c>
      <c r="H656" s="14"/>
    </row>
    <row r="657" spans="1:9">
      <c r="A657" s="3">
        <v>44355</v>
      </c>
      <c r="B657" s="7" t="s">
        <v>3493</v>
      </c>
      <c r="C657" s="8">
        <v>90000000</v>
      </c>
      <c r="D657" s="8">
        <v>0</v>
      </c>
      <c r="E657" s="50">
        <f t="shared" si="13"/>
        <v>160054487.31</v>
      </c>
      <c r="F657" s="83" t="s">
        <v>107</v>
      </c>
      <c r="G657" s="14" t="s">
        <v>666</v>
      </c>
      <c r="H657" s="14" t="s">
        <v>3405</v>
      </c>
      <c r="I657" t="s">
        <v>3495</v>
      </c>
    </row>
    <row r="658" spans="1:9">
      <c r="A658" s="3">
        <v>44355</v>
      </c>
      <c r="B658" s="7" t="s">
        <v>1627</v>
      </c>
      <c r="C658" s="8">
        <v>2000</v>
      </c>
      <c r="D658" s="8">
        <v>0</v>
      </c>
      <c r="E658" s="50">
        <f t="shared" si="13"/>
        <v>160052487.31</v>
      </c>
      <c r="F658" s="83" t="s">
        <v>113</v>
      </c>
      <c r="G658" s="14" t="s">
        <v>114</v>
      </c>
      <c r="H658" s="14"/>
    </row>
    <row r="659" spans="1:9">
      <c r="A659" s="3">
        <v>44355</v>
      </c>
      <c r="B659" s="7" t="s">
        <v>3493</v>
      </c>
      <c r="C659" s="8">
        <v>85000000</v>
      </c>
      <c r="D659" s="8">
        <v>0</v>
      </c>
      <c r="E659" s="50">
        <f t="shared" si="13"/>
        <v>75052487.310000002</v>
      </c>
      <c r="F659" s="83" t="s">
        <v>107</v>
      </c>
      <c r="G659" s="14" t="s">
        <v>666</v>
      </c>
      <c r="H659" s="14" t="s">
        <v>3405</v>
      </c>
      <c r="I659" t="s">
        <v>3495</v>
      </c>
    </row>
    <row r="660" spans="1:9">
      <c r="A660" s="3">
        <v>44355</v>
      </c>
      <c r="B660" s="7" t="s">
        <v>1627</v>
      </c>
      <c r="C660" s="8">
        <v>2000</v>
      </c>
      <c r="D660" s="8">
        <v>0</v>
      </c>
      <c r="E660" s="50">
        <f t="shared" si="13"/>
        <v>75050487.310000002</v>
      </c>
      <c r="F660" s="83" t="s">
        <v>113</v>
      </c>
      <c r="G660" s="14" t="s">
        <v>114</v>
      </c>
      <c r="H660" s="14"/>
    </row>
    <row r="661" spans="1:9">
      <c r="A661" s="3">
        <v>44355</v>
      </c>
      <c r="B661" s="7" t="s">
        <v>3494</v>
      </c>
      <c r="C661" s="8">
        <v>50000000</v>
      </c>
      <c r="D661" s="8">
        <v>0</v>
      </c>
      <c r="E661" s="50">
        <f t="shared" si="13"/>
        <v>25050487.310000002</v>
      </c>
      <c r="F661" s="83" t="s">
        <v>107</v>
      </c>
      <c r="G661" s="14" t="s">
        <v>666</v>
      </c>
      <c r="H661" s="14" t="s">
        <v>3405</v>
      </c>
      <c r="I661" t="s">
        <v>3495</v>
      </c>
    </row>
    <row r="662" spans="1:9">
      <c r="A662" s="3">
        <v>44355</v>
      </c>
      <c r="B662" s="7" t="s">
        <v>1552</v>
      </c>
      <c r="C662" s="8">
        <v>0</v>
      </c>
      <c r="D662" s="8">
        <v>250000000</v>
      </c>
      <c r="E662" s="50">
        <f t="shared" si="13"/>
        <v>275050487.31</v>
      </c>
      <c r="F662" s="83" t="s">
        <v>115</v>
      </c>
      <c r="G662" s="14" t="s">
        <v>122</v>
      </c>
      <c r="H662" s="14" t="s">
        <v>247</v>
      </c>
    </row>
    <row r="663" spans="1:9">
      <c r="A663" s="3">
        <v>44356</v>
      </c>
      <c r="B663" s="7" t="s">
        <v>1628</v>
      </c>
      <c r="C663" s="8">
        <v>3200000</v>
      </c>
      <c r="D663" s="8">
        <v>0</v>
      </c>
      <c r="E663" s="50">
        <f t="shared" si="13"/>
        <v>271850487.31</v>
      </c>
      <c r="F663" s="83" t="s">
        <v>137</v>
      </c>
      <c r="G663" s="14" t="s">
        <v>138</v>
      </c>
      <c r="H663" s="14" t="s">
        <v>3013</v>
      </c>
    </row>
    <row r="664" spans="1:9">
      <c r="A664" s="3">
        <v>44356</v>
      </c>
      <c r="B664" s="7" t="s">
        <v>1629</v>
      </c>
      <c r="C664" s="8">
        <v>45000000</v>
      </c>
      <c r="D664" s="8">
        <v>0</v>
      </c>
      <c r="E664" s="50">
        <f t="shared" si="13"/>
        <v>226850487.31</v>
      </c>
      <c r="F664" s="83" t="s">
        <v>137</v>
      </c>
      <c r="G664" s="14" t="s">
        <v>138</v>
      </c>
      <c r="H664" s="14" t="s">
        <v>3013</v>
      </c>
    </row>
    <row r="665" spans="1:9">
      <c r="A665" s="3">
        <v>44356</v>
      </c>
      <c r="B665" s="7" t="s">
        <v>1630</v>
      </c>
      <c r="C665" s="8">
        <v>50000000</v>
      </c>
      <c r="D665" s="8">
        <v>0</v>
      </c>
      <c r="E665" s="50">
        <f t="shared" si="13"/>
        <v>176850487.31</v>
      </c>
      <c r="F665" s="83" t="s">
        <v>137</v>
      </c>
      <c r="G665" s="14" t="s">
        <v>138</v>
      </c>
      <c r="H665" s="14" t="s">
        <v>3013</v>
      </c>
    </row>
    <row r="666" spans="1:9">
      <c r="A666" s="3">
        <v>44356</v>
      </c>
      <c r="B666" s="7" t="s">
        <v>1631</v>
      </c>
      <c r="C666" s="8">
        <v>7500000</v>
      </c>
      <c r="D666" s="8">
        <v>0</v>
      </c>
      <c r="E666" s="50">
        <f t="shared" si="13"/>
        <v>169350487.31</v>
      </c>
      <c r="F666" s="83" t="s">
        <v>137</v>
      </c>
      <c r="G666" s="14" t="s">
        <v>138</v>
      </c>
      <c r="H666" s="14" t="s">
        <v>3013</v>
      </c>
    </row>
    <row r="667" spans="1:9">
      <c r="A667" s="3">
        <v>44356</v>
      </c>
      <c r="B667" s="7" t="s">
        <v>1632</v>
      </c>
      <c r="C667" s="8">
        <v>9000000</v>
      </c>
      <c r="D667" s="8">
        <v>0</v>
      </c>
      <c r="E667" s="50">
        <f t="shared" si="13"/>
        <v>160350487.31</v>
      </c>
      <c r="F667" s="83" t="s">
        <v>137</v>
      </c>
      <c r="G667" s="14" t="s">
        <v>138</v>
      </c>
      <c r="H667" s="14" t="s">
        <v>3013</v>
      </c>
    </row>
    <row r="668" spans="1:9">
      <c r="A668" s="3">
        <v>44356</v>
      </c>
      <c r="B668" s="7" t="s">
        <v>1633</v>
      </c>
      <c r="C668" s="8">
        <v>50000000</v>
      </c>
      <c r="D668" s="8">
        <v>0</v>
      </c>
      <c r="E668" s="50">
        <f t="shared" si="13"/>
        <v>110350487.31</v>
      </c>
      <c r="F668" s="83" t="s">
        <v>137</v>
      </c>
      <c r="G668" s="14" t="s">
        <v>138</v>
      </c>
      <c r="H668" s="14" t="s">
        <v>3013</v>
      </c>
    </row>
    <row r="669" spans="1:9">
      <c r="A669" s="3">
        <v>44356</v>
      </c>
      <c r="B669" s="7" t="s">
        <v>1634</v>
      </c>
      <c r="C669" s="8">
        <v>75000000</v>
      </c>
      <c r="D669" s="8">
        <v>0</v>
      </c>
      <c r="E669" s="50">
        <f t="shared" si="13"/>
        <v>35350487.310000002</v>
      </c>
      <c r="F669" s="83" t="s">
        <v>137</v>
      </c>
      <c r="G669" s="14" t="s">
        <v>138</v>
      </c>
      <c r="H669" s="14" t="s">
        <v>3013</v>
      </c>
    </row>
    <row r="670" spans="1:9">
      <c r="A670" s="3">
        <v>44358</v>
      </c>
      <c r="B670" s="7" t="s">
        <v>1635</v>
      </c>
      <c r="C670" s="8">
        <v>10750000</v>
      </c>
      <c r="D670" s="8">
        <v>0</v>
      </c>
      <c r="E670" s="50">
        <f t="shared" si="13"/>
        <v>24600487.310000002</v>
      </c>
      <c r="F670" s="83" t="s">
        <v>248</v>
      </c>
      <c r="G670" s="14" t="s">
        <v>727</v>
      </c>
      <c r="H670" s="14"/>
    </row>
    <row r="671" spans="1:9">
      <c r="A671" s="3">
        <v>44358</v>
      </c>
      <c r="B671" s="7" t="s">
        <v>1636</v>
      </c>
      <c r="C671" s="54">
        <v>3500000</v>
      </c>
      <c r="D671" s="54">
        <v>0</v>
      </c>
      <c r="E671" s="53">
        <f t="shared" si="13"/>
        <v>21100487.310000002</v>
      </c>
      <c r="F671" s="80" t="s">
        <v>319</v>
      </c>
      <c r="G671" s="14" t="s">
        <v>370</v>
      </c>
      <c r="H671" s="14"/>
    </row>
    <row r="672" spans="1:9">
      <c r="A672" s="3">
        <v>44358</v>
      </c>
      <c r="B672" s="7" t="s">
        <v>1636</v>
      </c>
      <c r="C672" s="54">
        <v>350000</v>
      </c>
      <c r="D672" s="54">
        <v>0</v>
      </c>
      <c r="E672" s="53">
        <f t="shared" si="13"/>
        <v>20750487.310000002</v>
      </c>
      <c r="F672" s="82" t="s">
        <v>110</v>
      </c>
      <c r="G672" t="s">
        <v>616</v>
      </c>
      <c r="H672" t="s">
        <v>4621</v>
      </c>
    </row>
    <row r="673" spans="1:9">
      <c r="A673" s="3">
        <v>44358</v>
      </c>
      <c r="B673" s="7" t="s">
        <v>1636</v>
      </c>
      <c r="C673" s="54">
        <v>0</v>
      </c>
      <c r="D673" s="54">
        <v>70000</v>
      </c>
      <c r="E673" s="53">
        <f t="shared" si="13"/>
        <v>20820487.310000002</v>
      </c>
      <c r="F673" s="82" t="s">
        <v>115</v>
      </c>
      <c r="G673" t="s">
        <v>441</v>
      </c>
      <c r="H673" t="s">
        <v>596</v>
      </c>
    </row>
    <row r="674" spans="1:9">
      <c r="A674" s="3">
        <v>44358</v>
      </c>
      <c r="B674" s="7" t="s">
        <v>1637</v>
      </c>
      <c r="C674" s="54">
        <v>13500000</v>
      </c>
      <c r="D674" s="54">
        <v>0</v>
      </c>
      <c r="E674" s="53">
        <f t="shared" si="13"/>
        <v>7320487.3100000024</v>
      </c>
      <c r="F674" s="80" t="s">
        <v>137</v>
      </c>
      <c r="G674" s="14" t="s">
        <v>138</v>
      </c>
      <c r="H674" s="14" t="s">
        <v>4140</v>
      </c>
    </row>
    <row r="675" spans="1:9">
      <c r="A675" s="3">
        <v>44358</v>
      </c>
      <c r="B675" s="7" t="s">
        <v>1638</v>
      </c>
      <c r="C675" s="8">
        <v>2100000</v>
      </c>
      <c r="D675" s="8">
        <v>0</v>
      </c>
      <c r="E675" s="50">
        <f t="shared" si="13"/>
        <v>5220487.3100000024</v>
      </c>
      <c r="F675" s="83" t="s">
        <v>736</v>
      </c>
      <c r="G675" s="14" t="s">
        <v>737</v>
      </c>
      <c r="H675" s="14"/>
    </row>
    <row r="676" spans="1:9">
      <c r="A676" s="3">
        <v>44358</v>
      </c>
      <c r="B676" s="7" t="s">
        <v>1022</v>
      </c>
      <c r="C676" s="8">
        <v>3285000</v>
      </c>
      <c r="D676" s="8">
        <v>0</v>
      </c>
      <c r="E676" s="50">
        <f t="shared" ref="E676:E684" si="14">E675-C676+D676</f>
        <v>1935487.3100000024</v>
      </c>
      <c r="F676" s="83" t="s">
        <v>248</v>
      </c>
      <c r="G676" s="14" t="s">
        <v>130</v>
      </c>
      <c r="H676" t="s">
        <v>623</v>
      </c>
    </row>
    <row r="677" spans="1:9">
      <c r="A677" s="3">
        <v>44358</v>
      </c>
      <c r="B677" s="7" t="s">
        <v>1556</v>
      </c>
      <c r="C677" s="8">
        <v>610000</v>
      </c>
      <c r="D677" s="8">
        <v>0</v>
      </c>
      <c r="E677" s="50">
        <f t="shared" si="14"/>
        <v>1325487.3100000024</v>
      </c>
      <c r="F677" s="83" t="s">
        <v>248</v>
      </c>
      <c r="G677" s="14" t="s">
        <v>130</v>
      </c>
      <c r="H677" t="s">
        <v>2083</v>
      </c>
    </row>
    <row r="678" spans="1:9">
      <c r="A678" s="3">
        <v>44358</v>
      </c>
      <c r="B678" s="7" t="s">
        <v>1021</v>
      </c>
      <c r="C678" s="8">
        <v>850000</v>
      </c>
      <c r="D678" s="8">
        <v>0</v>
      </c>
      <c r="E678" s="50">
        <f t="shared" si="14"/>
        <v>475487.31000000238</v>
      </c>
      <c r="F678" s="83" t="s">
        <v>248</v>
      </c>
      <c r="G678" s="14" t="s">
        <v>130</v>
      </c>
      <c r="H678" t="s">
        <v>625</v>
      </c>
    </row>
    <row r="679" spans="1:9">
      <c r="A679" s="3">
        <v>44361</v>
      </c>
      <c r="B679" s="7" t="s">
        <v>1552</v>
      </c>
      <c r="C679" s="8">
        <v>0</v>
      </c>
      <c r="D679" s="8">
        <v>8000000</v>
      </c>
      <c r="E679" s="50">
        <f t="shared" si="14"/>
        <v>8475487.3100000024</v>
      </c>
      <c r="F679" s="83" t="s">
        <v>115</v>
      </c>
      <c r="G679" s="14" t="s">
        <v>122</v>
      </c>
      <c r="H679" s="14" t="s">
        <v>247</v>
      </c>
    </row>
    <row r="680" spans="1:9">
      <c r="A680" s="3">
        <v>44361</v>
      </c>
      <c r="B680" s="7" t="s">
        <v>1639</v>
      </c>
      <c r="C680" s="8">
        <v>8100950</v>
      </c>
      <c r="D680" s="8">
        <v>0</v>
      </c>
      <c r="E680" s="50">
        <f t="shared" si="14"/>
        <v>374537.31000000238</v>
      </c>
      <c r="F680" s="83" t="s">
        <v>137</v>
      </c>
      <c r="G680" s="14" t="s">
        <v>138</v>
      </c>
      <c r="H680" s="14" t="s">
        <v>3027</v>
      </c>
    </row>
    <row r="681" spans="1:9">
      <c r="A681" s="3">
        <v>44363</v>
      </c>
      <c r="B681" s="7" t="s">
        <v>1640</v>
      </c>
      <c r="C681" s="8">
        <v>0</v>
      </c>
      <c r="D681" s="8">
        <v>1300000000</v>
      </c>
      <c r="E681" s="50">
        <f t="shared" si="14"/>
        <v>1300374537.3099999</v>
      </c>
      <c r="F681" s="83" t="s">
        <v>115</v>
      </c>
      <c r="G681" s="14" t="s">
        <v>122</v>
      </c>
      <c r="H681" s="14" t="s">
        <v>149</v>
      </c>
    </row>
    <row r="682" spans="1:9">
      <c r="A682" s="3">
        <v>44363</v>
      </c>
      <c r="B682" s="7" t="s">
        <v>1641</v>
      </c>
      <c r="C682" s="8">
        <v>0</v>
      </c>
      <c r="D682" s="8">
        <v>385980056</v>
      </c>
      <c r="E682" s="50">
        <f t="shared" si="14"/>
        <v>1686354593.3099999</v>
      </c>
      <c r="F682" s="83" t="s">
        <v>107</v>
      </c>
      <c r="G682" s="14" t="s">
        <v>2947</v>
      </c>
      <c r="H682" s="14"/>
    </row>
    <row r="683" spans="1:9">
      <c r="A683" s="3">
        <v>44363</v>
      </c>
      <c r="B683" s="7" t="s">
        <v>1642</v>
      </c>
      <c r="C683" s="8">
        <v>3726900</v>
      </c>
      <c r="D683" s="8">
        <v>0</v>
      </c>
      <c r="E683" s="50">
        <f t="shared" si="14"/>
        <v>1682627693.3099999</v>
      </c>
      <c r="F683" s="83" t="s">
        <v>319</v>
      </c>
      <c r="G683" s="14" t="s">
        <v>647</v>
      </c>
      <c r="H683" s="14"/>
    </row>
    <row r="684" spans="1:9">
      <c r="A684" s="3">
        <v>44363</v>
      </c>
      <c r="B684" s="7" t="s">
        <v>1643</v>
      </c>
      <c r="C684" s="8">
        <v>705000</v>
      </c>
      <c r="D684" s="8">
        <v>0</v>
      </c>
      <c r="E684" s="50">
        <f t="shared" si="14"/>
        <v>1681922693.3099999</v>
      </c>
      <c r="F684" s="83" t="s">
        <v>319</v>
      </c>
      <c r="G684" s="14" t="s">
        <v>647</v>
      </c>
      <c r="H684" s="14"/>
    </row>
    <row r="685" spans="1:9" s="14" customFormat="1">
      <c r="A685" s="138">
        <v>44363</v>
      </c>
      <c r="B685" s="49" t="s">
        <v>1644</v>
      </c>
      <c r="C685" s="53">
        <v>11695000</v>
      </c>
      <c r="D685" s="53">
        <v>0</v>
      </c>
      <c r="E685" s="53">
        <f t="shared" ref="E685:E739" si="15">E684-C685+D685</f>
        <v>1670227693.3099999</v>
      </c>
      <c r="F685" s="80" t="s">
        <v>115</v>
      </c>
      <c r="G685" s="14" t="s">
        <v>120</v>
      </c>
      <c r="H685" s="14" t="s">
        <v>127</v>
      </c>
      <c r="I685" s="14" t="s">
        <v>444</v>
      </c>
    </row>
    <row r="686" spans="1:9" s="64" customFormat="1">
      <c r="A686" s="220">
        <v>44363</v>
      </c>
      <c r="B686" s="221" t="s">
        <v>2475</v>
      </c>
      <c r="C686" s="63">
        <v>8552000</v>
      </c>
      <c r="D686" s="63">
        <v>0</v>
      </c>
      <c r="E686" s="63">
        <f t="shared" si="15"/>
        <v>1661675693.3099999</v>
      </c>
      <c r="F686" s="222" t="s">
        <v>137</v>
      </c>
      <c r="G686" s="64" t="s">
        <v>138</v>
      </c>
      <c r="H686" s="64" t="s">
        <v>3027</v>
      </c>
    </row>
    <row r="687" spans="1:9">
      <c r="A687" s="3">
        <v>44363</v>
      </c>
      <c r="B687" s="7" t="s">
        <v>1645</v>
      </c>
      <c r="C687" s="8">
        <v>2500000</v>
      </c>
      <c r="D687" s="8">
        <v>0</v>
      </c>
      <c r="E687" s="50">
        <f t="shared" si="15"/>
        <v>1659175693.3099999</v>
      </c>
      <c r="F687" s="83" t="s">
        <v>137</v>
      </c>
      <c r="G687" s="14" t="s">
        <v>138</v>
      </c>
      <c r="H687" s="14" t="s">
        <v>1127</v>
      </c>
    </row>
    <row r="688" spans="1:9">
      <c r="A688" s="3">
        <v>44363</v>
      </c>
      <c r="B688" s="7" t="s">
        <v>1646</v>
      </c>
      <c r="C688" s="8">
        <v>76500000</v>
      </c>
      <c r="D688" s="8">
        <v>0</v>
      </c>
      <c r="E688" s="50">
        <f t="shared" si="15"/>
        <v>1582675693.3099999</v>
      </c>
      <c r="F688" s="83" t="s">
        <v>115</v>
      </c>
      <c r="G688" s="14" t="s">
        <v>122</v>
      </c>
      <c r="H688" s="14" t="s">
        <v>123</v>
      </c>
    </row>
    <row r="689" spans="1:9">
      <c r="A689" s="3">
        <v>44363</v>
      </c>
      <c r="B689" s="7" t="s">
        <v>1647</v>
      </c>
      <c r="C689" s="8">
        <v>1400000</v>
      </c>
      <c r="D689" s="8">
        <v>0</v>
      </c>
      <c r="E689" s="50">
        <f t="shared" si="15"/>
        <v>1581275693.3099999</v>
      </c>
      <c r="F689" s="83" t="s">
        <v>115</v>
      </c>
      <c r="G689" s="14" t="s">
        <v>122</v>
      </c>
      <c r="H689" s="14" t="s">
        <v>247</v>
      </c>
    </row>
    <row r="690" spans="1:9">
      <c r="A690" s="3">
        <v>44363</v>
      </c>
      <c r="B690" s="7" t="s">
        <v>1648</v>
      </c>
      <c r="C690" s="8">
        <v>8000000</v>
      </c>
      <c r="D690" s="8">
        <v>0</v>
      </c>
      <c r="E690" s="50">
        <f t="shared" si="15"/>
        <v>1573275693.3099999</v>
      </c>
      <c r="F690" s="83" t="s">
        <v>115</v>
      </c>
      <c r="G690" s="14" t="s">
        <v>122</v>
      </c>
      <c r="H690" s="14" t="s">
        <v>247</v>
      </c>
    </row>
    <row r="691" spans="1:9">
      <c r="A691" s="3">
        <v>44363</v>
      </c>
      <c r="B691" s="7" t="s">
        <v>24</v>
      </c>
      <c r="C691" s="8">
        <v>2797250</v>
      </c>
      <c r="D691" s="8">
        <v>0</v>
      </c>
      <c r="E691" s="50">
        <f t="shared" si="15"/>
        <v>1570478443.3099999</v>
      </c>
      <c r="F691" s="83" t="s">
        <v>107</v>
      </c>
      <c r="G691" s="14" t="s">
        <v>129</v>
      </c>
      <c r="H691" s="14"/>
    </row>
    <row r="692" spans="1:9">
      <c r="A692" s="3">
        <v>44363</v>
      </c>
      <c r="B692" s="7" t="s">
        <v>1649</v>
      </c>
      <c r="C692" s="8">
        <v>25000000</v>
      </c>
      <c r="D692" s="8">
        <v>0</v>
      </c>
      <c r="E692" s="50">
        <f t="shared" si="15"/>
        <v>1545478443.3099999</v>
      </c>
      <c r="F692" s="83" t="s">
        <v>107</v>
      </c>
      <c r="G692" s="14" t="s">
        <v>109</v>
      </c>
      <c r="H692" s="14"/>
    </row>
    <row r="693" spans="1:9">
      <c r="A693" s="3">
        <v>44363</v>
      </c>
      <c r="B693" s="7" t="s">
        <v>1650</v>
      </c>
      <c r="C693" s="8">
        <v>6500</v>
      </c>
      <c r="D693" s="8">
        <v>0</v>
      </c>
      <c r="E693" s="50">
        <f t="shared" si="15"/>
        <v>1545471943.3099999</v>
      </c>
      <c r="F693" s="83" t="s">
        <v>113</v>
      </c>
      <c r="G693" s="14" t="s">
        <v>114</v>
      </c>
      <c r="H693" s="14"/>
    </row>
    <row r="694" spans="1:9">
      <c r="A694" s="3">
        <v>44363</v>
      </c>
      <c r="B694" s="7" t="s">
        <v>1649</v>
      </c>
      <c r="C694" s="8">
        <v>25000000</v>
      </c>
      <c r="D694" s="8">
        <v>0</v>
      </c>
      <c r="E694" s="50">
        <f t="shared" si="15"/>
        <v>1520471943.3099999</v>
      </c>
      <c r="F694" s="83" t="s">
        <v>107</v>
      </c>
      <c r="G694" s="14" t="s">
        <v>109</v>
      </c>
      <c r="H694" s="14"/>
    </row>
    <row r="695" spans="1:9">
      <c r="A695" s="3">
        <v>44363</v>
      </c>
      <c r="B695" s="7" t="s">
        <v>1650</v>
      </c>
      <c r="C695" s="8">
        <v>6500</v>
      </c>
      <c r="D695" s="8">
        <v>0</v>
      </c>
      <c r="E695" s="50">
        <f t="shared" si="15"/>
        <v>1520465443.3099999</v>
      </c>
      <c r="F695" s="83" t="s">
        <v>113</v>
      </c>
      <c r="G695" s="14" t="s">
        <v>114</v>
      </c>
      <c r="H695" s="14"/>
    </row>
    <row r="696" spans="1:9">
      <c r="A696" s="3">
        <v>44363</v>
      </c>
      <c r="B696" s="7" t="s">
        <v>1651</v>
      </c>
      <c r="C696" s="8">
        <v>79604509</v>
      </c>
      <c r="D696" s="8">
        <v>0</v>
      </c>
      <c r="E696" s="50">
        <f t="shared" si="15"/>
        <v>1440860934.3099999</v>
      </c>
      <c r="F696" s="83" t="s">
        <v>115</v>
      </c>
      <c r="G696" s="14" t="s">
        <v>439</v>
      </c>
      <c r="H696" s="14" t="s">
        <v>151</v>
      </c>
    </row>
    <row r="697" spans="1:9" s="14" customFormat="1">
      <c r="A697" s="138">
        <v>44364</v>
      </c>
      <c r="B697" s="49" t="s">
        <v>1652</v>
      </c>
      <c r="C697" s="53">
        <v>66422384</v>
      </c>
      <c r="D697" s="53">
        <v>0</v>
      </c>
      <c r="E697" s="53">
        <f t="shared" si="15"/>
        <v>1374438550.3099999</v>
      </c>
      <c r="F697" s="80" t="s">
        <v>107</v>
      </c>
      <c r="G697" s="14" t="s">
        <v>666</v>
      </c>
      <c r="H697" s="14" t="s">
        <v>142</v>
      </c>
    </row>
    <row r="698" spans="1:9">
      <c r="A698" s="3">
        <v>44364</v>
      </c>
      <c r="B698" s="7" t="s">
        <v>7</v>
      </c>
      <c r="C698" s="8">
        <v>2900</v>
      </c>
      <c r="D698" s="8">
        <v>0</v>
      </c>
      <c r="E698" s="50">
        <f t="shared" si="15"/>
        <v>1374435650.3099999</v>
      </c>
      <c r="F698" s="83" t="s">
        <v>113</v>
      </c>
      <c r="G698" s="14" t="s">
        <v>114</v>
      </c>
      <c r="H698" s="14"/>
    </row>
    <row r="699" spans="1:9" s="14" customFormat="1">
      <c r="A699" s="138">
        <v>44364</v>
      </c>
      <c r="B699" s="49" t="s">
        <v>1653</v>
      </c>
      <c r="C699" s="53">
        <v>38896590</v>
      </c>
      <c r="D699" s="53">
        <v>0</v>
      </c>
      <c r="E699" s="53">
        <f t="shared" si="15"/>
        <v>1335539060.3099999</v>
      </c>
      <c r="F699" s="80" t="s">
        <v>107</v>
      </c>
      <c r="G699" s="14" t="s">
        <v>666</v>
      </c>
      <c r="H699" s="14" t="s">
        <v>143</v>
      </c>
    </row>
    <row r="700" spans="1:9">
      <c r="A700" s="3">
        <v>44364</v>
      </c>
      <c r="B700" s="7" t="s">
        <v>7</v>
      </c>
      <c r="C700" s="8">
        <v>2900</v>
      </c>
      <c r="D700" s="8">
        <v>0</v>
      </c>
      <c r="E700" s="50">
        <f t="shared" si="15"/>
        <v>1335536160.3099999</v>
      </c>
      <c r="F700" s="83" t="s">
        <v>113</v>
      </c>
      <c r="G700" s="14" t="s">
        <v>114</v>
      </c>
      <c r="H700" s="14"/>
    </row>
    <row r="701" spans="1:9">
      <c r="A701" s="3">
        <v>44364</v>
      </c>
      <c r="B701" s="7" t="s">
        <v>1626</v>
      </c>
      <c r="C701" s="54">
        <v>400000000</v>
      </c>
      <c r="D701" s="54">
        <v>0</v>
      </c>
      <c r="E701" s="53">
        <f t="shared" si="15"/>
        <v>935536160.30999994</v>
      </c>
      <c r="F701" s="80" t="s">
        <v>107</v>
      </c>
      <c r="G701" s="14" t="s">
        <v>250</v>
      </c>
      <c r="H701" s="14"/>
    </row>
    <row r="702" spans="1:9">
      <c r="A702" s="3">
        <v>44364</v>
      </c>
      <c r="B702" s="7" t="s">
        <v>1627</v>
      </c>
      <c r="C702" s="8">
        <v>2000</v>
      </c>
      <c r="D702" s="8">
        <v>0</v>
      </c>
      <c r="E702" s="50">
        <f t="shared" si="15"/>
        <v>935534160.30999994</v>
      </c>
      <c r="F702" s="83" t="s">
        <v>113</v>
      </c>
      <c r="G702" s="14" t="s">
        <v>114</v>
      </c>
      <c r="H702" s="14"/>
    </row>
    <row r="703" spans="1:9">
      <c r="A703" s="3">
        <v>44364</v>
      </c>
      <c r="B703" s="7" t="s">
        <v>1654</v>
      </c>
      <c r="C703" s="8">
        <v>2500000</v>
      </c>
      <c r="D703" s="8">
        <v>0</v>
      </c>
      <c r="E703" s="50">
        <f t="shared" si="15"/>
        <v>933034160.30999994</v>
      </c>
      <c r="F703" s="83" t="s">
        <v>107</v>
      </c>
      <c r="G703" s="14" t="s">
        <v>666</v>
      </c>
      <c r="H703" s="14" t="s">
        <v>3405</v>
      </c>
      <c r="I703" t="s">
        <v>3516</v>
      </c>
    </row>
    <row r="704" spans="1:9">
      <c r="A704" s="3">
        <v>44365</v>
      </c>
      <c r="B704" s="7" t="s">
        <v>1655</v>
      </c>
      <c r="C704" s="8">
        <v>18500000</v>
      </c>
      <c r="D704" s="8">
        <v>0</v>
      </c>
      <c r="E704" s="50">
        <f t="shared" si="15"/>
        <v>914534160.30999994</v>
      </c>
      <c r="F704" s="83" t="s">
        <v>137</v>
      </c>
      <c r="G704" s="14" t="s">
        <v>138</v>
      </c>
      <c r="H704" s="14" t="s">
        <v>1127</v>
      </c>
    </row>
    <row r="705" spans="1:12">
      <c r="A705" s="3">
        <v>44365</v>
      </c>
      <c r="B705" s="7" t="s">
        <v>1656</v>
      </c>
      <c r="C705" s="54">
        <v>500000</v>
      </c>
      <c r="D705" s="54">
        <v>0</v>
      </c>
      <c r="E705" s="53">
        <f t="shared" si="15"/>
        <v>914034160.30999994</v>
      </c>
      <c r="F705" s="80" t="s">
        <v>115</v>
      </c>
      <c r="G705" s="14" t="s">
        <v>120</v>
      </c>
      <c r="H705" s="14" t="s">
        <v>127</v>
      </c>
      <c r="I705" t="s">
        <v>444</v>
      </c>
    </row>
    <row r="706" spans="1:12">
      <c r="A706" s="3">
        <v>44365</v>
      </c>
      <c r="B706" s="7" t="s">
        <v>1657</v>
      </c>
      <c r="C706" s="8">
        <v>800000</v>
      </c>
      <c r="D706" s="8">
        <v>0</v>
      </c>
      <c r="E706" s="50">
        <f t="shared" si="15"/>
        <v>913234160.30999994</v>
      </c>
      <c r="F706" s="83" t="s">
        <v>137</v>
      </c>
      <c r="G706" s="14" t="s">
        <v>138</v>
      </c>
      <c r="H706" s="14" t="s">
        <v>3013</v>
      </c>
      <c r="J706" t="s">
        <v>4150</v>
      </c>
      <c r="K706" t="s">
        <v>622</v>
      </c>
      <c r="L706" s="10">
        <v>2021</v>
      </c>
    </row>
    <row r="707" spans="1:12">
      <c r="A707" s="3">
        <v>44365</v>
      </c>
      <c r="B707" s="7" t="s">
        <v>1658</v>
      </c>
      <c r="C707" s="8">
        <v>800000</v>
      </c>
      <c r="D707" s="8">
        <v>0</v>
      </c>
      <c r="E707" s="50">
        <f t="shared" si="15"/>
        <v>912434160.30999994</v>
      </c>
      <c r="F707" s="83" t="s">
        <v>137</v>
      </c>
      <c r="G707" s="14" t="s">
        <v>138</v>
      </c>
      <c r="H707" s="14" t="s">
        <v>4140</v>
      </c>
      <c r="J707" t="s">
        <v>4150</v>
      </c>
      <c r="K707" t="s">
        <v>4152</v>
      </c>
      <c r="L707" s="10">
        <v>2021</v>
      </c>
    </row>
    <row r="708" spans="1:12">
      <c r="A708" s="3">
        <v>44365</v>
      </c>
      <c r="B708" s="7" t="s">
        <v>1659</v>
      </c>
      <c r="C708" s="8">
        <v>800000</v>
      </c>
      <c r="D708" s="8">
        <v>0</v>
      </c>
      <c r="E708" s="50">
        <f t="shared" si="15"/>
        <v>911634160.30999994</v>
      </c>
      <c r="F708" s="83" t="s">
        <v>137</v>
      </c>
      <c r="G708" s="14" t="s">
        <v>138</v>
      </c>
      <c r="H708" s="14" t="s">
        <v>3013</v>
      </c>
      <c r="J708" t="s">
        <v>4150</v>
      </c>
      <c r="K708" t="s">
        <v>4152</v>
      </c>
      <c r="L708" s="10">
        <v>2021</v>
      </c>
    </row>
    <row r="709" spans="1:12">
      <c r="A709" s="3">
        <v>44365</v>
      </c>
      <c r="B709" s="7" t="s">
        <v>1660</v>
      </c>
      <c r="C709" s="8">
        <v>800000</v>
      </c>
      <c r="D709" s="8">
        <v>0</v>
      </c>
      <c r="E709" s="50">
        <f t="shared" si="15"/>
        <v>910834160.30999994</v>
      </c>
      <c r="F709" s="83" t="s">
        <v>137</v>
      </c>
      <c r="G709" s="14" t="s">
        <v>138</v>
      </c>
      <c r="H709" s="14" t="s">
        <v>4140</v>
      </c>
      <c r="J709" t="s">
        <v>4150</v>
      </c>
      <c r="K709" t="s">
        <v>459</v>
      </c>
      <c r="L709" s="10">
        <v>2021</v>
      </c>
    </row>
    <row r="710" spans="1:12">
      <c r="A710" s="3">
        <v>44365</v>
      </c>
      <c r="B710" s="7" t="s">
        <v>1661</v>
      </c>
      <c r="C710" s="8">
        <v>800000</v>
      </c>
      <c r="D710" s="8">
        <v>0</v>
      </c>
      <c r="E710" s="50">
        <f t="shared" si="15"/>
        <v>910034160.30999994</v>
      </c>
      <c r="F710" s="83" t="s">
        <v>137</v>
      </c>
      <c r="G710" s="14" t="s">
        <v>138</v>
      </c>
      <c r="H710" s="14" t="s">
        <v>3013</v>
      </c>
      <c r="J710" t="s">
        <v>4150</v>
      </c>
      <c r="K710" t="s">
        <v>459</v>
      </c>
      <c r="L710" s="10">
        <v>2021</v>
      </c>
    </row>
    <row r="711" spans="1:12">
      <c r="A711" s="3">
        <v>44365</v>
      </c>
      <c r="B711" s="7" t="s">
        <v>1662</v>
      </c>
      <c r="C711" s="8">
        <v>500000</v>
      </c>
      <c r="D711" s="8">
        <v>0</v>
      </c>
      <c r="E711" s="50">
        <f t="shared" si="15"/>
        <v>909534160.30999994</v>
      </c>
      <c r="F711" s="83" t="s">
        <v>137</v>
      </c>
      <c r="G711" s="14" t="s">
        <v>138</v>
      </c>
      <c r="H711" s="14" t="s">
        <v>3013</v>
      </c>
      <c r="J711" t="s">
        <v>4150</v>
      </c>
      <c r="K711" t="s">
        <v>3990</v>
      </c>
      <c r="L711" s="10">
        <v>2021</v>
      </c>
    </row>
    <row r="712" spans="1:12">
      <c r="A712" s="3">
        <v>44365</v>
      </c>
      <c r="B712" s="7" t="s">
        <v>1663</v>
      </c>
      <c r="C712" s="54">
        <v>500000</v>
      </c>
      <c r="D712" s="54">
        <v>0</v>
      </c>
      <c r="E712" s="53">
        <f t="shared" si="15"/>
        <v>909034160.30999994</v>
      </c>
      <c r="F712" s="80" t="s">
        <v>115</v>
      </c>
      <c r="G712" s="14" t="s">
        <v>120</v>
      </c>
      <c r="H712" s="14" t="s">
        <v>127</v>
      </c>
      <c r="I712" t="s">
        <v>444</v>
      </c>
      <c r="J712" t="s">
        <v>4150</v>
      </c>
      <c r="K712" t="s">
        <v>3990</v>
      </c>
      <c r="L712" s="10">
        <v>2020</v>
      </c>
    </row>
    <row r="713" spans="1:12">
      <c r="A713" s="3">
        <v>44365</v>
      </c>
      <c r="B713" s="7" t="s">
        <v>60</v>
      </c>
      <c r="C713" s="8">
        <v>20000</v>
      </c>
      <c r="D713" s="8">
        <v>0</v>
      </c>
      <c r="E713" s="50">
        <f t="shared" si="15"/>
        <v>909014160.30999994</v>
      </c>
      <c r="F713" s="83" t="s">
        <v>113</v>
      </c>
      <c r="G713" s="14" t="s">
        <v>114</v>
      </c>
      <c r="H713" s="14"/>
    </row>
    <row r="714" spans="1:12">
      <c r="A714" s="3">
        <v>44368</v>
      </c>
      <c r="B714" s="7" t="s">
        <v>1664</v>
      </c>
      <c r="C714" s="8">
        <v>800000</v>
      </c>
      <c r="D714" s="8">
        <v>0</v>
      </c>
      <c r="E714" s="50">
        <f t="shared" si="15"/>
        <v>908214160.30999994</v>
      </c>
      <c r="F714" s="83" t="s">
        <v>137</v>
      </c>
      <c r="G714" s="14" t="s">
        <v>138</v>
      </c>
      <c r="H714" s="14" t="s">
        <v>4140</v>
      </c>
      <c r="J714" t="s">
        <v>4150</v>
      </c>
      <c r="K714" t="s">
        <v>119</v>
      </c>
      <c r="L714" s="10">
        <v>2021</v>
      </c>
    </row>
    <row r="715" spans="1:12">
      <c r="A715" s="3">
        <v>44368</v>
      </c>
      <c r="B715" s="7" t="s">
        <v>1665</v>
      </c>
      <c r="C715" s="8">
        <v>1000000</v>
      </c>
      <c r="D715" s="8">
        <v>0</v>
      </c>
      <c r="E715" s="50">
        <f t="shared" si="15"/>
        <v>907214160.30999994</v>
      </c>
      <c r="F715" s="83" t="s">
        <v>137</v>
      </c>
      <c r="G715" s="14" t="s">
        <v>138</v>
      </c>
      <c r="H715" s="14" t="s">
        <v>1129</v>
      </c>
      <c r="J715" t="s">
        <v>4150</v>
      </c>
      <c r="K715" t="s">
        <v>119</v>
      </c>
      <c r="L715" s="10">
        <v>2021</v>
      </c>
    </row>
    <row r="716" spans="1:12">
      <c r="A716" s="3">
        <v>44368</v>
      </c>
      <c r="B716" s="7" t="s">
        <v>1666</v>
      </c>
      <c r="C716" s="8">
        <v>1000000</v>
      </c>
      <c r="D716" s="8">
        <v>0</v>
      </c>
      <c r="E716" s="50">
        <f t="shared" si="15"/>
        <v>906214160.30999994</v>
      </c>
      <c r="F716" s="83" t="s">
        <v>137</v>
      </c>
      <c r="G716" s="14" t="s">
        <v>138</v>
      </c>
      <c r="H716" s="14" t="s">
        <v>1130</v>
      </c>
      <c r="J716" t="s">
        <v>4150</v>
      </c>
      <c r="K716" t="s">
        <v>119</v>
      </c>
      <c r="L716" s="10">
        <v>2021</v>
      </c>
    </row>
    <row r="717" spans="1:12">
      <c r="A717" s="3">
        <v>44368</v>
      </c>
      <c r="B717" s="7" t="s">
        <v>1667</v>
      </c>
      <c r="C717" s="8">
        <v>3500000</v>
      </c>
      <c r="D717" s="8">
        <v>0</v>
      </c>
      <c r="E717" s="50">
        <f t="shared" si="15"/>
        <v>902714160.30999994</v>
      </c>
      <c r="F717" s="83" t="s">
        <v>137</v>
      </c>
      <c r="G717" s="14" t="s">
        <v>138</v>
      </c>
      <c r="H717" s="14" t="s">
        <v>2954</v>
      </c>
      <c r="J717" t="s">
        <v>4150</v>
      </c>
      <c r="K717" t="s">
        <v>119</v>
      </c>
      <c r="L717" s="10">
        <v>2021</v>
      </c>
    </row>
    <row r="718" spans="1:12">
      <c r="A718" s="3">
        <v>44368</v>
      </c>
      <c r="B718" s="7" t="s">
        <v>1668</v>
      </c>
      <c r="C718" s="8">
        <v>3500000</v>
      </c>
      <c r="D718" s="8">
        <v>0</v>
      </c>
      <c r="E718" s="50">
        <f t="shared" si="15"/>
        <v>899214160.30999994</v>
      </c>
      <c r="F718" s="83" t="s">
        <v>137</v>
      </c>
      <c r="G718" s="14" t="s">
        <v>138</v>
      </c>
      <c r="H718" s="14" t="s">
        <v>1961</v>
      </c>
      <c r="J718" t="s">
        <v>4150</v>
      </c>
      <c r="K718" t="s">
        <v>119</v>
      </c>
      <c r="L718" s="10">
        <v>2021</v>
      </c>
    </row>
    <row r="719" spans="1:12">
      <c r="A719" s="3">
        <v>44368</v>
      </c>
      <c r="B719" s="7" t="s">
        <v>1669</v>
      </c>
      <c r="C719" s="8">
        <v>4250000</v>
      </c>
      <c r="D719" s="8">
        <v>0</v>
      </c>
      <c r="E719" s="50">
        <f t="shared" si="15"/>
        <v>894964160.30999994</v>
      </c>
      <c r="F719" s="83" t="s">
        <v>137</v>
      </c>
      <c r="G719" s="14" t="s">
        <v>138</v>
      </c>
      <c r="H719" s="14" t="s">
        <v>3020</v>
      </c>
      <c r="J719" t="s">
        <v>64</v>
      </c>
      <c r="K719" t="s">
        <v>64</v>
      </c>
    </row>
    <row r="720" spans="1:12">
      <c r="A720" s="3">
        <v>44368</v>
      </c>
      <c r="B720" s="7" t="s">
        <v>1670</v>
      </c>
      <c r="C720" s="8">
        <v>1848000</v>
      </c>
      <c r="D720" s="8">
        <v>0</v>
      </c>
      <c r="E720" s="50">
        <f t="shared" si="15"/>
        <v>893116160.30999994</v>
      </c>
      <c r="F720" s="83" t="s">
        <v>248</v>
      </c>
      <c r="G720" s="14" t="s">
        <v>729</v>
      </c>
      <c r="H720" s="14" t="s">
        <v>64</v>
      </c>
    </row>
    <row r="721" spans="1:9">
      <c r="A721" s="3">
        <v>44368</v>
      </c>
      <c r="B721" s="7" t="s">
        <v>1671</v>
      </c>
      <c r="C721" s="8">
        <v>712800</v>
      </c>
      <c r="D721" s="8">
        <v>0</v>
      </c>
      <c r="E721" s="50">
        <f t="shared" si="15"/>
        <v>892403360.30999994</v>
      </c>
      <c r="F721" s="83" t="s">
        <v>137</v>
      </c>
      <c r="G721" s="14" t="s">
        <v>138</v>
      </c>
      <c r="H721" s="14" t="s">
        <v>1127</v>
      </c>
    </row>
    <row r="722" spans="1:9">
      <c r="A722" s="3">
        <v>44368</v>
      </c>
      <c r="B722" s="7" t="s">
        <v>1649</v>
      </c>
      <c r="C722" s="8">
        <v>25000000</v>
      </c>
      <c r="D722" s="8">
        <v>0</v>
      </c>
      <c r="E722" s="50">
        <f t="shared" si="15"/>
        <v>867403360.30999994</v>
      </c>
      <c r="F722" s="83" t="s">
        <v>107</v>
      </c>
      <c r="G722" s="14" t="s">
        <v>109</v>
      </c>
      <c r="H722" s="14"/>
    </row>
    <row r="723" spans="1:9">
      <c r="A723" s="3">
        <v>44368</v>
      </c>
      <c r="B723" s="7" t="s">
        <v>1650</v>
      </c>
      <c r="C723" s="8">
        <v>6500</v>
      </c>
      <c r="D723" s="8">
        <v>0</v>
      </c>
      <c r="E723" s="50">
        <f t="shared" si="15"/>
        <v>867396860.30999994</v>
      </c>
      <c r="F723" s="83" t="s">
        <v>113</v>
      </c>
      <c r="G723" s="14" t="s">
        <v>114</v>
      </c>
      <c r="H723" s="14"/>
    </row>
    <row r="724" spans="1:9">
      <c r="A724" s="3">
        <v>44368</v>
      </c>
      <c r="B724" s="7" t="s">
        <v>1672</v>
      </c>
      <c r="C724" s="8">
        <v>9000000</v>
      </c>
      <c r="D724" s="8">
        <v>0</v>
      </c>
      <c r="E724" s="50">
        <f t="shared" si="15"/>
        <v>858396860.30999994</v>
      </c>
      <c r="F724" s="83" t="s">
        <v>113</v>
      </c>
      <c r="G724" s="14" t="s">
        <v>478</v>
      </c>
      <c r="H724" s="14"/>
    </row>
    <row r="725" spans="1:9">
      <c r="A725" s="3">
        <v>44368</v>
      </c>
      <c r="B725" s="7" t="s">
        <v>1673</v>
      </c>
      <c r="C725" s="8">
        <v>248500000</v>
      </c>
      <c r="D725" s="8">
        <v>0</v>
      </c>
      <c r="E725" s="50">
        <f t="shared" si="15"/>
        <v>609896860.30999994</v>
      </c>
      <c r="F725" s="83" t="s">
        <v>115</v>
      </c>
      <c r="G725" s="14" t="s">
        <v>122</v>
      </c>
      <c r="H725" s="14" t="s">
        <v>247</v>
      </c>
    </row>
    <row r="726" spans="1:9">
      <c r="A726" s="3">
        <v>44368</v>
      </c>
      <c r="B726" s="7" t="s">
        <v>1674</v>
      </c>
      <c r="C726" s="8">
        <v>250000000</v>
      </c>
      <c r="D726" s="8">
        <v>0</v>
      </c>
      <c r="E726" s="50">
        <f t="shared" si="15"/>
        <v>359896860.30999994</v>
      </c>
      <c r="F726" s="83" t="s">
        <v>115</v>
      </c>
      <c r="G726" s="14" t="s">
        <v>122</v>
      </c>
      <c r="H726" s="14" t="s">
        <v>247</v>
      </c>
    </row>
    <row r="727" spans="1:9">
      <c r="A727" s="3">
        <v>44368</v>
      </c>
      <c r="B727" s="7" t="s">
        <v>1675</v>
      </c>
      <c r="C727" s="8">
        <v>1500000</v>
      </c>
      <c r="D727" s="8">
        <v>0</v>
      </c>
      <c r="E727" s="50">
        <f t="shared" si="15"/>
        <v>358396860.30999994</v>
      </c>
      <c r="F727" s="83" t="s">
        <v>248</v>
      </c>
      <c r="G727" s="14" t="s">
        <v>729</v>
      </c>
      <c r="H727" s="14"/>
    </row>
    <row r="728" spans="1:9">
      <c r="A728" s="3">
        <v>44369</v>
      </c>
      <c r="B728" s="7" t="s">
        <v>1676</v>
      </c>
      <c r="C728" s="8">
        <v>898130</v>
      </c>
      <c r="D728" s="8">
        <v>0</v>
      </c>
      <c r="E728" s="50">
        <f t="shared" si="15"/>
        <v>357498730.30999994</v>
      </c>
      <c r="F728" s="83" t="s">
        <v>319</v>
      </c>
      <c r="G728" s="14" t="s">
        <v>1016</v>
      </c>
      <c r="H728" s="14"/>
    </row>
    <row r="729" spans="1:9">
      <c r="A729" s="3">
        <v>44369</v>
      </c>
      <c r="B729" s="7" t="s">
        <v>1677</v>
      </c>
      <c r="C729" s="54">
        <v>13102000</v>
      </c>
      <c r="D729" s="54">
        <v>0</v>
      </c>
      <c r="E729" s="53">
        <f t="shared" si="15"/>
        <v>344396730.30999994</v>
      </c>
      <c r="F729" s="80" t="s">
        <v>115</v>
      </c>
      <c r="G729" s="14" t="s">
        <v>120</v>
      </c>
      <c r="H729" s="14" t="s">
        <v>127</v>
      </c>
      <c r="I729" t="s">
        <v>444</v>
      </c>
    </row>
    <row r="730" spans="1:9">
      <c r="A730" s="3">
        <v>44369</v>
      </c>
      <c r="B730" s="7" t="s">
        <v>24</v>
      </c>
      <c r="C730" s="8">
        <v>2911100</v>
      </c>
      <c r="D730" s="8">
        <v>0</v>
      </c>
      <c r="E730" s="50">
        <f t="shared" si="15"/>
        <v>341485630.30999994</v>
      </c>
      <c r="F730" s="83" t="s">
        <v>107</v>
      </c>
      <c r="G730" s="14" t="s">
        <v>129</v>
      </c>
      <c r="H730" s="14"/>
    </row>
    <row r="731" spans="1:9">
      <c r="A731" s="3">
        <v>44369</v>
      </c>
      <c r="B731" s="7" t="s">
        <v>1678</v>
      </c>
      <c r="C731" s="8">
        <v>1050000</v>
      </c>
      <c r="D731" s="8">
        <v>0</v>
      </c>
      <c r="E731" s="50">
        <f t="shared" si="15"/>
        <v>340435630.30999994</v>
      </c>
      <c r="F731" s="83" t="s">
        <v>137</v>
      </c>
      <c r="G731" s="14" t="s">
        <v>138</v>
      </c>
      <c r="H731" s="14" t="s">
        <v>3032</v>
      </c>
    </row>
    <row r="732" spans="1:9">
      <c r="A732" s="3">
        <v>44369</v>
      </c>
      <c r="B732" s="7" t="s">
        <v>1679</v>
      </c>
      <c r="C732" s="8">
        <v>1050000</v>
      </c>
      <c r="D732" s="8">
        <v>0</v>
      </c>
      <c r="E732" s="50">
        <f t="shared" si="15"/>
        <v>339385630.30999994</v>
      </c>
      <c r="F732" s="83" t="s">
        <v>137</v>
      </c>
      <c r="G732" s="14" t="s">
        <v>138</v>
      </c>
      <c r="H732" s="14" t="s">
        <v>3020</v>
      </c>
    </row>
    <row r="733" spans="1:9">
      <c r="A733" s="3">
        <v>44369</v>
      </c>
      <c r="B733" s="7" t="s">
        <v>1680</v>
      </c>
      <c r="C733" s="8">
        <v>1750000</v>
      </c>
      <c r="D733" s="8">
        <v>0</v>
      </c>
      <c r="E733" s="50">
        <f t="shared" si="15"/>
        <v>337635630.30999994</v>
      </c>
      <c r="F733" s="83" t="s">
        <v>137</v>
      </c>
      <c r="G733" s="14" t="s">
        <v>138</v>
      </c>
      <c r="H733" s="14" t="s">
        <v>4140</v>
      </c>
    </row>
    <row r="734" spans="1:9">
      <c r="A734" s="3">
        <v>44369</v>
      </c>
      <c r="B734" s="7" t="s">
        <v>2476</v>
      </c>
      <c r="C734" s="8">
        <v>7280000</v>
      </c>
      <c r="D734" s="8">
        <v>0</v>
      </c>
      <c r="E734" s="50">
        <f t="shared" si="15"/>
        <v>330355630.30999994</v>
      </c>
      <c r="F734" s="83" t="s">
        <v>137</v>
      </c>
      <c r="G734" s="14" t="s">
        <v>138</v>
      </c>
      <c r="H734" s="14" t="s">
        <v>3020</v>
      </c>
    </row>
    <row r="735" spans="1:9">
      <c r="A735" s="3">
        <v>44369</v>
      </c>
      <c r="B735" s="7" t="s">
        <v>1681</v>
      </c>
      <c r="C735" s="8">
        <v>2000000</v>
      </c>
      <c r="D735" s="8">
        <v>0</v>
      </c>
      <c r="E735" s="50">
        <f t="shared" si="15"/>
        <v>328355630.30999994</v>
      </c>
      <c r="F735" s="83" t="s">
        <v>137</v>
      </c>
      <c r="G735" s="14" t="s">
        <v>138</v>
      </c>
      <c r="H735" s="14" t="s">
        <v>3013</v>
      </c>
    </row>
    <row r="736" spans="1:9">
      <c r="A736" s="3">
        <v>44369</v>
      </c>
      <c r="B736" s="7" t="s">
        <v>1682</v>
      </c>
      <c r="C736" s="8">
        <v>500000</v>
      </c>
      <c r="D736" s="8">
        <v>0</v>
      </c>
      <c r="E736" s="50">
        <f t="shared" si="15"/>
        <v>327855630.30999994</v>
      </c>
      <c r="F736" s="83" t="s">
        <v>137</v>
      </c>
      <c r="G736" s="14" t="s">
        <v>138</v>
      </c>
      <c r="H736" s="14" t="s">
        <v>3013</v>
      </c>
    </row>
    <row r="737" spans="1:12">
      <c r="A737" s="3">
        <v>44369</v>
      </c>
      <c r="B737" s="7" t="s">
        <v>1683</v>
      </c>
      <c r="C737" s="8">
        <v>2000000</v>
      </c>
      <c r="D737" s="8">
        <v>0</v>
      </c>
      <c r="E737" s="50">
        <f t="shared" si="15"/>
        <v>325855630.30999994</v>
      </c>
      <c r="F737" s="83" t="s">
        <v>137</v>
      </c>
      <c r="G737" s="14" t="s">
        <v>138</v>
      </c>
      <c r="H737" s="14" t="s">
        <v>3013</v>
      </c>
    </row>
    <row r="738" spans="1:12">
      <c r="A738" s="3">
        <v>44369</v>
      </c>
      <c r="B738" s="7" t="s">
        <v>1684</v>
      </c>
      <c r="C738" s="8">
        <v>4975000</v>
      </c>
      <c r="D738" s="8">
        <v>0</v>
      </c>
      <c r="E738" s="50">
        <f t="shared" si="15"/>
        <v>320880630.30999994</v>
      </c>
      <c r="F738" s="83" t="s">
        <v>137</v>
      </c>
      <c r="G738" s="14" t="s">
        <v>138</v>
      </c>
      <c r="H738" s="14" t="s">
        <v>3020</v>
      </c>
    </row>
    <row r="739" spans="1:12">
      <c r="A739" s="3">
        <v>44369</v>
      </c>
      <c r="B739" s="7" t="s">
        <v>1685</v>
      </c>
      <c r="C739" s="8">
        <v>2500000</v>
      </c>
      <c r="D739" s="8">
        <v>0</v>
      </c>
      <c r="E739" s="50">
        <f t="shared" si="15"/>
        <v>318380630.30999994</v>
      </c>
      <c r="F739" s="83" t="s">
        <v>137</v>
      </c>
      <c r="G739" s="14" t="s">
        <v>138</v>
      </c>
      <c r="H739" s="14" t="s">
        <v>1127</v>
      </c>
    </row>
    <row r="740" spans="1:12">
      <c r="A740" s="3">
        <v>44369</v>
      </c>
      <c r="B740" s="7" t="s">
        <v>1686</v>
      </c>
      <c r="C740" s="8">
        <v>1500000</v>
      </c>
      <c r="D740" s="8">
        <v>0</v>
      </c>
      <c r="E740" s="50">
        <f t="shared" ref="E740:E803" si="16">E739-C740+D740</f>
        <v>316880630.30999994</v>
      </c>
      <c r="F740" s="83" t="s">
        <v>137</v>
      </c>
      <c r="G740" s="14" t="s">
        <v>138</v>
      </c>
      <c r="H740" s="14" t="s">
        <v>3013</v>
      </c>
      <c r="J740" t="s">
        <v>4150</v>
      </c>
      <c r="K740" t="s">
        <v>480</v>
      </c>
      <c r="L740" s="10">
        <v>2021</v>
      </c>
    </row>
    <row r="741" spans="1:12">
      <c r="A741" s="3">
        <v>44369</v>
      </c>
      <c r="B741" s="7" t="s">
        <v>1687</v>
      </c>
      <c r="C741" s="8">
        <v>900000</v>
      </c>
      <c r="D741" s="8">
        <v>0</v>
      </c>
      <c r="E741" s="50">
        <f t="shared" si="16"/>
        <v>315980630.30999994</v>
      </c>
      <c r="F741" s="83" t="s">
        <v>137</v>
      </c>
      <c r="G741" s="14" t="s">
        <v>138</v>
      </c>
      <c r="H741" t="s">
        <v>173</v>
      </c>
      <c r="J741" t="s">
        <v>4150</v>
      </c>
      <c r="K741" t="s">
        <v>128</v>
      </c>
      <c r="L741" s="10">
        <v>2021</v>
      </c>
    </row>
    <row r="742" spans="1:12">
      <c r="A742" s="3">
        <v>44369</v>
      </c>
      <c r="B742" s="7" t="s">
        <v>1688</v>
      </c>
      <c r="C742" s="8">
        <v>300000</v>
      </c>
      <c r="D742" s="8">
        <v>0</v>
      </c>
      <c r="E742" s="50">
        <f t="shared" si="16"/>
        <v>315680630.30999994</v>
      </c>
      <c r="F742" s="83" t="s">
        <v>137</v>
      </c>
      <c r="G742" s="14" t="s">
        <v>138</v>
      </c>
      <c r="H742" s="14" t="s">
        <v>1015</v>
      </c>
      <c r="J742" t="s">
        <v>4150</v>
      </c>
      <c r="K742" t="s">
        <v>128</v>
      </c>
      <c r="L742" s="10">
        <v>2021</v>
      </c>
    </row>
    <row r="743" spans="1:12">
      <c r="A743" s="3">
        <v>44369</v>
      </c>
      <c r="B743" s="7" t="s">
        <v>1689</v>
      </c>
      <c r="C743" s="8">
        <v>1200000</v>
      </c>
      <c r="D743" s="8">
        <v>0</v>
      </c>
      <c r="E743" s="50">
        <f t="shared" si="16"/>
        <v>314480630.30999994</v>
      </c>
      <c r="F743" s="83" t="s">
        <v>137</v>
      </c>
      <c r="G743" s="14" t="s">
        <v>138</v>
      </c>
      <c r="H743" s="14" t="s">
        <v>3030</v>
      </c>
      <c r="J743" t="s">
        <v>4150</v>
      </c>
      <c r="K743" t="s">
        <v>128</v>
      </c>
      <c r="L743" s="10">
        <v>2021</v>
      </c>
    </row>
    <row r="744" spans="1:12">
      <c r="A744" s="3">
        <v>44369</v>
      </c>
      <c r="B744" s="7" t="s">
        <v>1690</v>
      </c>
      <c r="C744" s="8">
        <v>400000</v>
      </c>
      <c r="D744" s="8">
        <v>0</v>
      </c>
      <c r="E744" s="50">
        <f t="shared" si="16"/>
        <v>314080630.30999994</v>
      </c>
      <c r="F744" s="83" t="s">
        <v>137</v>
      </c>
      <c r="G744" s="14" t="s">
        <v>138</v>
      </c>
      <c r="H744" s="14" t="s">
        <v>1128</v>
      </c>
      <c r="J744" t="s">
        <v>4150</v>
      </c>
      <c r="K744" t="s">
        <v>128</v>
      </c>
      <c r="L744" s="10">
        <v>2021</v>
      </c>
    </row>
    <row r="745" spans="1:12">
      <c r="A745" s="3">
        <v>44369</v>
      </c>
      <c r="B745" s="7" t="s">
        <v>1691</v>
      </c>
      <c r="C745" s="8">
        <v>400000</v>
      </c>
      <c r="D745" s="8">
        <v>0</v>
      </c>
      <c r="E745" s="50">
        <f t="shared" si="16"/>
        <v>313680630.30999994</v>
      </c>
      <c r="F745" s="83" t="s">
        <v>137</v>
      </c>
      <c r="G745" s="14" t="s">
        <v>138</v>
      </c>
      <c r="H745" s="14" t="s">
        <v>1128</v>
      </c>
      <c r="J745" t="s">
        <v>4150</v>
      </c>
      <c r="K745" t="s">
        <v>128</v>
      </c>
      <c r="L745" s="10">
        <v>2021</v>
      </c>
    </row>
    <row r="746" spans="1:12">
      <c r="A746" s="3">
        <v>44369</v>
      </c>
      <c r="B746" s="7" t="s">
        <v>1692</v>
      </c>
      <c r="C746" s="54">
        <v>400000</v>
      </c>
      <c r="D746" s="54">
        <v>0</v>
      </c>
      <c r="E746" s="53">
        <f t="shared" si="16"/>
        <v>313280630.30999994</v>
      </c>
      <c r="F746" s="80" t="s">
        <v>115</v>
      </c>
      <c r="G746" s="14" t="s">
        <v>120</v>
      </c>
      <c r="H746" s="14" t="s">
        <v>127</v>
      </c>
      <c r="I746" t="s">
        <v>444</v>
      </c>
      <c r="J746" t="s">
        <v>4150</v>
      </c>
      <c r="K746" t="s">
        <v>128</v>
      </c>
      <c r="L746" s="10">
        <v>2020</v>
      </c>
    </row>
    <row r="747" spans="1:12">
      <c r="A747" s="3">
        <v>44369</v>
      </c>
      <c r="B747" s="7" t="s">
        <v>1693</v>
      </c>
      <c r="C747" s="54">
        <v>800000</v>
      </c>
      <c r="D747" s="54">
        <v>0</v>
      </c>
      <c r="E747" s="53">
        <f t="shared" si="16"/>
        <v>312480630.30999994</v>
      </c>
      <c r="F747" s="80" t="s">
        <v>115</v>
      </c>
      <c r="G747" s="14" t="s">
        <v>120</v>
      </c>
      <c r="H747" s="14" t="s">
        <v>127</v>
      </c>
      <c r="I747" t="s">
        <v>444</v>
      </c>
      <c r="J747" t="s">
        <v>4150</v>
      </c>
      <c r="K747" t="s">
        <v>128</v>
      </c>
      <c r="L747" s="10">
        <v>2020</v>
      </c>
    </row>
    <row r="748" spans="1:12">
      <c r="A748" s="3">
        <v>44369</v>
      </c>
      <c r="B748" s="7" t="s">
        <v>1694</v>
      </c>
      <c r="C748" s="8">
        <v>1231900</v>
      </c>
      <c r="D748" s="8">
        <v>0</v>
      </c>
      <c r="E748" s="50">
        <f t="shared" si="16"/>
        <v>311248730.30999994</v>
      </c>
      <c r="F748" s="83" t="s">
        <v>137</v>
      </c>
      <c r="G748" s="14" t="s">
        <v>138</v>
      </c>
      <c r="H748" s="14" t="s">
        <v>3013</v>
      </c>
    </row>
    <row r="749" spans="1:12">
      <c r="A749" s="3">
        <v>44375</v>
      </c>
      <c r="B749" s="7" t="s">
        <v>1695</v>
      </c>
      <c r="C749" s="54">
        <v>0</v>
      </c>
      <c r="D749" s="54">
        <v>400000000</v>
      </c>
      <c r="E749" s="53">
        <f t="shared" si="16"/>
        <v>711248730.30999994</v>
      </c>
      <c r="F749" s="80" t="s">
        <v>107</v>
      </c>
      <c r="G749" s="14" t="s">
        <v>250</v>
      </c>
      <c r="H749" s="14" t="s">
        <v>64</v>
      </c>
    </row>
    <row r="750" spans="1:12">
      <c r="A750" s="12">
        <v>44376</v>
      </c>
      <c r="B750" s="7" t="s">
        <v>1696</v>
      </c>
      <c r="C750" s="8">
        <v>11400000</v>
      </c>
      <c r="D750" s="8">
        <v>0</v>
      </c>
      <c r="E750" s="50">
        <f t="shared" si="16"/>
        <v>699848730.30999994</v>
      </c>
      <c r="F750" s="83" t="s">
        <v>107</v>
      </c>
      <c r="G750" s="14" t="s">
        <v>666</v>
      </c>
      <c r="H750" s="14" t="s">
        <v>3405</v>
      </c>
      <c r="I750" t="s">
        <v>3555</v>
      </c>
    </row>
    <row r="751" spans="1:12">
      <c r="A751" s="12">
        <v>44376</v>
      </c>
      <c r="B751" s="7" t="s">
        <v>1697</v>
      </c>
      <c r="C751" s="8">
        <v>74035000</v>
      </c>
      <c r="D751" s="8">
        <v>0</v>
      </c>
      <c r="E751" s="50">
        <f t="shared" si="16"/>
        <v>625813730.30999994</v>
      </c>
      <c r="F751" s="83" t="s">
        <v>248</v>
      </c>
      <c r="G751" s="14" t="s">
        <v>249</v>
      </c>
      <c r="H751" s="14"/>
    </row>
    <row r="752" spans="1:12">
      <c r="A752" s="12">
        <v>44376</v>
      </c>
      <c r="B752" s="7" t="s">
        <v>1698</v>
      </c>
      <c r="C752" s="8">
        <v>0</v>
      </c>
      <c r="D752" s="8">
        <v>200000</v>
      </c>
      <c r="E752" s="50">
        <f t="shared" si="16"/>
        <v>626013730.30999994</v>
      </c>
      <c r="F752" s="83" t="s">
        <v>110</v>
      </c>
      <c r="G752" s="14" t="s">
        <v>620</v>
      </c>
      <c r="H752" s="14" t="s">
        <v>625</v>
      </c>
    </row>
    <row r="753" spans="1:8">
      <c r="A753" s="12">
        <v>44376</v>
      </c>
      <c r="B753" s="7" t="s">
        <v>1699</v>
      </c>
      <c r="C753" s="8">
        <v>0</v>
      </c>
      <c r="D753" s="8">
        <v>200000</v>
      </c>
      <c r="E753" s="50">
        <f t="shared" si="16"/>
        <v>626213730.30999994</v>
      </c>
      <c r="F753" s="83" t="s">
        <v>110</v>
      </c>
      <c r="G753" s="14" t="s">
        <v>620</v>
      </c>
      <c r="H753" s="14" t="s">
        <v>2083</v>
      </c>
    </row>
    <row r="754" spans="1:8">
      <c r="A754" s="3">
        <v>44377</v>
      </c>
      <c r="B754" s="7" t="s">
        <v>1700</v>
      </c>
      <c r="C754" s="8">
        <v>150000000</v>
      </c>
      <c r="D754" s="8">
        <v>0</v>
      </c>
      <c r="E754" s="50">
        <f t="shared" si="16"/>
        <v>476213730.30999994</v>
      </c>
      <c r="F754" s="83" t="s">
        <v>115</v>
      </c>
      <c r="G754" s="14" t="s">
        <v>122</v>
      </c>
      <c r="H754" s="14" t="s">
        <v>149</v>
      </c>
    </row>
    <row r="755" spans="1:8">
      <c r="A755" s="3">
        <v>44377</v>
      </c>
      <c r="B755" s="7" t="s">
        <v>7</v>
      </c>
      <c r="C755" s="8">
        <v>2900</v>
      </c>
      <c r="D755" s="8">
        <v>0</v>
      </c>
      <c r="E755" s="50">
        <f t="shared" si="16"/>
        <v>476210830.30999994</v>
      </c>
      <c r="F755" s="83" t="s">
        <v>113</v>
      </c>
      <c r="G755" s="14" t="s">
        <v>114</v>
      </c>
      <c r="H755" s="14"/>
    </row>
    <row r="756" spans="1:8">
      <c r="A756" s="3">
        <v>44377</v>
      </c>
      <c r="B756" s="7" t="s">
        <v>1701</v>
      </c>
      <c r="C756" s="8">
        <v>100000000</v>
      </c>
      <c r="D756" s="8">
        <v>0</v>
      </c>
      <c r="E756" s="50">
        <f t="shared" si="16"/>
        <v>376210830.30999994</v>
      </c>
      <c r="F756" s="83" t="s">
        <v>115</v>
      </c>
      <c r="G756" s="14" t="s">
        <v>122</v>
      </c>
      <c r="H756" s="14" t="s">
        <v>149</v>
      </c>
    </row>
    <row r="757" spans="1:8">
      <c r="A757" s="3">
        <v>44377</v>
      </c>
      <c r="B757" s="7" t="s">
        <v>7</v>
      </c>
      <c r="C757" s="8">
        <v>2900</v>
      </c>
      <c r="D757" s="8">
        <v>0</v>
      </c>
      <c r="E757" s="50">
        <f t="shared" si="16"/>
        <v>376207930.30999994</v>
      </c>
      <c r="F757" s="83" t="s">
        <v>113</v>
      </c>
      <c r="G757" s="14" t="s">
        <v>114</v>
      </c>
      <c r="H757" s="14"/>
    </row>
    <row r="758" spans="1:8">
      <c r="A758" s="3">
        <v>44377</v>
      </c>
      <c r="B758" s="7" t="s">
        <v>240</v>
      </c>
      <c r="C758" s="8">
        <v>0</v>
      </c>
      <c r="D758" s="8">
        <v>14556.15</v>
      </c>
      <c r="E758" s="50">
        <f t="shared" si="16"/>
        <v>376222486.45999992</v>
      </c>
      <c r="F758" s="83" t="s">
        <v>252</v>
      </c>
      <c r="G758" s="14" t="s">
        <v>253</v>
      </c>
      <c r="H758" s="14"/>
    </row>
    <row r="759" spans="1:8">
      <c r="A759" s="3">
        <v>44377</v>
      </c>
      <c r="B759" s="7" t="s">
        <v>1702</v>
      </c>
      <c r="C759" s="8">
        <v>2911.23</v>
      </c>
      <c r="D759" s="8">
        <v>0</v>
      </c>
      <c r="E759" s="50">
        <f t="shared" si="16"/>
        <v>376219575.2299999</v>
      </c>
      <c r="F759" s="83" t="s">
        <v>252</v>
      </c>
      <c r="G759" s="14" t="s">
        <v>253</v>
      </c>
      <c r="H759" s="14"/>
    </row>
    <row r="760" spans="1:8">
      <c r="A760" s="3">
        <v>44378</v>
      </c>
      <c r="B760" s="7" t="s">
        <v>1703</v>
      </c>
      <c r="C760" s="8">
        <v>100000000</v>
      </c>
      <c r="D760" s="8">
        <v>0</v>
      </c>
      <c r="E760" s="50">
        <f t="shared" si="16"/>
        <v>276219575.2299999</v>
      </c>
      <c r="F760" s="83" t="s">
        <v>115</v>
      </c>
      <c r="G760" s="14" t="s">
        <v>122</v>
      </c>
      <c r="H760" s="14" t="s">
        <v>149</v>
      </c>
    </row>
    <row r="761" spans="1:8">
      <c r="A761" s="3">
        <v>44378</v>
      </c>
      <c r="B761" s="7" t="s">
        <v>7</v>
      </c>
      <c r="C761" s="8">
        <v>2900</v>
      </c>
      <c r="D761" s="8">
        <v>0</v>
      </c>
      <c r="E761" s="50">
        <f t="shared" si="16"/>
        <v>276216675.2299999</v>
      </c>
      <c r="F761" s="83" t="s">
        <v>113</v>
      </c>
      <c r="G761" s="14" t="s">
        <v>114</v>
      </c>
      <c r="H761" s="14"/>
    </row>
    <row r="762" spans="1:8">
      <c r="A762" s="3">
        <v>44378</v>
      </c>
      <c r="B762" s="7" t="s">
        <v>1704</v>
      </c>
      <c r="C762" s="8">
        <v>100000000</v>
      </c>
      <c r="D762" s="8">
        <v>0</v>
      </c>
      <c r="E762" s="50">
        <f t="shared" si="16"/>
        <v>176216675.2299999</v>
      </c>
      <c r="F762" s="83" t="s">
        <v>115</v>
      </c>
      <c r="G762" s="14" t="s">
        <v>122</v>
      </c>
      <c r="H762" s="14" t="s">
        <v>149</v>
      </c>
    </row>
    <row r="763" spans="1:8">
      <c r="A763" s="3">
        <v>44378</v>
      </c>
      <c r="B763" s="7" t="s">
        <v>7</v>
      </c>
      <c r="C763" s="8">
        <v>2900</v>
      </c>
      <c r="D763" s="8">
        <v>0</v>
      </c>
      <c r="E763" s="50">
        <f t="shared" si="16"/>
        <v>176213775.2299999</v>
      </c>
      <c r="F763" s="83" t="s">
        <v>113</v>
      </c>
      <c r="G763" s="14" t="s">
        <v>114</v>
      </c>
      <c r="H763" s="14"/>
    </row>
    <row r="764" spans="1:8">
      <c r="A764" s="3">
        <v>44378</v>
      </c>
      <c r="B764" s="7" t="s">
        <v>1705</v>
      </c>
      <c r="C764" s="8">
        <v>1270000</v>
      </c>
      <c r="D764" s="8">
        <v>0</v>
      </c>
      <c r="E764" s="50">
        <f t="shared" si="16"/>
        <v>174943775.2299999</v>
      </c>
      <c r="F764" s="83" t="s">
        <v>137</v>
      </c>
      <c r="G764" s="14" t="s">
        <v>138</v>
      </c>
      <c r="H764" s="14" t="s">
        <v>4140</v>
      </c>
    </row>
    <row r="765" spans="1:8">
      <c r="A765" s="3">
        <v>44378</v>
      </c>
      <c r="B765" s="7" t="s">
        <v>1706</v>
      </c>
      <c r="C765" s="8">
        <v>1770000</v>
      </c>
      <c r="D765" s="8">
        <v>0</v>
      </c>
      <c r="E765" s="50">
        <f t="shared" si="16"/>
        <v>173173775.2299999</v>
      </c>
      <c r="F765" s="83" t="s">
        <v>137</v>
      </c>
      <c r="G765" s="14" t="s">
        <v>138</v>
      </c>
      <c r="H765" s="14" t="s">
        <v>3013</v>
      </c>
    </row>
    <row r="766" spans="1:8">
      <c r="A766" s="3">
        <v>44378</v>
      </c>
      <c r="B766" s="7" t="s">
        <v>1707</v>
      </c>
      <c r="C766" s="8">
        <v>7000000</v>
      </c>
      <c r="D766" s="8">
        <v>0</v>
      </c>
      <c r="E766" s="50">
        <f t="shared" si="16"/>
        <v>166173775.2299999</v>
      </c>
      <c r="F766" s="83" t="s">
        <v>137</v>
      </c>
      <c r="G766" s="14" t="s">
        <v>138</v>
      </c>
      <c r="H766" s="14" t="s">
        <v>3013</v>
      </c>
    </row>
    <row r="767" spans="1:8">
      <c r="A767" s="3">
        <v>44378</v>
      </c>
      <c r="B767" s="7" t="s">
        <v>1708</v>
      </c>
      <c r="C767" s="8">
        <v>8500000</v>
      </c>
      <c r="D767" s="8">
        <v>0</v>
      </c>
      <c r="E767" s="50">
        <f t="shared" si="16"/>
        <v>157673775.2299999</v>
      </c>
      <c r="F767" s="83" t="s">
        <v>137</v>
      </c>
      <c r="G767" s="14" t="s">
        <v>138</v>
      </c>
      <c r="H767" s="14" t="s">
        <v>3013</v>
      </c>
    </row>
    <row r="768" spans="1:8">
      <c r="A768" s="3">
        <v>44378</v>
      </c>
      <c r="B768" s="7" t="s">
        <v>1709</v>
      </c>
      <c r="C768" s="8">
        <v>1000000</v>
      </c>
      <c r="D768" s="8">
        <v>0</v>
      </c>
      <c r="E768" s="50">
        <f t="shared" si="16"/>
        <v>156673775.2299999</v>
      </c>
      <c r="F768" s="83" t="s">
        <v>137</v>
      </c>
      <c r="G768" s="14" t="s">
        <v>138</v>
      </c>
      <c r="H768" s="14" t="s">
        <v>3013</v>
      </c>
    </row>
    <row r="769" spans="1:12">
      <c r="A769" s="3">
        <v>44378</v>
      </c>
      <c r="B769" s="7" t="s">
        <v>1710</v>
      </c>
      <c r="C769" s="8">
        <v>7500000</v>
      </c>
      <c r="D769" s="8">
        <v>0</v>
      </c>
      <c r="E769" s="50">
        <f t="shared" si="16"/>
        <v>149173775.2299999</v>
      </c>
      <c r="F769" s="83" t="s">
        <v>137</v>
      </c>
      <c r="G769" s="14" t="s">
        <v>138</v>
      </c>
      <c r="H769" s="14" t="s">
        <v>3013</v>
      </c>
    </row>
    <row r="770" spans="1:12">
      <c r="A770" s="3">
        <v>44378</v>
      </c>
      <c r="B770" s="7" t="s">
        <v>1711</v>
      </c>
      <c r="C770" s="8">
        <v>2100000</v>
      </c>
      <c r="D770" s="8">
        <v>0</v>
      </c>
      <c r="E770" s="50">
        <f t="shared" si="16"/>
        <v>147073775.2299999</v>
      </c>
      <c r="F770" s="83" t="s">
        <v>137</v>
      </c>
      <c r="G770" s="14" t="s">
        <v>138</v>
      </c>
      <c r="H770" s="14" t="s">
        <v>3013</v>
      </c>
    </row>
    <row r="771" spans="1:12">
      <c r="A771" s="3">
        <v>44378</v>
      </c>
      <c r="B771" s="7" t="s">
        <v>1712</v>
      </c>
      <c r="C771" s="54">
        <v>1950000</v>
      </c>
      <c r="D771" s="54">
        <v>0</v>
      </c>
      <c r="E771" s="53">
        <f t="shared" si="16"/>
        <v>145123775.2299999</v>
      </c>
      <c r="F771" s="80" t="s">
        <v>115</v>
      </c>
      <c r="G771" s="14" t="s">
        <v>120</v>
      </c>
      <c r="H771" t="s">
        <v>486</v>
      </c>
    </row>
    <row r="772" spans="1:12">
      <c r="A772" s="3">
        <v>44378</v>
      </c>
      <c r="B772" s="7" t="s">
        <v>1713</v>
      </c>
      <c r="C772" s="8">
        <v>275000</v>
      </c>
      <c r="D772" s="8">
        <v>0</v>
      </c>
      <c r="E772" s="50">
        <f t="shared" si="16"/>
        <v>144848775.2299999</v>
      </c>
      <c r="F772" s="83" t="s">
        <v>137</v>
      </c>
      <c r="G772" s="14" t="s">
        <v>138</v>
      </c>
      <c r="H772" s="14" t="s">
        <v>1128</v>
      </c>
    </row>
    <row r="773" spans="1:12">
      <c r="A773" s="3">
        <v>44378</v>
      </c>
      <c r="B773" s="7" t="s">
        <v>1714</v>
      </c>
      <c r="C773" s="8">
        <v>400000</v>
      </c>
      <c r="D773" s="8">
        <v>0</v>
      </c>
      <c r="E773" s="50">
        <f t="shared" si="16"/>
        <v>144448775.2299999</v>
      </c>
      <c r="F773" s="83" t="s">
        <v>137</v>
      </c>
      <c r="G773" s="14" t="s">
        <v>138</v>
      </c>
      <c r="H773" s="14" t="s">
        <v>3033</v>
      </c>
      <c r="J773" t="s">
        <v>4150</v>
      </c>
      <c r="K773" t="s">
        <v>119</v>
      </c>
      <c r="L773" s="10">
        <v>2021</v>
      </c>
    </row>
    <row r="774" spans="1:12">
      <c r="A774" s="3">
        <v>44378</v>
      </c>
      <c r="B774" s="7" t="s">
        <v>1715</v>
      </c>
      <c r="C774" s="8">
        <v>3500000</v>
      </c>
      <c r="D774" s="8">
        <v>0</v>
      </c>
      <c r="E774" s="50">
        <f t="shared" si="16"/>
        <v>140948775.2299999</v>
      </c>
      <c r="F774" s="83" t="s">
        <v>137</v>
      </c>
      <c r="G774" s="14" t="s">
        <v>138</v>
      </c>
      <c r="H774" s="14" t="s">
        <v>3032</v>
      </c>
      <c r="J774" t="s">
        <v>4150</v>
      </c>
      <c r="K774" t="s">
        <v>119</v>
      </c>
      <c r="L774" s="10">
        <v>2021</v>
      </c>
    </row>
    <row r="775" spans="1:12">
      <c r="A775" s="3">
        <v>44378</v>
      </c>
      <c r="B775" s="7" t="s">
        <v>1716</v>
      </c>
      <c r="C775" s="8">
        <v>300000</v>
      </c>
      <c r="D775" s="8">
        <v>0</v>
      </c>
      <c r="E775" s="50">
        <f t="shared" si="16"/>
        <v>140648775.2299999</v>
      </c>
      <c r="F775" s="83" t="s">
        <v>137</v>
      </c>
      <c r="G775" s="14" t="s">
        <v>138</v>
      </c>
      <c r="H775" s="14" t="s">
        <v>3013</v>
      </c>
    </row>
    <row r="776" spans="1:12">
      <c r="A776" s="3">
        <v>44378</v>
      </c>
      <c r="B776" s="7" t="s">
        <v>1717</v>
      </c>
      <c r="C776" s="8">
        <v>300000</v>
      </c>
      <c r="D776" s="8">
        <v>0</v>
      </c>
      <c r="E776" s="50">
        <f t="shared" si="16"/>
        <v>140348775.2299999</v>
      </c>
      <c r="F776" s="83" t="s">
        <v>137</v>
      </c>
      <c r="G776" s="14" t="s">
        <v>138</v>
      </c>
      <c r="H776" s="14" t="s">
        <v>3013</v>
      </c>
    </row>
    <row r="777" spans="1:12">
      <c r="A777" s="3">
        <v>44378</v>
      </c>
      <c r="B777" s="7" t="s">
        <v>1718</v>
      </c>
      <c r="C777" s="8">
        <v>10800000</v>
      </c>
      <c r="D777" s="8">
        <v>0</v>
      </c>
      <c r="E777" s="50">
        <f t="shared" si="16"/>
        <v>129548775.2299999</v>
      </c>
      <c r="F777" s="83" t="s">
        <v>137</v>
      </c>
      <c r="G777" s="14" t="s">
        <v>138</v>
      </c>
      <c r="H777" s="14" t="s">
        <v>3040</v>
      </c>
    </row>
    <row r="778" spans="1:12" s="64" customFormat="1">
      <c r="A778" s="220">
        <v>44379</v>
      </c>
      <c r="B778" s="221" t="s">
        <v>1719</v>
      </c>
      <c r="C778" s="72">
        <v>23400000</v>
      </c>
      <c r="D778" s="72">
        <v>0</v>
      </c>
      <c r="E778" s="72">
        <f t="shared" si="16"/>
        <v>106148775.2299999</v>
      </c>
      <c r="F778" s="225" t="s">
        <v>137</v>
      </c>
      <c r="G778" s="64" t="s">
        <v>138</v>
      </c>
      <c r="H778" s="64" t="s">
        <v>3026</v>
      </c>
    </row>
    <row r="779" spans="1:12">
      <c r="A779" s="3">
        <v>44383</v>
      </c>
      <c r="B779" s="7" t="s">
        <v>1720</v>
      </c>
      <c r="C779" s="8">
        <v>2971230</v>
      </c>
      <c r="D779" s="8">
        <v>0</v>
      </c>
      <c r="E779" s="50">
        <f t="shared" si="16"/>
        <v>103177545.2299999</v>
      </c>
      <c r="F779" s="83" t="s">
        <v>107</v>
      </c>
      <c r="G779" s="14" t="s">
        <v>129</v>
      </c>
      <c r="H779" s="14"/>
    </row>
    <row r="780" spans="1:12">
      <c r="A780" s="3">
        <v>44383</v>
      </c>
      <c r="B780" s="7" t="s">
        <v>2477</v>
      </c>
      <c r="C780" s="8">
        <v>734000</v>
      </c>
      <c r="D780" s="8">
        <v>0</v>
      </c>
      <c r="E780" s="50">
        <f t="shared" si="16"/>
        <v>102443545.2299999</v>
      </c>
      <c r="F780" s="83" t="s">
        <v>137</v>
      </c>
      <c r="G780" s="14" t="s">
        <v>138</v>
      </c>
      <c r="H780" s="14" t="s">
        <v>3033</v>
      </c>
    </row>
    <row r="781" spans="1:12">
      <c r="A781" s="3">
        <v>44383</v>
      </c>
      <c r="B781" s="7" t="s">
        <v>1721</v>
      </c>
      <c r="C781" s="8">
        <v>2000000</v>
      </c>
      <c r="D781" s="8">
        <v>0</v>
      </c>
      <c r="E781" s="50">
        <f t="shared" si="16"/>
        <v>100443545.2299999</v>
      </c>
      <c r="F781" s="83" t="s">
        <v>137</v>
      </c>
      <c r="G781" s="14" t="s">
        <v>138</v>
      </c>
      <c r="H781" t="s">
        <v>603</v>
      </c>
    </row>
    <row r="782" spans="1:12">
      <c r="A782" s="3">
        <v>44383</v>
      </c>
      <c r="B782" s="7" t="s">
        <v>1722</v>
      </c>
      <c r="C782" s="8">
        <v>1000000</v>
      </c>
      <c r="D782" s="8">
        <v>0</v>
      </c>
      <c r="E782" s="50">
        <f t="shared" si="16"/>
        <v>99443545.2299999</v>
      </c>
      <c r="F782" s="83" t="s">
        <v>137</v>
      </c>
      <c r="G782" s="14" t="s">
        <v>138</v>
      </c>
      <c r="H782" t="s">
        <v>603</v>
      </c>
    </row>
    <row r="783" spans="1:12">
      <c r="A783" s="3">
        <v>44383</v>
      </c>
      <c r="B783" s="7" t="s">
        <v>1723</v>
      </c>
      <c r="C783" s="8">
        <v>10680000</v>
      </c>
      <c r="D783" s="8">
        <v>0</v>
      </c>
      <c r="E783" s="50">
        <f t="shared" si="16"/>
        <v>88763545.2299999</v>
      </c>
      <c r="F783" s="83" t="s">
        <v>137</v>
      </c>
      <c r="G783" s="14" t="s">
        <v>138</v>
      </c>
      <c r="H783" t="s">
        <v>603</v>
      </c>
    </row>
    <row r="784" spans="1:12" s="64" customFormat="1">
      <c r="A784" s="220">
        <v>44383</v>
      </c>
      <c r="B784" s="221" t="s">
        <v>1724</v>
      </c>
      <c r="C784" s="63">
        <v>11996660</v>
      </c>
      <c r="D784" s="63">
        <v>0</v>
      </c>
      <c r="E784" s="63">
        <f t="shared" si="16"/>
        <v>76766885.2299999</v>
      </c>
      <c r="F784" s="222" t="s">
        <v>137</v>
      </c>
      <c r="G784" s="64" t="s">
        <v>138</v>
      </c>
      <c r="H784" s="64" t="s">
        <v>3027</v>
      </c>
    </row>
    <row r="785" spans="1:12">
      <c r="A785" s="3">
        <v>44383</v>
      </c>
      <c r="B785" s="7" t="s">
        <v>1725</v>
      </c>
      <c r="C785" s="8">
        <v>11500000</v>
      </c>
      <c r="D785" s="8">
        <v>0</v>
      </c>
      <c r="E785" s="50">
        <f t="shared" si="16"/>
        <v>65266885.2299999</v>
      </c>
      <c r="F785" s="83" t="s">
        <v>137</v>
      </c>
      <c r="G785" s="14" t="s">
        <v>138</v>
      </c>
      <c r="H785" s="14" t="s">
        <v>3013</v>
      </c>
    </row>
    <row r="786" spans="1:12">
      <c r="A786" s="3">
        <v>44383</v>
      </c>
      <c r="B786" s="7" t="s">
        <v>1726</v>
      </c>
      <c r="C786" s="8">
        <v>18000000</v>
      </c>
      <c r="D786" s="8">
        <v>0</v>
      </c>
      <c r="E786" s="50">
        <f t="shared" si="16"/>
        <v>47266885.2299999</v>
      </c>
      <c r="F786" s="83" t="s">
        <v>137</v>
      </c>
      <c r="G786" s="14" t="s">
        <v>138</v>
      </c>
      <c r="H786" s="14" t="s">
        <v>3015</v>
      </c>
    </row>
    <row r="787" spans="1:12">
      <c r="A787" s="3">
        <v>44385</v>
      </c>
      <c r="B787" s="7" t="s">
        <v>1727</v>
      </c>
      <c r="C787" s="8">
        <v>2685000</v>
      </c>
      <c r="D787" s="8">
        <v>0</v>
      </c>
      <c r="E787" s="50">
        <f t="shared" si="16"/>
        <v>44581885.2299999</v>
      </c>
      <c r="F787" s="81" t="s">
        <v>2884</v>
      </c>
      <c r="G787" s="14" t="s">
        <v>130</v>
      </c>
      <c r="H787" t="s">
        <v>623</v>
      </c>
    </row>
    <row r="788" spans="1:12">
      <c r="A788" s="3">
        <v>44385</v>
      </c>
      <c r="B788" s="7" t="s">
        <v>1728</v>
      </c>
      <c r="C788" s="8">
        <v>960000</v>
      </c>
      <c r="D788" s="8">
        <v>0</v>
      </c>
      <c r="E788" s="50">
        <f t="shared" si="16"/>
        <v>43621885.2299999</v>
      </c>
      <c r="F788" s="81" t="s">
        <v>2884</v>
      </c>
      <c r="G788" s="14" t="s">
        <v>130</v>
      </c>
      <c r="H788" t="s">
        <v>625</v>
      </c>
    </row>
    <row r="789" spans="1:12">
      <c r="A789" s="3">
        <v>44385</v>
      </c>
      <c r="B789" s="7" t="s">
        <v>1729</v>
      </c>
      <c r="C789" s="8">
        <v>520000</v>
      </c>
      <c r="D789" s="8">
        <v>0</v>
      </c>
      <c r="E789" s="50">
        <f t="shared" si="16"/>
        <v>43101885.2299999</v>
      </c>
      <c r="F789" s="81" t="s">
        <v>2884</v>
      </c>
      <c r="G789" s="14" t="s">
        <v>130</v>
      </c>
      <c r="H789" t="s">
        <v>2083</v>
      </c>
    </row>
    <row r="790" spans="1:12">
      <c r="A790" s="3">
        <v>44385</v>
      </c>
      <c r="B790" s="7" t="s">
        <v>2478</v>
      </c>
      <c r="C790" s="8">
        <v>800000</v>
      </c>
      <c r="D790" s="8">
        <v>0</v>
      </c>
      <c r="E790" s="50">
        <f t="shared" si="16"/>
        <v>42301885.2299999</v>
      </c>
      <c r="F790" s="83" t="s">
        <v>137</v>
      </c>
      <c r="G790" s="14" t="s">
        <v>138</v>
      </c>
      <c r="H790" s="14" t="s">
        <v>3015</v>
      </c>
      <c r="J790" t="s">
        <v>4150</v>
      </c>
      <c r="K790" t="s">
        <v>4148</v>
      </c>
      <c r="L790" s="10">
        <v>2021</v>
      </c>
    </row>
    <row r="791" spans="1:12">
      <c r="A791" s="3">
        <v>44385</v>
      </c>
      <c r="B791" s="7" t="s">
        <v>2479</v>
      </c>
      <c r="C791" s="8">
        <v>800000</v>
      </c>
      <c r="D791" s="8">
        <v>0</v>
      </c>
      <c r="E791" s="50">
        <f t="shared" si="16"/>
        <v>41501885.2299999</v>
      </c>
      <c r="F791" s="83" t="s">
        <v>137</v>
      </c>
      <c r="G791" s="14" t="s">
        <v>138</v>
      </c>
      <c r="H791" s="14" t="s">
        <v>3015</v>
      </c>
      <c r="J791" t="s">
        <v>4150</v>
      </c>
      <c r="K791" t="s">
        <v>4152</v>
      </c>
      <c r="L791" s="10">
        <v>2021</v>
      </c>
    </row>
    <row r="792" spans="1:12">
      <c r="A792" s="3">
        <v>44385</v>
      </c>
      <c r="B792" s="7" t="s">
        <v>1730</v>
      </c>
      <c r="C792" s="8">
        <v>800000</v>
      </c>
      <c r="D792" s="8">
        <v>0</v>
      </c>
      <c r="E792" s="50">
        <f t="shared" si="16"/>
        <v>40701885.2299999</v>
      </c>
      <c r="F792" s="83" t="s">
        <v>137</v>
      </c>
      <c r="G792" s="14" t="s">
        <v>138</v>
      </c>
      <c r="H792" s="14" t="s">
        <v>3015</v>
      </c>
      <c r="J792" t="s">
        <v>4150</v>
      </c>
      <c r="K792" t="s">
        <v>459</v>
      </c>
      <c r="L792" s="10">
        <v>2021</v>
      </c>
    </row>
    <row r="793" spans="1:12">
      <c r="A793" s="3">
        <v>44385</v>
      </c>
      <c r="B793" s="7" t="s">
        <v>1731</v>
      </c>
      <c r="C793" s="8">
        <v>800000</v>
      </c>
      <c r="D793" s="8">
        <v>0</v>
      </c>
      <c r="E793" s="50">
        <f t="shared" si="16"/>
        <v>39901885.2299999</v>
      </c>
      <c r="F793" s="83" t="s">
        <v>137</v>
      </c>
      <c r="G793" s="14" t="s">
        <v>138</v>
      </c>
      <c r="H793" s="14" t="s">
        <v>3015</v>
      </c>
      <c r="J793" t="s">
        <v>4150</v>
      </c>
      <c r="K793" t="s">
        <v>622</v>
      </c>
      <c r="L793" s="10">
        <v>2021</v>
      </c>
    </row>
    <row r="794" spans="1:12">
      <c r="A794" s="3">
        <v>44385</v>
      </c>
      <c r="B794" s="7" t="s">
        <v>1732</v>
      </c>
      <c r="C794" s="8">
        <v>2475000</v>
      </c>
      <c r="D794" s="8">
        <v>0</v>
      </c>
      <c r="E794" s="50">
        <f t="shared" si="16"/>
        <v>37426885.2299999</v>
      </c>
      <c r="F794" s="83" t="s">
        <v>137</v>
      </c>
      <c r="G794" s="14" t="s">
        <v>138</v>
      </c>
      <c r="H794" s="14" t="s">
        <v>3013</v>
      </c>
      <c r="I794" s="14" t="s">
        <v>64</v>
      </c>
      <c r="J794" s="14" t="s">
        <v>64</v>
      </c>
      <c r="K794" s="14" t="s">
        <v>64</v>
      </c>
    </row>
    <row r="795" spans="1:12">
      <c r="A795" s="3">
        <v>44385</v>
      </c>
      <c r="B795" s="7" t="s">
        <v>1733</v>
      </c>
      <c r="C795" s="8">
        <v>2450000</v>
      </c>
      <c r="D795" s="8">
        <v>0</v>
      </c>
      <c r="E795" s="50">
        <f t="shared" si="16"/>
        <v>34976885.2299999</v>
      </c>
      <c r="F795" s="83" t="s">
        <v>137</v>
      </c>
      <c r="G795" s="14" t="s">
        <v>138</v>
      </c>
      <c r="H795" s="14" t="s">
        <v>3013</v>
      </c>
    </row>
    <row r="796" spans="1:12">
      <c r="A796" s="3">
        <v>44389</v>
      </c>
      <c r="B796" s="7" t="s">
        <v>1734</v>
      </c>
      <c r="C796" s="8">
        <v>2000000</v>
      </c>
      <c r="D796" s="8">
        <v>0</v>
      </c>
      <c r="E796" s="50">
        <f t="shared" si="16"/>
        <v>32976885.2299999</v>
      </c>
      <c r="F796" s="83" t="s">
        <v>107</v>
      </c>
      <c r="G796" s="14" t="s">
        <v>666</v>
      </c>
      <c r="H796" s="14" t="s">
        <v>3405</v>
      </c>
      <c r="I796" t="s">
        <v>3543</v>
      </c>
    </row>
    <row r="797" spans="1:12">
      <c r="A797" s="3">
        <v>44390</v>
      </c>
      <c r="B797" s="7" t="s">
        <v>24</v>
      </c>
      <c r="C797" s="8">
        <v>2845898</v>
      </c>
      <c r="D797" s="8">
        <v>0</v>
      </c>
      <c r="E797" s="50">
        <f t="shared" si="16"/>
        <v>30130987.2299999</v>
      </c>
      <c r="F797" s="83" t="s">
        <v>107</v>
      </c>
      <c r="G797" s="14" t="s">
        <v>129</v>
      </c>
      <c r="H797" s="14"/>
    </row>
    <row r="798" spans="1:12">
      <c r="A798" s="3">
        <v>44390</v>
      </c>
      <c r="B798" s="7" t="s">
        <v>1735</v>
      </c>
      <c r="C798" s="8">
        <v>10000000</v>
      </c>
      <c r="D798" s="8">
        <v>0</v>
      </c>
      <c r="E798" s="50">
        <f t="shared" si="16"/>
        <v>20130987.2299999</v>
      </c>
      <c r="F798" s="83" t="s">
        <v>137</v>
      </c>
      <c r="G798" s="14" t="s">
        <v>138</v>
      </c>
      <c r="H798" s="14" t="s">
        <v>2043</v>
      </c>
    </row>
    <row r="799" spans="1:12">
      <c r="A799" s="3">
        <v>44390</v>
      </c>
      <c r="B799" s="7" t="s">
        <v>1623</v>
      </c>
      <c r="C799" s="8">
        <v>0</v>
      </c>
      <c r="D799" s="8">
        <v>150000000</v>
      </c>
      <c r="E799" s="50">
        <f t="shared" si="16"/>
        <v>170130987.2299999</v>
      </c>
      <c r="F799" s="83" t="s">
        <v>107</v>
      </c>
      <c r="G799" s="14" t="s">
        <v>254</v>
      </c>
      <c r="H799" s="14"/>
    </row>
    <row r="800" spans="1:12">
      <c r="A800" s="3">
        <v>44390</v>
      </c>
      <c r="B800" s="7" t="s">
        <v>1736</v>
      </c>
      <c r="C800" s="54">
        <v>10602000</v>
      </c>
      <c r="D800" s="54">
        <v>0</v>
      </c>
      <c r="E800" s="53">
        <f t="shared" si="16"/>
        <v>159528987.2299999</v>
      </c>
      <c r="F800" s="80" t="s">
        <v>115</v>
      </c>
      <c r="G800" s="14" t="s">
        <v>120</v>
      </c>
      <c r="H800" s="14" t="s">
        <v>127</v>
      </c>
      <c r="I800" t="s">
        <v>444</v>
      </c>
    </row>
    <row r="801" spans="1:9">
      <c r="A801" s="3">
        <v>44390</v>
      </c>
      <c r="B801" s="7" t="s">
        <v>1737</v>
      </c>
      <c r="C801" s="8">
        <v>1050000</v>
      </c>
      <c r="D801" s="8">
        <v>0</v>
      </c>
      <c r="E801" s="50">
        <f t="shared" si="16"/>
        <v>158478987.2299999</v>
      </c>
      <c r="F801" s="83" t="s">
        <v>137</v>
      </c>
      <c r="G801" s="14" t="s">
        <v>138</v>
      </c>
      <c r="H801" s="14" t="s">
        <v>3014</v>
      </c>
    </row>
    <row r="802" spans="1:9">
      <c r="A802" s="3">
        <v>44390</v>
      </c>
      <c r="B802" s="7" t="s">
        <v>1738</v>
      </c>
      <c r="C802" s="8">
        <v>14625000</v>
      </c>
      <c r="D802" s="8">
        <v>0</v>
      </c>
      <c r="E802" s="50">
        <f t="shared" si="16"/>
        <v>143853987.2299999</v>
      </c>
      <c r="F802" s="83" t="s">
        <v>137</v>
      </c>
      <c r="G802" s="14" t="s">
        <v>138</v>
      </c>
      <c r="H802" s="14" t="s">
        <v>3014</v>
      </c>
    </row>
    <row r="803" spans="1:9">
      <c r="A803" s="3">
        <v>44390</v>
      </c>
      <c r="B803" s="7" t="s">
        <v>2071</v>
      </c>
      <c r="C803" s="8">
        <v>2001000</v>
      </c>
      <c r="D803" s="8">
        <v>0</v>
      </c>
      <c r="E803" s="50">
        <f t="shared" si="16"/>
        <v>141852987.2299999</v>
      </c>
      <c r="F803" s="83" t="s">
        <v>736</v>
      </c>
      <c r="G803" s="14" t="s">
        <v>455</v>
      </c>
      <c r="H803" s="14"/>
    </row>
    <row r="804" spans="1:9">
      <c r="A804" s="3">
        <v>44390</v>
      </c>
      <c r="B804" s="7" t="s">
        <v>2072</v>
      </c>
      <c r="C804" s="8">
        <v>630000</v>
      </c>
      <c r="D804" s="8">
        <v>0</v>
      </c>
      <c r="E804" s="50">
        <f t="shared" ref="E804:E869" si="17">E803-C804+D804</f>
        <v>141222987.2299999</v>
      </c>
      <c r="F804" s="83" t="s">
        <v>137</v>
      </c>
      <c r="G804" s="14" t="s">
        <v>138</v>
      </c>
      <c r="H804" s="14" t="s">
        <v>1127</v>
      </c>
    </row>
    <row r="805" spans="1:9">
      <c r="A805" s="3">
        <v>44390</v>
      </c>
      <c r="B805" s="7" t="s">
        <v>2073</v>
      </c>
      <c r="C805" s="8">
        <v>7101000</v>
      </c>
      <c r="D805" s="8">
        <v>0</v>
      </c>
      <c r="E805" s="50">
        <f t="shared" si="17"/>
        <v>134121987.2299999</v>
      </c>
      <c r="F805" s="83" t="s">
        <v>137</v>
      </c>
      <c r="G805" s="14" t="s">
        <v>138</v>
      </c>
      <c r="H805" s="14" t="s">
        <v>2885</v>
      </c>
    </row>
    <row r="806" spans="1:9">
      <c r="A806" s="3">
        <v>44390</v>
      </c>
      <c r="B806" s="7" t="s">
        <v>2074</v>
      </c>
      <c r="C806" s="8">
        <v>6001000</v>
      </c>
      <c r="D806" s="8">
        <v>0</v>
      </c>
      <c r="E806" s="50">
        <f t="shared" si="17"/>
        <v>128120987.2299999</v>
      </c>
      <c r="F806" s="83" t="s">
        <v>137</v>
      </c>
      <c r="G806" s="14" t="s">
        <v>138</v>
      </c>
      <c r="H806" s="14" t="s">
        <v>2885</v>
      </c>
    </row>
    <row r="807" spans="1:9">
      <c r="A807" s="3">
        <v>44393</v>
      </c>
      <c r="B807" s="7" t="s">
        <v>1739</v>
      </c>
      <c r="C807" s="8">
        <v>1500000</v>
      </c>
      <c r="D807" s="8">
        <v>0</v>
      </c>
      <c r="E807" s="50">
        <f t="shared" si="17"/>
        <v>126620987.2299999</v>
      </c>
      <c r="F807" s="83" t="s">
        <v>107</v>
      </c>
      <c r="G807" s="14" t="s">
        <v>666</v>
      </c>
      <c r="H807" s="14" t="s">
        <v>3405</v>
      </c>
      <c r="I807" t="s">
        <v>3631</v>
      </c>
    </row>
    <row r="808" spans="1:9">
      <c r="A808" s="3">
        <v>44393</v>
      </c>
      <c r="B808" s="7" t="s">
        <v>1740</v>
      </c>
      <c r="C808" s="8">
        <v>12500000</v>
      </c>
      <c r="D808" s="8">
        <v>0</v>
      </c>
      <c r="E808" s="50">
        <f t="shared" si="17"/>
        <v>114120987.2299999</v>
      </c>
      <c r="F808" s="83" t="s">
        <v>137</v>
      </c>
      <c r="G808" s="14" t="s">
        <v>138</v>
      </c>
      <c r="H808" s="14" t="s">
        <v>2970</v>
      </c>
    </row>
    <row r="809" spans="1:9">
      <c r="A809" s="3">
        <v>44393</v>
      </c>
      <c r="B809" s="7" t="s">
        <v>1741</v>
      </c>
      <c r="C809" s="8">
        <v>15000000</v>
      </c>
      <c r="D809" s="8">
        <v>0</v>
      </c>
      <c r="E809" s="50">
        <f t="shared" si="17"/>
        <v>99120987.2299999</v>
      </c>
      <c r="F809" s="83" t="s">
        <v>137</v>
      </c>
      <c r="G809" s="14" t="s">
        <v>138</v>
      </c>
      <c r="H809" s="14" t="s">
        <v>2968</v>
      </c>
    </row>
    <row r="810" spans="1:9">
      <c r="A810" s="3">
        <v>44393</v>
      </c>
      <c r="B810" s="7" t="s">
        <v>1742</v>
      </c>
      <c r="C810" s="8">
        <v>50000000</v>
      </c>
      <c r="D810" s="8">
        <v>0</v>
      </c>
      <c r="E810" s="50">
        <f t="shared" si="17"/>
        <v>49120987.2299999</v>
      </c>
      <c r="F810" s="83" t="s">
        <v>137</v>
      </c>
      <c r="G810" s="14" t="s">
        <v>138</v>
      </c>
      <c r="H810" s="14" t="s">
        <v>2968</v>
      </c>
    </row>
    <row r="811" spans="1:9">
      <c r="A811" s="3">
        <v>44393</v>
      </c>
      <c r="B811" s="7" t="s">
        <v>1743</v>
      </c>
      <c r="C811" s="8">
        <v>747500</v>
      </c>
      <c r="D811" s="8">
        <v>0</v>
      </c>
      <c r="E811" s="50">
        <f t="shared" si="17"/>
        <v>48373487.2299999</v>
      </c>
      <c r="F811" s="83" t="s">
        <v>319</v>
      </c>
      <c r="G811" s="14" t="s">
        <v>244</v>
      </c>
      <c r="H811" s="14"/>
    </row>
    <row r="812" spans="1:9">
      <c r="A812" s="3">
        <v>44393</v>
      </c>
      <c r="B812" s="7" t="s">
        <v>60</v>
      </c>
      <c r="C812" s="8">
        <v>20000</v>
      </c>
      <c r="D812" s="8">
        <v>0</v>
      </c>
      <c r="E812" s="50">
        <f t="shared" si="17"/>
        <v>48353487.2299999</v>
      </c>
      <c r="F812" s="83" t="s">
        <v>113</v>
      </c>
      <c r="G812" s="14" t="s">
        <v>114</v>
      </c>
      <c r="H812" s="14"/>
    </row>
    <row r="813" spans="1:9">
      <c r="A813" s="3">
        <v>44398</v>
      </c>
      <c r="B813" s="7" t="s">
        <v>1744</v>
      </c>
      <c r="C813" s="8">
        <v>25000000</v>
      </c>
      <c r="D813" s="8">
        <v>0</v>
      </c>
      <c r="E813" s="50">
        <f t="shared" si="17"/>
        <v>23353487.2299999</v>
      </c>
      <c r="F813" s="83" t="s">
        <v>137</v>
      </c>
      <c r="G813" s="14" t="s">
        <v>138</v>
      </c>
      <c r="H813" s="14" t="s">
        <v>2968</v>
      </c>
    </row>
    <row r="814" spans="1:9">
      <c r="A814" s="3">
        <v>44398</v>
      </c>
      <c r="B814" s="7" t="s">
        <v>1745</v>
      </c>
      <c r="C814" s="8">
        <v>2835900</v>
      </c>
      <c r="D814" s="8">
        <v>0</v>
      </c>
      <c r="E814" s="50">
        <f t="shared" si="17"/>
        <v>20517587.2299999</v>
      </c>
      <c r="F814" s="83" t="s">
        <v>107</v>
      </c>
      <c r="G814" s="14" t="s">
        <v>129</v>
      </c>
      <c r="H814" s="14"/>
    </row>
    <row r="815" spans="1:9">
      <c r="A815" s="3">
        <v>44398</v>
      </c>
      <c r="B815" s="7" t="s">
        <v>1746</v>
      </c>
      <c r="C815" s="8">
        <v>903290</v>
      </c>
      <c r="D815" s="8">
        <v>0</v>
      </c>
      <c r="E815" s="50">
        <f t="shared" si="17"/>
        <v>19614297.2299999</v>
      </c>
      <c r="F815" s="83" t="s">
        <v>319</v>
      </c>
      <c r="G815" s="14" t="s">
        <v>1016</v>
      </c>
      <c r="H815" s="14"/>
    </row>
    <row r="816" spans="1:9">
      <c r="A816" s="3">
        <v>44398</v>
      </c>
      <c r="B816" s="7" t="s">
        <v>1747</v>
      </c>
      <c r="C816" s="54">
        <v>3500000</v>
      </c>
      <c r="D816" s="54">
        <v>0</v>
      </c>
      <c r="E816" s="53">
        <f t="shared" si="17"/>
        <v>16114297.2299999</v>
      </c>
      <c r="F816" s="80" t="s">
        <v>319</v>
      </c>
      <c r="G816" s="14" t="s">
        <v>370</v>
      </c>
      <c r="H816" s="14"/>
    </row>
    <row r="817" spans="1:12">
      <c r="A817" s="3">
        <v>44398</v>
      </c>
      <c r="B817" s="7" t="s">
        <v>1747</v>
      </c>
      <c r="C817" s="54">
        <v>350000</v>
      </c>
      <c r="D817" s="54">
        <v>0</v>
      </c>
      <c r="E817" s="53">
        <f t="shared" si="17"/>
        <v>15764297.2299999</v>
      </c>
      <c r="F817" s="82" t="s">
        <v>110</v>
      </c>
      <c r="G817" t="s">
        <v>616</v>
      </c>
      <c r="H817" t="s">
        <v>4621</v>
      </c>
    </row>
    <row r="818" spans="1:12">
      <c r="A818" s="3">
        <v>44398</v>
      </c>
      <c r="B818" s="7" t="s">
        <v>1747</v>
      </c>
      <c r="C818" s="54">
        <v>0</v>
      </c>
      <c r="D818" s="54">
        <v>70000</v>
      </c>
      <c r="E818" s="53">
        <f t="shared" si="17"/>
        <v>15834297.2299999</v>
      </c>
      <c r="F818" s="82" t="s">
        <v>115</v>
      </c>
      <c r="G818" t="s">
        <v>441</v>
      </c>
      <c r="H818" t="s">
        <v>596</v>
      </c>
    </row>
    <row r="819" spans="1:12">
      <c r="A819" s="3">
        <v>44398</v>
      </c>
      <c r="B819" s="7" t="s">
        <v>1748</v>
      </c>
      <c r="C819" s="8">
        <v>3769400</v>
      </c>
      <c r="D819" s="8">
        <v>0</v>
      </c>
      <c r="E819" s="50">
        <f t="shared" si="17"/>
        <v>12064897.2299999</v>
      </c>
      <c r="F819" s="83" t="s">
        <v>319</v>
      </c>
      <c r="G819" s="14" t="s">
        <v>647</v>
      </c>
      <c r="H819" s="14"/>
    </row>
    <row r="820" spans="1:12">
      <c r="A820" s="3">
        <v>44398</v>
      </c>
      <c r="B820" s="7" t="s">
        <v>1552</v>
      </c>
      <c r="C820" s="8">
        <v>0</v>
      </c>
      <c r="D820" s="8">
        <v>2000000</v>
      </c>
      <c r="E820" s="50">
        <f t="shared" si="17"/>
        <v>14064897.2299999</v>
      </c>
      <c r="F820" s="83" t="s">
        <v>115</v>
      </c>
      <c r="G820" s="14" t="s">
        <v>122</v>
      </c>
      <c r="H820" s="14" t="s">
        <v>247</v>
      </c>
    </row>
    <row r="821" spans="1:12">
      <c r="A821" s="3">
        <v>44398</v>
      </c>
      <c r="B821" s="7" t="s">
        <v>2480</v>
      </c>
      <c r="C821" s="8">
        <v>14000000</v>
      </c>
      <c r="D821" s="8">
        <v>0</v>
      </c>
      <c r="E821" s="50">
        <f t="shared" si="17"/>
        <v>64897.229999899864</v>
      </c>
      <c r="F821" s="83" t="s">
        <v>137</v>
      </c>
      <c r="G821" s="14" t="s">
        <v>138</v>
      </c>
      <c r="H821" s="14" t="s">
        <v>2968</v>
      </c>
    </row>
    <row r="822" spans="1:12">
      <c r="A822" s="3">
        <v>44399</v>
      </c>
      <c r="B822" s="7" t="s">
        <v>1749</v>
      </c>
      <c r="C822" s="8">
        <v>0</v>
      </c>
      <c r="D822" s="8">
        <v>18492</v>
      </c>
      <c r="E822" s="50">
        <f t="shared" si="17"/>
        <v>83389.229999899864</v>
      </c>
      <c r="F822" s="83" t="s">
        <v>107</v>
      </c>
      <c r="G822" s="14" t="s">
        <v>668</v>
      </c>
      <c r="H822" s="14" t="s">
        <v>3405</v>
      </c>
      <c r="I822" t="s">
        <v>3543</v>
      </c>
    </row>
    <row r="823" spans="1:12">
      <c r="A823" s="3">
        <v>44399</v>
      </c>
      <c r="B823" s="7" t="s">
        <v>1750</v>
      </c>
      <c r="C823" s="8">
        <v>0</v>
      </c>
      <c r="D823" s="8">
        <v>682000</v>
      </c>
      <c r="E823" s="50">
        <f t="shared" si="17"/>
        <v>765389.22999989986</v>
      </c>
      <c r="F823" s="83" t="s">
        <v>107</v>
      </c>
      <c r="G823" s="14" t="s">
        <v>668</v>
      </c>
      <c r="H823" s="14" t="s">
        <v>3405</v>
      </c>
      <c r="I823" t="s">
        <v>3631</v>
      </c>
    </row>
    <row r="824" spans="1:12" s="14" customFormat="1">
      <c r="A824" s="138">
        <v>44403</v>
      </c>
      <c r="B824" s="49" t="s">
        <v>4406</v>
      </c>
      <c r="C824" s="53">
        <v>0</v>
      </c>
      <c r="D824" s="53">
        <v>200000000</v>
      </c>
      <c r="E824" s="50">
        <f t="shared" si="17"/>
        <v>200765389.2299999</v>
      </c>
      <c r="F824" s="80" t="s">
        <v>110</v>
      </c>
      <c r="G824" s="14" t="s">
        <v>118</v>
      </c>
      <c r="H824" s="14" t="s">
        <v>146</v>
      </c>
    </row>
    <row r="825" spans="1:12">
      <c r="A825" s="3">
        <v>44403</v>
      </c>
      <c r="B825" s="7" t="s">
        <v>1751</v>
      </c>
      <c r="C825" s="8">
        <v>0</v>
      </c>
      <c r="D825" s="8">
        <v>11001</v>
      </c>
      <c r="E825" s="50">
        <f t="shared" si="17"/>
        <v>200776390.2299999</v>
      </c>
      <c r="F825" s="83" t="s">
        <v>107</v>
      </c>
      <c r="G825" s="14" t="s">
        <v>668</v>
      </c>
      <c r="H825" s="14" t="s">
        <v>3405</v>
      </c>
      <c r="I825" t="s">
        <v>3516</v>
      </c>
    </row>
    <row r="826" spans="1:12" s="14" customFormat="1">
      <c r="A826" s="138">
        <v>44403</v>
      </c>
      <c r="B826" s="49" t="s">
        <v>1752</v>
      </c>
      <c r="C826" s="53">
        <v>7500000</v>
      </c>
      <c r="D826" s="53">
        <v>0</v>
      </c>
      <c r="E826" s="50">
        <f t="shared" si="17"/>
        <v>193276390.2299999</v>
      </c>
      <c r="F826" s="80" t="s">
        <v>107</v>
      </c>
      <c r="G826" s="14" t="s">
        <v>666</v>
      </c>
      <c r="H826" s="14" t="s">
        <v>3405</v>
      </c>
      <c r="I826" s="14" t="s">
        <v>3637</v>
      </c>
    </row>
    <row r="827" spans="1:12" s="14" customFormat="1">
      <c r="A827" s="138">
        <v>44403</v>
      </c>
      <c r="B827" s="49" t="s">
        <v>2481</v>
      </c>
      <c r="C827" s="53">
        <v>12969286</v>
      </c>
      <c r="D827" s="53">
        <v>0</v>
      </c>
      <c r="E827" s="53">
        <f t="shared" si="17"/>
        <v>180307104.2299999</v>
      </c>
      <c r="F827" s="80" t="s">
        <v>115</v>
      </c>
      <c r="G827" s="14" t="s">
        <v>120</v>
      </c>
      <c r="H827" s="14" t="s">
        <v>127</v>
      </c>
      <c r="I827" s="14" t="s">
        <v>444</v>
      </c>
    </row>
    <row r="828" spans="1:12" s="14" customFormat="1">
      <c r="A828" s="138">
        <v>44403</v>
      </c>
      <c r="B828" s="49" t="s">
        <v>1753</v>
      </c>
      <c r="C828" s="53">
        <v>13702000</v>
      </c>
      <c r="D828" s="53">
        <v>0</v>
      </c>
      <c r="E828" s="53">
        <f t="shared" si="17"/>
        <v>166605104.2299999</v>
      </c>
      <c r="F828" s="80" t="s">
        <v>115</v>
      </c>
      <c r="G828" s="14" t="s">
        <v>120</v>
      </c>
      <c r="H828" s="14" t="s">
        <v>127</v>
      </c>
      <c r="I828" s="14" t="s">
        <v>444</v>
      </c>
    </row>
    <row r="829" spans="1:12">
      <c r="A829" s="3">
        <v>44403</v>
      </c>
      <c r="B829" s="7" t="s">
        <v>1754</v>
      </c>
      <c r="C829" s="8">
        <v>3578954</v>
      </c>
      <c r="D829" s="8">
        <v>0</v>
      </c>
      <c r="E829" s="50">
        <f t="shared" si="17"/>
        <v>163026150.2299999</v>
      </c>
      <c r="F829" s="83" t="s">
        <v>137</v>
      </c>
      <c r="G829" s="14" t="s">
        <v>138</v>
      </c>
      <c r="H829" s="14" t="s">
        <v>3030</v>
      </c>
    </row>
    <row r="830" spans="1:12">
      <c r="A830" s="3">
        <v>44403</v>
      </c>
      <c r="B830" s="7" t="s">
        <v>1755</v>
      </c>
      <c r="C830" s="8">
        <v>962392</v>
      </c>
      <c r="D830" s="8">
        <v>0</v>
      </c>
      <c r="E830" s="50">
        <f t="shared" si="17"/>
        <v>162063758.2299999</v>
      </c>
      <c r="F830" s="83" t="s">
        <v>137</v>
      </c>
      <c r="G830" s="14" t="s">
        <v>138</v>
      </c>
      <c r="H830" s="14" t="s">
        <v>1015</v>
      </c>
    </row>
    <row r="831" spans="1:12">
      <c r="A831" s="3">
        <v>44403</v>
      </c>
      <c r="B831" s="7" t="s">
        <v>1756</v>
      </c>
      <c r="C831" s="8">
        <v>800000</v>
      </c>
      <c r="D831" s="8">
        <v>0</v>
      </c>
      <c r="E831" s="50">
        <f t="shared" si="17"/>
        <v>161263758.2299999</v>
      </c>
      <c r="F831" s="83" t="s">
        <v>137</v>
      </c>
      <c r="G831" s="14" t="s">
        <v>138</v>
      </c>
      <c r="H831" s="14" t="s">
        <v>2043</v>
      </c>
      <c r="I831" t="s">
        <v>64</v>
      </c>
      <c r="J831" t="s">
        <v>4150</v>
      </c>
      <c r="K831" t="s">
        <v>480</v>
      </c>
      <c r="L831" s="10">
        <v>2021</v>
      </c>
    </row>
    <row r="832" spans="1:12">
      <c r="A832" s="3">
        <v>44403</v>
      </c>
      <c r="B832" s="7" t="s">
        <v>1757</v>
      </c>
      <c r="C832" s="8">
        <v>800000</v>
      </c>
      <c r="D832" s="8">
        <v>0</v>
      </c>
      <c r="E832" s="50">
        <f t="shared" si="17"/>
        <v>160463758.2299999</v>
      </c>
      <c r="F832" s="83" t="s">
        <v>137</v>
      </c>
      <c r="G832" s="14" t="s">
        <v>138</v>
      </c>
      <c r="H832" s="14" t="s">
        <v>2043</v>
      </c>
      <c r="J832" t="s">
        <v>4150</v>
      </c>
      <c r="K832" t="s">
        <v>4148</v>
      </c>
      <c r="L832" s="10">
        <v>2021</v>
      </c>
    </row>
    <row r="833" spans="1:12">
      <c r="A833" s="3">
        <v>44403</v>
      </c>
      <c r="B833" s="7" t="s">
        <v>2482</v>
      </c>
      <c r="C833" s="8">
        <v>800000</v>
      </c>
      <c r="D833" s="8">
        <v>0</v>
      </c>
      <c r="E833" s="50">
        <f t="shared" si="17"/>
        <v>159663758.2299999</v>
      </c>
      <c r="F833" s="83" t="s">
        <v>137</v>
      </c>
      <c r="G833" s="14" t="s">
        <v>138</v>
      </c>
      <c r="H833" s="14" t="s">
        <v>2043</v>
      </c>
      <c r="J833" t="s">
        <v>4150</v>
      </c>
      <c r="K833" t="s">
        <v>4152</v>
      </c>
      <c r="L833" s="10">
        <v>2021</v>
      </c>
    </row>
    <row r="834" spans="1:12">
      <c r="A834" s="3">
        <v>44403</v>
      </c>
      <c r="B834" s="7" t="s">
        <v>2483</v>
      </c>
      <c r="C834" s="8">
        <v>800000</v>
      </c>
      <c r="D834" s="8">
        <v>0</v>
      </c>
      <c r="E834" s="50">
        <f t="shared" si="17"/>
        <v>158863758.2299999</v>
      </c>
      <c r="F834" s="83" t="s">
        <v>137</v>
      </c>
      <c r="G834" s="14" t="s">
        <v>138</v>
      </c>
      <c r="H834" s="14" t="s">
        <v>2043</v>
      </c>
      <c r="J834" t="s">
        <v>4150</v>
      </c>
      <c r="K834" t="s">
        <v>459</v>
      </c>
      <c r="L834" s="10">
        <v>2021</v>
      </c>
    </row>
    <row r="835" spans="1:12">
      <c r="A835" s="3">
        <v>44403</v>
      </c>
      <c r="B835" s="7" t="s">
        <v>1758</v>
      </c>
      <c r="C835" s="8">
        <v>800000</v>
      </c>
      <c r="D835" s="8">
        <v>0</v>
      </c>
      <c r="E835" s="50">
        <f t="shared" si="17"/>
        <v>158063758.2299999</v>
      </c>
      <c r="F835" s="83" t="s">
        <v>137</v>
      </c>
      <c r="G835" s="14" t="s">
        <v>138</v>
      </c>
      <c r="H835" s="14" t="s">
        <v>2043</v>
      </c>
      <c r="J835" t="s">
        <v>4150</v>
      </c>
      <c r="K835" t="s">
        <v>622</v>
      </c>
      <c r="L835" s="10">
        <v>2021</v>
      </c>
    </row>
    <row r="836" spans="1:12">
      <c r="A836" s="3">
        <v>44403</v>
      </c>
      <c r="B836" s="7" t="s">
        <v>1759</v>
      </c>
      <c r="C836" s="8">
        <v>800000</v>
      </c>
      <c r="D836" s="8">
        <v>0</v>
      </c>
      <c r="E836" s="50">
        <f t="shared" si="17"/>
        <v>157263758.2299999</v>
      </c>
      <c r="F836" s="83" t="s">
        <v>137</v>
      </c>
      <c r="G836" s="14" t="s">
        <v>138</v>
      </c>
      <c r="H836" s="14" t="s">
        <v>2043</v>
      </c>
      <c r="J836" t="s">
        <v>64</v>
      </c>
    </row>
    <row r="837" spans="1:12">
      <c r="A837" s="3">
        <v>44403</v>
      </c>
      <c r="B837" s="7" t="s">
        <v>1760</v>
      </c>
      <c r="C837" s="8">
        <v>800000</v>
      </c>
      <c r="D837" s="8">
        <v>0</v>
      </c>
      <c r="E837" s="50">
        <f t="shared" si="17"/>
        <v>156463758.2299999</v>
      </c>
      <c r="F837" s="83" t="s">
        <v>137</v>
      </c>
      <c r="G837" s="14" t="s">
        <v>138</v>
      </c>
      <c r="H837" s="14" t="s">
        <v>2970</v>
      </c>
      <c r="J837" t="s">
        <v>4150</v>
      </c>
      <c r="K837" t="s">
        <v>480</v>
      </c>
      <c r="L837" s="10">
        <v>2021</v>
      </c>
    </row>
    <row r="838" spans="1:12">
      <c r="A838" s="3">
        <v>44403</v>
      </c>
      <c r="B838" s="7" t="s">
        <v>1761</v>
      </c>
      <c r="C838" s="8">
        <v>800000</v>
      </c>
      <c r="D838" s="8">
        <v>0</v>
      </c>
      <c r="E838" s="50">
        <f t="shared" si="17"/>
        <v>155663758.2299999</v>
      </c>
      <c r="F838" s="83" t="s">
        <v>137</v>
      </c>
      <c r="G838" s="14" t="s">
        <v>138</v>
      </c>
      <c r="H838" s="14" t="s">
        <v>2970</v>
      </c>
      <c r="J838" t="s">
        <v>4150</v>
      </c>
      <c r="K838" t="s">
        <v>4148</v>
      </c>
      <c r="L838" s="10">
        <v>2021</v>
      </c>
    </row>
    <row r="839" spans="1:12">
      <c r="A839" s="3">
        <v>44403</v>
      </c>
      <c r="B839" s="7" t="s">
        <v>1762</v>
      </c>
      <c r="C839" s="8">
        <v>800000</v>
      </c>
      <c r="D839" s="8">
        <v>0</v>
      </c>
      <c r="E839" s="50">
        <f t="shared" si="17"/>
        <v>154863758.2299999</v>
      </c>
      <c r="F839" s="83" t="s">
        <v>137</v>
      </c>
      <c r="G839" s="14" t="s">
        <v>138</v>
      </c>
      <c r="H839" s="14" t="s">
        <v>2970</v>
      </c>
      <c r="J839" t="s">
        <v>4150</v>
      </c>
      <c r="K839" t="s">
        <v>4152</v>
      </c>
      <c r="L839" s="10">
        <v>2021</v>
      </c>
    </row>
    <row r="840" spans="1:12">
      <c r="A840" s="3">
        <v>44403</v>
      </c>
      <c r="B840" s="7" t="s">
        <v>1763</v>
      </c>
      <c r="C840" s="8">
        <v>800000</v>
      </c>
      <c r="D840" s="8">
        <v>0</v>
      </c>
      <c r="E840" s="50">
        <f t="shared" si="17"/>
        <v>154063758.2299999</v>
      </c>
      <c r="F840" s="83" t="s">
        <v>137</v>
      </c>
      <c r="G840" s="14" t="s">
        <v>138</v>
      </c>
      <c r="H840" s="14" t="s">
        <v>2970</v>
      </c>
      <c r="J840" t="s">
        <v>4150</v>
      </c>
      <c r="K840" t="s">
        <v>459</v>
      </c>
      <c r="L840" s="10">
        <v>2021</v>
      </c>
    </row>
    <row r="841" spans="1:12">
      <c r="A841" s="3">
        <v>44403</v>
      </c>
      <c r="B841" s="7" t="s">
        <v>1764</v>
      </c>
      <c r="C841" s="8">
        <v>800000</v>
      </c>
      <c r="D841" s="8">
        <v>0</v>
      </c>
      <c r="E841" s="50">
        <f t="shared" si="17"/>
        <v>153263758.2299999</v>
      </c>
      <c r="F841" s="83" t="s">
        <v>137</v>
      </c>
      <c r="G841" s="14" t="s">
        <v>138</v>
      </c>
      <c r="H841" s="14" t="s">
        <v>2970</v>
      </c>
      <c r="J841" t="s">
        <v>4150</v>
      </c>
      <c r="K841" t="s">
        <v>622</v>
      </c>
      <c r="L841" s="10">
        <v>2021</v>
      </c>
    </row>
    <row r="842" spans="1:12">
      <c r="A842" s="3">
        <v>44403</v>
      </c>
      <c r="B842" s="7" t="s">
        <v>1765</v>
      </c>
      <c r="C842" s="8">
        <v>3150000</v>
      </c>
      <c r="D842" s="8">
        <v>0</v>
      </c>
      <c r="E842" s="50">
        <f t="shared" si="17"/>
        <v>150113758.2299999</v>
      </c>
      <c r="F842" s="83" t="s">
        <v>137</v>
      </c>
      <c r="G842" s="14" t="s">
        <v>138</v>
      </c>
      <c r="H842" s="14" t="s">
        <v>3015</v>
      </c>
      <c r="J842" t="s">
        <v>64</v>
      </c>
    </row>
    <row r="843" spans="1:12">
      <c r="A843" s="3">
        <v>44403</v>
      </c>
      <c r="B843" s="7" t="s">
        <v>1766</v>
      </c>
      <c r="C843" s="8">
        <v>2000000</v>
      </c>
      <c r="D843" s="8">
        <v>0</v>
      </c>
      <c r="E843" s="50">
        <f t="shared" si="17"/>
        <v>148113758.2299999</v>
      </c>
      <c r="F843" s="83" t="s">
        <v>248</v>
      </c>
      <c r="G843" s="14" t="s">
        <v>729</v>
      </c>
      <c r="H843" s="14"/>
    </row>
    <row r="844" spans="1:12">
      <c r="A844" s="3">
        <v>44404</v>
      </c>
      <c r="B844" s="7" t="s">
        <v>1767</v>
      </c>
      <c r="C844" s="8">
        <v>79535000</v>
      </c>
      <c r="D844" s="8">
        <v>0</v>
      </c>
      <c r="E844" s="50">
        <f t="shared" si="17"/>
        <v>68578758.2299999</v>
      </c>
      <c r="F844" s="83" t="s">
        <v>248</v>
      </c>
      <c r="G844" s="14" t="s">
        <v>249</v>
      </c>
      <c r="H844" s="14"/>
    </row>
    <row r="845" spans="1:12">
      <c r="A845" s="3">
        <v>44404</v>
      </c>
      <c r="B845" s="7" t="s">
        <v>1768</v>
      </c>
      <c r="C845" s="8">
        <v>1364871</v>
      </c>
      <c r="D845" s="8">
        <v>0</v>
      </c>
      <c r="E845" s="50">
        <f t="shared" si="17"/>
        <v>67213887.2299999</v>
      </c>
      <c r="F845" s="83" t="s">
        <v>137</v>
      </c>
      <c r="G845" s="14" t="s">
        <v>138</v>
      </c>
      <c r="H845" s="14" t="s">
        <v>3020</v>
      </c>
    </row>
    <row r="846" spans="1:12">
      <c r="A846" s="3">
        <v>44404</v>
      </c>
      <c r="B846" s="7" t="s">
        <v>1769</v>
      </c>
      <c r="C846" s="8">
        <v>641600</v>
      </c>
      <c r="D846" s="8">
        <v>0</v>
      </c>
      <c r="E846" s="50">
        <f t="shared" si="17"/>
        <v>66572287.2299999</v>
      </c>
      <c r="F846" s="83" t="s">
        <v>137</v>
      </c>
      <c r="G846" s="14" t="s">
        <v>138</v>
      </c>
      <c r="H846" s="14" t="s">
        <v>2970</v>
      </c>
    </row>
    <row r="847" spans="1:12">
      <c r="A847" s="3">
        <v>44404</v>
      </c>
      <c r="B847" s="7" t="s">
        <v>1770</v>
      </c>
      <c r="C847" s="8">
        <v>750000</v>
      </c>
      <c r="D847" s="8">
        <v>0</v>
      </c>
      <c r="E847" s="50">
        <f t="shared" si="17"/>
        <v>65822287.2299999</v>
      </c>
      <c r="F847" s="83" t="s">
        <v>137</v>
      </c>
      <c r="G847" s="14" t="s">
        <v>138</v>
      </c>
      <c r="H847" s="14" t="s">
        <v>2970</v>
      </c>
    </row>
    <row r="848" spans="1:12">
      <c r="A848" s="3">
        <v>44404</v>
      </c>
      <c r="B848" s="7" t="s">
        <v>1771</v>
      </c>
      <c r="C848" s="8">
        <v>500000</v>
      </c>
      <c r="D848" s="8">
        <v>0</v>
      </c>
      <c r="E848" s="50">
        <f t="shared" si="17"/>
        <v>65322287.2299999</v>
      </c>
      <c r="F848" s="83" t="s">
        <v>736</v>
      </c>
      <c r="G848" s="14" t="s">
        <v>3994</v>
      </c>
      <c r="H848" s="14"/>
    </row>
    <row r="849" spans="1:12">
      <c r="A849" s="3">
        <v>44404</v>
      </c>
      <c r="B849" s="7" t="s">
        <v>1772</v>
      </c>
      <c r="C849" s="8">
        <v>3500000</v>
      </c>
      <c r="D849" s="8">
        <v>0</v>
      </c>
      <c r="E849" s="50">
        <f t="shared" si="17"/>
        <v>61822287.2299999</v>
      </c>
      <c r="F849" s="83" t="s">
        <v>137</v>
      </c>
      <c r="G849" s="14" t="s">
        <v>138</v>
      </c>
      <c r="H849" s="14" t="s">
        <v>2968</v>
      </c>
      <c r="J849" t="s">
        <v>64</v>
      </c>
      <c r="K849" t="s">
        <v>64</v>
      </c>
    </row>
    <row r="850" spans="1:12">
      <c r="A850" s="3">
        <v>44404</v>
      </c>
      <c r="B850" s="7" t="s">
        <v>1773</v>
      </c>
      <c r="C850" s="8">
        <v>2000000</v>
      </c>
      <c r="D850" s="8">
        <v>0</v>
      </c>
      <c r="E850" s="50">
        <f t="shared" si="17"/>
        <v>59822287.2299999</v>
      </c>
      <c r="F850" s="83" t="s">
        <v>137</v>
      </c>
      <c r="G850" s="14" t="s">
        <v>138</v>
      </c>
      <c r="H850" s="14" t="s">
        <v>2968</v>
      </c>
      <c r="J850" t="s">
        <v>4150</v>
      </c>
      <c r="K850" t="s">
        <v>480</v>
      </c>
      <c r="L850" s="10">
        <v>2021</v>
      </c>
    </row>
    <row r="851" spans="1:12">
      <c r="A851" s="3">
        <v>44404</v>
      </c>
      <c r="B851" s="7" t="s">
        <v>1774</v>
      </c>
      <c r="C851" s="8">
        <v>2000000</v>
      </c>
      <c r="D851" s="8">
        <v>0</v>
      </c>
      <c r="E851" s="50">
        <f t="shared" si="17"/>
        <v>57822287.2299999</v>
      </c>
      <c r="F851" s="83" t="s">
        <v>137</v>
      </c>
      <c r="G851" s="14" t="s">
        <v>138</v>
      </c>
      <c r="H851" s="14" t="s">
        <v>2968</v>
      </c>
      <c r="J851" t="s">
        <v>4150</v>
      </c>
      <c r="K851" t="s">
        <v>4148</v>
      </c>
      <c r="L851" s="10">
        <v>2021</v>
      </c>
    </row>
    <row r="852" spans="1:12">
      <c r="A852" s="3">
        <v>44404</v>
      </c>
      <c r="B852" s="7" t="s">
        <v>1775</v>
      </c>
      <c r="C852" s="8">
        <v>2000000</v>
      </c>
      <c r="D852" s="8">
        <v>0</v>
      </c>
      <c r="E852" s="50">
        <f t="shared" si="17"/>
        <v>55822287.2299999</v>
      </c>
      <c r="F852" s="83" t="s">
        <v>137</v>
      </c>
      <c r="G852" s="14" t="s">
        <v>138</v>
      </c>
      <c r="H852" s="14" t="s">
        <v>2968</v>
      </c>
      <c r="J852" t="s">
        <v>4150</v>
      </c>
      <c r="K852" t="s">
        <v>459</v>
      </c>
      <c r="L852" s="10">
        <v>2021</v>
      </c>
    </row>
    <row r="853" spans="1:12">
      <c r="A853" s="3">
        <v>44404</v>
      </c>
      <c r="B853" s="7" t="s">
        <v>1776</v>
      </c>
      <c r="C853" s="8">
        <v>2000000</v>
      </c>
      <c r="D853" s="8">
        <v>0</v>
      </c>
      <c r="E853" s="50">
        <f t="shared" si="17"/>
        <v>53822287.2299999</v>
      </c>
      <c r="F853" s="83" t="s">
        <v>137</v>
      </c>
      <c r="G853" s="14" t="s">
        <v>138</v>
      </c>
      <c r="H853" s="14" t="s">
        <v>2968</v>
      </c>
      <c r="J853" t="s">
        <v>4150</v>
      </c>
      <c r="K853" t="s">
        <v>622</v>
      </c>
      <c r="L853" s="10">
        <v>2021</v>
      </c>
    </row>
    <row r="854" spans="1:12">
      <c r="A854" s="3">
        <v>44404</v>
      </c>
      <c r="B854" s="7" t="s">
        <v>1777</v>
      </c>
      <c r="C854" s="8">
        <v>2000000</v>
      </c>
      <c r="D854" s="8">
        <v>0</v>
      </c>
      <c r="E854" s="50">
        <f t="shared" si="17"/>
        <v>51822287.2299999</v>
      </c>
      <c r="F854" s="83" t="s">
        <v>137</v>
      </c>
      <c r="G854" s="14" t="s">
        <v>138</v>
      </c>
      <c r="H854" s="14" t="s">
        <v>2968</v>
      </c>
      <c r="J854" t="s">
        <v>4150</v>
      </c>
      <c r="K854" t="s">
        <v>119</v>
      </c>
      <c r="L854" s="10">
        <v>2021</v>
      </c>
    </row>
    <row r="855" spans="1:12">
      <c r="A855" s="3">
        <v>44404</v>
      </c>
      <c r="B855" s="7" t="s">
        <v>1778</v>
      </c>
      <c r="C855" s="11">
        <v>2000000</v>
      </c>
      <c r="D855" s="8">
        <v>0</v>
      </c>
      <c r="E855" s="50">
        <f t="shared" si="17"/>
        <v>49822287.2299999</v>
      </c>
      <c r="F855" s="83" t="s">
        <v>137</v>
      </c>
      <c r="G855" s="14" t="s">
        <v>138</v>
      </c>
      <c r="H855" s="14" t="s">
        <v>2968</v>
      </c>
      <c r="J855" t="s">
        <v>4150</v>
      </c>
      <c r="K855" t="s">
        <v>462</v>
      </c>
      <c r="L855" s="10">
        <v>2021</v>
      </c>
    </row>
    <row r="856" spans="1:12">
      <c r="A856" s="3">
        <v>44404</v>
      </c>
      <c r="B856" s="7" t="s">
        <v>1779</v>
      </c>
      <c r="C856" s="11">
        <v>2000000</v>
      </c>
      <c r="D856" s="8">
        <v>0</v>
      </c>
      <c r="E856" s="50">
        <f t="shared" si="17"/>
        <v>47822287.2299999</v>
      </c>
      <c r="F856" s="83" t="s">
        <v>137</v>
      </c>
      <c r="G856" s="14" t="s">
        <v>138</v>
      </c>
      <c r="H856" s="14" t="s">
        <v>2968</v>
      </c>
      <c r="J856" t="s">
        <v>4150</v>
      </c>
      <c r="K856" t="s">
        <v>3990</v>
      </c>
      <c r="L856" s="10">
        <v>2021</v>
      </c>
    </row>
    <row r="857" spans="1:12">
      <c r="A857" s="3">
        <v>44404</v>
      </c>
      <c r="B857" s="7" t="s">
        <v>2484</v>
      </c>
      <c r="C857" s="11">
        <v>2000000</v>
      </c>
      <c r="D857" s="8">
        <v>0</v>
      </c>
      <c r="E857" s="50">
        <f t="shared" si="17"/>
        <v>45822287.2299999</v>
      </c>
      <c r="F857" s="83" t="s">
        <v>137</v>
      </c>
      <c r="G857" s="14" t="s">
        <v>138</v>
      </c>
      <c r="H857" s="14" t="s">
        <v>2968</v>
      </c>
      <c r="J857" t="s">
        <v>4150</v>
      </c>
      <c r="K857" t="s">
        <v>4152</v>
      </c>
      <c r="L857" s="10">
        <v>2021</v>
      </c>
    </row>
    <row r="858" spans="1:12">
      <c r="A858" s="3">
        <v>44404</v>
      </c>
      <c r="B858" s="7" t="s">
        <v>1780</v>
      </c>
      <c r="C858" s="8">
        <v>800000</v>
      </c>
      <c r="D858" s="8">
        <v>0</v>
      </c>
      <c r="E858" s="50">
        <f t="shared" si="17"/>
        <v>45022287.2299999</v>
      </c>
      <c r="F858" s="83" t="s">
        <v>137</v>
      </c>
      <c r="G858" s="14" t="s">
        <v>138</v>
      </c>
      <c r="H858" s="14" t="s">
        <v>2968</v>
      </c>
      <c r="J858" t="s">
        <v>4150</v>
      </c>
      <c r="K858" t="s">
        <v>4154</v>
      </c>
      <c r="L858" s="10">
        <v>2021</v>
      </c>
    </row>
    <row r="859" spans="1:12">
      <c r="A859" s="3">
        <v>44404</v>
      </c>
      <c r="B859" s="7" t="s">
        <v>1781</v>
      </c>
      <c r="C859" s="8">
        <v>15200000</v>
      </c>
      <c r="D859" s="8">
        <v>0</v>
      </c>
      <c r="E859" s="50">
        <f t="shared" si="17"/>
        <v>29822287.2299999</v>
      </c>
      <c r="F859" s="83" t="s">
        <v>137</v>
      </c>
      <c r="G859" s="14" t="s">
        <v>138</v>
      </c>
      <c r="H859" s="14" t="s">
        <v>2968</v>
      </c>
    </row>
    <row r="860" spans="1:12">
      <c r="A860" s="3">
        <v>44404</v>
      </c>
      <c r="B860" s="7" t="s">
        <v>1782</v>
      </c>
      <c r="C860" s="8">
        <v>945000</v>
      </c>
      <c r="D860" s="8">
        <v>0</v>
      </c>
      <c r="E860" s="50">
        <f t="shared" si="17"/>
        <v>28877287.2299999</v>
      </c>
      <c r="F860" s="83" t="s">
        <v>137</v>
      </c>
      <c r="G860" s="14" t="s">
        <v>138</v>
      </c>
      <c r="H860" s="14" t="s">
        <v>2968</v>
      </c>
    </row>
    <row r="861" spans="1:12">
      <c r="A861" s="3">
        <v>44404</v>
      </c>
      <c r="B861" s="7" t="s">
        <v>24</v>
      </c>
      <c r="C861" s="8">
        <v>2776000</v>
      </c>
      <c r="D861" s="8">
        <v>0</v>
      </c>
      <c r="E861" s="50">
        <f t="shared" si="17"/>
        <v>26101287.2299999</v>
      </c>
      <c r="F861" s="83" t="s">
        <v>107</v>
      </c>
      <c r="G861" s="14" t="s">
        <v>129</v>
      </c>
      <c r="H861" s="14"/>
    </row>
    <row r="862" spans="1:12">
      <c r="A862" s="3">
        <v>44406</v>
      </c>
      <c r="B862" s="7" t="s">
        <v>1783</v>
      </c>
      <c r="C862" s="8">
        <v>0</v>
      </c>
      <c r="D862" s="8">
        <v>200000</v>
      </c>
      <c r="E862" s="50">
        <f t="shared" si="17"/>
        <v>26301287.2299999</v>
      </c>
      <c r="F862" s="83" t="s">
        <v>110</v>
      </c>
      <c r="G862" s="14" t="s">
        <v>620</v>
      </c>
      <c r="H862" s="14" t="s">
        <v>625</v>
      </c>
    </row>
    <row r="863" spans="1:12">
      <c r="A863" s="3">
        <v>44406</v>
      </c>
      <c r="B863" s="7" t="s">
        <v>1699</v>
      </c>
      <c r="C863" s="8">
        <v>0</v>
      </c>
      <c r="D863" s="8">
        <v>200000</v>
      </c>
      <c r="E863" s="50">
        <f t="shared" si="17"/>
        <v>26501287.2299999</v>
      </c>
      <c r="F863" s="83" t="s">
        <v>110</v>
      </c>
      <c r="G863" s="14" t="s">
        <v>620</v>
      </c>
      <c r="H863" s="14" t="s">
        <v>2083</v>
      </c>
    </row>
    <row r="864" spans="1:12">
      <c r="A864" s="3">
        <v>44406</v>
      </c>
      <c r="B864" s="7" t="s">
        <v>1552</v>
      </c>
      <c r="C864" s="8">
        <v>0</v>
      </c>
      <c r="D864" s="8">
        <v>74000000</v>
      </c>
      <c r="E864" s="50">
        <f t="shared" si="17"/>
        <v>100501287.2299999</v>
      </c>
      <c r="F864" s="83" t="s">
        <v>115</v>
      </c>
      <c r="G864" s="14" t="s">
        <v>122</v>
      </c>
      <c r="H864" s="14" t="s">
        <v>247</v>
      </c>
    </row>
    <row r="865" spans="1:9" s="14" customFormat="1">
      <c r="A865" s="138">
        <v>44406</v>
      </c>
      <c r="B865" s="49" t="s">
        <v>1784</v>
      </c>
      <c r="C865" s="53">
        <v>100000000</v>
      </c>
      <c r="D865" s="53">
        <v>0</v>
      </c>
      <c r="E865" s="53">
        <f t="shared" si="17"/>
        <v>501287.22999989986</v>
      </c>
      <c r="F865" s="81" t="s">
        <v>110</v>
      </c>
      <c r="G865" s="14" t="s">
        <v>620</v>
      </c>
      <c r="H865" s="14" t="s">
        <v>433</v>
      </c>
    </row>
    <row r="866" spans="1:9">
      <c r="A866" s="3">
        <v>44408</v>
      </c>
      <c r="B866" s="7" t="s">
        <v>1785</v>
      </c>
      <c r="C866" s="8">
        <v>0</v>
      </c>
      <c r="D866" s="8">
        <v>2214.27</v>
      </c>
      <c r="E866" s="50">
        <f t="shared" si="17"/>
        <v>503501.49999989988</v>
      </c>
      <c r="F866" s="83" t="s">
        <v>252</v>
      </c>
      <c r="G866" s="14" t="s">
        <v>253</v>
      </c>
      <c r="H866" s="14"/>
    </row>
    <row r="867" spans="1:9">
      <c r="A867" s="3">
        <v>44408</v>
      </c>
      <c r="B867" s="7" t="s">
        <v>241</v>
      </c>
      <c r="C867" s="8">
        <v>442.85</v>
      </c>
      <c r="D867" s="8">
        <v>0</v>
      </c>
      <c r="E867" s="50">
        <f t="shared" si="17"/>
        <v>503058.64999989991</v>
      </c>
      <c r="F867" s="83" t="s">
        <v>252</v>
      </c>
      <c r="G867" s="14" t="s">
        <v>253</v>
      </c>
      <c r="H867" s="14"/>
    </row>
    <row r="868" spans="1:9">
      <c r="A868" s="3">
        <v>44410</v>
      </c>
      <c r="B868" s="7" t="s">
        <v>1623</v>
      </c>
      <c r="D868" s="8">
        <v>132000000</v>
      </c>
      <c r="E868" s="50">
        <f t="shared" si="17"/>
        <v>132503058.6499999</v>
      </c>
      <c r="F868" s="83" t="s">
        <v>107</v>
      </c>
      <c r="G868" s="14" t="s">
        <v>254</v>
      </c>
      <c r="H868" s="14"/>
    </row>
    <row r="869" spans="1:9">
      <c r="A869" s="3">
        <v>44411</v>
      </c>
      <c r="B869" s="7" t="s">
        <v>2280</v>
      </c>
      <c r="D869" s="8">
        <v>26110000</v>
      </c>
      <c r="E869" s="50">
        <f t="shared" si="17"/>
        <v>158613058.64999992</v>
      </c>
      <c r="F869" s="83" t="s">
        <v>107</v>
      </c>
      <c r="G869" s="14" t="s">
        <v>668</v>
      </c>
      <c r="H869" s="14" t="s">
        <v>3405</v>
      </c>
      <c r="I869" t="s">
        <v>3495</v>
      </c>
    </row>
    <row r="870" spans="1:9">
      <c r="A870" s="3">
        <v>44412</v>
      </c>
      <c r="B870" s="7" t="s">
        <v>2281</v>
      </c>
      <c r="C870" s="8">
        <v>13600000</v>
      </c>
      <c r="E870" s="50">
        <f t="shared" ref="E870:E935" si="18">E869-C870+D870</f>
        <v>145013058.64999992</v>
      </c>
      <c r="F870" s="83" t="s">
        <v>137</v>
      </c>
      <c r="G870" s="14" t="s">
        <v>138</v>
      </c>
      <c r="H870" s="14" t="s">
        <v>2276</v>
      </c>
    </row>
    <row r="871" spans="1:9">
      <c r="A871" s="3">
        <v>44412</v>
      </c>
      <c r="B871" s="7" t="s">
        <v>2282</v>
      </c>
      <c r="C871" s="8">
        <v>25000000</v>
      </c>
      <c r="E871" s="50">
        <f t="shared" si="18"/>
        <v>120013058.64999992</v>
      </c>
      <c r="F871" s="83" t="s">
        <v>137</v>
      </c>
      <c r="G871" s="14" t="s">
        <v>138</v>
      </c>
      <c r="H871" s="14" t="s">
        <v>2277</v>
      </c>
    </row>
    <row r="872" spans="1:9" s="14" customFormat="1">
      <c r="A872" s="138">
        <v>44412</v>
      </c>
      <c r="B872" s="49" t="s">
        <v>2283</v>
      </c>
      <c r="C872" s="53">
        <v>61465796</v>
      </c>
      <c r="D872" s="53"/>
      <c r="E872" s="53">
        <f t="shared" si="18"/>
        <v>58547262.649999917</v>
      </c>
      <c r="F872" s="80" t="s">
        <v>107</v>
      </c>
      <c r="G872" s="14" t="s">
        <v>666</v>
      </c>
      <c r="H872" s="14" t="s">
        <v>142</v>
      </c>
    </row>
    <row r="873" spans="1:9">
      <c r="A873" s="3">
        <v>44412</v>
      </c>
      <c r="B873" s="7" t="s">
        <v>7</v>
      </c>
      <c r="C873" s="8">
        <v>2900</v>
      </c>
      <c r="E873" s="50">
        <f t="shared" si="18"/>
        <v>58544362.649999917</v>
      </c>
      <c r="F873" s="83" t="s">
        <v>113</v>
      </c>
      <c r="G873" s="14" t="s">
        <v>114</v>
      </c>
      <c r="H873" s="14"/>
    </row>
    <row r="874" spans="1:9" s="14" customFormat="1">
      <c r="A874" s="138">
        <v>44412</v>
      </c>
      <c r="B874" s="49" t="s">
        <v>2284</v>
      </c>
      <c r="C874" s="53">
        <v>3462851</v>
      </c>
      <c r="D874" s="53"/>
      <c r="E874" s="53">
        <f t="shared" si="18"/>
        <v>55081511.649999917</v>
      </c>
      <c r="F874" s="80" t="s">
        <v>107</v>
      </c>
      <c r="G874" s="14" t="s">
        <v>666</v>
      </c>
      <c r="H874" s="14" t="s">
        <v>141</v>
      </c>
    </row>
    <row r="875" spans="1:9">
      <c r="A875" s="3">
        <v>44412</v>
      </c>
      <c r="B875" s="7" t="s">
        <v>7</v>
      </c>
      <c r="C875" s="8">
        <v>2900</v>
      </c>
      <c r="E875" s="50">
        <f t="shared" si="18"/>
        <v>55078611.649999917</v>
      </c>
      <c r="F875" s="83" t="s">
        <v>113</v>
      </c>
      <c r="G875" s="14" t="s">
        <v>114</v>
      </c>
      <c r="H875" s="14"/>
    </row>
    <row r="876" spans="1:9" s="14" customFormat="1">
      <c r="A876" s="138">
        <v>44412</v>
      </c>
      <c r="B876" s="49" t="s">
        <v>2285</v>
      </c>
      <c r="C876" s="53">
        <v>7779482</v>
      </c>
      <c r="D876" s="53"/>
      <c r="E876" s="53">
        <f t="shared" si="18"/>
        <v>47299129.649999917</v>
      </c>
      <c r="F876" s="80" t="s">
        <v>107</v>
      </c>
      <c r="G876" s="14" t="s">
        <v>666</v>
      </c>
      <c r="H876" s="14" t="s">
        <v>140</v>
      </c>
    </row>
    <row r="877" spans="1:9">
      <c r="A877" s="3">
        <v>44412</v>
      </c>
      <c r="B877" s="7" t="s">
        <v>7</v>
      </c>
      <c r="C877" s="8">
        <v>2900</v>
      </c>
      <c r="E877" s="50">
        <f t="shared" si="18"/>
        <v>47296229.649999917</v>
      </c>
      <c r="F877" s="83" t="s">
        <v>113</v>
      </c>
      <c r="G877" s="14" t="s">
        <v>114</v>
      </c>
      <c r="H877" s="14"/>
    </row>
    <row r="878" spans="1:9">
      <c r="A878" s="3">
        <v>44413</v>
      </c>
      <c r="B878" s="7" t="s">
        <v>1265</v>
      </c>
      <c r="C878" s="54">
        <v>2800000</v>
      </c>
      <c r="D878" s="54"/>
      <c r="E878" s="53">
        <f t="shared" si="18"/>
        <v>44496229.649999917</v>
      </c>
      <c r="F878" s="80" t="s">
        <v>107</v>
      </c>
      <c r="G878" s="14" t="s">
        <v>109</v>
      </c>
      <c r="H878" s="14"/>
    </row>
    <row r="879" spans="1:9">
      <c r="A879" s="3">
        <v>44413</v>
      </c>
      <c r="B879" s="7" t="s">
        <v>1650</v>
      </c>
      <c r="C879" s="54">
        <v>6500</v>
      </c>
      <c r="D879" s="54"/>
      <c r="E879" s="53">
        <f t="shared" si="18"/>
        <v>44489729.649999917</v>
      </c>
      <c r="F879" s="80" t="s">
        <v>113</v>
      </c>
      <c r="G879" s="14" t="s">
        <v>114</v>
      </c>
      <c r="H879" s="14"/>
    </row>
    <row r="880" spans="1:9">
      <c r="A880" s="3">
        <v>44414</v>
      </c>
      <c r="B880" s="7" t="s">
        <v>2286</v>
      </c>
      <c r="C880" s="54">
        <v>0</v>
      </c>
      <c r="D880" s="54">
        <v>63031</v>
      </c>
      <c r="E880" s="53">
        <f t="shared" si="18"/>
        <v>44552760.649999917</v>
      </c>
      <c r="F880" s="80" t="s">
        <v>107</v>
      </c>
      <c r="G880" s="14" t="s">
        <v>668</v>
      </c>
      <c r="H880" s="14" t="s">
        <v>3405</v>
      </c>
      <c r="I880" t="s">
        <v>3555</v>
      </c>
    </row>
    <row r="881" spans="1:12">
      <c r="A881" s="3">
        <v>44414</v>
      </c>
      <c r="B881" s="7" t="s">
        <v>2287</v>
      </c>
      <c r="C881" s="54">
        <v>2500000</v>
      </c>
      <c r="D881" s="54"/>
      <c r="E881" s="53">
        <f t="shared" si="18"/>
        <v>42052760.649999917</v>
      </c>
      <c r="F881" s="80" t="s">
        <v>137</v>
      </c>
      <c r="G881" s="14" t="s">
        <v>138</v>
      </c>
      <c r="H881" s="14" t="s">
        <v>3024</v>
      </c>
    </row>
    <row r="882" spans="1:12">
      <c r="A882" s="3">
        <v>44414</v>
      </c>
      <c r="B882" s="7" t="s">
        <v>2288</v>
      </c>
      <c r="C882" s="54">
        <v>400000</v>
      </c>
      <c r="D882" s="54"/>
      <c r="E882" s="53">
        <f t="shared" si="18"/>
        <v>41652760.649999917</v>
      </c>
      <c r="F882" s="80" t="s">
        <v>137</v>
      </c>
      <c r="G882" s="14" t="s">
        <v>138</v>
      </c>
      <c r="H882" s="14" t="s">
        <v>2970</v>
      </c>
      <c r="J882" t="s">
        <v>4150</v>
      </c>
      <c r="K882" t="s">
        <v>119</v>
      </c>
      <c r="L882" s="10">
        <v>2021</v>
      </c>
    </row>
    <row r="883" spans="1:12">
      <c r="A883" s="3">
        <v>44414</v>
      </c>
      <c r="B883" s="7" t="s">
        <v>2289</v>
      </c>
      <c r="C883" s="54">
        <v>3500000</v>
      </c>
      <c r="D883" s="54"/>
      <c r="E883" s="53">
        <f t="shared" si="18"/>
        <v>38152760.649999917</v>
      </c>
      <c r="F883" s="80" t="s">
        <v>137</v>
      </c>
      <c r="G883" s="14" t="s">
        <v>138</v>
      </c>
      <c r="H883" s="14" t="s">
        <v>4140</v>
      </c>
      <c r="J883" t="s">
        <v>4150</v>
      </c>
      <c r="K883" t="s">
        <v>119</v>
      </c>
      <c r="L883" s="10">
        <v>2021</v>
      </c>
    </row>
    <row r="884" spans="1:12">
      <c r="A884" s="3">
        <v>44414</v>
      </c>
      <c r="B884" s="7" t="s">
        <v>2290</v>
      </c>
      <c r="C884" s="54">
        <v>400000</v>
      </c>
      <c r="D884" s="54"/>
      <c r="E884" s="53">
        <f t="shared" si="18"/>
        <v>37752760.649999917</v>
      </c>
      <c r="F884" s="80" t="s">
        <v>137</v>
      </c>
      <c r="G884" s="14" t="s">
        <v>138</v>
      </c>
      <c r="H884" s="14" t="s">
        <v>3015</v>
      </c>
    </row>
    <row r="885" spans="1:12">
      <c r="A885" s="3">
        <v>44414</v>
      </c>
      <c r="B885" s="7" t="s">
        <v>24</v>
      </c>
      <c r="C885" s="54">
        <v>2969200</v>
      </c>
      <c r="D885" s="54"/>
      <c r="E885" s="53">
        <f t="shared" si="18"/>
        <v>34783560.649999917</v>
      </c>
      <c r="F885" s="80" t="s">
        <v>107</v>
      </c>
      <c r="G885" s="14" t="s">
        <v>129</v>
      </c>
      <c r="H885" s="14"/>
    </row>
    <row r="886" spans="1:12">
      <c r="A886" s="3">
        <v>44414</v>
      </c>
      <c r="B886" s="7" t="s">
        <v>2291</v>
      </c>
      <c r="C886" s="54">
        <v>2455000</v>
      </c>
      <c r="D886" s="54"/>
      <c r="E886" s="53">
        <f t="shared" si="18"/>
        <v>32328560.649999917</v>
      </c>
      <c r="F886" s="81" t="s">
        <v>2884</v>
      </c>
      <c r="G886" s="14" t="s">
        <v>130</v>
      </c>
      <c r="H886" t="s">
        <v>623</v>
      </c>
    </row>
    <row r="887" spans="1:12">
      <c r="A887" s="3">
        <v>44414</v>
      </c>
      <c r="B887" s="7" t="s">
        <v>2292</v>
      </c>
      <c r="C887" s="54">
        <v>305000</v>
      </c>
      <c r="D887" s="54"/>
      <c r="E887" s="53">
        <f t="shared" si="18"/>
        <v>32023560.649999917</v>
      </c>
      <c r="F887" s="81" t="s">
        <v>2884</v>
      </c>
      <c r="G887" s="14" t="s">
        <v>130</v>
      </c>
      <c r="H887" t="s">
        <v>625</v>
      </c>
    </row>
    <row r="888" spans="1:12">
      <c r="A888" s="3">
        <v>44414</v>
      </c>
      <c r="B888" s="7" t="s">
        <v>2293</v>
      </c>
      <c r="C888" s="54">
        <v>380000</v>
      </c>
      <c r="D888" s="54"/>
      <c r="E888" s="53">
        <f t="shared" si="18"/>
        <v>31643560.649999917</v>
      </c>
      <c r="F888" s="81" t="s">
        <v>2884</v>
      </c>
      <c r="G888" s="14" t="s">
        <v>130</v>
      </c>
      <c r="H888" t="s">
        <v>2083</v>
      </c>
    </row>
    <row r="889" spans="1:12">
      <c r="A889" s="3">
        <v>44414</v>
      </c>
      <c r="B889" s="7" t="s">
        <v>2294</v>
      </c>
      <c r="C889" s="54">
        <v>1700000</v>
      </c>
      <c r="D889" s="54"/>
      <c r="E889" s="53">
        <f t="shared" si="18"/>
        <v>29943560.649999917</v>
      </c>
      <c r="F889" s="80" t="s">
        <v>736</v>
      </c>
      <c r="G889" s="14" t="s">
        <v>3994</v>
      </c>
      <c r="H889" s="14"/>
    </row>
    <row r="890" spans="1:12">
      <c r="A890" s="3">
        <v>44414</v>
      </c>
      <c r="B890" s="7" t="s">
        <v>2295</v>
      </c>
      <c r="C890" s="54">
        <v>600203</v>
      </c>
      <c r="D890" s="54"/>
      <c r="E890" s="53">
        <f t="shared" si="18"/>
        <v>29343357.649999917</v>
      </c>
      <c r="F890" s="80" t="s">
        <v>137</v>
      </c>
      <c r="G890" s="14" t="s">
        <v>138</v>
      </c>
      <c r="H890" s="14" t="s">
        <v>2960</v>
      </c>
    </row>
    <row r="891" spans="1:12">
      <c r="A891" s="3">
        <v>44414</v>
      </c>
      <c r="B891" s="7" t="s">
        <v>2485</v>
      </c>
      <c r="C891" s="54">
        <v>14000000</v>
      </c>
      <c r="D891" s="54"/>
      <c r="E891" s="53">
        <f t="shared" si="18"/>
        <v>15343357.649999917</v>
      </c>
      <c r="F891" s="80" t="s">
        <v>137</v>
      </c>
      <c r="G891" s="14" t="s">
        <v>138</v>
      </c>
      <c r="H891" s="14" t="s">
        <v>2968</v>
      </c>
    </row>
    <row r="892" spans="1:12">
      <c r="A892" s="3">
        <v>44414</v>
      </c>
      <c r="B892" s="7" t="s">
        <v>2296</v>
      </c>
      <c r="C892" s="54">
        <v>2850000</v>
      </c>
      <c r="D892" s="54"/>
      <c r="E892" s="53">
        <f t="shared" si="18"/>
        <v>12493357.649999917</v>
      </c>
      <c r="F892" s="80" t="s">
        <v>137</v>
      </c>
      <c r="G892" s="14" t="s">
        <v>138</v>
      </c>
      <c r="H892" s="14" t="s">
        <v>2968</v>
      </c>
    </row>
    <row r="893" spans="1:12">
      <c r="A893" s="3">
        <v>44414</v>
      </c>
      <c r="B893" s="7" t="s">
        <v>2297</v>
      </c>
      <c r="C893" s="54">
        <v>2000000</v>
      </c>
      <c r="D893" s="54"/>
      <c r="E893" s="53">
        <f t="shared" si="18"/>
        <v>10493357.649999917</v>
      </c>
      <c r="F893" s="80" t="s">
        <v>137</v>
      </c>
      <c r="G893" s="14" t="s">
        <v>138</v>
      </c>
      <c r="H893" s="14" t="s">
        <v>2970</v>
      </c>
    </row>
    <row r="894" spans="1:12">
      <c r="A894" s="3">
        <v>44414</v>
      </c>
      <c r="B894" s="7" t="s">
        <v>2298</v>
      </c>
      <c r="C894" s="54">
        <v>1270000</v>
      </c>
      <c r="D894" s="54"/>
      <c r="E894" s="53">
        <f t="shared" si="18"/>
        <v>9223357.6499999166</v>
      </c>
      <c r="F894" s="80" t="s">
        <v>137</v>
      </c>
      <c r="G894" s="14" t="s">
        <v>138</v>
      </c>
      <c r="H894" s="14" t="s">
        <v>2043</v>
      </c>
    </row>
    <row r="895" spans="1:12">
      <c r="A895" s="3">
        <v>44414</v>
      </c>
      <c r="B895" s="7" t="s">
        <v>1265</v>
      </c>
      <c r="C895" s="54">
        <v>2000000</v>
      </c>
      <c r="D895" s="54"/>
      <c r="E895" s="53">
        <f t="shared" si="18"/>
        <v>7223357.6499999166</v>
      </c>
      <c r="F895" s="80" t="s">
        <v>107</v>
      </c>
      <c r="G895" s="14" t="s">
        <v>109</v>
      </c>
      <c r="H895" s="14"/>
    </row>
    <row r="896" spans="1:12">
      <c r="A896" s="3">
        <v>44414</v>
      </c>
      <c r="B896" s="7" t="s">
        <v>1266</v>
      </c>
      <c r="C896" s="8">
        <v>6500</v>
      </c>
      <c r="E896" s="50">
        <f t="shared" si="18"/>
        <v>7216857.6499999166</v>
      </c>
      <c r="F896" s="83" t="s">
        <v>113</v>
      </c>
      <c r="G896" s="14" t="s">
        <v>114</v>
      </c>
      <c r="H896" s="14"/>
    </row>
    <row r="897" spans="1:9">
      <c r="A897" s="3">
        <v>44414</v>
      </c>
      <c r="B897" s="7" t="s">
        <v>1552</v>
      </c>
      <c r="D897" s="8">
        <v>3000000</v>
      </c>
      <c r="E897" s="50">
        <f t="shared" si="18"/>
        <v>10216857.649999917</v>
      </c>
      <c r="F897" s="83" t="s">
        <v>115</v>
      </c>
      <c r="G897" s="14" t="s">
        <v>122</v>
      </c>
      <c r="H897" s="14" t="s">
        <v>247</v>
      </c>
    </row>
    <row r="898" spans="1:9">
      <c r="A898" s="3">
        <v>44414</v>
      </c>
      <c r="B898" s="7" t="s">
        <v>2299</v>
      </c>
      <c r="C898" s="8">
        <v>10000000</v>
      </c>
      <c r="E898" s="50">
        <f t="shared" si="18"/>
        <v>216857.64999991655</v>
      </c>
      <c r="F898" s="83" t="s">
        <v>107</v>
      </c>
      <c r="G898" s="14" t="s">
        <v>2886</v>
      </c>
      <c r="H898" s="14"/>
    </row>
    <row r="899" spans="1:9">
      <c r="A899" s="3">
        <v>44414</v>
      </c>
      <c r="B899" s="7" t="s">
        <v>2300</v>
      </c>
      <c r="C899" s="8">
        <v>6500</v>
      </c>
      <c r="E899" s="50">
        <f t="shared" si="18"/>
        <v>210357.64999991655</v>
      </c>
      <c r="F899" s="83" t="s">
        <v>113</v>
      </c>
      <c r="G899" s="14" t="s">
        <v>114</v>
      </c>
      <c r="H899" s="14"/>
    </row>
    <row r="900" spans="1:9">
      <c r="A900" s="3">
        <v>44420</v>
      </c>
      <c r="B900" s="7" t="s">
        <v>1623</v>
      </c>
      <c r="D900" s="8">
        <v>11000000</v>
      </c>
      <c r="E900" s="50">
        <f t="shared" si="18"/>
        <v>11210357.649999917</v>
      </c>
      <c r="F900" s="83" t="s">
        <v>107</v>
      </c>
      <c r="G900" s="14" t="s">
        <v>254</v>
      </c>
      <c r="H900" s="14"/>
    </row>
    <row r="901" spans="1:9">
      <c r="A901" s="3">
        <v>44420</v>
      </c>
      <c r="B901" s="7" t="s">
        <v>2301</v>
      </c>
      <c r="D901" s="8">
        <v>100000</v>
      </c>
      <c r="E901" s="50">
        <f t="shared" si="18"/>
        <v>11310357.649999917</v>
      </c>
      <c r="F901" s="83" t="s">
        <v>107</v>
      </c>
      <c r="G901" s="14" t="s">
        <v>668</v>
      </c>
      <c r="H901" s="14" t="s">
        <v>3405</v>
      </c>
      <c r="I901" t="s">
        <v>3473</v>
      </c>
    </row>
    <row r="902" spans="1:9">
      <c r="A902" s="3">
        <v>44421</v>
      </c>
      <c r="B902" s="7" t="s">
        <v>2302</v>
      </c>
      <c r="C902" s="8">
        <v>2855850</v>
      </c>
      <c r="E902" s="50">
        <f t="shared" si="18"/>
        <v>8454507.6499999166</v>
      </c>
      <c r="F902" s="83" t="s">
        <v>107</v>
      </c>
      <c r="G902" s="14" t="s">
        <v>129</v>
      </c>
      <c r="H902" s="14"/>
    </row>
    <row r="903" spans="1:9">
      <c r="A903" s="3">
        <v>44424</v>
      </c>
      <c r="B903" s="7" t="s">
        <v>2303</v>
      </c>
      <c r="C903" s="8">
        <v>2961998</v>
      </c>
      <c r="E903" s="50">
        <f t="shared" si="18"/>
        <v>5492509.6499999166</v>
      </c>
      <c r="F903" s="83" t="s">
        <v>137</v>
      </c>
      <c r="G903" s="14" t="s">
        <v>138</v>
      </c>
      <c r="H903" t="s">
        <v>603</v>
      </c>
    </row>
    <row r="904" spans="1:9">
      <c r="A904" s="3">
        <v>44424</v>
      </c>
      <c r="B904" s="7" t="s">
        <v>2304</v>
      </c>
      <c r="C904" s="8">
        <v>1794600</v>
      </c>
      <c r="E904" s="50">
        <f t="shared" si="18"/>
        <v>3697909.6499999166</v>
      </c>
      <c r="F904" s="83" t="s">
        <v>137</v>
      </c>
      <c r="G904" s="14" t="s">
        <v>138</v>
      </c>
      <c r="H904" t="s">
        <v>603</v>
      </c>
    </row>
    <row r="905" spans="1:9">
      <c r="A905" s="3">
        <v>44424</v>
      </c>
      <c r="B905" s="7" t="s">
        <v>1623</v>
      </c>
      <c r="D905" s="8">
        <v>250000000</v>
      </c>
      <c r="E905" s="50">
        <f t="shared" si="18"/>
        <v>253697909.64999992</v>
      </c>
      <c r="F905" s="83" t="s">
        <v>107</v>
      </c>
      <c r="G905" s="14" t="s">
        <v>254</v>
      </c>
      <c r="H905" s="14"/>
    </row>
    <row r="906" spans="1:9">
      <c r="A906" s="3">
        <v>44424</v>
      </c>
      <c r="B906" s="7" t="s">
        <v>2305</v>
      </c>
      <c r="C906" s="8">
        <v>5800000</v>
      </c>
      <c r="E906" s="50">
        <f t="shared" si="18"/>
        <v>247897909.64999992</v>
      </c>
      <c r="F906" s="83" t="s">
        <v>137</v>
      </c>
      <c r="G906" s="14" t="s">
        <v>138</v>
      </c>
      <c r="H906" s="14" t="s">
        <v>2970</v>
      </c>
    </row>
    <row r="907" spans="1:9">
      <c r="A907" s="3">
        <v>44424</v>
      </c>
      <c r="B907" s="7" t="s">
        <v>2306</v>
      </c>
      <c r="C907" s="8">
        <v>14000000</v>
      </c>
      <c r="E907" s="50">
        <f t="shared" si="18"/>
        <v>233897909.64999992</v>
      </c>
      <c r="F907" s="83" t="s">
        <v>137</v>
      </c>
      <c r="G907" s="14" t="s">
        <v>138</v>
      </c>
      <c r="H907" s="14" t="s">
        <v>2043</v>
      </c>
    </row>
    <row r="908" spans="1:9">
      <c r="A908" s="3">
        <v>44424</v>
      </c>
      <c r="B908" s="7" t="s">
        <v>2307</v>
      </c>
      <c r="C908" s="8">
        <v>22000000</v>
      </c>
      <c r="E908" s="50">
        <f t="shared" si="18"/>
        <v>211897909.64999992</v>
      </c>
      <c r="F908" s="83" t="s">
        <v>137</v>
      </c>
      <c r="G908" s="14" t="s">
        <v>138</v>
      </c>
      <c r="H908" s="14" t="s">
        <v>2968</v>
      </c>
    </row>
    <row r="909" spans="1:9">
      <c r="A909" s="3">
        <v>44424</v>
      </c>
      <c r="B909" s="7" t="s">
        <v>2308</v>
      </c>
      <c r="C909" s="54">
        <v>3500000</v>
      </c>
      <c r="D909" s="54">
        <v>0</v>
      </c>
      <c r="E909" s="53">
        <f t="shared" si="18"/>
        <v>208397909.64999992</v>
      </c>
      <c r="F909" s="80" t="s">
        <v>319</v>
      </c>
      <c r="G909" s="14" t="s">
        <v>370</v>
      </c>
      <c r="H909" s="14"/>
    </row>
    <row r="910" spans="1:9">
      <c r="A910" s="3">
        <v>44424</v>
      </c>
      <c r="B910" s="7" t="s">
        <v>2308</v>
      </c>
      <c r="C910" s="54">
        <v>350000</v>
      </c>
      <c r="D910" s="54">
        <v>0</v>
      </c>
      <c r="E910" s="53">
        <f t="shared" si="18"/>
        <v>208047909.64999992</v>
      </c>
      <c r="F910" s="82" t="s">
        <v>110</v>
      </c>
      <c r="G910" t="s">
        <v>616</v>
      </c>
      <c r="H910" t="s">
        <v>4621</v>
      </c>
    </row>
    <row r="911" spans="1:9">
      <c r="A911" s="3">
        <v>44424</v>
      </c>
      <c r="B911" s="7" t="s">
        <v>2308</v>
      </c>
      <c r="C911" s="54">
        <v>0</v>
      </c>
      <c r="D911" s="54">
        <v>70000</v>
      </c>
      <c r="E911" s="53">
        <f t="shared" si="18"/>
        <v>208117909.64999992</v>
      </c>
      <c r="F911" s="82" t="s">
        <v>115</v>
      </c>
      <c r="G911" t="s">
        <v>441</v>
      </c>
      <c r="H911" t="s">
        <v>596</v>
      </c>
    </row>
    <row r="912" spans="1:9">
      <c r="A912" s="3">
        <v>44424</v>
      </c>
      <c r="B912" s="7" t="s">
        <v>2309</v>
      </c>
      <c r="C912" s="8">
        <v>747500</v>
      </c>
      <c r="E912" s="50">
        <f t="shared" si="18"/>
        <v>207370409.64999992</v>
      </c>
      <c r="F912" s="83" t="s">
        <v>319</v>
      </c>
      <c r="G912" s="14" t="s">
        <v>244</v>
      </c>
      <c r="H912" s="14"/>
    </row>
    <row r="913" spans="1:12">
      <c r="A913" s="3">
        <v>44424</v>
      </c>
      <c r="B913" s="7" t="s">
        <v>2310</v>
      </c>
      <c r="C913" s="8">
        <v>6000000</v>
      </c>
      <c r="E913" s="50">
        <f t="shared" si="18"/>
        <v>201370409.64999992</v>
      </c>
      <c r="F913" s="83" t="s">
        <v>137</v>
      </c>
      <c r="G913" s="14" t="s">
        <v>138</v>
      </c>
      <c r="H913" s="14" t="s">
        <v>2968</v>
      </c>
    </row>
    <row r="914" spans="1:12">
      <c r="A914" s="3">
        <v>44424</v>
      </c>
      <c r="B914" s="7" t="s">
        <v>2311</v>
      </c>
      <c r="C914" s="8">
        <v>4200000</v>
      </c>
      <c r="E914" s="50">
        <f t="shared" si="18"/>
        <v>197170409.64999992</v>
      </c>
      <c r="F914" s="83" t="s">
        <v>137</v>
      </c>
      <c r="G914" s="14" t="s">
        <v>138</v>
      </c>
      <c r="H914" s="14" t="s">
        <v>2043</v>
      </c>
    </row>
    <row r="915" spans="1:12">
      <c r="A915" s="3">
        <v>44424</v>
      </c>
      <c r="B915" s="7" t="s">
        <v>2312</v>
      </c>
      <c r="C915" s="8">
        <v>3500000</v>
      </c>
      <c r="E915" s="50">
        <f t="shared" si="18"/>
        <v>193670409.64999992</v>
      </c>
      <c r="F915" s="83" t="s">
        <v>137</v>
      </c>
      <c r="G915" s="14" t="s">
        <v>138</v>
      </c>
      <c r="H915" s="14" t="s">
        <v>2043</v>
      </c>
    </row>
    <row r="916" spans="1:12">
      <c r="A916" s="3">
        <v>44424</v>
      </c>
      <c r="B916" s="7" t="s">
        <v>2486</v>
      </c>
      <c r="C916" s="8">
        <v>16700000</v>
      </c>
      <c r="E916" s="50">
        <f t="shared" si="18"/>
        <v>176970409.64999992</v>
      </c>
      <c r="F916" s="83" t="s">
        <v>137</v>
      </c>
      <c r="G916" s="14" t="s">
        <v>138</v>
      </c>
      <c r="H916" s="14" t="s">
        <v>2968</v>
      </c>
    </row>
    <row r="917" spans="1:12">
      <c r="A917" s="3">
        <v>44424</v>
      </c>
      <c r="B917" s="7" t="s">
        <v>2313</v>
      </c>
      <c r="C917" s="8">
        <v>3200000</v>
      </c>
      <c r="E917" s="50">
        <f t="shared" si="18"/>
        <v>173770409.64999992</v>
      </c>
      <c r="F917" s="83" t="s">
        <v>137</v>
      </c>
      <c r="G917" s="14" t="s">
        <v>138</v>
      </c>
      <c r="H917" s="14" t="s">
        <v>2968</v>
      </c>
    </row>
    <row r="918" spans="1:12">
      <c r="A918" s="3">
        <v>44424</v>
      </c>
      <c r="B918" s="7" t="s">
        <v>2314</v>
      </c>
      <c r="C918" s="8">
        <v>5520000</v>
      </c>
      <c r="E918" s="50">
        <f t="shared" si="18"/>
        <v>168250409.64999992</v>
      </c>
      <c r="F918" s="83" t="s">
        <v>137</v>
      </c>
      <c r="G918" s="14" t="s">
        <v>138</v>
      </c>
      <c r="H918" s="14" t="s">
        <v>2968</v>
      </c>
    </row>
    <row r="919" spans="1:12">
      <c r="A919" s="3">
        <v>44424</v>
      </c>
      <c r="B919" s="7" t="s">
        <v>2315</v>
      </c>
      <c r="C919" s="8">
        <v>7500000</v>
      </c>
      <c r="E919" s="50">
        <f t="shared" si="18"/>
        <v>160750409.64999992</v>
      </c>
      <c r="F919" s="83" t="s">
        <v>137</v>
      </c>
      <c r="G919" s="14" t="s">
        <v>138</v>
      </c>
      <c r="H919" s="14" t="s">
        <v>2968</v>
      </c>
    </row>
    <row r="920" spans="1:12">
      <c r="A920" s="3">
        <v>44424</v>
      </c>
      <c r="B920" s="7" t="s">
        <v>2316</v>
      </c>
      <c r="C920" s="8">
        <v>9340000</v>
      </c>
      <c r="E920" s="50">
        <f t="shared" si="18"/>
        <v>151410409.64999992</v>
      </c>
      <c r="F920" s="83" t="s">
        <v>137</v>
      </c>
      <c r="G920" s="14" t="s">
        <v>138</v>
      </c>
      <c r="H920" s="14" t="s">
        <v>2968</v>
      </c>
    </row>
    <row r="921" spans="1:12">
      <c r="A921" s="3">
        <v>44424</v>
      </c>
      <c r="B921" s="7" t="s">
        <v>2317</v>
      </c>
      <c r="C921" s="8">
        <v>18796010</v>
      </c>
      <c r="E921" s="50">
        <f t="shared" si="18"/>
        <v>132614399.64999992</v>
      </c>
      <c r="F921" s="83" t="s">
        <v>137</v>
      </c>
      <c r="G921" s="14" t="s">
        <v>138</v>
      </c>
      <c r="H921" s="14" t="s">
        <v>2968</v>
      </c>
    </row>
    <row r="922" spans="1:12">
      <c r="A922" s="3">
        <v>44424</v>
      </c>
      <c r="B922" s="7" t="s">
        <v>2318</v>
      </c>
      <c r="C922" s="8">
        <v>3500000</v>
      </c>
      <c r="E922" s="50">
        <f t="shared" si="18"/>
        <v>129114399.64999992</v>
      </c>
      <c r="F922" s="83" t="s">
        <v>137</v>
      </c>
      <c r="G922" s="14" t="s">
        <v>138</v>
      </c>
      <c r="H922" s="14" t="s">
        <v>3012</v>
      </c>
      <c r="J922" t="s">
        <v>4150</v>
      </c>
      <c r="K922" t="s">
        <v>119</v>
      </c>
      <c r="L922" s="10">
        <v>2021</v>
      </c>
    </row>
    <row r="923" spans="1:12">
      <c r="A923" s="3">
        <v>44424</v>
      </c>
      <c r="B923" s="7" t="s">
        <v>2319</v>
      </c>
      <c r="C923" s="8">
        <v>34625000</v>
      </c>
      <c r="E923" s="50">
        <f t="shared" si="18"/>
        <v>94489399.649999917</v>
      </c>
      <c r="F923" s="83" t="s">
        <v>137</v>
      </c>
      <c r="G923" s="14" t="s">
        <v>138</v>
      </c>
      <c r="H923" s="14" t="s">
        <v>2968</v>
      </c>
    </row>
    <row r="924" spans="1:12">
      <c r="A924" s="3">
        <v>44424</v>
      </c>
      <c r="B924" s="7" t="s">
        <v>2320</v>
      </c>
      <c r="C924" s="8">
        <v>800000</v>
      </c>
      <c r="E924" s="50">
        <f t="shared" si="18"/>
        <v>93689399.649999917</v>
      </c>
      <c r="F924" s="83" t="s">
        <v>137</v>
      </c>
      <c r="G924" s="14" t="s">
        <v>138</v>
      </c>
      <c r="H924" s="14" t="s">
        <v>3024</v>
      </c>
      <c r="J924" t="s">
        <v>4150</v>
      </c>
      <c r="K924" t="s">
        <v>119</v>
      </c>
      <c r="L924" s="10">
        <v>2021</v>
      </c>
    </row>
    <row r="925" spans="1:12">
      <c r="A925" s="3">
        <v>44424</v>
      </c>
      <c r="B925" s="7" t="s">
        <v>2321</v>
      </c>
      <c r="C925" s="8">
        <v>800000</v>
      </c>
      <c r="E925" s="50">
        <f t="shared" si="18"/>
        <v>92889399.649999917</v>
      </c>
      <c r="F925" s="83" t="s">
        <v>137</v>
      </c>
      <c r="G925" s="14" t="s">
        <v>138</v>
      </c>
      <c r="H925" s="14" t="s">
        <v>3024</v>
      </c>
      <c r="J925" t="s">
        <v>4150</v>
      </c>
      <c r="K925" t="s">
        <v>622</v>
      </c>
      <c r="L925" s="10">
        <v>2021</v>
      </c>
    </row>
    <row r="926" spans="1:12">
      <c r="A926" s="3">
        <v>44424</v>
      </c>
      <c r="B926" s="7" t="s">
        <v>2322</v>
      </c>
      <c r="C926" s="8">
        <v>800000</v>
      </c>
      <c r="E926" s="50">
        <f t="shared" si="18"/>
        <v>92089399.649999917</v>
      </c>
      <c r="F926" s="83" t="s">
        <v>137</v>
      </c>
      <c r="G926" s="14" t="s">
        <v>138</v>
      </c>
      <c r="H926" s="14" t="s">
        <v>3024</v>
      </c>
      <c r="J926" t="s">
        <v>4150</v>
      </c>
      <c r="K926" t="s">
        <v>459</v>
      </c>
      <c r="L926" s="10">
        <v>2021</v>
      </c>
    </row>
    <row r="927" spans="1:12">
      <c r="A927" s="3">
        <v>44424</v>
      </c>
      <c r="B927" s="7" t="s">
        <v>2323</v>
      </c>
      <c r="C927" s="8">
        <v>800000</v>
      </c>
      <c r="E927" s="50">
        <f t="shared" si="18"/>
        <v>91289399.649999917</v>
      </c>
      <c r="F927" s="83" t="s">
        <v>137</v>
      </c>
      <c r="G927" s="14" t="s">
        <v>138</v>
      </c>
      <c r="H927" s="14" t="s">
        <v>3024</v>
      </c>
      <c r="J927" t="s">
        <v>4150</v>
      </c>
      <c r="K927" t="s">
        <v>4148</v>
      </c>
      <c r="L927" s="10">
        <v>2021</v>
      </c>
    </row>
    <row r="928" spans="1:12">
      <c r="A928" s="3">
        <v>44424</v>
      </c>
      <c r="B928" s="7" t="s">
        <v>2324</v>
      </c>
      <c r="C928" s="8">
        <v>800000</v>
      </c>
      <c r="E928" s="50">
        <f t="shared" si="18"/>
        <v>90489399.649999917</v>
      </c>
      <c r="F928" s="83" t="s">
        <v>137</v>
      </c>
      <c r="G928" s="14" t="s">
        <v>138</v>
      </c>
      <c r="H928" s="14" t="s">
        <v>3024</v>
      </c>
      <c r="J928" t="s">
        <v>4150</v>
      </c>
      <c r="K928" t="s">
        <v>4152</v>
      </c>
      <c r="L928" s="10">
        <v>2021</v>
      </c>
    </row>
    <row r="929" spans="1:12">
      <c r="A929" s="3">
        <v>44424</v>
      </c>
      <c r="B929" s="7" t="s">
        <v>2325</v>
      </c>
      <c r="C929" s="8">
        <v>3500000</v>
      </c>
      <c r="E929" s="50">
        <f t="shared" si="18"/>
        <v>86989399.649999917</v>
      </c>
      <c r="F929" s="83" t="s">
        <v>137</v>
      </c>
      <c r="G929" s="14" t="s">
        <v>138</v>
      </c>
      <c r="H929" s="14" t="s">
        <v>3030</v>
      </c>
      <c r="J929" t="s">
        <v>4150</v>
      </c>
      <c r="K929" t="s">
        <v>128</v>
      </c>
      <c r="L929" s="10">
        <v>2021</v>
      </c>
    </row>
    <row r="930" spans="1:12">
      <c r="A930" s="3">
        <v>44424</v>
      </c>
      <c r="B930" s="7" t="s">
        <v>4408</v>
      </c>
      <c r="C930" s="8">
        <v>20900000</v>
      </c>
      <c r="E930" s="50">
        <f t="shared" si="18"/>
        <v>66089399.649999917</v>
      </c>
      <c r="F930" s="83" t="s">
        <v>110</v>
      </c>
      <c r="G930" s="14" t="s">
        <v>118</v>
      </c>
      <c r="H930" s="14" t="s">
        <v>146</v>
      </c>
      <c r="I930" t="s">
        <v>3669</v>
      </c>
    </row>
    <row r="931" spans="1:12" s="14" customFormat="1">
      <c r="A931" s="138">
        <v>44424</v>
      </c>
      <c r="B931" s="49" t="s">
        <v>2326</v>
      </c>
      <c r="C931" s="53">
        <v>0</v>
      </c>
      <c r="D931" s="53">
        <v>2854348</v>
      </c>
      <c r="E931" s="53">
        <f t="shared" si="18"/>
        <v>68943747.649999917</v>
      </c>
      <c r="F931" s="80" t="s">
        <v>581</v>
      </c>
      <c r="G931" s="14" t="s">
        <v>582</v>
      </c>
      <c r="H931" s="14" t="s">
        <v>1127</v>
      </c>
      <c r="I931" s="14" t="s">
        <v>4456</v>
      </c>
    </row>
    <row r="932" spans="1:12">
      <c r="A932" s="3">
        <v>44424</v>
      </c>
      <c r="B932" s="7" t="s">
        <v>2327</v>
      </c>
      <c r="C932" s="8">
        <v>0</v>
      </c>
      <c r="D932" s="8">
        <v>75000000</v>
      </c>
      <c r="E932" s="50">
        <f t="shared" si="18"/>
        <v>143943747.64999992</v>
      </c>
      <c r="F932" s="83" t="s">
        <v>107</v>
      </c>
      <c r="G932" s="14" t="s">
        <v>108</v>
      </c>
      <c r="H932" s="14"/>
    </row>
    <row r="933" spans="1:12">
      <c r="A933" s="3">
        <v>44424</v>
      </c>
      <c r="B933" s="7" t="s">
        <v>2328</v>
      </c>
      <c r="C933" s="8">
        <v>2000000</v>
      </c>
      <c r="E933" s="50">
        <f t="shared" si="18"/>
        <v>141943747.64999992</v>
      </c>
      <c r="F933" s="83" t="s">
        <v>115</v>
      </c>
      <c r="G933" s="14" t="s">
        <v>122</v>
      </c>
      <c r="H933" s="14" t="s">
        <v>247</v>
      </c>
    </row>
    <row r="934" spans="1:12">
      <c r="A934" s="3">
        <v>44424</v>
      </c>
      <c r="B934" s="7" t="s">
        <v>2329</v>
      </c>
      <c r="C934" s="8">
        <v>74000000</v>
      </c>
      <c r="E934" s="50">
        <f t="shared" si="18"/>
        <v>67943747.649999917</v>
      </c>
      <c r="F934" s="83" t="s">
        <v>115</v>
      </c>
      <c r="G934" s="14" t="s">
        <v>122</v>
      </c>
      <c r="H934" s="14" t="s">
        <v>247</v>
      </c>
    </row>
    <row r="935" spans="1:12">
      <c r="A935" s="3">
        <v>44424</v>
      </c>
      <c r="B935" s="7" t="s">
        <v>2330</v>
      </c>
      <c r="C935" s="8">
        <v>3000000</v>
      </c>
      <c r="E935" s="50">
        <f t="shared" si="18"/>
        <v>64943747.649999917</v>
      </c>
      <c r="F935" s="83" t="s">
        <v>115</v>
      </c>
      <c r="G935" s="14" t="s">
        <v>122</v>
      </c>
      <c r="H935" s="14" t="s">
        <v>247</v>
      </c>
    </row>
    <row r="936" spans="1:12">
      <c r="A936" s="3">
        <v>44424</v>
      </c>
      <c r="B936" s="7" t="s">
        <v>2331</v>
      </c>
      <c r="C936" s="8">
        <v>15000000</v>
      </c>
      <c r="E936" s="50">
        <f t="shared" ref="E936:E1000" si="19">E935-C936+D936</f>
        <v>49943747.649999917</v>
      </c>
      <c r="F936" s="83" t="s">
        <v>137</v>
      </c>
      <c r="G936" s="14" t="s">
        <v>138</v>
      </c>
      <c r="H936" s="14" t="s">
        <v>2968</v>
      </c>
    </row>
    <row r="937" spans="1:12">
      <c r="A937" s="3">
        <v>44424</v>
      </c>
      <c r="B937" s="7" t="s">
        <v>2332</v>
      </c>
      <c r="C937" s="8">
        <v>3000000</v>
      </c>
      <c r="E937" s="50">
        <f t="shared" si="19"/>
        <v>46943747.649999917</v>
      </c>
      <c r="F937" s="83" t="s">
        <v>137</v>
      </c>
      <c r="G937" s="14" t="s">
        <v>138</v>
      </c>
      <c r="H937" s="14" t="s">
        <v>2277</v>
      </c>
    </row>
    <row r="938" spans="1:12">
      <c r="A938" s="3">
        <v>44424</v>
      </c>
      <c r="B938" s="7" t="s">
        <v>2487</v>
      </c>
      <c r="C938" s="8">
        <v>5000000</v>
      </c>
      <c r="E938" s="50">
        <f t="shared" si="19"/>
        <v>41943747.649999917</v>
      </c>
      <c r="F938" s="83" t="s">
        <v>137</v>
      </c>
      <c r="G938" s="14" t="s">
        <v>138</v>
      </c>
      <c r="H938" s="14" t="s">
        <v>2968</v>
      </c>
    </row>
    <row r="939" spans="1:12" s="14" customFormat="1">
      <c r="A939" s="138">
        <v>44426</v>
      </c>
      <c r="B939" s="49" t="s">
        <v>1265</v>
      </c>
      <c r="C939" s="50">
        <v>21000000</v>
      </c>
      <c r="D939" s="50"/>
      <c r="E939" s="50">
        <f t="shared" si="19"/>
        <v>20943747.649999917</v>
      </c>
      <c r="F939" s="83" t="s">
        <v>107</v>
      </c>
      <c r="G939" s="14" t="s">
        <v>109</v>
      </c>
    </row>
    <row r="940" spans="1:12">
      <c r="A940" s="3">
        <v>44426</v>
      </c>
      <c r="B940" s="7" t="s">
        <v>1266</v>
      </c>
      <c r="C940" s="8">
        <v>6500</v>
      </c>
      <c r="E940" s="50">
        <f t="shared" si="19"/>
        <v>20937247.649999917</v>
      </c>
      <c r="F940" s="83" t="s">
        <v>113</v>
      </c>
      <c r="G940" s="14" t="s">
        <v>114</v>
      </c>
      <c r="H940" s="14"/>
    </row>
    <row r="941" spans="1:12">
      <c r="A941" s="3">
        <v>44428</v>
      </c>
      <c r="B941" s="7" t="s">
        <v>60</v>
      </c>
      <c r="C941" s="8">
        <v>20000</v>
      </c>
      <c r="E941" s="50">
        <f t="shared" si="19"/>
        <v>20917247.649999917</v>
      </c>
      <c r="F941" s="83" t="s">
        <v>113</v>
      </c>
      <c r="G941" s="14" t="s">
        <v>114</v>
      </c>
      <c r="H941" s="14"/>
    </row>
    <row r="942" spans="1:12">
      <c r="A942" s="3">
        <v>44431</v>
      </c>
      <c r="B942" s="7" t="s">
        <v>1552</v>
      </c>
      <c r="D942" s="8">
        <v>105000000</v>
      </c>
      <c r="E942" s="50">
        <f t="shared" si="19"/>
        <v>125917247.64999992</v>
      </c>
      <c r="F942" s="83" t="s">
        <v>115</v>
      </c>
      <c r="G942" s="14" t="s">
        <v>122</v>
      </c>
      <c r="H942" s="14" t="s">
        <v>247</v>
      </c>
    </row>
    <row r="943" spans="1:12">
      <c r="A943" s="3">
        <v>44431</v>
      </c>
      <c r="B943" s="7" t="s">
        <v>2333</v>
      </c>
      <c r="C943" s="8">
        <v>65000000</v>
      </c>
      <c r="E943" s="50">
        <f t="shared" si="19"/>
        <v>60917247.649999917</v>
      </c>
      <c r="F943" s="83" t="s">
        <v>137</v>
      </c>
      <c r="G943" s="14" t="s">
        <v>138</v>
      </c>
      <c r="H943" s="14" t="s">
        <v>2277</v>
      </c>
    </row>
    <row r="944" spans="1:12">
      <c r="A944" s="3">
        <v>44431</v>
      </c>
      <c r="B944" s="7" t="s">
        <v>2334</v>
      </c>
      <c r="C944" s="8">
        <v>25000000</v>
      </c>
      <c r="E944" s="50">
        <f t="shared" si="19"/>
        <v>35917247.649999917</v>
      </c>
      <c r="F944" s="83" t="s">
        <v>137</v>
      </c>
      <c r="G944" s="14" t="s">
        <v>138</v>
      </c>
      <c r="H944" s="14" t="s">
        <v>2277</v>
      </c>
    </row>
    <row r="945" spans="1:12">
      <c r="A945" s="3">
        <v>44431</v>
      </c>
      <c r="B945" s="7" t="s">
        <v>5037</v>
      </c>
      <c r="C945" s="54">
        <f>2500000-C946</f>
        <v>2000000</v>
      </c>
      <c r="D945" s="54"/>
      <c r="E945" s="53">
        <f t="shared" si="19"/>
        <v>33917247.649999917</v>
      </c>
      <c r="F945" s="80" t="s">
        <v>137</v>
      </c>
      <c r="G945" s="14" t="s">
        <v>138</v>
      </c>
      <c r="H945" s="14" t="s">
        <v>2277</v>
      </c>
    </row>
    <row r="946" spans="1:12">
      <c r="A946" s="3">
        <v>44431</v>
      </c>
      <c r="B946" s="7" t="s">
        <v>5040</v>
      </c>
      <c r="C946" s="54">
        <v>500000</v>
      </c>
      <c r="D946" s="54"/>
      <c r="E946" s="53">
        <f t="shared" si="19"/>
        <v>33417247.649999917</v>
      </c>
      <c r="F946" s="80" t="s">
        <v>110</v>
      </c>
      <c r="G946" s="14" t="s">
        <v>321</v>
      </c>
      <c r="H946" s="14" t="s">
        <v>5038</v>
      </c>
    </row>
    <row r="947" spans="1:12">
      <c r="A947" s="3">
        <v>44431</v>
      </c>
      <c r="B947" s="7" t="s">
        <v>2335</v>
      </c>
      <c r="C947" s="8">
        <v>19016000</v>
      </c>
      <c r="E947" s="50">
        <f t="shared" si="19"/>
        <v>14401247.649999917</v>
      </c>
      <c r="F947" s="83" t="s">
        <v>137</v>
      </c>
      <c r="G947" s="14" t="s">
        <v>138</v>
      </c>
      <c r="H947" t="s">
        <v>603</v>
      </c>
    </row>
    <row r="948" spans="1:12">
      <c r="A948" s="3">
        <v>44431</v>
      </c>
      <c r="B948" s="7" t="s">
        <v>2336</v>
      </c>
      <c r="C948" s="8">
        <v>13964000</v>
      </c>
      <c r="E948" s="50">
        <f t="shared" si="19"/>
        <v>437247.64999991655</v>
      </c>
      <c r="F948" s="83" t="s">
        <v>137</v>
      </c>
      <c r="G948" s="14" t="s">
        <v>138</v>
      </c>
      <c r="H948" s="14" t="s">
        <v>4388</v>
      </c>
    </row>
    <row r="949" spans="1:12">
      <c r="A949" s="3">
        <v>44431</v>
      </c>
      <c r="B949" s="7" t="s">
        <v>1550</v>
      </c>
      <c r="C949" s="8">
        <v>0</v>
      </c>
      <c r="D949" s="8">
        <v>50000000</v>
      </c>
      <c r="E949" s="50">
        <f t="shared" si="19"/>
        <v>50437247.649999917</v>
      </c>
      <c r="F949" s="83" t="s">
        <v>107</v>
      </c>
      <c r="G949" s="14" t="s">
        <v>108</v>
      </c>
      <c r="H949" s="14"/>
    </row>
    <row r="950" spans="1:12">
      <c r="A950" s="3">
        <v>44431</v>
      </c>
      <c r="B950" s="7" t="s">
        <v>2337</v>
      </c>
      <c r="C950" s="8">
        <v>1500000</v>
      </c>
      <c r="E950" s="50">
        <f t="shared" si="19"/>
        <v>48937247.649999917</v>
      </c>
      <c r="F950" s="83" t="s">
        <v>137</v>
      </c>
      <c r="G950" s="14" t="s">
        <v>138</v>
      </c>
      <c r="H950" s="14" t="s">
        <v>3013</v>
      </c>
      <c r="J950" t="s">
        <v>4150</v>
      </c>
      <c r="K950" t="s">
        <v>480</v>
      </c>
      <c r="L950" s="10">
        <v>2021</v>
      </c>
    </row>
    <row r="951" spans="1:12">
      <c r="A951" s="3">
        <v>44431</v>
      </c>
      <c r="B951" s="7" t="s">
        <v>2338</v>
      </c>
      <c r="C951" s="8">
        <v>7500000</v>
      </c>
      <c r="E951" s="50">
        <f t="shared" si="19"/>
        <v>41437247.649999917</v>
      </c>
      <c r="F951" s="83" t="s">
        <v>137</v>
      </c>
      <c r="G951" s="14" t="s">
        <v>138</v>
      </c>
      <c r="H951" s="14" t="s">
        <v>2277</v>
      </c>
    </row>
    <row r="952" spans="1:12">
      <c r="A952" s="3">
        <v>44431</v>
      </c>
      <c r="B952" s="7" t="s">
        <v>2339</v>
      </c>
      <c r="C952" s="8">
        <v>5000000</v>
      </c>
      <c r="E952" s="50">
        <f t="shared" si="19"/>
        <v>36437247.649999917</v>
      </c>
      <c r="F952" s="83" t="s">
        <v>137</v>
      </c>
      <c r="G952" s="14" t="s">
        <v>138</v>
      </c>
      <c r="H952" s="14" t="s">
        <v>2277</v>
      </c>
    </row>
    <row r="953" spans="1:12">
      <c r="A953" s="3">
        <v>44431</v>
      </c>
      <c r="B953" s="7" t="s">
        <v>2340</v>
      </c>
      <c r="C953" s="8">
        <v>2500000</v>
      </c>
      <c r="E953" s="50">
        <f t="shared" si="19"/>
        <v>33937247.649999917</v>
      </c>
      <c r="F953" s="83" t="s">
        <v>107</v>
      </c>
      <c r="G953" s="14" t="s">
        <v>666</v>
      </c>
      <c r="H953" s="14" t="s">
        <v>3405</v>
      </c>
      <c r="I953" t="s">
        <v>3670</v>
      </c>
    </row>
    <row r="954" spans="1:12">
      <c r="A954" s="3">
        <v>44431</v>
      </c>
      <c r="B954" s="7" t="s">
        <v>2341</v>
      </c>
      <c r="C954" s="8">
        <v>520147</v>
      </c>
      <c r="E954" s="50">
        <f t="shared" si="19"/>
        <v>33417100.649999917</v>
      </c>
      <c r="F954" s="83" t="s">
        <v>319</v>
      </c>
      <c r="G954" s="14" t="s">
        <v>1016</v>
      </c>
      <c r="H954" s="14"/>
    </row>
    <row r="955" spans="1:12">
      <c r="A955" s="3">
        <v>44432</v>
      </c>
      <c r="B955" s="7" t="s">
        <v>2342</v>
      </c>
      <c r="C955" s="8">
        <v>0</v>
      </c>
      <c r="D955" s="8">
        <v>300000000</v>
      </c>
      <c r="E955" s="50">
        <f t="shared" si="19"/>
        <v>333417100.64999992</v>
      </c>
      <c r="F955" s="83" t="s">
        <v>107</v>
      </c>
      <c r="G955" s="14" t="s">
        <v>108</v>
      </c>
      <c r="H955" s="14"/>
    </row>
    <row r="956" spans="1:12">
      <c r="A956" s="3">
        <v>44433</v>
      </c>
      <c r="B956" s="7" t="s">
        <v>2343</v>
      </c>
      <c r="C956" s="8">
        <v>105000000</v>
      </c>
      <c r="E956" s="50">
        <f t="shared" si="19"/>
        <v>228417100.64999992</v>
      </c>
      <c r="F956" s="83" t="s">
        <v>115</v>
      </c>
      <c r="G956" s="14" t="s">
        <v>122</v>
      </c>
      <c r="H956" s="14" t="s">
        <v>247</v>
      </c>
    </row>
    <row r="957" spans="1:12">
      <c r="A957" s="3">
        <v>44434</v>
      </c>
      <c r="B957" s="7" t="s">
        <v>1265</v>
      </c>
      <c r="C957" s="8">
        <v>50000000</v>
      </c>
      <c r="E957" s="50">
        <f t="shared" si="19"/>
        <v>178417100.64999992</v>
      </c>
      <c r="F957" s="83" t="s">
        <v>107</v>
      </c>
      <c r="G957" s="14" t="s">
        <v>109</v>
      </c>
      <c r="H957" s="14"/>
    </row>
    <row r="958" spans="1:12">
      <c r="A958" s="3">
        <v>44434</v>
      </c>
      <c r="B958" s="7" t="s">
        <v>1266</v>
      </c>
      <c r="C958" s="8">
        <v>6500</v>
      </c>
      <c r="E958" s="50">
        <f t="shared" si="19"/>
        <v>178410600.64999992</v>
      </c>
      <c r="F958" s="83" t="s">
        <v>113</v>
      </c>
      <c r="G958" s="14" t="s">
        <v>114</v>
      </c>
      <c r="H958" s="14"/>
    </row>
    <row r="959" spans="1:12">
      <c r="A959" s="3">
        <v>44434</v>
      </c>
      <c r="B959" s="7" t="s">
        <v>1265</v>
      </c>
      <c r="C959" s="8">
        <v>32000000</v>
      </c>
      <c r="E959" s="50">
        <f t="shared" si="19"/>
        <v>146410600.64999992</v>
      </c>
      <c r="F959" s="83" t="s">
        <v>107</v>
      </c>
      <c r="G959" s="14" t="s">
        <v>109</v>
      </c>
      <c r="H959" s="14"/>
    </row>
    <row r="960" spans="1:12">
      <c r="A960" s="3">
        <v>44434</v>
      </c>
      <c r="B960" s="7" t="s">
        <v>1266</v>
      </c>
      <c r="C960" s="8">
        <v>6500</v>
      </c>
      <c r="E960" s="50">
        <f t="shared" si="19"/>
        <v>146404100.64999992</v>
      </c>
      <c r="F960" s="83" t="s">
        <v>113</v>
      </c>
      <c r="G960" s="14" t="s">
        <v>114</v>
      </c>
      <c r="H960" s="14"/>
    </row>
    <row r="961" spans="1:12">
      <c r="A961" s="3">
        <v>44434</v>
      </c>
      <c r="B961" s="7" t="s">
        <v>2344</v>
      </c>
      <c r="C961" s="8">
        <v>5000000</v>
      </c>
      <c r="E961" s="50">
        <f t="shared" si="19"/>
        <v>141404100.64999992</v>
      </c>
      <c r="F961" s="83" t="s">
        <v>107</v>
      </c>
      <c r="G961" s="14" t="s">
        <v>666</v>
      </c>
      <c r="H961" s="14" t="s">
        <v>3405</v>
      </c>
      <c r="I961" t="s">
        <v>3677</v>
      </c>
    </row>
    <row r="962" spans="1:12">
      <c r="A962" s="3">
        <v>44434</v>
      </c>
      <c r="B962" s="7" t="s">
        <v>2345</v>
      </c>
      <c r="C962" s="8">
        <v>2500000</v>
      </c>
      <c r="E962" s="50">
        <f t="shared" si="19"/>
        <v>138904100.64999992</v>
      </c>
      <c r="F962" s="83" t="s">
        <v>107</v>
      </c>
      <c r="G962" s="14" t="s">
        <v>666</v>
      </c>
      <c r="H962" s="14" t="s">
        <v>3405</v>
      </c>
      <c r="I962" t="s">
        <v>3700</v>
      </c>
    </row>
    <row r="963" spans="1:12">
      <c r="A963" s="3">
        <v>44434</v>
      </c>
      <c r="B963" s="7" t="s">
        <v>24</v>
      </c>
      <c r="C963" s="8">
        <v>2990850</v>
      </c>
      <c r="E963" s="50">
        <f t="shared" si="19"/>
        <v>135913250.64999992</v>
      </c>
      <c r="F963" s="83" t="s">
        <v>107</v>
      </c>
      <c r="G963" s="14" t="s">
        <v>129</v>
      </c>
      <c r="H963" s="14"/>
    </row>
    <row r="964" spans="1:12">
      <c r="A964" s="3">
        <v>44434</v>
      </c>
      <c r="B964" s="7" t="s">
        <v>2346</v>
      </c>
      <c r="C964" s="8">
        <v>400000</v>
      </c>
      <c r="E964" s="50">
        <f t="shared" si="19"/>
        <v>135513250.64999992</v>
      </c>
      <c r="F964" s="83" t="s">
        <v>137</v>
      </c>
      <c r="G964" s="14" t="s">
        <v>138</v>
      </c>
      <c r="H964" s="14" t="s">
        <v>3017</v>
      </c>
      <c r="J964" t="s">
        <v>4150</v>
      </c>
      <c r="K964" t="s">
        <v>119</v>
      </c>
      <c r="L964" s="10">
        <v>2021</v>
      </c>
    </row>
    <row r="965" spans="1:12">
      <c r="A965" s="3">
        <v>44434</v>
      </c>
      <c r="B965" s="7" t="s">
        <v>2347</v>
      </c>
      <c r="C965" s="8">
        <v>1050000</v>
      </c>
      <c r="E965" s="50">
        <f t="shared" si="19"/>
        <v>134463250.64999992</v>
      </c>
      <c r="F965" s="83" t="s">
        <v>137</v>
      </c>
      <c r="G965" s="14" t="s">
        <v>138</v>
      </c>
      <c r="H965" s="14" t="s">
        <v>3017</v>
      </c>
      <c r="J965" t="s">
        <v>4150</v>
      </c>
      <c r="K965" t="s">
        <v>119</v>
      </c>
      <c r="L965" s="10">
        <v>2021</v>
      </c>
    </row>
    <row r="966" spans="1:12">
      <c r="A966" s="3">
        <v>44434</v>
      </c>
      <c r="B966" s="7" t="s">
        <v>2348</v>
      </c>
      <c r="C966" s="8">
        <v>400000</v>
      </c>
      <c r="E966" s="50">
        <f t="shared" si="19"/>
        <v>134063250.64999992</v>
      </c>
      <c r="F966" s="83" t="s">
        <v>137</v>
      </c>
      <c r="G966" s="14" t="s">
        <v>138</v>
      </c>
      <c r="H966" s="14" t="s">
        <v>3017</v>
      </c>
      <c r="J966" t="s">
        <v>4150</v>
      </c>
      <c r="K966" t="s">
        <v>622</v>
      </c>
      <c r="L966" s="10">
        <v>2021</v>
      </c>
    </row>
    <row r="967" spans="1:12">
      <c r="A967" s="3">
        <v>44434</v>
      </c>
      <c r="B967" s="7" t="s">
        <v>2349</v>
      </c>
      <c r="C967" s="8">
        <v>400000</v>
      </c>
      <c r="E967" s="50">
        <f t="shared" si="19"/>
        <v>133663250.64999992</v>
      </c>
      <c r="F967" s="83" t="s">
        <v>137</v>
      </c>
      <c r="G967" s="14" t="s">
        <v>138</v>
      </c>
      <c r="H967" s="14" t="s">
        <v>3017</v>
      </c>
      <c r="J967" t="s">
        <v>4150</v>
      </c>
      <c r="K967" t="s">
        <v>459</v>
      </c>
      <c r="L967" s="10">
        <v>2021</v>
      </c>
    </row>
    <row r="968" spans="1:12">
      <c r="A968" s="3">
        <v>44434</v>
      </c>
      <c r="B968" s="7" t="s">
        <v>2350</v>
      </c>
      <c r="C968" s="8">
        <v>400000</v>
      </c>
      <c r="E968" s="50">
        <f t="shared" si="19"/>
        <v>133263250.64999992</v>
      </c>
      <c r="F968" s="83" t="s">
        <v>137</v>
      </c>
      <c r="G968" s="14" t="s">
        <v>138</v>
      </c>
      <c r="H968" s="14" t="s">
        <v>3017</v>
      </c>
      <c r="J968" t="s">
        <v>4150</v>
      </c>
      <c r="K968" t="s">
        <v>4148</v>
      </c>
      <c r="L968" s="10">
        <v>2021</v>
      </c>
    </row>
    <row r="969" spans="1:12">
      <c r="A969" s="3">
        <v>44434</v>
      </c>
      <c r="B969" s="7" t="s">
        <v>2351</v>
      </c>
      <c r="C969" s="8">
        <v>400000</v>
      </c>
      <c r="E969" s="50">
        <f t="shared" si="19"/>
        <v>132863250.64999992</v>
      </c>
      <c r="F969" s="83" t="s">
        <v>137</v>
      </c>
      <c r="G969" s="14" t="s">
        <v>138</v>
      </c>
      <c r="H969" s="14" t="s">
        <v>3017</v>
      </c>
      <c r="J969" t="s">
        <v>4150</v>
      </c>
      <c r="K969" t="s">
        <v>4152</v>
      </c>
      <c r="L969" s="10">
        <v>2021</v>
      </c>
    </row>
    <row r="970" spans="1:12">
      <c r="A970" s="3">
        <v>44434</v>
      </c>
      <c r="B970" s="7" t="s">
        <v>2352</v>
      </c>
      <c r="C970" s="8">
        <v>3500000</v>
      </c>
      <c r="E970" s="50">
        <f t="shared" si="19"/>
        <v>129363250.64999992</v>
      </c>
      <c r="F970" s="83" t="s">
        <v>137</v>
      </c>
      <c r="G970" s="14" t="s">
        <v>138</v>
      </c>
      <c r="H970" s="14" t="s">
        <v>3015</v>
      </c>
      <c r="J970" t="s">
        <v>4150</v>
      </c>
      <c r="K970" t="s">
        <v>4148</v>
      </c>
      <c r="L970" s="10">
        <v>2021</v>
      </c>
    </row>
    <row r="971" spans="1:12" s="14" customFormat="1">
      <c r="A971" s="138">
        <v>44434</v>
      </c>
      <c r="B971" s="49" t="s">
        <v>2353</v>
      </c>
      <c r="C971" s="53">
        <v>340000</v>
      </c>
      <c r="D971" s="53"/>
      <c r="E971" s="53">
        <f t="shared" si="19"/>
        <v>129023250.64999992</v>
      </c>
      <c r="F971" s="80" t="s">
        <v>115</v>
      </c>
      <c r="G971" s="14" t="s">
        <v>120</v>
      </c>
      <c r="H971" s="14" t="s">
        <v>127</v>
      </c>
      <c r="I971" s="14" t="s">
        <v>444</v>
      </c>
    </row>
    <row r="972" spans="1:12">
      <c r="A972" s="3">
        <v>44434</v>
      </c>
      <c r="B972" s="7" t="s">
        <v>2354</v>
      </c>
      <c r="C972" s="8">
        <v>2703900</v>
      </c>
      <c r="E972" s="50">
        <f t="shared" si="19"/>
        <v>126319350.64999992</v>
      </c>
      <c r="F972" s="83" t="s">
        <v>137</v>
      </c>
      <c r="G972" s="14" t="s">
        <v>138</v>
      </c>
      <c r="H972" s="14" t="s">
        <v>2276</v>
      </c>
    </row>
    <row r="973" spans="1:12">
      <c r="A973" s="3">
        <v>44434</v>
      </c>
      <c r="B973" s="7" t="s">
        <v>2355</v>
      </c>
      <c r="C973" s="8">
        <v>1500000</v>
      </c>
      <c r="E973" s="50">
        <f t="shared" si="19"/>
        <v>124819350.64999992</v>
      </c>
      <c r="F973" s="83" t="s">
        <v>137</v>
      </c>
      <c r="G973" s="14" t="s">
        <v>138</v>
      </c>
      <c r="H973" s="14" t="s">
        <v>3017</v>
      </c>
    </row>
    <row r="974" spans="1:12" s="14" customFormat="1">
      <c r="A974" s="138">
        <v>44434</v>
      </c>
      <c r="B974" s="49" t="s">
        <v>2356</v>
      </c>
      <c r="C974" s="53">
        <v>1505000</v>
      </c>
      <c r="D974" s="53"/>
      <c r="E974" s="53">
        <f t="shared" si="19"/>
        <v>123314350.64999992</v>
      </c>
      <c r="F974" s="80" t="s">
        <v>115</v>
      </c>
      <c r="G974" s="14" t="s">
        <v>120</v>
      </c>
      <c r="H974" s="14" t="s">
        <v>127</v>
      </c>
      <c r="I974" s="14" t="s">
        <v>444</v>
      </c>
    </row>
    <row r="975" spans="1:12">
      <c r="A975" s="3">
        <v>44434</v>
      </c>
      <c r="B975" s="7" t="s">
        <v>2357</v>
      </c>
      <c r="C975" s="8">
        <v>40016003</v>
      </c>
      <c r="E975" s="50">
        <f t="shared" si="19"/>
        <v>83298347.649999917</v>
      </c>
      <c r="F975" s="83" t="s">
        <v>137</v>
      </c>
      <c r="G975" s="14" t="s">
        <v>138</v>
      </c>
      <c r="H975" t="s">
        <v>603</v>
      </c>
    </row>
    <row r="976" spans="1:12">
      <c r="A976" s="3">
        <v>44434</v>
      </c>
      <c r="B976" s="7" t="s">
        <v>2358</v>
      </c>
      <c r="C976" s="8">
        <v>2400000</v>
      </c>
      <c r="E976" s="50">
        <f t="shared" si="19"/>
        <v>80898347.649999917</v>
      </c>
      <c r="F976" s="83" t="s">
        <v>137</v>
      </c>
      <c r="G976" s="14" t="s">
        <v>138</v>
      </c>
      <c r="H976" s="14" t="s">
        <v>3017</v>
      </c>
    </row>
    <row r="977" spans="1:12">
      <c r="A977" s="3">
        <v>44434</v>
      </c>
      <c r="B977" s="7" t="s">
        <v>2359</v>
      </c>
      <c r="C977" s="8">
        <v>4200000</v>
      </c>
      <c r="E977" s="50">
        <f t="shared" si="19"/>
        <v>76698347.649999917</v>
      </c>
      <c r="F977" s="83" t="s">
        <v>137</v>
      </c>
      <c r="G977" s="14" t="s">
        <v>138</v>
      </c>
      <c r="H977" s="14" t="s">
        <v>2970</v>
      </c>
    </row>
    <row r="978" spans="1:12">
      <c r="A978" s="3">
        <v>44434</v>
      </c>
      <c r="B978" s="7" t="s">
        <v>2360</v>
      </c>
      <c r="C978" s="8">
        <v>33300000</v>
      </c>
      <c r="E978" s="50">
        <f t="shared" si="19"/>
        <v>43398347.649999917</v>
      </c>
      <c r="F978" s="83" t="s">
        <v>137</v>
      </c>
      <c r="G978" s="14" t="s">
        <v>138</v>
      </c>
      <c r="H978" s="14" t="s">
        <v>2968</v>
      </c>
    </row>
    <row r="979" spans="1:12">
      <c r="A979" s="3">
        <v>44434</v>
      </c>
      <c r="B979" s="7" t="s">
        <v>2361</v>
      </c>
      <c r="C979" s="8">
        <v>17500000</v>
      </c>
      <c r="E979" s="50">
        <f t="shared" si="19"/>
        <v>25898347.649999917</v>
      </c>
      <c r="F979" s="83" t="s">
        <v>137</v>
      </c>
      <c r="G979" s="14" t="s">
        <v>138</v>
      </c>
      <c r="H979" s="14" t="s">
        <v>3016</v>
      </c>
    </row>
    <row r="980" spans="1:12">
      <c r="A980" s="3">
        <v>44438</v>
      </c>
      <c r="B980" s="7" t="s">
        <v>1550</v>
      </c>
      <c r="C980" s="8">
        <v>0</v>
      </c>
      <c r="D980" s="8">
        <v>50000000</v>
      </c>
      <c r="E980" s="50">
        <f t="shared" si="19"/>
        <v>75898347.649999917</v>
      </c>
      <c r="F980" s="83" t="s">
        <v>107</v>
      </c>
      <c r="G980" s="14" t="s">
        <v>108</v>
      </c>
      <c r="H980" s="14"/>
    </row>
    <row r="981" spans="1:12">
      <c r="A981" s="3">
        <v>44438</v>
      </c>
      <c r="B981" s="7" t="s">
        <v>1552</v>
      </c>
      <c r="C981" s="8">
        <v>0</v>
      </c>
      <c r="D981" s="8">
        <v>4000000</v>
      </c>
      <c r="E981" s="50">
        <f t="shared" si="19"/>
        <v>79898347.649999917</v>
      </c>
      <c r="F981" s="83" t="s">
        <v>115</v>
      </c>
      <c r="G981" s="14" t="s">
        <v>122</v>
      </c>
      <c r="H981" s="14" t="s">
        <v>247</v>
      </c>
    </row>
    <row r="982" spans="1:12">
      <c r="A982" s="3">
        <v>44438</v>
      </c>
      <c r="B982" s="7" t="s">
        <v>2362</v>
      </c>
      <c r="C982" s="8">
        <v>79535000</v>
      </c>
      <c r="E982" s="50">
        <f t="shared" si="19"/>
        <v>363347.64999991655</v>
      </c>
      <c r="F982" s="83" t="s">
        <v>248</v>
      </c>
      <c r="G982" s="14" t="s">
        <v>249</v>
      </c>
      <c r="H982" s="14"/>
    </row>
    <row r="983" spans="1:12">
      <c r="A983" s="3">
        <v>44439</v>
      </c>
      <c r="B983" s="7" t="s">
        <v>1783</v>
      </c>
      <c r="D983" s="8">
        <v>200000</v>
      </c>
      <c r="E983" s="50">
        <f t="shared" si="19"/>
        <v>563347.64999991655</v>
      </c>
      <c r="F983" s="83" t="s">
        <v>110</v>
      </c>
      <c r="G983" s="14" t="s">
        <v>620</v>
      </c>
      <c r="H983" s="14" t="s">
        <v>625</v>
      </c>
    </row>
    <row r="984" spans="1:12">
      <c r="A984" s="3">
        <v>44439</v>
      </c>
      <c r="B984" s="7" t="s">
        <v>1699</v>
      </c>
      <c r="D984" s="8">
        <v>200000</v>
      </c>
      <c r="E984" s="50">
        <f t="shared" si="19"/>
        <v>763347.64999991655</v>
      </c>
      <c r="F984" s="83" t="s">
        <v>110</v>
      </c>
      <c r="G984" s="14" t="s">
        <v>620</v>
      </c>
      <c r="H984" s="14" t="s">
        <v>2083</v>
      </c>
    </row>
    <row r="985" spans="1:12">
      <c r="A985" s="3">
        <v>44439</v>
      </c>
      <c r="B985" s="7" t="s">
        <v>2363</v>
      </c>
      <c r="D985" s="8">
        <v>75000000</v>
      </c>
      <c r="E985" s="50">
        <f t="shared" si="19"/>
        <v>75763347.649999917</v>
      </c>
      <c r="F985" s="83" t="s">
        <v>107</v>
      </c>
      <c r="G985" s="14" t="s">
        <v>108</v>
      </c>
      <c r="H985" s="14"/>
    </row>
    <row r="986" spans="1:12">
      <c r="A986" s="3">
        <v>44439</v>
      </c>
      <c r="B986" s="7" t="s">
        <v>2364</v>
      </c>
      <c r="C986" s="8">
        <v>39985580</v>
      </c>
      <c r="E986" s="50">
        <f t="shared" si="19"/>
        <v>35777767.649999917</v>
      </c>
      <c r="F986" s="83" t="s">
        <v>137</v>
      </c>
      <c r="G986" s="14" t="s">
        <v>138</v>
      </c>
      <c r="H986" t="s">
        <v>602</v>
      </c>
    </row>
    <row r="987" spans="1:12">
      <c r="A987" s="3">
        <v>44439</v>
      </c>
      <c r="B987" s="7" t="s">
        <v>2365</v>
      </c>
      <c r="C987" s="8">
        <v>2425000</v>
      </c>
      <c r="E987" s="50">
        <f t="shared" si="19"/>
        <v>33352767.649999917</v>
      </c>
      <c r="F987" s="83" t="s">
        <v>137</v>
      </c>
      <c r="G987" s="14" t="s">
        <v>138</v>
      </c>
      <c r="H987" s="14" t="s">
        <v>3036</v>
      </c>
    </row>
    <row r="988" spans="1:12" s="14" customFormat="1">
      <c r="A988" s="138">
        <v>44439</v>
      </c>
      <c r="B988" s="49" t="s">
        <v>2366</v>
      </c>
      <c r="C988" s="53">
        <v>2010000</v>
      </c>
      <c r="D988" s="53"/>
      <c r="E988" s="53">
        <f t="shared" si="19"/>
        <v>31342767.649999917</v>
      </c>
      <c r="F988" s="80" t="s">
        <v>115</v>
      </c>
      <c r="G988" s="14" t="s">
        <v>120</v>
      </c>
      <c r="H988" s="14" t="s">
        <v>576</v>
      </c>
      <c r="I988" s="14" t="s">
        <v>444</v>
      </c>
    </row>
    <row r="989" spans="1:12" s="14" customFormat="1">
      <c r="A989" s="138">
        <v>44439</v>
      </c>
      <c r="B989" s="49" t="s">
        <v>2367</v>
      </c>
      <c r="C989" s="53">
        <v>1505000</v>
      </c>
      <c r="D989" s="53"/>
      <c r="E989" s="53">
        <f t="shared" si="19"/>
        <v>29837767.649999917</v>
      </c>
      <c r="F989" s="80" t="s">
        <v>115</v>
      </c>
      <c r="G989" s="14" t="s">
        <v>120</v>
      </c>
      <c r="H989" s="14" t="s">
        <v>127</v>
      </c>
      <c r="I989" s="14" t="s">
        <v>444</v>
      </c>
    </row>
    <row r="990" spans="1:12">
      <c r="A990" s="3">
        <v>44439</v>
      </c>
      <c r="B990" s="7" t="s">
        <v>2368</v>
      </c>
      <c r="C990" s="8">
        <v>6000000</v>
      </c>
      <c r="E990" s="50">
        <f t="shared" si="19"/>
        <v>23837767.649999917</v>
      </c>
      <c r="F990" s="83" t="s">
        <v>137</v>
      </c>
      <c r="G990" s="14" t="s">
        <v>138</v>
      </c>
      <c r="H990" s="14" t="s">
        <v>2277</v>
      </c>
    </row>
    <row r="991" spans="1:12">
      <c r="A991" s="3">
        <v>44439</v>
      </c>
      <c r="B991" s="7" t="s">
        <v>2369</v>
      </c>
      <c r="C991" s="8">
        <v>800000</v>
      </c>
      <c r="E991" s="50">
        <f t="shared" si="19"/>
        <v>23037767.649999917</v>
      </c>
      <c r="F991" s="83" t="s">
        <v>137</v>
      </c>
      <c r="G991" s="14" t="s">
        <v>138</v>
      </c>
      <c r="H991" s="14" t="s">
        <v>2276</v>
      </c>
      <c r="J991" t="s">
        <v>4150</v>
      </c>
      <c r="K991" t="s">
        <v>459</v>
      </c>
      <c r="L991" s="10">
        <v>2021</v>
      </c>
    </row>
    <row r="992" spans="1:12">
      <c r="A992" s="3">
        <v>44439</v>
      </c>
      <c r="B992" s="7" t="s">
        <v>2370</v>
      </c>
      <c r="C992" s="8">
        <v>800000</v>
      </c>
      <c r="E992" s="50">
        <f t="shared" si="19"/>
        <v>22237767.649999917</v>
      </c>
      <c r="F992" s="83" t="s">
        <v>137</v>
      </c>
      <c r="G992" s="14" t="s">
        <v>138</v>
      </c>
      <c r="H992" s="14" t="s">
        <v>2277</v>
      </c>
      <c r="J992" t="s">
        <v>4150</v>
      </c>
      <c r="K992" t="s">
        <v>480</v>
      </c>
      <c r="L992" s="10">
        <v>2021</v>
      </c>
    </row>
    <row r="993" spans="1:12">
      <c r="A993" s="3">
        <v>44439</v>
      </c>
      <c r="B993" s="7" t="s">
        <v>2371</v>
      </c>
      <c r="C993" s="8">
        <v>800000</v>
      </c>
      <c r="E993" s="50">
        <f t="shared" si="19"/>
        <v>21437767.649999917</v>
      </c>
      <c r="F993" s="83" t="s">
        <v>137</v>
      </c>
      <c r="G993" s="14" t="s">
        <v>138</v>
      </c>
      <c r="H993" s="14" t="s">
        <v>2277</v>
      </c>
      <c r="J993" t="s">
        <v>4150</v>
      </c>
      <c r="K993" t="s">
        <v>4148</v>
      </c>
      <c r="L993" s="10">
        <v>2021</v>
      </c>
    </row>
    <row r="994" spans="1:12">
      <c r="A994" s="3">
        <v>44439</v>
      </c>
      <c r="B994" s="7" t="s">
        <v>2372</v>
      </c>
      <c r="C994" s="8">
        <v>800000</v>
      </c>
      <c r="E994" s="50">
        <f t="shared" si="19"/>
        <v>20637767.649999917</v>
      </c>
      <c r="F994" s="83" t="s">
        <v>137</v>
      </c>
      <c r="G994" s="14" t="s">
        <v>138</v>
      </c>
      <c r="H994" s="14" t="s">
        <v>2277</v>
      </c>
      <c r="J994" t="s">
        <v>4150</v>
      </c>
      <c r="K994" t="s">
        <v>459</v>
      </c>
      <c r="L994" s="10">
        <v>2021</v>
      </c>
    </row>
    <row r="995" spans="1:12">
      <c r="A995" s="3">
        <v>44439</v>
      </c>
      <c r="B995" s="7" t="s">
        <v>2488</v>
      </c>
      <c r="C995" s="8">
        <v>800000</v>
      </c>
      <c r="E995" s="50">
        <f t="shared" si="19"/>
        <v>19837767.649999917</v>
      </c>
      <c r="F995" s="83" t="s">
        <v>137</v>
      </c>
      <c r="G995" s="14" t="s">
        <v>138</v>
      </c>
      <c r="H995" s="14" t="s">
        <v>2277</v>
      </c>
      <c r="J995" t="s">
        <v>4150</v>
      </c>
      <c r="K995" t="s">
        <v>4152</v>
      </c>
      <c r="L995" s="10">
        <v>2021</v>
      </c>
    </row>
    <row r="996" spans="1:12">
      <c r="A996" s="3">
        <v>44439</v>
      </c>
      <c r="B996" s="7" t="s">
        <v>2373</v>
      </c>
      <c r="C996" s="8">
        <v>800000</v>
      </c>
      <c r="E996" s="50">
        <f t="shared" si="19"/>
        <v>19037767.649999917</v>
      </c>
      <c r="F996" s="83" t="s">
        <v>137</v>
      </c>
      <c r="G996" s="14" t="s">
        <v>138</v>
      </c>
      <c r="H996" s="14" t="s">
        <v>2277</v>
      </c>
      <c r="J996" t="s">
        <v>4150</v>
      </c>
      <c r="K996" t="s">
        <v>622</v>
      </c>
      <c r="L996" s="10">
        <v>2021</v>
      </c>
    </row>
    <row r="997" spans="1:12">
      <c r="A997" s="3">
        <v>44439</v>
      </c>
      <c r="B997" s="7" t="s">
        <v>2374</v>
      </c>
      <c r="C997" s="8">
        <v>1000000</v>
      </c>
      <c r="E997" s="50">
        <f t="shared" si="19"/>
        <v>18037767.649999917</v>
      </c>
      <c r="F997" s="83" t="s">
        <v>137</v>
      </c>
      <c r="G997" s="14" t="s">
        <v>138</v>
      </c>
      <c r="H997" s="14" t="s">
        <v>2277</v>
      </c>
      <c r="J997" t="s">
        <v>4150</v>
      </c>
      <c r="K997" t="s">
        <v>3990</v>
      </c>
      <c r="L997" s="10">
        <v>2021</v>
      </c>
    </row>
    <row r="998" spans="1:12">
      <c r="A998" s="3">
        <v>44439</v>
      </c>
      <c r="B998" s="7" t="s">
        <v>2375</v>
      </c>
      <c r="C998" s="8">
        <v>800000</v>
      </c>
      <c r="E998" s="50">
        <f t="shared" si="19"/>
        <v>17237767.649999917</v>
      </c>
      <c r="F998" s="83" t="s">
        <v>137</v>
      </c>
      <c r="G998" s="14" t="s">
        <v>138</v>
      </c>
      <c r="H998" s="14" t="s">
        <v>2277</v>
      </c>
      <c r="J998" t="s">
        <v>4150</v>
      </c>
      <c r="K998" t="s">
        <v>119</v>
      </c>
      <c r="L998" s="10">
        <v>2021</v>
      </c>
    </row>
    <row r="999" spans="1:12">
      <c r="A999" s="3">
        <v>44439</v>
      </c>
      <c r="B999" s="7" t="s">
        <v>2376</v>
      </c>
      <c r="C999" s="8">
        <v>400000</v>
      </c>
      <c r="E999" s="50">
        <f t="shared" si="19"/>
        <v>16837767.649999917</v>
      </c>
      <c r="F999" s="83" t="s">
        <v>137</v>
      </c>
      <c r="G999" s="14" t="s">
        <v>138</v>
      </c>
      <c r="H999" s="14" t="s">
        <v>3033</v>
      </c>
      <c r="J999" t="s">
        <v>4150</v>
      </c>
      <c r="K999" t="s">
        <v>128</v>
      </c>
      <c r="L999" s="10">
        <v>2021</v>
      </c>
    </row>
    <row r="1000" spans="1:12">
      <c r="A1000" s="3">
        <v>44439</v>
      </c>
      <c r="B1000" s="7" t="s">
        <v>2377</v>
      </c>
      <c r="C1000" s="8">
        <v>400000</v>
      </c>
      <c r="E1000" s="50">
        <f t="shared" si="19"/>
        <v>16437767.649999917</v>
      </c>
      <c r="F1000" s="83" t="s">
        <v>137</v>
      </c>
      <c r="G1000" s="14" t="s">
        <v>138</v>
      </c>
      <c r="H1000" t="s">
        <v>603</v>
      </c>
      <c r="J1000" t="s">
        <v>4150</v>
      </c>
      <c r="K1000" t="s">
        <v>128</v>
      </c>
      <c r="L1000" s="10">
        <v>2021</v>
      </c>
    </row>
    <row r="1001" spans="1:12">
      <c r="A1001" s="3">
        <v>44439</v>
      </c>
      <c r="B1001" s="7" t="s">
        <v>2378</v>
      </c>
      <c r="C1001" s="8">
        <v>400000</v>
      </c>
      <c r="E1001" s="50">
        <f t="shared" ref="E1001:E1066" si="20">E1000-C1001+D1001</f>
        <v>16037767.649999917</v>
      </c>
      <c r="F1001" s="83" t="s">
        <v>137</v>
      </c>
      <c r="G1001" s="14" t="s">
        <v>138</v>
      </c>
      <c r="H1001" s="14" t="s">
        <v>3033</v>
      </c>
      <c r="J1001" t="s">
        <v>4150</v>
      </c>
      <c r="K1001" t="s">
        <v>128</v>
      </c>
      <c r="L1001" s="10">
        <v>2021</v>
      </c>
    </row>
    <row r="1002" spans="1:12" s="14" customFormat="1">
      <c r="A1002" s="138">
        <v>44439</v>
      </c>
      <c r="B1002" s="49" t="s">
        <v>2379</v>
      </c>
      <c r="C1002" s="53">
        <v>800000</v>
      </c>
      <c r="D1002" s="53"/>
      <c r="E1002" s="53">
        <f t="shared" si="20"/>
        <v>15237767.649999917</v>
      </c>
      <c r="F1002" s="80" t="s">
        <v>115</v>
      </c>
      <c r="G1002" s="14" t="s">
        <v>120</v>
      </c>
      <c r="H1002" s="14" t="s">
        <v>127</v>
      </c>
      <c r="I1002" s="14" t="s">
        <v>444</v>
      </c>
      <c r="J1002" s="14" t="s">
        <v>4150</v>
      </c>
      <c r="K1002" s="14" t="s">
        <v>128</v>
      </c>
      <c r="L1002" s="14">
        <v>2020</v>
      </c>
    </row>
    <row r="1003" spans="1:12">
      <c r="A1003" s="3">
        <v>44439</v>
      </c>
      <c r="B1003" s="7" t="s">
        <v>2380</v>
      </c>
      <c r="C1003" s="8">
        <v>400000</v>
      </c>
      <c r="E1003" s="50">
        <f t="shared" si="20"/>
        <v>14837767.649999917</v>
      </c>
      <c r="F1003" s="83" t="s">
        <v>137</v>
      </c>
      <c r="G1003" s="14" t="s">
        <v>138</v>
      </c>
      <c r="H1003" s="14" t="s">
        <v>3033</v>
      </c>
      <c r="I1003" s="14" t="s">
        <v>64</v>
      </c>
      <c r="J1003" t="s">
        <v>4150</v>
      </c>
      <c r="K1003" t="s">
        <v>128</v>
      </c>
      <c r="L1003" s="10">
        <v>2021</v>
      </c>
    </row>
    <row r="1004" spans="1:12">
      <c r="A1004" s="3">
        <v>44439</v>
      </c>
      <c r="B1004" s="7" t="s">
        <v>2381</v>
      </c>
      <c r="C1004" s="8">
        <v>3500000</v>
      </c>
      <c r="E1004" s="50">
        <f t="shared" si="20"/>
        <v>11337767.649999917</v>
      </c>
      <c r="F1004" s="83" t="s">
        <v>137</v>
      </c>
      <c r="G1004" s="14" t="s">
        <v>138</v>
      </c>
      <c r="H1004" s="14" t="s">
        <v>2970</v>
      </c>
      <c r="J1004" t="s">
        <v>4150</v>
      </c>
      <c r="K1004" t="s">
        <v>480</v>
      </c>
      <c r="L1004" s="10">
        <v>2021</v>
      </c>
    </row>
    <row r="1005" spans="1:12">
      <c r="A1005" s="3">
        <v>44439</v>
      </c>
      <c r="B1005" s="7" t="s">
        <v>240</v>
      </c>
      <c r="D1005" s="8">
        <v>1746.77</v>
      </c>
      <c r="E1005" s="50">
        <f t="shared" si="20"/>
        <v>11339514.419999916</v>
      </c>
      <c r="F1005" s="83" t="s">
        <v>252</v>
      </c>
      <c r="G1005" s="14" t="s">
        <v>253</v>
      </c>
      <c r="H1005" s="14"/>
    </row>
    <row r="1006" spans="1:12">
      <c r="A1006" s="3">
        <v>44439</v>
      </c>
      <c r="B1006" s="7" t="s">
        <v>1702</v>
      </c>
      <c r="C1006" s="8">
        <v>349.35</v>
      </c>
      <c r="E1006" s="50">
        <f t="shared" si="20"/>
        <v>11339165.069999916</v>
      </c>
      <c r="F1006" s="83" t="s">
        <v>252</v>
      </c>
      <c r="G1006" s="14" t="s">
        <v>253</v>
      </c>
      <c r="H1006" s="14"/>
    </row>
    <row r="1007" spans="1:12">
      <c r="A1007" s="3">
        <v>44440</v>
      </c>
      <c r="B1007" s="7" t="s">
        <v>2489</v>
      </c>
      <c r="C1007" s="8">
        <v>1550000</v>
      </c>
      <c r="E1007" s="50">
        <f t="shared" si="20"/>
        <v>9789165.0699999165</v>
      </c>
      <c r="F1007" s="83" t="s">
        <v>137</v>
      </c>
      <c r="G1007" s="14" t="s">
        <v>138</v>
      </c>
      <c r="H1007" s="14" t="s">
        <v>3036</v>
      </c>
    </row>
    <row r="1008" spans="1:12">
      <c r="A1008" s="3">
        <v>44442</v>
      </c>
      <c r="B1008" s="7" t="s">
        <v>2382</v>
      </c>
      <c r="D1008" s="8">
        <v>14500000</v>
      </c>
      <c r="E1008" s="50">
        <f t="shared" si="20"/>
        <v>24289165.069999918</v>
      </c>
      <c r="F1008" s="83" t="s">
        <v>252</v>
      </c>
      <c r="G1008" s="14" t="s">
        <v>664</v>
      </c>
      <c r="H1008" s="14"/>
    </row>
    <row r="1009" spans="1:12">
      <c r="A1009" s="3">
        <v>44442</v>
      </c>
      <c r="B1009" s="7" t="s">
        <v>1265</v>
      </c>
      <c r="C1009" s="8">
        <v>16000000</v>
      </c>
      <c r="E1009" s="50">
        <f t="shared" si="20"/>
        <v>8289165.0699999183</v>
      </c>
      <c r="F1009" s="83" t="s">
        <v>107</v>
      </c>
      <c r="G1009" s="14" t="s">
        <v>109</v>
      </c>
      <c r="H1009" s="14"/>
    </row>
    <row r="1010" spans="1:12">
      <c r="A1010" s="3">
        <v>44442</v>
      </c>
      <c r="B1010" s="7" t="s">
        <v>1266</v>
      </c>
      <c r="C1010" s="8">
        <v>6500</v>
      </c>
      <c r="E1010" s="50">
        <f t="shared" si="20"/>
        <v>8282665.0699999183</v>
      </c>
      <c r="F1010" s="83" t="s">
        <v>113</v>
      </c>
      <c r="G1010" s="14" t="s">
        <v>114</v>
      </c>
      <c r="H1010" s="14"/>
    </row>
    <row r="1011" spans="1:12">
      <c r="A1011" s="3">
        <v>44445</v>
      </c>
      <c r="B1011" s="7" t="s">
        <v>1552</v>
      </c>
      <c r="D1011" s="8">
        <v>9500000</v>
      </c>
      <c r="E1011" s="50">
        <f t="shared" si="20"/>
        <v>17782665.069999918</v>
      </c>
      <c r="F1011" s="83" t="s">
        <v>115</v>
      </c>
      <c r="G1011" s="14" t="s">
        <v>122</v>
      </c>
      <c r="H1011" s="14" t="s">
        <v>247</v>
      </c>
    </row>
    <row r="1012" spans="1:12">
      <c r="A1012" s="3">
        <v>44445</v>
      </c>
      <c r="B1012" s="7" t="s">
        <v>2383</v>
      </c>
      <c r="C1012" s="8">
        <v>17500000</v>
      </c>
      <c r="E1012" s="50">
        <f t="shared" si="20"/>
        <v>282665.06999991834</v>
      </c>
      <c r="F1012" s="83" t="s">
        <v>137</v>
      </c>
      <c r="G1012" s="14" t="s">
        <v>138</v>
      </c>
      <c r="H1012" s="14" t="s">
        <v>3036</v>
      </c>
    </row>
    <row r="1013" spans="1:12">
      <c r="A1013" s="3">
        <v>44445</v>
      </c>
      <c r="B1013" s="7" t="s">
        <v>2384</v>
      </c>
      <c r="D1013" s="8">
        <v>250000000</v>
      </c>
      <c r="E1013" s="50">
        <f t="shared" si="20"/>
        <v>250282665.06999993</v>
      </c>
      <c r="F1013" s="83" t="s">
        <v>107</v>
      </c>
      <c r="G1013" s="14" t="s">
        <v>254</v>
      </c>
      <c r="H1013" s="14"/>
    </row>
    <row r="1014" spans="1:12">
      <c r="A1014" s="3">
        <v>44445</v>
      </c>
      <c r="B1014" s="7" t="s">
        <v>2490</v>
      </c>
      <c r="C1014" s="8">
        <v>25000000</v>
      </c>
      <c r="E1014" s="50">
        <f t="shared" si="20"/>
        <v>225282665.06999993</v>
      </c>
      <c r="F1014" s="83" t="s">
        <v>137</v>
      </c>
      <c r="G1014" s="14" t="s">
        <v>138</v>
      </c>
      <c r="H1014" s="14" t="s">
        <v>2976</v>
      </c>
    </row>
    <row r="1015" spans="1:12">
      <c r="A1015" s="3">
        <v>44445</v>
      </c>
      <c r="B1015" s="7" t="s">
        <v>2491</v>
      </c>
      <c r="C1015" s="8">
        <v>22538754</v>
      </c>
      <c r="E1015" s="50">
        <f t="shared" si="20"/>
        <v>202743911.06999993</v>
      </c>
      <c r="F1015" s="83" t="s">
        <v>137</v>
      </c>
      <c r="G1015" s="14" t="s">
        <v>138</v>
      </c>
      <c r="H1015" s="14" t="s">
        <v>2952</v>
      </c>
    </row>
    <row r="1016" spans="1:12">
      <c r="A1016" s="3">
        <v>44445</v>
      </c>
      <c r="B1016" s="7" t="s">
        <v>2385</v>
      </c>
      <c r="C1016" s="8">
        <v>22599554</v>
      </c>
      <c r="E1016" s="50">
        <f t="shared" si="20"/>
        <v>180144357.06999993</v>
      </c>
      <c r="F1016" s="83" t="s">
        <v>137</v>
      </c>
      <c r="G1016" s="14" t="s">
        <v>138</v>
      </c>
      <c r="H1016" t="s">
        <v>602</v>
      </c>
    </row>
    <row r="1017" spans="1:12">
      <c r="A1017" s="3">
        <v>44445</v>
      </c>
      <c r="B1017" s="7" t="s">
        <v>2386</v>
      </c>
      <c r="C1017" s="8">
        <v>7000000</v>
      </c>
      <c r="E1017" s="50">
        <f t="shared" si="20"/>
        <v>173144357.06999993</v>
      </c>
      <c r="F1017" s="83" t="s">
        <v>137</v>
      </c>
      <c r="G1017" s="14" t="s">
        <v>138</v>
      </c>
      <c r="H1017" s="14" t="s">
        <v>3017</v>
      </c>
    </row>
    <row r="1018" spans="1:12">
      <c r="A1018" s="3">
        <v>44445</v>
      </c>
      <c r="B1018" s="7" t="s">
        <v>24</v>
      </c>
      <c r="C1018" s="8">
        <v>2985000</v>
      </c>
      <c r="E1018" s="50">
        <f t="shared" si="20"/>
        <v>170159357.06999993</v>
      </c>
      <c r="F1018" s="83" t="s">
        <v>107</v>
      </c>
      <c r="G1018" s="14" t="s">
        <v>129</v>
      </c>
      <c r="H1018" s="14"/>
    </row>
    <row r="1019" spans="1:12">
      <c r="A1019" s="3">
        <v>44445</v>
      </c>
      <c r="B1019" s="7" t="s">
        <v>2387</v>
      </c>
      <c r="C1019" s="8">
        <v>9000000</v>
      </c>
      <c r="E1019" s="50">
        <f t="shared" si="20"/>
        <v>161159357.06999993</v>
      </c>
      <c r="F1019" s="81" t="s">
        <v>2882</v>
      </c>
      <c r="G1019" s="14" t="s">
        <v>138</v>
      </c>
      <c r="H1019" s="14" t="s">
        <v>2277</v>
      </c>
    </row>
    <row r="1020" spans="1:12">
      <c r="A1020" s="3">
        <v>44445</v>
      </c>
      <c r="B1020" s="7" t="s">
        <v>2388</v>
      </c>
      <c r="C1020" s="8">
        <v>11500000</v>
      </c>
      <c r="E1020" s="50">
        <f t="shared" si="20"/>
        <v>149659357.06999993</v>
      </c>
      <c r="F1020" s="81" t="s">
        <v>2882</v>
      </c>
      <c r="G1020" s="14" t="s">
        <v>138</v>
      </c>
      <c r="H1020" s="14" t="s">
        <v>2968</v>
      </c>
    </row>
    <row r="1021" spans="1:12">
      <c r="A1021" s="3">
        <v>44445</v>
      </c>
      <c r="B1021" s="7" t="s">
        <v>2389</v>
      </c>
      <c r="C1021" s="8">
        <v>554399</v>
      </c>
      <c r="E1021" s="50">
        <f t="shared" si="20"/>
        <v>149104958.06999993</v>
      </c>
      <c r="F1021" s="81" t="s">
        <v>2882</v>
      </c>
      <c r="G1021" s="14" t="s">
        <v>138</v>
      </c>
      <c r="H1021" s="14" t="s">
        <v>3044</v>
      </c>
    </row>
    <row r="1022" spans="1:12">
      <c r="A1022" s="3">
        <v>44445</v>
      </c>
      <c r="B1022" s="7" t="s">
        <v>2390</v>
      </c>
      <c r="C1022" s="8">
        <v>3500000</v>
      </c>
      <c r="E1022" s="50">
        <f t="shared" si="20"/>
        <v>145604958.06999993</v>
      </c>
      <c r="F1022" s="81" t="s">
        <v>2882</v>
      </c>
      <c r="G1022" s="14" t="s">
        <v>138</v>
      </c>
      <c r="H1022" s="14" t="s">
        <v>3024</v>
      </c>
      <c r="J1022" t="s">
        <v>4150</v>
      </c>
      <c r="K1022" t="s">
        <v>459</v>
      </c>
      <c r="L1022" s="10">
        <v>2021</v>
      </c>
    </row>
    <row r="1023" spans="1:12">
      <c r="A1023" s="3">
        <v>44445</v>
      </c>
      <c r="B1023" s="7" t="s">
        <v>2391</v>
      </c>
      <c r="C1023" s="8">
        <v>1270000</v>
      </c>
      <c r="E1023" s="50">
        <f t="shared" si="20"/>
        <v>144334958.06999993</v>
      </c>
      <c r="F1023" s="81" t="s">
        <v>2882</v>
      </c>
      <c r="G1023" s="14" t="s">
        <v>138</v>
      </c>
      <c r="H1023" s="14" t="s">
        <v>3017</v>
      </c>
    </row>
    <row r="1024" spans="1:12">
      <c r="A1024" s="3">
        <v>44445</v>
      </c>
      <c r="B1024" s="7" t="s">
        <v>2392</v>
      </c>
      <c r="C1024" s="8">
        <v>375000</v>
      </c>
      <c r="E1024" s="50">
        <f t="shared" si="20"/>
        <v>143959958.06999993</v>
      </c>
      <c r="F1024" s="81" t="s">
        <v>2882</v>
      </c>
      <c r="G1024" s="14" t="s">
        <v>138</v>
      </c>
      <c r="H1024" s="14" t="s">
        <v>2277</v>
      </c>
    </row>
    <row r="1025" spans="1:9">
      <c r="A1025" s="3">
        <v>44445</v>
      </c>
      <c r="B1025" s="7" t="s">
        <v>2393</v>
      </c>
      <c r="C1025" s="8">
        <v>3280000</v>
      </c>
      <c r="E1025" s="50">
        <f t="shared" si="20"/>
        <v>140679958.06999993</v>
      </c>
      <c r="F1025" s="83" t="s">
        <v>137</v>
      </c>
      <c r="G1025" s="14" t="s">
        <v>138</v>
      </c>
      <c r="H1025" s="14" t="s">
        <v>3017</v>
      </c>
    </row>
    <row r="1026" spans="1:9">
      <c r="A1026" s="3">
        <v>44445</v>
      </c>
      <c r="B1026" s="7" t="s">
        <v>2394</v>
      </c>
      <c r="C1026" s="8">
        <v>1051867</v>
      </c>
      <c r="E1026" s="50">
        <f t="shared" si="20"/>
        <v>139628091.06999993</v>
      </c>
      <c r="F1026" s="81" t="s">
        <v>2882</v>
      </c>
      <c r="G1026" s="14" t="s">
        <v>138</v>
      </c>
      <c r="H1026" s="14" t="s">
        <v>2043</v>
      </c>
    </row>
    <row r="1027" spans="1:9">
      <c r="A1027" s="3">
        <v>44445</v>
      </c>
      <c r="B1027" s="7" t="s">
        <v>2492</v>
      </c>
      <c r="C1027" s="8">
        <v>1942120</v>
      </c>
      <c r="E1027" s="50">
        <f t="shared" si="20"/>
        <v>137685971.06999993</v>
      </c>
      <c r="F1027" s="83" t="s">
        <v>248</v>
      </c>
      <c r="G1027" s="14" t="s">
        <v>391</v>
      </c>
      <c r="H1027" s="14"/>
    </row>
    <row r="1028" spans="1:9">
      <c r="A1028" s="3">
        <v>44445</v>
      </c>
      <c r="B1028" s="7" t="s">
        <v>2395</v>
      </c>
      <c r="C1028" s="8">
        <v>337200</v>
      </c>
      <c r="E1028" s="50">
        <f t="shared" si="20"/>
        <v>137348771.06999993</v>
      </c>
      <c r="F1028" s="83" t="s">
        <v>248</v>
      </c>
      <c r="G1028" s="14" t="s">
        <v>407</v>
      </c>
      <c r="H1028" s="14"/>
    </row>
    <row r="1029" spans="1:9">
      <c r="A1029" s="3">
        <v>44445</v>
      </c>
      <c r="B1029" s="7" t="s">
        <v>2396</v>
      </c>
      <c r="C1029" s="8">
        <v>219628</v>
      </c>
      <c r="E1029" s="50">
        <f t="shared" si="20"/>
        <v>137129143.06999993</v>
      </c>
      <c r="F1029" s="83" t="s">
        <v>248</v>
      </c>
      <c r="G1029" s="14" t="s">
        <v>407</v>
      </c>
      <c r="H1029" s="14"/>
    </row>
    <row r="1030" spans="1:9">
      <c r="A1030" s="3">
        <v>44445</v>
      </c>
      <c r="B1030" s="7" t="s">
        <v>2397</v>
      </c>
      <c r="C1030" s="8">
        <v>8050000</v>
      </c>
      <c r="E1030" s="50">
        <f t="shared" si="20"/>
        <v>129079143.06999993</v>
      </c>
      <c r="F1030" s="81" t="s">
        <v>2882</v>
      </c>
      <c r="G1030" s="14" t="s">
        <v>138</v>
      </c>
      <c r="H1030" s="14" t="s">
        <v>3017</v>
      </c>
    </row>
    <row r="1031" spans="1:9">
      <c r="A1031" s="3">
        <v>44445</v>
      </c>
      <c r="B1031" s="7" t="s">
        <v>1265</v>
      </c>
      <c r="C1031" s="8">
        <v>4200000</v>
      </c>
      <c r="E1031" s="50">
        <f t="shared" si="20"/>
        <v>124879143.06999993</v>
      </c>
      <c r="F1031" t="s">
        <v>107</v>
      </c>
      <c r="G1031" t="s">
        <v>109</v>
      </c>
      <c r="H1031" s="14"/>
    </row>
    <row r="1032" spans="1:9">
      <c r="A1032" s="3">
        <v>44445</v>
      </c>
      <c r="B1032" s="7" t="s">
        <v>1266</v>
      </c>
      <c r="C1032" s="8">
        <v>6500</v>
      </c>
      <c r="E1032" s="50">
        <f t="shared" si="20"/>
        <v>124872643.06999993</v>
      </c>
      <c r="F1032" s="83" t="s">
        <v>113</v>
      </c>
      <c r="G1032" s="14" t="s">
        <v>114</v>
      </c>
      <c r="H1032" s="14"/>
    </row>
    <row r="1033" spans="1:9">
      <c r="A1033" s="3">
        <v>44446</v>
      </c>
      <c r="B1033" s="7" t="s">
        <v>2398</v>
      </c>
      <c r="D1033" s="8">
        <v>867000</v>
      </c>
      <c r="E1033" s="50">
        <f t="shared" si="20"/>
        <v>125739643.06999993</v>
      </c>
      <c r="F1033" s="83" t="s">
        <v>107</v>
      </c>
      <c r="G1033" s="14" t="s">
        <v>668</v>
      </c>
      <c r="H1033" s="14" t="s">
        <v>3405</v>
      </c>
      <c r="I1033" t="s">
        <v>3670</v>
      </c>
    </row>
    <row r="1034" spans="1:9">
      <c r="A1034" s="3">
        <v>44447</v>
      </c>
      <c r="B1034" s="7" t="s">
        <v>2342</v>
      </c>
      <c r="D1034" s="8">
        <v>500000000</v>
      </c>
      <c r="E1034" s="50">
        <f t="shared" si="20"/>
        <v>625739643.06999993</v>
      </c>
      <c r="F1034" s="83" t="s">
        <v>107</v>
      </c>
      <c r="G1034" s="14" t="s">
        <v>108</v>
      </c>
      <c r="H1034" s="14"/>
    </row>
    <row r="1035" spans="1:9">
      <c r="A1035" s="3">
        <v>44447</v>
      </c>
      <c r="B1035" s="7" t="s">
        <v>2399</v>
      </c>
      <c r="D1035" s="8">
        <v>13002</v>
      </c>
      <c r="E1035" s="50">
        <f t="shared" si="20"/>
        <v>625752645.06999993</v>
      </c>
      <c r="F1035" s="83" t="s">
        <v>107</v>
      </c>
      <c r="G1035" s="14" t="s">
        <v>668</v>
      </c>
      <c r="H1035" s="14" t="s">
        <v>3405</v>
      </c>
      <c r="I1035" t="s">
        <v>3637</v>
      </c>
    </row>
    <row r="1036" spans="1:9">
      <c r="A1036" s="3">
        <v>44447</v>
      </c>
      <c r="B1036" s="7" t="s">
        <v>2400</v>
      </c>
      <c r="C1036" s="8">
        <v>2500000</v>
      </c>
      <c r="E1036" s="50">
        <f t="shared" si="20"/>
        <v>623252645.06999993</v>
      </c>
      <c r="F1036" s="81" t="s">
        <v>2882</v>
      </c>
      <c r="G1036" s="14" t="s">
        <v>138</v>
      </c>
      <c r="H1036" s="14" t="s">
        <v>3017</v>
      </c>
    </row>
    <row r="1037" spans="1:9">
      <c r="A1037" s="3">
        <v>44447</v>
      </c>
      <c r="B1037" s="7" t="s">
        <v>2401</v>
      </c>
      <c r="C1037" s="8">
        <v>1050000</v>
      </c>
      <c r="E1037" s="50">
        <f t="shared" si="20"/>
        <v>622202645.06999993</v>
      </c>
      <c r="F1037" s="81" t="s">
        <v>2882</v>
      </c>
      <c r="G1037" s="14" t="s">
        <v>138</v>
      </c>
      <c r="H1037" s="14" t="s">
        <v>3017</v>
      </c>
    </row>
    <row r="1038" spans="1:9">
      <c r="A1038" s="3">
        <v>44447</v>
      </c>
      <c r="B1038" s="7" t="s">
        <v>2402</v>
      </c>
      <c r="C1038" s="8">
        <v>2100000</v>
      </c>
      <c r="E1038" s="50">
        <f t="shared" si="20"/>
        <v>620102645.06999993</v>
      </c>
      <c r="F1038" s="81" t="s">
        <v>2882</v>
      </c>
      <c r="G1038" s="14" t="s">
        <v>138</v>
      </c>
      <c r="H1038" s="14" t="s">
        <v>3024</v>
      </c>
    </row>
    <row r="1039" spans="1:9">
      <c r="A1039" s="3">
        <v>44447</v>
      </c>
      <c r="B1039" s="7" t="s">
        <v>2403</v>
      </c>
      <c r="C1039" s="8">
        <v>1050000</v>
      </c>
      <c r="E1039" s="50">
        <f t="shared" si="20"/>
        <v>619052645.06999993</v>
      </c>
      <c r="F1039" s="81" t="s">
        <v>2882</v>
      </c>
      <c r="G1039" s="14" t="s">
        <v>138</v>
      </c>
      <c r="H1039" s="14" t="s">
        <v>3016</v>
      </c>
    </row>
    <row r="1040" spans="1:9">
      <c r="A1040" s="3">
        <v>44447</v>
      </c>
      <c r="B1040" s="7" t="s">
        <v>2404</v>
      </c>
      <c r="C1040" s="8">
        <v>3500000</v>
      </c>
      <c r="E1040" s="50">
        <f t="shared" si="20"/>
        <v>615552645.06999993</v>
      </c>
      <c r="F1040" s="81" t="s">
        <v>2882</v>
      </c>
      <c r="G1040" s="14" t="s">
        <v>138</v>
      </c>
      <c r="H1040" s="14" t="s">
        <v>2277</v>
      </c>
    </row>
    <row r="1041" spans="1:8">
      <c r="A1041" s="3">
        <v>44447</v>
      </c>
      <c r="B1041" s="7" t="s">
        <v>2405</v>
      </c>
      <c r="C1041" s="8">
        <v>28000000</v>
      </c>
      <c r="E1041" s="50">
        <f t="shared" si="20"/>
        <v>587552645.06999993</v>
      </c>
      <c r="F1041" s="81" t="s">
        <v>2882</v>
      </c>
      <c r="G1041" s="14" t="s">
        <v>138</v>
      </c>
      <c r="H1041" s="14" t="s">
        <v>2277</v>
      </c>
    </row>
    <row r="1042" spans="1:8">
      <c r="A1042" s="3">
        <v>44447</v>
      </c>
      <c r="B1042" s="7" t="s">
        <v>2406</v>
      </c>
      <c r="C1042" s="8">
        <v>16500000</v>
      </c>
      <c r="E1042" s="50">
        <f t="shared" si="20"/>
        <v>571052645.06999993</v>
      </c>
      <c r="F1042" s="81" t="s">
        <v>2882</v>
      </c>
      <c r="G1042" s="14" t="s">
        <v>138</v>
      </c>
      <c r="H1042" s="14" t="s">
        <v>3016</v>
      </c>
    </row>
    <row r="1043" spans="1:8">
      <c r="A1043" s="3">
        <v>44448</v>
      </c>
      <c r="B1043" s="7" t="s">
        <v>2407</v>
      </c>
      <c r="C1043" s="8">
        <v>1520000</v>
      </c>
      <c r="E1043" s="50">
        <f t="shared" si="20"/>
        <v>569532645.06999993</v>
      </c>
      <c r="F1043" s="81" t="s">
        <v>2882</v>
      </c>
      <c r="G1043" s="14" t="s">
        <v>138</v>
      </c>
      <c r="H1043" s="14" t="s">
        <v>2277</v>
      </c>
    </row>
    <row r="1044" spans="1:8">
      <c r="A1044" s="3">
        <v>44448</v>
      </c>
      <c r="B1044" s="7" t="s">
        <v>2408</v>
      </c>
      <c r="C1044" s="8">
        <v>1400000</v>
      </c>
      <c r="E1044" s="50">
        <f t="shared" si="20"/>
        <v>568132645.06999993</v>
      </c>
      <c r="F1044" s="81" t="s">
        <v>2882</v>
      </c>
      <c r="G1044" s="14" t="s">
        <v>138</v>
      </c>
      <c r="H1044" s="14" t="s">
        <v>2968</v>
      </c>
    </row>
    <row r="1045" spans="1:8">
      <c r="A1045" s="3">
        <v>44448</v>
      </c>
      <c r="B1045" s="7" t="s">
        <v>2409</v>
      </c>
      <c r="C1045" s="8">
        <v>4000000</v>
      </c>
      <c r="E1045" s="50">
        <f t="shared" si="20"/>
        <v>564132645.06999993</v>
      </c>
      <c r="F1045" s="81" t="s">
        <v>2882</v>
      </c>
      <c r="G1045" s="14" t="s">
        <v>138</v>
      </c>
      <c r="H1045" s="14" t="s">
        <v>2277</v>
      </c>
    </row>
    <row r="1046" spans="1:8">
      <c r="A1046" s="3">
        <v>44448</v>
      </c>
      <c r="B1046" s="7" t="s">
        <v>2410</v>
      </c>
      <c r="C1046" s="8">
        <v>16050000</v>
      </c>
      <c r="E1046" s="50">
        <f t="shared" si="20"/>
        <v>548082645.06999993</v>
      </c>
      <c r="F1046" s="81" t="s">
        <v>2882</v>
      </c>
      <c r="G1046" s="14" t="s">
        <v>138</v>
      </c>
      <c r="H1046" s="14" t="s">
        <v>3024</v>
      </c>
    </row>
    <row r="1047" spans="1:8">
      <c r="A1047" s="3">
        <v>44448</v>
      </c>
      <c r="B1047" s="7" t="s">
        <v>2493</v>
      </c>
      <c r="C1047" s="54">
        <v>3500000</v>
      </c>
      <c r="D1047" s="54">
        <v>0</v>
      </c>
      <c r="E1047" s="53">
        <f t="shared" si="20"/>
        <v>544582645.06999993</v>
      </c>
      <c r="F1047" s="80" t="s">
        <v>319</v>
      </c>
      <c r="G1047" s="14" t="s">
        <v>370</v>
      </c>
      <c r="H1047" s="14"/>
    </row>
    <row r="1048" spans="1:8">
      <c r="A1048" s="3">
        <v>44448</v>
      </c>
      <c r="B1048" s="7" t="s">
        <v>2493</v>
      </c>
      <c r="C1048" s="54">
        <v>350000</v>
      </c>
      <c r="D1048" s="54">
        <v>0</v>
      </c>
      <c r="E1048" s="53">
        <f t="shared" si="20"/>
        <v>544232645.06999993</v>
      </c>
      <c r="F1048" s="82" t="s">
        <v>110</v>
      </c>
      <c r="G1048" t="s">
        <v>616</v>
      </c>
      <c r="H1048" t="s">
        <v>4621</v>
      </c>
    </row>
    <row r="1049" spans="1:8">
      <c r="A1049" s="3">
        <v>44448</v>
      </c>
      <c r="B1049" s="7" t="s">
        <v>2493</v>
      </c>
      <c r="C1049" s="54">
        <v>0</v>
      </c>
      <c r="D1049" s="54">
        <v>70000</v>
      </c>
      <c r="E1049" s="53">
        <f t="shared" si="20"/>
        <v>544302645.06999993</v>
      </c>
      <c r="F1049" s="82" t="s">
        <v>115</v>
      </c>
      <c r="G1049" t="s">
        <v>441</v>
      </c>
      <c r="H1049" t="s">
        <v>596</v>
      </c>
    </row>
    <row r="1050" spans="1:8">
      <c r="A1050" s="3">
        <v>44448</v>
      </c>
      <c r="B1050" s="7" t="s">
        <v>2411</v>
      </c>
      <c r="C1050" s="8">
        <v>1500000</v>
      </c>
      <c r="E1050" s="50">
        <f t="shared" si="20"/>
        <v>542802645.06999993</v>
      </c>
      <c r="F1050" s="83" t="s">
        <v>248</v>
      </c>
      <c r="G1050" s="14" t="s">
        <v>729</v>
      </c>
      <c r="H1050" s="14"/>
    </row>
    <row r="1051" spans="1:8">
      <c r="A1051" s="3">
        <v>44448</v>
      </c>
      <c r="B1051" s="7" t="s">
        <v>2412</v>
      </c>
      <c r="C1051" s="8">
        <v>536500</v>
      </c>
      <c r="E1051" s="50">
        <f t="shared" si="20"/>
        <v>542266145.06999993</v>
      </c>
      <c r="F1051" s="81" t="s">
        <v>2882</v>
      </c>
      <c r="G1051" s="14" t="s">
        <v>138</v>
      </c>
      <c r="H1051" s="14" t="s">
        <v>3036</v>
      </c>
    </row>
    <row r="1052" spans="1:8" s="14" customFormat="1">
      <c r="A1052" s="138">
        <v>44448</v>
      </c>
      <c r="B1052" s="49" t="s">
        <v>2413</v>
      </c>
      <c r="C1052" s="53">
        <v>4500000</v>
      </c>
      <c r="D1052" s="53"/>
      <c r="E1052" s="53">
        <f t="shared" si="20"/>
        <v>537766145.06999993</v>
      </c>
      <c r="F1052" s="80" t="s">
        <v>115</v>
      </c>
      <c r="G1052" s="14" t="s">
        <v>120</v>
      </c>
      <c r="H1052" s="14" t="s">
        <v>3028</v>
      </c>
    </row>
    <row r="1053" spans="1:8">
      <c r="A1053" s="3">
        <v>44448</v>
      </c>
      <c r="B1053" s="7" t="s">
        <v>2414</v>
      </c>
      <c r="C1053" s="8">
        <v>747500</v>
      </c>
      <c r="E1053" s="50">
        <f t="shared" si="20"/>
        <v>537018645.06999993</v>
      </c>
      <c r="F1053" s="83" t="s">
        <v>319</v>
      </c>
      <c r="G1053" s="14" t="s">
        <v>244</v>
      </c>
      <c r="H1053" s="14"/>
    </row>
    <row r="1054" spans="1:8" s="14" customFormat="1">
      <c r="A1054" s="138">
        <v>44448</v>
      </c>
      <c r="B1054" s="49" t="s">
        <v>5039</v>
      </c>
      <c r="C1054" s="53"/>
      <c r="D1054" s="53">
        <v>500000</v>
      </c>
      <c r="E1054" s="53">
        <f t="shared" si="20"/>
        <v>537518645.06999993</v>
      </c>
      <c r="F1054" s="80" t="s">
        <v>110</v>
      </c>
      <c r="G1054" s="14" t="s">
        <v>321</v>
      </c>
      <c r="H1054" s="14" t="s">
        <v>5038</v>
      </c>
    </row>
    <row r="1055" spans="1:8">
      <c r="A1055" s="3">
        <v>44448</v>
      </c>
      <c r="B1055" s="7" t="s">
        <v>2494</v>
      </c>
      <c r="C1055" s="8">
        <v>0</v>
      </c>
      <c r="D1055" s="8">
        <v>2989600</v>
      </c>
      <c r="E1055" s="50">
        <f t="shared" si="20"/>
        <v>540508245.06999993</v>
      </c>
      <c r="F1055" s="83" t="s">
        <v>137</v>
      </c>
      <c r="G1055" s="14" t="s">
        <v>138</v>
      </c>
      <c r="H1055" s="14" t="s">
        <v>2277</v>
      </c>
    </row>
    <row r="1056" spans="1:8">
      <c r="A1056" s="3">
        <v>44448</v>
      </c>
      <c r="B1056" s="7" t="s">
        <v>2415</v>
      </c>
      <c r="C1056" s="8">
        <v>5001000</v>
      </c>
      <c r="E1056" s="50">
        <f t="shared" si="20"/>
        <v>535507245.06999993</v>
      </c>
      <c r="F1056" s="83" t="s">
        <v>137</v>
      </c>
      <c r="G1056" s="14" t="s">
        <v>138</v>
      </c>
      <c r="H1056" s="14" t="s">
        <v>4145</v>
      </c>
    </row>
    <row r="1057" spans="1:12">
      <c r="A1057" s="3">
        <v>44449</v>
      </c>
      <c r="B1057" s="7" t="s">
        <v>2416</v>
      </c>
      <c r="C1057" s="8">
        <v>27500000</v>
      </c>
      <c r="E1057" s="50">
        <f t="shared" si="20"/>
        <v>508007245.06999993</v>
      </c>
      <c r="F1057" s="81" t="s">
        <v>2882</v>
      </c>
      <c r="G1057" s="14" t="s">
        <v>138</v>
      </c>
      <c r="H1057" s="14" t="s">
        <v>3037</v>
      </c>
    </row>
    <row r="1058" spans="1:12" s="14" customFormat="1">
      <c r="A1058" s="138">
        <v>44449</v>
      </c>
      <c r="B1058" s="49" t="s">
        <v>2417</v>
      </c>
      <c r="C1058" s="53">
        <v>11120000</v>
      </c>
      <c r="D1058" s="53"/>
      <c r="E1058" s="53">
        <f t="shared" si="20"/>
        <v>496887245.06999993</v>
      </c>
      <c r="F1058" s="80" t="s">
        <v>115</v>
      </c>
      <c r="G1058" s="14" t="s">
        <v>120</v>
      </c>
      <c r="H1058" s="14" t="s">
        <v>3028</v>
      </c>
    </row>
    <row r="1059" spans="1:12">
      <c r="A1059" s="3">
        <v>44449</v>
      </c>
      <c r="B1059" s="7" t="s">
        <v>24</v>
      </c>
      <c r="C1059" s="8">
        <v>2924758</v>
      </c>
      <c r="E1059" s="50">
        <f t="shared" si="20"/>
        <v>493962487.06999993</v>
      </c>
      <c r="F1059" s="83" t="s">
        <v>107</v>
      </c>
      <c r="G1059" s="14" t="s">
        <v>129</v>
      </c>
      <c r="H1059" s="14"/>
    </row>
    <row r="1060" spans="1:12">
      <c r="A1060" s="3">
        <v>44449</v>
      </c>
      <c r="B1060" s="7" t="s">
        <v>2418</v>
      </c>
      <c r="C1060" s="8">
        <v>3095000</v>
      </c>
      <c r="E1060" s="50">
        <f t="shared" si="20"/>
        <v>490867487.06999993</v>
      </c>
      <c r="F1060" s="81" t="s">
        <v>2884</v>
      </c>
      <c r="G1060" s="14" t="s">
        <v>130</v>
      </c>
      <c r="H1060" t="s">
        <v>623</v>
      </c>
    </row>
    <row r="1061" spans="1:12">
      <c r="A1061" s="3">
        <v>44449</v>
      </c>
      <c r="B1061" s="7" t="s">
        <v>2419</v>
      </c>
      <c r="C1061" s="8">
        <v>650000</v>
      </c>
      <c r="E1061" s="50">
        <f t="shared" si="20"/>
        <v>490217487.06999993</v>
      </c>
      <c r="F1061" s="81" t="s">
        <v>2884</v>
      </c>
      <c r="G1061" s="14" t="s">
        <v>130</v>
      </c>
      <c r="H1061" t="s">
        <v>2083</v>
      </c>
    </row>
    <row r="1062" spans="1:12">
      <c r="A1062" s="12">
        <v>44449</v>
      </c>
      <c r="B1062" s="7" t="s">
        <v>2420</v>
      </c>
      <c r="C1062" s="8">
        <v>835000</v>
      </c>
      <c r="E1062" s="50">
        <f t="shared" si="20"/>
        <v>489382487.06999993</v>
      </c>
      <c r="F1062" s="81" t="s">
        <v>2884</v>
      </c>
      <c r="G1062" s="14" t="s">
        <v>130</v>
      </c>
      <c r="H1062" t="s">
        <v>625</v>
      </c>
    </row>
    <row r="1063" spans="1:12">
      <c r="A1063" s="12">
        <v>44449</v>
      </c>
      <c r="B1063" s="7" t="s">
        <v>2421</v>
      </c>
      <c r="C1063" s="8">
        <v>500000</v>
      </c>
      <c r="E1063" s="50">
        <f t="shared" si="20"/>
        <v>488882487.06999993</v>
      </c>
      <c r="F1063" s="83" t="s">
        <v>107</v>
      </c>
      <c r="G1063" s="14" t="s">
        <v>666</v>
      </c>
      <c r="H1063" s="14" t="s">
        <v>3405</v>
      </c>
      <c r="I1063" t="s">
        <v>3714</v>
      </c>
    </row>
    <row r="1064" spans="1:12">
      <c r="A1064" s="12">
        <v>44449</v>
      </c>
      <c r="B1064" s="7" t="s">
        <v>2422</v>
      </c>
      <c r="C1064" s="8">
        <v>13500000</v>
      </c>
      <c r="E1064" s="50">
        <f t="shared" si="20"/>
        <v>475382487.06999993</v>
      </c>
      <c r="F1064" s="81" t="s">
        <v>2882</v>
      </c>
      <c r="G1064" s="14" t="s">
        <v>138</v>
      </c>
      <c r="H1064" s="14" t="s">
        <v>2277</v>
      </c>
    </row>
    <row r="1065" spans="1:12" s="14" customFormat="1">
      <c r="A1065" s="138">
        <v>44452</v>
      </c>
      <c r="B1065" s="49" t="s">
        <v>2423</v>
      </c>
      <c r="C1065" s="53">
        <v>7000000</v>
      </c>
      <c r="D1065" s="53"/>
      <c r="E1065" s="53">
        <f t="shared" si="20"/>
        <v>468382487.06999993</v>
      </c>
      <c r="F1065" s="80" t="s">
        <v>107</v>
      </c>
      <c r="G1065" s="14" t="s">
        <v>666</v>
      </c>
      <c r="H1065" s="14" t="s">
        <v>3405</v>
      </c>
      <c r="I1065" s="14" t="s">
        <v>3717</v>
      </c>
    </row>
    <row r="1066" spans="1:12">
      <c r="A1066" s="3">
        <v>44453</v>
      </c>
      <c r="B1066" s="7" t="s">
        <v>2424</v>
      </c>
      <c r="D1066" s="8">
        <v>28282800</v>
      </c>
      <c r="E1066" s="50">
        <f t="shared" si="20"/>
        <v>496665287.06999993</v>
      </c>
      <c r="F1066" s="83" t="s">
        <v>581</v>
      </c>
      <c r="G1066" s="14" t="s">
        <v>582</v>
      </c>
      <c r="H1066" s="14" t="s">
        <v>4389</v>
      </c>
      <c r="I1066">
        <v>60</v>
      </c>
    </row>
    <row r="1067" spans="1:12" s="14" customFormat="1">
      <c r="A1067" s="138">
        <v>44453</v>
      </c>
      <c r="B1067" s="49" t="s">
        <v>3730</v>
      </c>
      <c r="C1067" s="53">
        <v>5000000</v>
      </c>
      <c r="D1067" s="53"/>
      <c r="E1067" s="53">
        <f t="shared" ref="E1067:E1130" si="21">E1066-C1067+D1067</f>
        <v>491665287.06999993</v>
      </c>
      <c r="F1067" s="80" t="s">
        <v>107</v>
      </c>
      <c r="G1067" s="14" t="s">
        <v>666</v>
      </c>
      <c r="H1067" s="14" t="s">
        <v>3405</v>
      </c>
      <c r="I1067" s="14" t="s">
        <v>3731</v>
      </c>
    </row>
    <row r="1068" spans="1:12">
      <c r="A1068" s="3">
        <v>44453</v>
      </c>
      <c r="B1068" s="7" t="s">
        <v>2425</v>
      </c>
      <c r="C1068" s="8">
        <v>3500000</v>
      </c>
      <c r="E1068" s="50">
        <f t="shared" si="21"/>
        <v>488165287.06999993</v>
      </c>
      <c r="F1068" s="81" t="s">
        <v>2882</v>
      </c>
      <c r="G1068" s="14" t="s">
        <v>138</v>
      </c>
      <c r="H1068" s="14" t="s">
        <v>2043</v>
      </c>
      <c r="J1068" t="s">
        <v>4150</v>
      </c>
      <c r="K1068" t="s">
        <v>480</v>
      </c>
      <c r="L1068" s="10">
        <v>2021</v>
      </c>
    </row>
    <row r="1069" spans="1:12" s="14" customFormat="1">
      <c r="A1069" s="138">
        <v>44453</v>
      </c>
      <c r="B1069" s="49" t="s">
        <v>4391</v>
      </c>
      <c r="C1069" s="53">
        <v>23400000</v>
      </c>
      <c r="D1069" s="53"/>
      <c r="E1069" s="53">
        <f t="shared" si="21"/>
        <v>464765287.06999993</v>
      </c>
      <c r="F1069" s="81" t="s">
        <v>110</v>
      </c>
      <c r="G1069" s="14" t="s">
        <v>321</v>
      </c>
      <c r="H1069" s="14" t="s">
        <v>4392</v>
      </c>
    </row>
    <row r="1070" spans="1:12" s="14" customFormat="1">
      <c r="A1070" s="138">
        <v>44453</v>
      </c>
      <c r="B1070" s="49" t="s">
        <v>2426</v>
      </c>
      <c r="C1070" s="53">
        <v>34800000</v>
      </c>
      <c r="D1070" s="53"/>
      <c r="E1070" s="53">
        <f t="shared" si="21"/>
        <v>429965287.06999993</v>
      </c>
      <c r="F1070" s="80" t="s">
        <v>115</v>
      </c>
      <c r="G1070" s="14" t="s">
        <v>120</v>
      </c>
      <c r="H1070" s="14" t="s">
        <v>3028</v>
      </c>
    </row>
    <row r="1071" spans="1:12">
      <c r="A1071" s="3">
        <v>44453</v>
      </c>
      <c r="B1071" s="7" t="s">
        <v>2427</v>
      </c>
      <c r="C1071" s="8">
        <v>4000000</v>
      </c>
      <c r="E1071" s="50">
        <f t="shared" si="21"/>
        <v>425965287.06999993</v>
      </c>
      <c r="F1071" s="83" t="s">
        <v>115</v>
      </c>
      <c r="G1071" s="14" t="s">
        <v>122</v>
      </c>
      <c r="H1071" s="14" t="s">
        <v>247</v>
      </c>
    </row>
    <row r="1072" spans="1:12">
      <c r="A1072" s="3">
        <v>44453</v>
      </c>
      <c r="B1072" s="7" t="s">
        <v>2428</v>
      </c>
      <c r="C1072" s="8">
        <v>9500000</v>
      </c>
      <c r="E1072" s="50">
        <f t="shared" si="21"/>
        <v>416465287.06999993</v>
      </c>
      <c r="F1072" s="83" t="s">
        <v>115</v>
      </c>
      <c r="G1072" s="14" t="s">
        <v>122</v>
      </c>
      <c r="H1072" s="14" t="s">
        <v>247</v>
      </c>
    </row>
    <row r="1073" spans="1:12">
      <c r="A1073" s="3">
        <v>44456</v>
      </c>
      <c r="B1073" s="7" t="s">
        <v>2429</v>
      </c>
      <c r="D1073" s="8">
        <v>543400</v>
      </c>
      <c r="E1073" s="50">
        <f t="shared" si="21"/>
        <v>417008687.06999993</v>
      </c>
      <c r="F1073" s="83" t="s">
        <v>107</v>
      </c>
      <c r="G1073" s="14" t="s">
        <v>668</v>
      </c>
      <c r="H1073" s="14" t="s">
        <v>3405</v>
      </c>
      <c r="I1073" t="s">
        <v>3717</v>
      </c>
    </row>
    <row r="1074" spans="1:12">
      <c r="A1074" s="3">
        <v>44456</v>
      </c>
      <c r="B1074" s="7" t="s">
        <v>1268</v>
      </c>
      <c r="C1074" s="8">
        <v>20000</v>
      </c>
      <c r="E1074" s="50">
        <f t="shared" si="21"/>
        <v>416988687.06999993</v>
      </c>
      <c r="F1074" s="83" t="s">
        <v>113</v>
      </c>
      <c r="G1074" s="14" t="s">
        <v>114</v>
      </c>
      <c r="H1074" s="14"/>
    </row>
    <row r="1075" spans="1:12">
      <c r="A1075" s="3">
        <v>44459</v>
      </c>
      <c r="B1075" s="7" t="s">
        <v>2430</v>
      </c>
      <c r="C1075" s="8">
        <v>4187282</v>
      </c>
      <c r="E1075" s="50">
        <f t="shared" si="21"/>
        <v>412801405.06999993</v>
      </c>
      <c r="F1075" s="81" t="s">
        <v>2882</v>
      </c>
      <c r="G1075" s="14" t="s">
        <v>138</v>
      </c>
      <c r="H1075" t="s">
        <v>603</v>
      </c>
    </row>
    <row r="1076" spans="1:12">
      <c r="A1076" s="3">
        <v>44459</v>
      </c>
      <c r="B1076" s="7" t="s">
        <v>2431</v>
      </c>
      <c r="C1076" s="8">
        <v>70000000</v>
      </c>
      <c r="E1076" s="50">
        <f t="shared" si="21"/>
        <v>342801405.06999993</v>
      </c>
      <c r="F1076" s="81" t="s">
        <v>2882</v>
      </c>
      <c r="G1076" s="14" t="s">
        <v>138</v>
      </c>
      <c r="H1076" s="14" t="s">
        <v>2975</v>
      </c>
    </row>
    <row r="1077" spans="1:12">
      <c r="A1077" s="3">
        <v>44459</v>
      </c>
      <c r="B1077" s="7" t="s">
        <v>2432</v>
      </c>
      <c r="C1077" s="8">
        <v>14650000</v>
      </c>
      <c r="E1077" s="50">
        <f t="shared" si="21"/>
        <v>328151405.06999993</v>
      </c>
      <c r="F1077" s="81" t="s">
        <v>2882</v>
      </c>
      <c r="G1077" s="14" t="s">
        <v>138</v>
      </c>
      <c r="H1077" s="14" t="s">
        <v>3036</v>
      </c>
    </row>
    <row r="1078" spans="1:12">
      <c r="A1078" s="3">
        <v>44459</v>
      </c>
      <c r="B1078" s="7" t="s">
        <v>24</v>
      </c>
      <c r="C1078" s="8">
        <v>2995900</v>
      </c>
      <c r="E1078" s="50">
        <f t="shared" si="21"/>
        <v>325155505.06999993</v>
      </c>
      <c r="F1078" s="83" t="s">
        <v>107</v>
      </c>
      <c r="G1078" s="14" t="s">
        <v>129</v>
      </c>
      <c r="H1078" s="14"/>
    </row>
    <row r="1079" spans="1:12">
      <c r="A1079" s="3">
        <v>44459</v>
      </c>
      <c r="B1079" s="7" t="s">
        <v>2433</v>
      </c>
      <c r="C1079" s="8">
        <v>630000</v>
      </c>
      <c r="E1079" s="50">
        <f t="shared" si="21"/>
        <v>324525505.06999993</v>
      </c>
      <c r="F1079" s="83" t="s">
        <v>319</v>
      </c>
      <c r="G1079" s="14" t="s">
        <v>454</v>
      </c>
      <c r="H1079" s="14"/>
    </row>
    <row r="1080" spans="1:12">
      <c r="A1080" s="3">
        <v>44459</v>
      </c>
      <c r="B1080" s="7" t="s">
        <v>2434</v>
      </c>
      <c r="C1080" s="8">
        <v>800000</v>
      </c>
      <c r="E1080" s="50">
        <f t="shared" si="21"/>
        <v>323725505.06999993</v>
      </c>
      <c r="F1080" s="81" t="s">
        <v>2882</v>
      </c>
      <c r="G1080" s="14" t="s">
        <v>138</v>
      </c>
      <c r="H1080" s="14" t="s">
        <v>3036</v>
      </c>
      <c r="J1080" t="s">
        <v>4150</v>
      </c>
      <c r="K1080" t="s">
        <v>4152</v>
      </c>
      <c r="L1080" s="10">
        <v>2021</v>
      </c>
    </row>
    <row r="1081" spans="1:12">
      <c r="A1081" s="3">
        <v>44459</v>
      </c>
      <c r="B1081" s="7" t="s">
        <v>2435</v>
      </c>
      <c r="C1081" s="8">
        <v>1000000</v>
      </c>
      <c r="E1081" s="50">
        <f t="shared" si="21"/>
        <v>322725505.06999993</v>
      </c>
      <c r="F1081" s="81" t="s">
        <v>2882</v>
      </c>
      <c r="G1081" s="14" t="s">
        <v>138</v>
      </c>
      <c r="H1081" s="14" t="s">
        <v>3036</v>
      </c>
      <c r="J1081" t="s">
        <v>4150</v>
      </c>
      <c r="K1081" t="s">
        <v>3990</v>
      </c>
      <c r="L1081" s="10">
        <v>2021</v>
      </c>
    </row>
    <row r="1082" spans="1:12">
      <c r="A1082" s="3">
        <v>44459</v>
      </c>
      <c r="B1082" s="7" t="s">
        <v>2436</v>
      </c>
      <c r="C1082" s="8">
        <v>800000</v>
      </c>
      <c r="E1082" s="50">
        <f t="shared" si="21"/>
        <v>321925505.06999993</v>
      </c>
      <c r="F1082" s="81" t="s">
        <v>2882</v>
      </c>
      <c r="G1082" s="14" t="s">
        <v>138</v>
      </c>
      <c r="H1082" s="14" t="s">
        <v>3036</v>
      </c>
      <c r="J1082" t="s">
        <v>4150</v>
      </c>
      <c r="K1082" t="s">
        <v>119</v>
      </c>
      <c r="L1082" s="10">
        <v>2021</v>
      </c>
    </row>
    <row r="1083" spans="1:12">
      <c r="A1083" s="3">
        <v>44459</v>
      </c>
      <c r="B1083" s="7" t="s">
        <v>2437</v>
      </c>
      <c r="C1083" s="8">
        <v>800000</v>
      </c>
      <c r="E1083" s="50">
        <f t="shared" si="21"/>
        <v>321125505.06999993</v>
      </c>
      <c r="F1083" s="81" t="s">
        <v>2882</v>
      </c>
      <c r="G1083" s="14" t="s">
        <v>138</v>
      </c>
      <c r="H1083" s="14" t="s">
        <v>3036</v>
      </c>
      <c r="J1083" t="s">
        <v>4150</v>
      </c>
      <c r="K1083" t="s">
        <v>622</v>
      </c>
      <c r="L1083" s="10">
        <v>2021</v>
      </c>
    </row>
    <row r="1084" spans="1:12">
      <c r="A1084" s="3">
        <v>44459</v>
      </c>
      <c r="B1084" s="7" t="s">
        <v>2438</v>
      </c>
      <c r="C1084" s="8">
        <v>800000</v>
      </c>
      <c r="E1084" s="50">
        <f t="shared" si="21"/>
        <v>320325505.06999993</v>
      </c>
      <c r="F1084" s="81" t="s">
        <v>2882</v>
      </c>
      <c r="G1084" s="14" t="s">
        <v>138</v>
      </c>
      <c r="H1084" s="14" t="s">
        <v>3036</v>
      </c>
      <c r="J1084" t="s">
        <v>4150</v>
      </c>
      <c r="K1084" t="s">
        <v>459</v>
      </c>
      <c r="L1084" s="10">
        <v>2021</v>
      </c>
    </row>
    <row r="1085" spans="1:12">
      <c r="A1085" s="3">
        <v>44459</v>
      </c>
      <c r="B1085" s="7" t="s">
        <v>2439</v>
      </c>
      <c r="C1085" s="8">
        <v>800000</v>
      </c>
      <c r="E1085" s="50">
        <f t="shared" si="21"/>
        <v>319525505.06999993</v>
      </c>
      <c r="F1085" s="81" t="s">
        <v>2882</v>
      </c>
      <c r="G1085" s="14" t="s">
        <v>138</v>
      </c>
      <c r="H1085" s="14" t="s">
        <v>3037</v>
      </c>
      <c r="J1085" t="s">
        <v>4150</v>
      </c>
      <c r="K1085" t="s">
        <v>119</v>
      </c>
      <c r="L1085" s="10">
        <v>2021</v>
      </c>
    </row>
    <row r="1086" spans="1:12">
      <c r="A1086" s="3">
        <v>44459</v>
      </c>
      <c r="B1086" s="7" t="s">
        <v>2440</v>
      </c>
      <c r="C1086" s="8">
        <v>800000</v>
      </c>
      <c r="E1086" s="50">
        <f t="shared" si="21"/>
        <v>318725505.06999993</v>
      </c>
      <c r="F1086" s="81" t="s">
        <v>2882</v>
      </c>
      <c r="G1086" s="14" t="s">
        <v>138</v>
      </c>
      <c r="H1086" s="14" t="s">
        <v>3037</v>
      </c>
      <c r="J1086" t="s">
        <v>4150</v>
      </c>
      <c r="K1086" t="s">
        <v>459</v>
      </c>
      <c r="L1086" s="10">
        <v>2021</v>
      </c>
    </row>
    <row r="1087" spans="1:12">
      <c r="A1087" s="3">
        <v>44459</v>
      </c>
      <c r="B1087" s="7" t="s">
        <v>2441</v>
      </c>
      <c r="C1087" s="8">
        <v>800000</v>
      </c>
      <c r="E1087" s="50">
        <f t="shared" si="21"/>
        <v>317925505.06999993</v>
      </c>
      <c r="F1087" s="81" t="s">
        <v>2882</v>
      </c>
      <c r="G1087" s="14" t="s">
        <v>138</v>
      </c>
      <c r="H1087" s="14" t="s">
        <v>3037</v>
      </c>
      <c r="J1087" t="s">
        <v>4150</v>
      </c>
      <c r="K1087" t="s">
        <v>4152</v>
      </c>
      <c r="L1087" s="10">
        <v>2021</v>
      </c>
    </row>
    <row r="1088" spans="1:12">
      <c r="A1088" s="3">
        <v>44459</v>
      </c>
      <c r="B1088" s="7" t="s">
        <v>2442</v>
      </c>
      <c r="C1088" s="8">
        <v>800000</v>
      </c>
      <c r="E1088" s="50">
        <f t="shared" si="21"/>
        <v>317125505.06999993</v>
      </c>
      <c r="F1088" s="81" t="s">
        <v>2882</v>
      </c>
      <c r="G1088" s="14" t="s">
        <v>138</v>
      </c>
      <c r="H1088" s="14" t="s">
        <v>3037</v>
      </c>
      <c r="J1088" t="s">
        <v>4150</v>
      </c>
      <c r="K1088" t="s">
        <v>480</v>
      </c>
      <c r="L1088" s="10">
        <v>2021</v>
      </c>
    </row>
    <row r="1089" spans="1:12">
      <c r="A1089" s="3">
        <v>44459</v>
      </c>
      <c r="B1089" s="7" t="s">
        <v>2443</v>
      </c>
      <c r="C1089" s="8">
        <v>800000</v>
      </c>
      <c r="E1089" s="50">
        <f t="shared" si="21"/>
        <v>316325505.06999993</v>
      </c>
      <c r="F1089" s="81" t="s">
        <v>2882</v>
      </c>
      <c r="G1089" s="14" t="s">
        <v>138</v>
      </c>
      <c r="H1089" s="14" t="s">
        <v>3037</v>
      </c>
      <c r="J1089" t="s">
        <v>4150</v>
      </c>
      <c r="K1089" t="s">
        <v>4148</v>
      </c>
      <c r="L1089" s="10">
        <v>2021</v>
      </c>
    </row>
    <row r="1090" spans="1:12">
      <c r="A1090" s="3">
        <v>44459</v>
      </c>
      <c r="B1090" s="7" t="s">
        <v>2444</v>
      </c>
      <c r="C1090" s="8">
        <v>350000</v>
      </c>
      <c r="E1090" s="50">
        <f t="shared" si="21"/>
        <v>315975505.06999993</v>
      </c>
      <c r="F1090" s="81" t="s">
        <v>2882</v>
      </c>
      <c r="G1090" s="14" t="s">
        <v>138</v>
      </c>
      <c r="H1090" s="14" t="s">
        <v>3037</v>
      </c>
      <c r="J1090" t="s">
        <v>4150</v>
      </c>
      <c r="K1090" t="s">
        <v>2083</v>
      </c>
      <c r="L1090" s="10">
        <v>2021</v>
      </c>
    </row>
    <row r="1091" spans="1:12">
      <c r="A1091" s="3">
        <v>44459</v>
      </c>
      <c r="B1091" s="7" t="s">
        <v>2445</v>
      </c>
      <c r="C1091" s="8">
        <v>550000</v>
      </c>
      <c r="E1091" s="50">
        <f t="shared" si="21"/>
        <v>315425505.06999993</v>
      </c>
      <c r="F1091" s="81" t="s">
        <v>2882</v>
      </c>
      <c r="G1091" s="14" t="s">
        <v>138</v>
      </c>
      <c r="H1091" s="14" t="s">
        <v>3037</v>
      </c>
      <c r="J1091" t="s">
        <v>4150</v>
      </c>
      <c r="K1091" t="s">
        <v>625</v>
      </c>
      <c r="L1091" s="10">
        <v>2021</v>
      </c>
    </row>
    <row r="1092" spans="1:12">
      <c r="A1092" s="3">
        <v>44459</v>
      </c>
      <c r="B1092" s="7" t="s">
        <v>2446</v>
      </c>
      <c r="C1092" s="8">
        <v>886014</v>
      </c>
      <c r="E1092" s="50">
        <f t="shared" si="21"/>
        <v>314539491.06999993</v>
      </c>
      <c r="F1092" s="83" t="s">
        <v>319</v>
      </c>
      <c r="G1092" s="14" t="s">
        <v>1016</v>
      </c>
      <c r="H1092" s="14"/>
      <c r="J1092" t="s">
        <v>64</v>
      </c>
    </row>
    <row r="1093" spans="1:12">
      <c r="A1093" s="3">
        <v>44460</v>
      </c>
      <c r="B1093" s="7" t="s">
        <v>2447</v>
      </c>
      <c r="C1093" s="8">
        <v>950000</v>
      </c>
      <c r="E1093" s="50">
        <f t="shared" si="21"/>
        <v>313589491.06999993</v>
      </c>
      <c r="F1093" s="81" t="s">
        <v>2882</v>
      </c>
      <c r="G1093" s="14" t="s">
        <v>138</v>
      </c>
      <c r="H1093" s="14" t="s">
        <v>3037</v>
      </c>
      <c r="J1093" s="10" t="s">
        <v>4150</v>
      </c>
      <c r="K1093" t="s">
        <v>622</v>
      </c>
      <c r="L1093" s="10">
        <v>2021</v>
      </c>
    </row>
    <row r="1094" spans="1:12">
      <c r="A1094" s="3">
        <v>44460</v>
      </c>
      <c r="B1094" s="7" t="s">
        <v>2448</v>
      </c>
      <c r="C1094" s="8">
        <v>400000</v>
      </c>
      <c r="E1094" s="50">
        <f t="shared" si="21"/>
        <v>313189491.06999993</v>
      </c>
      <c r="F1094" s="81" t="s">
        <v>2882</v>
      </c>
      <c r="G1094" s="14" t="s">
        <v>138</v>
      </c>
      <c r="H1094" s="14" t="s">
        <v>3041</v>
      </c>
      <c r="J1094" s="10" t="s">
        <v>4150</v>
      </c>
      <c r="K1094" t="s">
        <v>119</v>
      </c>
      <c r="L1094" s="10">
        <v>2021</v>
      </c>
    </row>
    <row r="1095" spans="1:12">
      <c r="A1095" s="3">
        <v>44460</v>
      </c>
      <c r="B1095" s="7" t="s">
        <v>2449</v>
      </c>
      <c r="C1095" s="8">
        <v>400000</v>
      </c>
      <c r="E1095" s="50">
        <f t="shared" si="21"/>
        <v>312789491.06999993</v>
      </c>
      <c r="F1095" s="81" t="s">
        <v>2882</v>
      </c>
      <c r="G1095" s="14" t="s">
        <v>138</v>
      </c>
      <c r="H1095" s="14" t="s">
        <v>3041</v>
      </c>
      <c r="J1095" s="10" t="s">
        <v>4150</v>
      </c>
      <c r="K1095" t="s">
        <v>622</v>
      </c>
      <c r="L1095" s="10">
        <v>2021</v>
      </c>
    </row>
    <row r="1096" spans="1:12">
      <c r="A1096" s="3">
        <v>44460</v>
      </c>
      <c r="B1096" s="7" t="s">
        <v>2450</v>
      </c>
      <c r="C1096" s="8">
        <v>400000</v>
      </c>
      <c r="E1096" s="50">
        <f t="shared" si="21"/>
        <v>312389491.06999993</v>
      </c>
      <c r="F1096" s="81" t="s">
        <v>2882</v>
      </c>
      <c r="G1096" s="14" t="s">
        <v>138</v>
      </c>
      <c r="H1096" s="14" t="s">
        <v>3041</v>
      </c>
      <c r="J1096" s="10" t="s">
        <v>4150</v>
      </c>
      <c r="K1096" t="s">
        <v>459</v>
      </c>
      <c r="L1096" s="10">
        <v>2021</v>
      </c>
    </row>
    <row r="1097" spans="1:12" s="14" customFormat="1">
      <c r="A1097" s="138">
        <v>44460</v>
      </c>
      <c r="B1097" s="49" t="s">
        <v>2451</v>
      </c>
      <c r="C1097" s="53">
        <v>1500000</v>
      </c>
      <c r="D1097" s="53"/>
      <c r="E1097" s="53">
        <f t="shared" si="21"/>
        <v>310889491.06999993</v>
      </c>
      <c r="F1097" s="80" t="s">
        <v>115</v>
      </c>
      <c r="G1097" s="14" t="s">
        <v>120</v>
      </c>
      <c r="H1097" s="14" t="s">
        <v>127</v>
      </c>
      <c r="I1097" s="14" t="s">
        <v>444</v>
      </c>
      <c r="J1097" s="14" t="s">
        <v>64</v>
      </c>
    </row>
    <row r="1098" spans="1:12">
      <c r="A1098" s="3">
        <v>44460</v>
      </c>
      <c r="B1098" s="7" t="s">
        <v>2452</v>
      </c>
      <c r="C1098" s="8">
        <v>13900000</v>
      </c>
      <c r="E1098" s="50">
        <f t="shared" si="21"/>
        <v>296989491.06999993</v>
      </c>
      <c r="F1098" s="81" t="s">
        <v>2882</v>
      </c>
      <c r="G1098" s="14" t="s">
        <v>138</v>
      </c>
      <c r="H1098" s="14" t="s">
        <v>4388</v>
      </c>
    </row>
    <row r="1099" spans="1:12" s="14" customFormat="1">
      <c r="A1099" s="138">
        <v>44462</v>
      </c>
      <c r="B1099" s="49" t="s">
        <v>2453</v>
      </c>
      <c r="C1099" s="53">
        <v>6006500</v>
      </c>
      <c r="D1099" s="53"/>
      <c r="E1099" s="53">
        <f t="shared" si="21"/>
        <v>290982991.06999993</v>
      </c>
      <c r="F1099" s="80" t="s">
        <v>115</v>
      </c>
      <c r="G1099" s="14" t="s">
        <v>120</v>
      </c>
      <c r="H1099" s="14" t="s">
        <v>576</v>
      </c>
      <c r="I1099" s="14" t="s">
        <v>444</v>
      </c>
    </row>
    <row r="1100" spans="1:12" s="14" customFormat="1">
      <c r="A1100" s="138">
        <v>44462</v>
      </c>
      <c r="B1100" s="49" t="s">
        <v>2454</v>
      </c>
      <c r="C1100" s="53">
        <v>6006500</v>
      </c>
      <c r="D1100" s="53"/>
      <c r="E1100" s="53">
        <f t="shared" si="21"/>
        <v>284976491.06999993</v>
      </c>
      <c r="F1100" s="80" t="s">
        <v>115</v>
      </c>
      <c r="G1100" s="14" t="s">
        <v>120</v>
      </c>
      <c r="H1100" s="14" t="s">
        <v>576</v>
      </c>
      <c r="I1100" s="14" t="s">
        <v>444</v>
      </c>
    </row>
    <row r="1101" spans="1:12">
      <c r="A1101" s="3">
        <v>44463</v>
      </c>
      <c r="B1101" s="7" t="s">
        <v>2424</v>
      </c>
      <c r="D1101" s="8">
        <v>3167850</v>
      </c>
      <c r="E1101" s="50">
        <f t="shared" si="21"/>
        <v>288144341.06999993</v>
      </c>
      <c r="F1101" s="83" t="s">
        <v>581</v>
      </c>
      <c r="G1101" s="14" t="s">
        <v>582</v>
      </c>
      <c r="H1101" s="14" t="s">
        <v>4389</v>
      </c>
      <c r="I1101">
        <v>60</v>
      </c>
    </row>
    <row r="1102" spans="1:12">
      <c r="A1102" s="3">
        <v>44466</v>
      </c>
      <c r="B1102" s="7" t="s">
        <v>2455</v>
      </c>
      <c r="C1102" s="8">
        <v>5101966</v>
      </c>
      <c r="E1102" s="50">
        <f t="shared" si="21"/>
        <v>283042375.06999993</v>
      </c>
      <c r="F1102" s="81" t="s">
        <v>2882</v>
      </c>
      <c r="G1102" s="14" t="s">
        <v>138</v>
      </c>
      <c r="H1102" s="14" t="s">
        <v>3042</v>
      </c>
    </row>
    <row r="1103" spans="1:12">
      <c r="A1103" s="3">
        <v>44466</v>
      </c>
      <c r="B1103" s="7" t="s">
        <v>5007</v>
      </c>
      <c r="C1103" s="8">
        <v>11953997</v>
      </c>
      <c r="E1103" s="50">
        <f t="shared" si="21"/>
        <v>271088378.06999993</v>
      </c>
      <c r="F1103" s="81" t="s">
        <v>2882</v>
      </c>
      <c r="G1103" s="14" t="s">
        <v>138</v>
      </c>
      <c r="H1103" s="168" t="s">
        <v>2975</v>
      </c>
    </row>
    <row r="1104" spans="1:12">
      <c r="A1104" s="3">
        <v>44466</v>
      </c>
      <c r="B1104" s="7" t="s">
        <v>5008</v>
      </c>
      <c r="C1104" s="8">
        <v>11953997</v>
      </c>
      <c r="E1104" s="50">
        <f t="shared" si="21"/>
        <v>259134381.06999993</v>
      </c>
      <c r="F1104" s="81" t="s">
        <v>2882</v>
      </c>
      <c r="G1104" s="14" t="s">
        <v>138</v>
      </c>
      <c r="H1104" s="168" t="s">
        <v>2975</v>
      </c>
    </row>
    <row r="1105" spans="1:12">
      <c r="A1105" s="3">
        <v>44466</v>
      </c>
      <c r="B1105" s="7" t="s">
        <v>2496</v>
      </c>
      <c r="C1105" s="8">
        <v>15500000</v>
      </c>
      <c r="E1105" s="50">
        <f t="shared" si="21"/>
        <v>243634381.06999993</v>
      </c>
      <c r="F1105" s="81" t="s">
        <v>2882</v>
      </c>
      <c r="G1105" s="14" t="s">
        <v>138</v>
      </c>
      <c r="H1105" s="14" t="s">
        <v>3037</v>
      </c>
    </row>
    <row r="1106" spans="1:12">
      <c r="A1106" s="3">
        <v>44466</v>
      </c>
      <c r="B1106" s="7" t="s">
        <v>2497</v>
      </c>
      <c r="C1106" s="8">
        <v>4248000</v>
      </c>
      <c r="E1106" s="50">
        <f t="shared" si="21"/>
        <v>239386381.06999993</v>
      </c>
      <c r="F1106" s="81" t="s">
        <v>2882</v>
      </c>
      <c r="G1106" s="14" t="s">
        <v>138</v>
      </c>
      <c r="H1106" s="14" t="s">
        <v>3036</v>
      </c>
    </row>
    <row r="1107" spans="1:12" s="14" customFormat="1">
      <c r="A1107" s="138">
        <v>44466</v>
      </c>
      <c r="B1107" s="49" t="s">
        <v>2498</v>
      </c>
      <c r="C1107" s="50">
        <v>400000</v>
      </c>
      <c r="D1107" s="50"/>
      <c r="E1107" s="50">
        <f t="shared" si="21"/>
        <v>238986381.06999993</v>
      </c>
      <c r="F1107" s="81" t="s">
        <v>2882</v>
      </c>
      <c r="G1107" s="14" t="s">
        <v>138</v>
      </c>
      <c r="H1107" s="14" t="s">
        <v>3027</v>
      </c>
      <c r="J1107" s="14" t="s">
        <v>4150</v>
      </c>
      <c r="K1107" s="14" t="s">
        <v>128</v>
      </c>
      <c r="L1107" s="10">
        <v>2021</v>
      </c>
    </row>
    <row r="1108" spans="1:12" s="14" customFormat="1">
      <c r="A1108" s="138">
        <v>44466</v>
      </c>
      <c r="B1108" s="49" t="s">
        <v>2499</v>
      </c>
      <c r="C1108" s="53">
        <v>400000</v>
      </c>
      <c r="D1108" s="53"/>
      <c r="E1108" s="53">
        <f t="shared" si="21"/>
        <v>238586381.06999993</v>
      </c>
      <c r="F1108" s="81" t="s">
        <v>115</v>
      </c>
      <c r="G1108" s="14" t="s">
        <v>120</v>
      </c>
      <c r="H1108" s="14" t="s">
        <v>127</v>
      </c>
      <c r="I1108" s="14" t="s">
        <v>444</v>
      </c>
      <c r="J1108" s="14" t="s">
        <v>4150</v>
      </c>
      <c r="K1108" s="14" t="s">
        <v>128</v>
      </c>
      <c r="L1108" s="14">
        <v>2020</v>
      </c>
    </row>
    <row r="1109" spans="1:12" s="14" customFormat="1">
      <c r="A1109" s="138">
        <v>44466</v>
      </c>
      <c r="B1109" s="49" t="s">
        <v>2500</v>
      </c>
      <c r="C1109" s="53">
        <v>400000</v>
      </c>
      <c r="D1109" s="53"/>
      <c r="E1109" s="53">
        <f t="shared" si="21"/>
        <v>238186381.06999993</v>
      </c>
      <c r="F1109" s="81" t="s">
        <v>115</v>
      </c>
      <c r="G1109" s="14" t="s">
        <v>120</v>
      </c>
      <c r="H1109" s="14" t="s">
        <v>127</v>
      </c>
      <c r="I1109" s="14" t="s">
        <v>444</v>
      </c>
      <c r="J1109" s="14" t="s">
        <v>4150</v>
      </c>
      <c r="K1109" s="14" t="s">
        <v>128</v>
      </c>
      <c r="L1109" s="14">
        <v>2020</v>
      </c>
    </row>
    <row r="1110" spans="1:12" s="14" customFormat="1">
      <c r="A1110" s="138">
        <v>44466</v>
      </c>
      <c r="B1110" s="49" t="s">
        <v>2501</v>
      </c>
      <c r="C1110" s="53">
        <v>400000</v>
      </c>
      <c r="D1110" s="53"/>
      <c r="E1110" s="53">
        <f t="shared" si="21"/>
        <v>237786381.06999993</v>
      </c>
      <c r="F1110" s="81" t="s">
        <v>115</v>
      </c>
      <c r="G1110" s="14" t="s">
        <v>120</v>
      </c>
      <c r="H1110" s="14" t="s">
        <v>127</v>
      </c>
      <c r="I1110" s="14" t="s">
        <v>444</v>
      </c>
      <c r="J1110" s="14" t="s">
        <v>4150</v>
      </c>
      <c r="K1110" s="14" t="s">
        <v>128</v>
      </c>
      <c r="L1110" s="14">
        <v>2020</v>
      </c>
    </row>
    <row r="1111" spans="1:12">
      <c r="A1111" s="3">
        <v>44466</v>
      </c>
      <c r="B1111" s="7" t="s">
        <v>2502</v>
      </c>
      <c r="C1111" s="8">
        <v>5000000</v>
      </c>
      <c r="E1111" s="50">
        <f t="shared" si="21"/>
        <v>232786381.06999993</v>
      </c>
      <c r="F1111" s="81" t="s">
        <v>736</v>
      </c>
      <c r="G1111" s="14" t="s">
        <v>3994</v>
      </c>
      <c r="H1111" s="14" t="s">
        <v>64</v>
      </c>
    </row>
    <row r="1112" spans="1:12">
      <c r="A1112" s="3">
        <v>44466</v>
      </c>
      <c r="B1112" s="7" t="s">
        <v>2503</v>
      </c>
      <c r="C1112" s="8">
        <v>5000000</v>
      </c>
      <c r="E1112" s="50">
        <f t="shared" si="21"/>
        <v>227786381.06999993</v>
      </c>
      <c r="F1112" s="81" t="s">
        <v>2882</v>
      </c>
      <c r="G1112" s="14" t="s">
        <v>138</v>
      </c>
      <c r="H1112" s="14" t="s">
        <v>3037</v>
      </c>
    </row>
    <row r="1113" spans="1:12" s="14" customFormat="1">
      <c r="A1113" s="138">
        <v>44466</v>
      </c>
      <c r="B1113" s="49" t="s">
        <v>2504</v>
      </c>
      <c r="C1113" s="53">
        <v>1000000</v>
      </c>
      <c r="D1113" s="53"/>
      <c r="E1113" s="53">
        <f t="shared" si="21"/>
        <v>226786381.06999993</v>
      </c>
      <c r="F1113" s="80" t="s">
        <v>107</v>
      </c>
      <c r="G1113" s="14" t="s">
        <v>666</v>
      </c>
      <c r="H1113" s="14" t="s">
        <v>3405</v>
      </c>
      <c r="I1113" s="14" t="s">
        <v>3762</v>
      </c>
    </row>
    <row r="1114" spans="1:12">
      <c r="A1114" s="3">
        <v>44466</v>
      </c>
      <c r="B1114" s="7" t="s">
        <v>2505</v>
      </c>
      <c r="C1114" s="8">
        <v>57000000</v>
      </c>
      <c r="E1114" s="50">
        <f t="shared" si="21"/>
        <v>169786381.06999993</v>
      </c>
      <c r="F1114" s="81" t="s">
        <v>2882</v>
      </c>
      <c r="G1114" s="14" t="s">
        <v>138</v>
      </c>
      <c r="H1114" s="14" t="s">
        <v>2982</v>
      </c>
    </row>
    <row r="1115" spans="1:12">
      <c r="A1115" s="3">
        <v>44469</v>
      </c>
      <c r="B1115" s="7" t="s">
        <v>2506</v>
      </c>
      <c r="C1115" s="8">
        <v>79535000</v>
      </c>
      <c r="E1115" s="50">
        <f t="shared" si="21"/>
        <v>90251381.069999933</v>
      </c>
      <c r="F1115" s="83" t="s">
        <v>248</v>
      </c>
      <c r="G1115" s="14" t="s">
        <v>249</v>
      </c>
      <c r="H1115" s="14"/>
    </row>
    <row r="1116" spans="1:12">
      <c r="A1116" s="3">
        <v>44469</v>
      </c>
      <c r="B1116" s="7" t="s">
        <v>1783</v>
      </c>
      <c r="C1116" s="8">
        <v>0</v>
      </c>
      <c r="D1116" s="8">
        <v>200000</v>
      </c>
      <c r="E1116" s="50">
        <f t="shared" si="21"/>
        <v>90451381.069999933</v>
      </c>
      <c r="F1116" s="83" t="s">
        <v>110</v>
      </c>
      <c r="G1116" s="14" t="s">
        <v>620</v>
      </c>
      <c r="H1116" s="14" t="s">
        <v>625</v>
      </c>
    </row>
    <row r="1117" spans="1:12">
      <c r="A1117" s="3">
        <v>44469</v>
      </c>
      <c r="B1117" s="7" t="s">
        <v>2507</v>
      </c>
      <c r="C1117" s="8">
        <v>0</v>
      </c>
      <c r="D1117" s="8">
        <v>200000</v>
      </c>
      <c r="E1117" s="50">
        <f t="shared" si="21"/>
        <v>90651381.069999933</v>
      </c>
      <c r="F1117" s="83" t="s">
        <v>110</v>
      </c>
      <c r="G1117" s="14" t="s">
        <v>620</v>
      </c>
      <c r="H1117" s="14" t="s">
        <v>2083</v>
      </c>
    </row>
    <row r="1118" spans="1:12" s="14" customFormat="1">
      <c r="A1118" s="138">
        <v>44469</v>
      </c>
      <c r="B1118" s="49" t="s">
        <v>4460</v>
      </c>
      <c r="C1118" s="53">
        <v>3000000</v>
      </c>
      <c r="D1118" s="53"/>
      <c r="E1118" s="53">
        <f t="shared" si="21"/>
        <v>87651381.069999933</v>
      </c>
      <c r="F1118" s="81" t="s">
        <v>736</v>
      </c>
      <c r="G1118" s="14" t="s">
        <v>3994</v>
      </c>
      <c r="H1118" s="14" t="s">
        <v>64</v>
      </c>
    </row>
    <row r="1119" spans="1:12">
      <c r="A1119" s="3">
        <v>44469</v>
      </c>
      <c r="B1119" s="7" t="s">
        <v>2508</v>
      </c>
      <c r="C1119" s="8">
        <v>2345000</v>
      </c>
      <c r="E1119" s="50">
        <f t="shared" si="21"/>
        <v>85306381.069999933</v>
      </c>
      <c r="F1119" s="81" t="s">
        <v>2882</v>
      </c>
      <c r="G1119" s="14" t="s">
        <v>138</v>
      </c>
      <c r="H1119" s="14" t="s">
        <v>3037</v>
      </c>
    </row>
    <row r="1120" spans="1:12">
      <c r="A1120" s="3">
        <v>44469</v>
      </c>
      <c r="B1120" s="7" t="s">
        <v>2509</v>
      </c>
      <c r="C1120" s="8">
        <v>3500000</v>
      </c>
      <c r="E1120" s="50">
        <f t="shared" si="21"/>
        <v>81806381.069999933</v>
      </c>
      <c r="F1120" s="83" t="s">
        <v>137</v>
      </c>
      <c r="G1120" s="14" t="s">
        <v>138</v>
      </c>
      <c r="H1120" s="14" t="s">
        <v>3017</v>
      </c>
      <c r="J1120" t="s">
        <v>4150</v>
      </c>
      <c r="K1120" t="s">
        <v>4152</v>
      </c>
      <c r="L1120" s="10">
        <v>2021</v>
      </c>
    </row>
    <row r="1121" spans="1:9">
      <c r="A1121" s="3">
        <v>44469</v>
      </c>
      <c r="B1121" s="7" t="s">
        <v>2510</v>
      </c>
      <c r="C1121" s="8">
        <v>1356723</v>
      </c>
      <c r="E1121" s="50">
        <f t="shared" si="21"/>
        <v>80449658.069999933</v>
      </c>
      <c r="F1121" s="81" t="s">
        <v>248</v>
      </c>
      <c r="G1121" s="14" t="s">
        <v>391</v>
      </c>
      <c r="H1121" s="14"/>
    </row>
    <row r="1122" spans="1:9">
      <c r="A1122" s="3">
        <v>44469</v>
      </c>
      <c r="B1122" s="7" t="s">
        <v>2511</v>
      </c>
      <c r="C1122" s="8">
        <v>544640</v>
      </c>
      <c r="E1122" s="50">
        <f t="shared" si="21"/>
        <v>79905018.069999933</v>
      </c>
      <c r="F1122" s="83" t="s">
        <v>248</v>
      </c>
      <c r="G1122" s="14" t="s">
        <v>391</v>
      </c>
      <c r="H1122" s="14"/>
    </row>
    <row r="1123" spans="1:9">
      <c r="A1123" s="3">
        <v>44469</v>
      </c>
      <c r="B1123" s="7" t="s">
        <v>2512</v>
      </c>
      <c r="C1123" s="8">
        <v>1449094</v>
      </c>
      <c r="E1123" s="50">
        <f t="shared" si="21"/>
        <v>78455924.069999933</v>
      </c>
      <c r="F1123" s="81" t="s">
        <v>2882</v>
      </c>
      <c r="G1123" s="14" t="s">
        <v>138</v>
      </c>
      <c r="H1123" s="14" t="s">
        <v>2277</v>
      </c>
    </row>
    <row r="1124" spans="1:9">
      <c r="A1124" s="3">
        <v>44469</v>
      </c>
      <c r="B1124" s="7" t="s">
        <v>2513</v>
      </c>
      <c r="C1124" s="8">
        <v>1046421</v>
      </c>
      <c r="E1124" s="50">
        <f t="shared" si="21"/>
        <v>77409503.069999933</v>
      </c>
      <c r="F1124" s="81" t="s">
        <v>2882</v>
      </c>
      <c r="G1124" s="14" t="s">
        <v>138</v>
      </c>
      <c r="H1124" s="14" t="s">
        <v>2277</v>
      </c>
    </row>
    <row r="1125" spans="1:9">
      <c r="A1125" s="3">
        <v>44469</v>
      </c>
      <c r="B1125" s="7" t="s">
        <v>2514</v>
      </c>
      <c r="C1125" s="8">
        <v>2046750</v>
      </c>
      <c r="E1125" s="50">
        <f t="shared" si="21"/>
        <v>75362753.069999933</v>
      </c>
      <c r="F1125" s="81" t="s">
        <v>2882</v>
      </c>
      <c r="G1125" s="14" t="s">
        <v>138</v>
      </c>
      <c r="H1125" s="14" t="s">
        <v>3036</v>
      </c>
    </row>
    <row r="1126" spans="1:9">
      <c r="A1126" s="3">
        <v>44469</v>
      </c>
      <c r="B1126" s="7" t="s">
        <v>2515</v>
      </c>
      <c r="C1126" s="8">
        <v>1713700</v>
      </c>
      <c r="E1126" s="50">
        <f t="shared" si="21"/>
        <v>73649053.069999933</v>
      </c>
      <c r="F1126" s="81" t="s">
        <v>2882</v>
      </c>
      <c r="G1126" s="14" t="s">
        <v>138</v>
      </c>
      <c r="H1126" s="14" t="s">
        <v>3036</v>
      </c>
    </row>
    <row r="1127" spans="1:9">
      <c r="A1127" s="3">
        <v>44469</v>
      </c>
      <c r="B1127" s="7" t="s">
        <v>2515</v>
      </c>
      <c r="C1127" s="8">
        <v>1640600</v>
      </c>
      <c r="E1127" s="50">
        <f t="shared" si="21"/>
        <v>72008453.069999933</v>
      </c>
      <c r="F1127" s="81" t="s">
        <v>2882</v>
      </c>
      <c r="G1127" s="14" t="s">
        <v>138</v>
      </c>
      <c r="H1127" s="14" t="s">
        <v>3036</v>
      </c>
    </row>
    <row r="1128" spans="1:9">
      <c r="A1128" s="3">
        <v>44469</v>
      </c>
      <c r="B1128" s="7" t="s">
        <v>2515</v>
      </c>
      <c r="C1128" s="8">
        <v>666750</v>
      </c>
      <c r="E1128" s="50">
        <f t="shared" si="21"/>
        <v>71341703.069999933</v>
      </c>
      <c r="F1128" s="81" t="s">
        <v>2882</v>
      </c>
      <c r="G1128" s="14" t="s">
        <v>138</v>
      </c>
      <c r="H1128" s="14" t="s">
        <v>3036</v>
      </c>
    </row>
    <row r="1129" spans="1:9">
      <c r="A1129" s="3">
        <v>44469</v>
      </c>
      <c r="B1129" s="7" t="s">
        <v>2516</v>
      </c>
      <c r="C1129" s="8">
        <v>15000000</v>
      </c>
      <c r="E1129" s="50">
        <f t="shared" si="21"/>
        <v>56341703.069999933</v>
      </c>
      <c r="F1129" s="81" t="s">
        <v>2882</v>
      </c>
      <c r="G1129" s="14" t="s">
        <v>138</v>
      </c>
      <c r="H1129" s="14" t="s">
        <v>3037</v>
      </c>
    </row>
    <row r="1130" spans="1:9">
      <c r="A1130" s="3">
        <v>44469</v>
      </c>
      <c r="B1130" s="7" t="s">
        <v>1785</v>
      </c>
      <c r="C1130" s="8">
        <v>0</v>
      </c>
      <c r="D1130" s="8">
        <v>8585.93</v>
      </c>
      <c r="E1130" s="50">
        <f t="shared" si="21"/>
        <v>56350288.999999933</v>
      </c>
      <c r="F1130" s="83" t="s">
        <v>252</v>
      </c>
      <c r="G1130" s="14" t="s">
        <v>253</v>
      </c>
      <c r="H1130" s="14"/>
    </row>
    <row r="1131" spans="1:9">
      <c r="A1131" s="3">
        <v>44469</v>
      </c>
      <c r="B1131" s="7" t="s">
        <v>1702</v>
      </c>
      <c r="C1131" s="8">
        <v>1717.19</v>
      </c>
      <c r="D1131" s="8">
        <v>0</v>
      </c>
      <c r="E1131" s="50">
        <f t="shared" ref="E1131:E1194" si="22">E1130-C1131+D1131</f>
        <v>56348571.809999935</v>
      </c>
      <c r="F1131" s="83" t="s">
        <v>252</v>
      </c>
      <c r="G1131" s="14" t="s">
        <v>253</v>
      </c>
      <c r="H1131" s="14"/>
    </row>
    <row r="1132" spans="1:9">
      <c r="A1132" s="3">
        <v>44470</v>
      </c>
      <c r="B1132" s="7" t="s">
        <v>2517</v>
      </c>
      <c r="D1132" s="8">
        <v>241000</v>
      </c>
      <c r="E1132" s="50">
        <f t="shared" si="22"/>
        <v>56589571.809999935</v>
      </c>
      <c r="F1132" s="83" t="s">
        <v>107</v>
      </c>
      <c r="G1132" s="14" t="s">
        <v>668</v>
      </c>
      <c r="H1132" s="14" t="s">
        <v>3405</v>
      </c>
      <c r="I1132" t="s">
        <v>3762</v>
      </c>
    </row>
    <row r="1133" spans="1:9">
      <c r="A1133" s="3">
        <v>44470</v>
      </c>
      <c r="B1133" s="7" t="s">
        <v>2518</v>
      </c>
      <c r="C1133" s="50"/>
      <c r="D1133" s="83">
        <v>2500000</v>
      </c>
      <c r="E1133" s="50">
        <f t="shared" si="22"/>
        <v>59089571.809999935</v>
      </c>
      <c r="F1133" s="83" t="s">
        <v>581</v>
      </c>
      <c r="G1133" s="14" t="s">
        <v>582</v>
      </c>
      <c r="H1133" s="14" t="s">
        <v>2981</v>
      </c>
      <c r="I1133">
        <v>77</v>
      </c>
    </row>
    <row r="1134" spans="1:9">
      <c r="A1134" s="3">
        <v>44470</v>
      </c>
      <c r="B1134" s="7" t="s">
        <v>2519</v>
      </c>
      <c r="C1134" s="50">
        <v>14040000</v>
      </c>
      <c r="D1134" s="83"/>
      <c r="E1134" s="50">
        <f t="shared" si="22"/>
        <v>45049571.809999935</v>
      </c>
      <c r="F1134" s="81" t="s">
        <v>2882</v>
      </c>
      <c r="G1134" s="14" t="s">
        <v>138</v>
      </c>
      <c r="H1134" s="14" t="s">
        <v>3042</v>
      </c>
    </row>
    <row r="1135" spans="1:9">
      <c r="A1135" s="12">
        <v>44470</v>
      </c>
      <c r="B1135" s="7" t="s">
        <v>2520</v>
      </c>
      <c r="C1135" s="50">
        <v>10000000</v>
      </c>
      <c r="D1135" s="83"/>
      <c r="E1135" s="50">
        <f t="shared" si="22"/>
        <v>35049571.809999935</v>
      </c>
      <c r="F1135" s="83" t="s">
        <v>107</v>
      </c>
      <c r="G1135" s="14" t="s">
        <v>666</v>
      </c>
      <c r="H1135" s="14" t="s">
        <v>3405</v>
      </c>
      <c r="I1135" t="s">
        <v>3767</v>
      </c>
    </row>
    <row r="1136" spans="1:9">
      <c r="A1136" s="3">
        <v>44473</v>
      </c>
      <c r="B1136" s="7" t="s">
        <v>2521</v>
      </c>
      <c r="C1136" s="50">
        <v>526000</v>
      </c>
      <c r="D1136" s="83"/>
      <c r="E1136" s="50">
        <f t="shared" si="22"/>
        <v>34523571.809999935</v>
      </c>
      <c r="F1136" s="83" t="s">
        <v>107</v>
      </c>
      <c r="G1136" s="14" t="s">
        <v>666</v>
      </c>
      <c r="H1136" s="14" t="s">
        <v>3405</v>
      </c>
      <c r="I1136" t="s">
        <v>3715</v>
      </c>
    </row>
    <row r="1137" spans="1:12">
      <c r="A1137" s="3">
        <v>44473</v>
      </c>
      <c r="B1137" s="7" t="s">
        <v>2522</v>
      </c>
      <c r="C1137" s="50">
        <v>15941178</v>
      </c>
      <c r="D1137" s="83"/>
      <c r="E1137" s="50">
        <f t="shared" si="22"/>
        <v>18582393.809999935</v>
      </c>
      <c r="F1137" s="81" t="s">
        <v>2882</v>
      </c>
      <c r="G1137" s="14" t="s">
        <v>138</v>
      </c>
      <c r="H1137" s="14" t="s">
        <v>2952</v>
      </c>
    </row>
    <row r="1138" spans="1:12">
      <c r="A1138" s="3">
        <v>44473</v>
      </c>
      <c r="B1138" s="7" t="s">
        <v>2495</v>
      </c>
      <c r="C1138" s="50">
        <v>17303934</v>
      </c>
      <c r="D1138" s="83"/>
      <c r="E1138" s="50">
        <f t="shared" si="22"/>
        <v>1278459.8099999353</v>
      </c>
      <c r="F1138" s="81" t="s">
        <v>2882</v>
      </c>
      <c r="G1138" s="14" t="s">
        <v>138</v>
      </c>
      <c r="H1138" s="14" t="s">
        <v>2952</v>
      </c>
    </row>
    <row r="1139" spans="1:12">
      <c r="A1139" s="3">
        <v>44473</v>
      </c>
      <c r="B1139" s="7" t="s">
        <v>2523</v>
      </c>
      <c r="C1139" s="50"/>
      <c r="D1139" s="50">
        <v>50000000</v>
      </c>
      <c r="E1139" s="50">
        <f t="shared" si="22"/>
        <v>51278459.809999935</v>
      </c>
      <c r="F1139" t="s">
        <v>107</v>
      </c>
      <c r="G1139" t="s">
        <v>108</v>
      </c>
      <c r="H1139" s="14"/>
    </row>
    <row r="1140" spans="1:12">
      <c r="A1140" s="3">
        <v>44473</v>
      </c>
      <c r="B1140" s="7" t="s">
        <v>2524</v>
      </c>
      <c r="C1140" s="50">
        <v>1698000</v>
      </c>
      <c r="D1140" s="83"/>
      <c r="E1140" s="50">
        <f t="shared" si="22"/>
        <v>49580459.809999935</v>
      </c>
      <c r="F1140" s="81" t="s">
        <v>2882</v>
      </c>
      <c r="G1140" s="14" t="s">
        <v>138</v>
      </c>
      <c r="H1140" s="14" t="s">
        <v>2976</v>
      </c>
    </row>
    <row r="1141" spans="1:12">
      <c r="A1141" s="3">
        <v>44473</v>
      </c>
      <c r="B1141" s="7" t="s">
        <v>2525</v>
      </c>
      <c r="C1141" s="50">
        <v>942000</v>
      </c>
      <c r="D1141" s="83"/>
      <c r="E1141" s="50">
        <f t="shared" si="22"/>
        <v>48638459.809999935</v>
      </c>
      <c r="F1141" s="83" t="s">
        <v>319</v>
      </c>
      <c r="G1141" s="14" t="s">
        <v>454</v>
      </c>
      <c r="H1141" s="229" t="s">
        <v>64</v>
      </c>
    </row>
    <row r="1142" spans="1:12">
      <c r="A1142" s="3">
        <v>44473</v>
      </c>
      <c r="B1142" s="7" t="s">
        <v>2526</v>
      </c>
      <c r="C1142" s="50">
        <v>3000000</v>
      </c>
      <c r="D1142" s="83"/>
      <c r="E1142" s="50">
        <f t="shared" si="22"/>
        <v>45638459.809999935</v>
      </c>
      <c r="F1142" s="81" t="s">
        <v>2882</v>
      </c>
      <c r="G1142" s="14" t="s">
        <v>138</v>
      </c>
      <c r="H1142" s="14" t="s">
        <v>3037</v>
      </c>
    </row>
    <row r="1143" spans="1:12">
      <c r="A1143" s="3">
        <v>44473</v>
      </c>
      <c r="B1143" s="7" t="s">
        <v>2527</v>
      </c>
      <c r="C1143" s="50">
        <v>4001000</v>
      </c>
      <c r="D1143" s="83"/>
      <c r="E1143" s="50">
        <f t="shared" si="22"/>
        <v>41637459.809999935</v>
      </c>
      <c r="F1143" s="81" t="s">
        <v>2882</v>
      </c>
      <c r="G1143" s="14" t="s">
        <v>138</v>
      </c>
      <c r="H1143" s="14" t="s">
        <v>3037</v>
      </c>
    </row>
    <row r="1144" spans="1:12">
      <c r="A1144" s="3">
        <v>44473</v>
      </c>
      <c r="B1144" s="7" t="s">
        <v>2528</v>
      </c>
      <c r="C1144" s="50">
        <v>3500000</v>
      </c>
      <c r="D1144" s="83"/>
      <c r="E1144" s="50">
        <f t="shared" si="22"/>
        <v>38137459.809999935</v>
      </c>
      <c r="F1144" s="81" t="s">
        <v>2882</v>
      </c>
      <c r="G1144" s="14" t="s">
        <v>138</v>
      </c>
      <c r="H1144" s="14" t="s">
        <v>3037</v>
      </c>
    </row>
    <row r="1145" spans="1:12">
      <c r="A1145" s="3">
        <v>44473</v>
      </c>
      <c r="B1145" s="7" t="s">
        <v>2529</v>
      </c>
      <c r="C1145" s="50">
        <v>17250000</v>
      </c>
      <c r="D1145" s="83"/>
      <c r="E1145" s="50">
        <f t="shared" si="22"/>
        <v>20887459.809999935</v>
      </c>
      <c r="F1145" s="81" t="s">
        <v>2882</v>
      </c>
      <c r="G1145" s="14" t="s">
        <v>138</v>
      </c>
      <c r="H1145" s="14" t="s">
        <v>3038</v>
      </c>
    </row>
    <row r="1146" spans="1:12">
      <c r="A1146" s="3">
        <v>44473</v>
      </c>
      <c r="B1146" s="7" t="s">
        <v>2530</v>
      </c>
      <c r="C1146" s="50">
        <v>5000000</v>
      </c>
      <c r="D1146" s="83"/>
      <c r="E1146" s="50">
        <f t="shared" si="22"/>
        <v>15887459.809999935</v>
      </c>
      <c r="F1146" s="81" t="s">
        <v>2882</v>
      </c>
      <c r="G1146" s="14" t="s">
        <v>138</v>
      </c>
      <c r="H1146" s="14" t="s">
        <v>3038</v>
      </c>
    </row>
    <row r="1147" spans="1:12">
      <c r="A1147" s="3">
        <v>44473</v>
      </c>
      <c r="B1147" s="7" t="s">
        <v>2531</v>
      </c>
      <c r="C1147" s="50">
        <v>3000000</v>
      </c>
      <c r="D1147" s="83"/>
      <c r="E1147" s="50">
        <f t="shared" si="22"/>
        <v>12887459.809999935</v>
      </c>
      <c r="F1147" s="81" t="s">
        <v>2882</v>
      </c>
      <c r="G1147" s="14" t="s">
        <v>138</v>
      </c>
      <c r="H1147" s="14" t="s">
        <v>3038</v>
      </c>
    </row>
    <row r="1148" spans="1:12">
      <c r="A1148" s="3">
        <v>44473</v>
      </c>
      <c r="B1148" s="7" t="s">
        <v>2532</v>
      </c>
      <c r="C1148" s="50">
        <v>1200000</v>
      </c>
      <c r="D1148" s="83"/>
      <c r="E1148" s="50">
        <f t="shared" si="22"/>
        <v>11687459.809999935</v>
      </c>
      <c r="F1148" s="81" t="s">
        <v>2882</v>
      </c>
      <c r="G1148" s="14" t="s">
        <v>138</v>
      </c>
      <c r="H1148" s="14" t="s">
        <v>3038</v>
      </c>
      <c r="J1148" t="s">
        <v>4150</v>
      </c>
      <c r="K1148" t="s">
        <v>480</v>
      </c>
      <c r="L1148" s="10">
        <v>2021</v>
      </c>
    </row>
    <row r="1149" spans="1:12">
      <c r="A1149" s="3">
        <v>44473</v>
      </c>
      <c r="B1149" s="7" t="s">
        <v>2533</v>
      </c>
      <c r="C1149" s="50">
        <v>1200000</v>
      </c>
      <c r="D1149" s="83"/>
      <c r="E1149" s="50">
        <f t="shared" si="22"/>
        <v>10487459.809999935</v>
      </c>
      <c r="F1149" s="81" t="s">
        <v>2882</v>
      </c>
      <c r="G1149" s="14" t="s">
        <v>138</v>
      </c>
      <c r="H1149" s="14" t="s">
        <v>3038</v>
      </c>
      <c r="J1149" t="s">
        <v>4150</v>
      </c>
      <c r="K1149" t="s">
        <v>459</v>
      </c>
      <c r="L1149" s="10">
        <v>2021</v>
      </c>
    </row>
    <row r="1150" spans="1:12">
      <c r="A1150" s="3">
        <v>44473</v>
      </c>
      <c r="B1150" s="7" t="s">
        <v>2534</v>
      </c>
      <c r="C1150" s="50">
        <v>1200000</v>
      </c>
      <c r="D1150" s="83"/>
      <c r="E1150" s="50">
        <f t="shared" si="22"/>
        <v>9287459.8099999353</v>
      </c>
      <c r="F1150" s="81" t="s">
        <v>2882</v>
      </c>
      <c r="G1150" s="14" t="s">
        <v>138</v>
      </c>
      <c r="H1150" s="14" t="s">
        <v>3038</v>
      </c>
      <c r="J1150" t="s">
        <v>4150</v>
      </c>
      <c r="K1150" t="s">
        <v>4148</v>
      </c>
      <c r="L1150" s="10">
        <v>2021</v>
      </c>
    </row>
    <row r="1151" spans="1:12">
      <c r="A1151" s="3">
        <v>44473</v>
      </c>
      <c r="B1151" s="7" t="s">
        <v>2535</v>
      </c>
      <c r="C1151" s="50">
        <v>1200000</v>
      </c>
      <c r="D1151" s="83"/>
      <c r="E1151" s="50">
        <f t="shared" si="22"/>
        <v>8087459.8099999353</v>
      </c>
      <c r="F1151" s="81" t="s">
        <v>2882</v>
      </c>
      <c r="G1151" s="14" t="s">
        <v>138</v>
      </c>
      <c r="H1151" s="14" t="s">
        <v>3038</v>
      </c>
      <c r="J1151" t="s">
        <v>4150</v>
      </c>
      <c r="K1151" t="s">
        <v>4152</v>
      </c>
      <c r="L1151" s="10">
        <v>2021</v>
      </c>
    </row>
    <row r="1152" spans="1:12">
      <c r="A1152" s="3">
        <v>44473</v>
      </c>
      <c r="B1152" s="7" t="s">
        <v>2536</v>
      </c>
      <c r="C1152" s="50">
        <v>1200000</v>
      </c>
      <c r="D1152" s="83"/>
      <c r="E1152" s="50">
        <f t="shared" si="22"/>
        <v>6887459.8099999353</v>
      </c>
      <c r="F1152" s="81" t="s">
        <v>2882</v>
      </c>
      <c r="G1152" s="14" t="s">
        <v>138</v>
      </c>
      <c r="H1152" s="14" t="s">
        <v>3038</v>
      </c>
      <c r="J1152" t="s">
        <v>4150</v>
      </c>
      <c r="K1152" t="s">
        <v>622</v>
      </c>
      <c r="L1152" s="10">
        <v>2021</v>
      </c>
    </row>
    <row r="1153" spans="1:12">
      <c r="A1153" s="3">
        <v>44473</v>
      </c>
      <c r="B1153" s="7" t="s">
        <v>2537</v>
      </c>
      <c r="C1153" s="50">
        <v>800000</v>
      </c>
      <c r="D1153" s="83"/>
      <c r="E1153" s="50">
        <f t="shared" si="22"/>
        <v>6087459.8099999353</v>
      </c>
      <c r="F1153" s="81" t="s">
        <v>2882</v>
      </c>
      <c r="G1153" s="14" t="s">
        <v>138</v>
      </c>
      <c r="H1153" s="14" t="s">
        <v>3038</v>
      </c>
      <c r="J1153" t="s">
        <v>4150</v>
      </c>
      <c r="K1153" t="s">
        <v>119</v>
      </c>
      <c r="L1153" s="10">
        <v>2021</v>
      </c>
    </row>
    <row r="1154" spans="1:12">
      <c r="A1154" s="3">
        <v>44473</v>
      </c>
      <c r="B1154" s="7" t="s">
        <v>2538</v>
      </c>
      <c r="C1154" s="50">
        <v>800000</v>
      </c>
      <c r="D1154" s="83"/>
      <c r="E1154" s="50">
        <f t="shared" si="22"/>
        <v>5287459.8099999353</v>
      </c>
      <c r="F1154" s="81" t="s">
        <v>2882</v>
      </c>
      <c r="G1154" s="14" t="s">
        <v>138</v>
      </c>
      <c r="H1154" s="14" t="s">
        <v>3038</v>
      </c>
      <c r="J1154" t="s">
        <v>4150</v>
      </c>
      <c r="K1154" t="s">
        <v>4157</v>
      </c>
      <c r="L1154" s="10">
        <v>2021</v>
      </c>
    </row>
    <row r="1155" spans="1:12">
      <c r="A1155" s="3">
        <v>44473</v>
      </c>
      <c r="B1155" s="7" t="s">
        <v>2539</v>
      </c>
      <c r="C1155" s="50">
        <v>500000</v>
      </c>
      <c r="D1155" s="83"/>
      <c r="E1155" s="50">
        <f t="shared" si="22"/>
        <v>4787459.8099999353</v>
      </c>
      <c r="F1155" s="81" t="s">
        <v>2882</v>
      </c>
      <c r="G1155" s="14" t="s">
        <v>138</v>
      </c>
      <c r="H1155" s="14" t="s">
        <v>3038</v>
      </c>
      <c r="J1155" t="s">
        <v>4150</v>
      </c>
      <c r="K1155" t="s">
        <v>3990</v>
      </c>
      <c r="L1155" s="10">
        <v>2021</v>
      </c>
    </row>
    <row r="1156" spans="1:12">
      <c r="A1156" s="3">
        <v>44473</v>
      </c>
      <c r="B1156" s="7" t="s">
        <v>2540</v>
      </c>
      <c r="C1156" s="50">
        <v>4500000</v>
      </c>
      <c r="D1156" s="83"/>
      <c r="E1156" s="50">
        <f t="shared" si="22"/>
        <v>287459.80999993533</v>
      </c>
      <c r="F1156" s="81" t="s">
        <v>2882</v>
      </c>
      <c r="G1156" s="14" t="s">
        <v>138</v>
      </c>
      <c r="H1156" s="14" t="s">
        <v>3038</v>
      </c>
    </row>
    <row r="1157" spans="1:12">
      <c r="A1157" s="3">
        <v>44473</v>
      </c>
      <c r="B1157" s="7" t="s">
        <v>1552</v>
      </c>
      <c r="C1157" s="50"/>
      <c r="D1157" s="83">
        <v>41250000</v>
      </c>
      <c r="E1157" s="50">
        <f t="shared" si="22"/>
        <v>41537459.809999935</v>
      </c>
      <c r="F1157" s="2" t="s">
        <v>115</v>
      </c>
      <c r="G1157" s="14" t="s">
        <v>122</v>
      </c>
      <c r="H1157" s="14" t="s">
        <v>247</v>
      </c>
    </row>
    <row r="1158" spans="1:12">
      <c r="A1158" s="3">
        <v>44473</v>
      </c>
      <c r="B1158" s="7" t="s">
        <v>2541</v>
      </c>
      <c r="C1158" s="50">
        <v>350000</v>
      </c>
      <c r="D1158" s="83"/>
      <c r="E1158" s="50">
        <f t="shared" si="22"/>
        <v>41187459.809999935</v>
      </c>
      <c r="F1158" s="81" t="s">
        <v>2882</v>
      </c>
      <c r="G1158" s="14" t="s">
        <v>138</v>
      </c>
      <c r="H1158" s="14" t="s">
        <v>3038</v>
      </c>
      <c r="J1158" t="s">
        <v>4150</v>
      </c>
      <c r="K1158" t="s">
        <v>2083</v>
      </c>
      <c r="L1158" s="10">
        <v>2021</v>
      </c>
    </row>
    <row r="1159" spans="1:12">
      <c r="A1159" s="3">
        <v>44473</v>
      </c>
      <c r="B1159" s="7" t="s">
        <v>2542</v>
      </c>
      <c r="C1159" s="50">
        <v>350000</v>
      </c>
      <c r="D1159" s="83"/>
      <c r="E1159" s="50">
        <f t="shared" si="22"/>
        <v>40837459.809999935</v>
      </c>
      <c r="F1159" s="81" t="s">
        <v>2882</v>
      </c>
      <c r="G1159" s="14" t="s">
        <v>138</v>
      </c>
      <c r="H1159" s="14" t="s">
        <v>3038</v>
      </c>
      <c r="J1159" t="s">
        <v>4150</v>
      </c>
      <c r="K1159" t="s">
        <v>625</v>
      </c>
      <c r="L1159" s="10">
        <v>2021</v>
      </c>
    </row>
    <row r="1160" spans="1:12">
      <c r="A1160" s="3">
        <v>44473</v>
      </c>
      <c r="B1160" s="7" t="s">
        <v>2543</v>
      </c>
      <c r="C1160" s="50">
        <v>40000000</v>
      </c>
      <c r="D1160" s="83"/>
      <c r="E1160" s="50">
        <f t="shared" si="22"/>
        <v>837459.80999993533</v>
      </c>
      <c r="F1160" s="81" t="s">
        <v>2882</v>
      </c>
      <c r="G1160" s="14" t="s">
        <v>138</v>
      </c>
      <c r="H1160" s="14" t="s">
        <v>3039</v>
      </c>
    </row>
    <row r="1161" spans="1:12">
      <c r="A1161" s="3">
        <v>44473</v>
      </c>
      <c r="B1161" s="7" t="s">
        <v>2544</v>
      </c>
      <c r="C1161" s="50">
        <v>750000</v>
      </c>
      <c r="D1161" s="83"/>
      <c r="E1161" s="50">
        <f t="shared" si="22"/>
        <v>87459.809999935329</v>
      </c>
      <c r="F1161" s="2" t="s">
        <v>137</v>
      </c>
      <c r="G1161" s="14" t="s">
        <v>138</v>
      </c>
      <c r="H1161" s="14" t="s">
        <v>3038</v>
      </c>
    </row>
    <row r="1162" spans="1:12">
      <c r="A1162" s="3">
        <v>44473</v>
      </c>
      <c r="B1162" s="7" t="s">
        <v>2545</v>
      </c>
      <c r="C1162" s="50"/>
      <c r="D1162" s="50">
        <v>250000000</v>
      </c>
      <c r="E1162" s="50">
        <f t="shared" si="22"/>
        <v>250087459.80999994</v>
      </c>
      <c r="F1162" s="2" t="s">
        <v>107</v>
      </c>
      <c r="G1162" s="14" t="s">
        <v>108</v>
      </c>
      <c r="H1162" s="14"/>
    </row>
    <row r="1163" spans="1:12">
      <c r="A1163" s="3">
        <v>44474</v>
      </c>
      <c r="B1163" s="7" t="s">
        <v>2546</v>
      </c>
      <c r="C1163" s="50">
        <v>0</v>
      </c>
      <c r="D1163" s="50">
        <v>4000000</v>
      </c>
      <c r="E1163" s="50">
        <f t="shared" si="22"/>
        <v>254087459.80999994</v>
      </c>
      <c r="F1163" s="2" t="s">
        <v>2883</v>
      </c>
      <c r="G1163" s="14" t="s">
        <v>2883</v>
      </c>
      <c r="H1163" s="14"/>
    </row>
    <row r="1164" spans="1:12">
      <c r="A1164" s="3">
        <v>44474</v>
      </c>
      <c r="B1164" s="7" t="s">
        <v>2547</v>
      </c>
      <c r="C1164" s="50">
        <v>4000000</v>
      </c>
      <c r="D1164" s="83"/>
      <c r="E1164" s="50">
        <f t="shared" si="22"/>
        <v>250087459.80999994</v>
      </c>
      <c r="F1164" s="2" t="s">
        <v>2883</v>
      </c>
      <c r="G1164" s="14" t="s">
        <v>2883</v>
      </c>
      <c r="H1164" s="14"/>
    </row>
    <row r="1165" spans="1:12">
      <c r="A1165" s="3">
        <v>44474</v>
      </c>
      <c r="B1165" s="7" t="s">
        <v>2548</v>
      </c>
      <c r="C1165" s="50">
        <v>41250000</v>
      </c>
      <c r="D1165" s="83"/>
      <c r="E1165" s="50">
        <f t="shared" si="22"/>
        <v>208837459.80999994</v>
      </c>
      <c r="F1165" s="2" t="s">
        <v>115</v>
      </c>
      <c r="G1165" s="14" t="s">
        <v>122</v>
      </c>
      <c r="H1165" s="14" t="s">
        <v>247</v>
      </c>
    </row>
    <row r="1166" spans="1:12">
      <c r="A1166" s="3">
        <v>44475</v>
      </c>
      <c r="B1166" s="7" t="s">
        <v>2549</v>
      </c>
      <c r="C1166" s="50">
        <v>3000000</v>
      </c>
      <c r="D1166" s="83"/>
      <c r="E1166" s="50">
        <f t="shared" si="22"/>
        <v>205837459.80999994</v>
      </c>
      <c r="F1166" s="83" t="s">
        <v>107</v>
      </c>
      <c r="G1166" s="14" t="s">
        <v>666</v>
      </c>
      <c r="H1166" s="14" t="s">
        <v>3405</v>
      </c>
      <c r="I1166" t="s">
        <v>3820</v>
      </c>
    </row>
    <row r="1167" spans="1:12">
      <c r="A1167" s="3">
        <v>44475</v>
      </c>
      <c r="B1167" s="7" t="s">
        <v>24</v>
      </c>
      <c r="C1167" s="50">
        <v>2946061</v>
      </c>
      <c r="D1167" s="83"/>
      <c r="E1167" s="50">
        <f t="shared" si="22"/>
        <v>202891398.80999994</v>
      </c>
      <c r="F1167" s="2" t="s">
        <v>107</v>
      </c>
      <c r="G1167" s="14" t="s">
        <v>129</v>
      </c>
      <c r="H1167" s="14"/>
    </row>
    <row r="1168" spans="1:12">
      <c r="A1168" s="3">
        <v>44475</v>
      </c>
      <c r="B1168" s="7" t="s">
        <v>2550</v>
      </c>
      <c r="C1168" s="50">
        <v>12250000</v>
      </c>
      <c r="D1168" s="83"/>
      <c r="E1168" s="50">
        <f t="shared" si="22"/>
        <v>190641398.80999994</v>
      </c>
      <c r="F1168" s="81" t="s">
        <v>2882</v>
      </c>
      <c r="G1168" s="14" t="s">
        <v>138</v>
      </c>
      <c r="H1168" s="168" t="s">
        <v>2979</v>
      </c>
    </row>
    <row r="1169" spans="1:12">
      <c r="A1169" s="3">
        <v>44475</v>
      </c>
      <c r="B1169" s="7" t="s">
        <v>3043</v>
      </c>
      <c r="C1169" s="50">
        <v>50000000</v>
      </c>
      <c r="D1169" s="83"/>
      <c r="E1169" s="50">
        <f t="shared" si="22"/>
        <v>140641398.80999994</v>
      </c>
      <c r="F1169" s="81" t="s">
        <v>2882</v>
      </c>
      <c r="G1169" s="14" t="s">
        <v>138</v>
      </c>
      <c r="H1169" s="14" t="s">
        <v>2984</v>
      </c>
    </row>
    <row r="1170" spans="1:12">
      <c r="A1170" s="3">
        <v>44476</v>
      </c>
      <c r="B1170" s="7" t="s">
        <v>2551</v>
      </c>
      <c r="C1170" s="50">
        <v>17600000</v>
      </c>
      <c r="D1170" s="83"/>
      <c r="E1170" s="50">
        <f t="shared" si="22"/>
        <v>123041398.80999994</v>
      </c>
      <c r="F1170" s="81" t="s">
        <v>2882</v>
      </c>
      <c r="G1170" s="14" t="s">
        <v>138</v>
      </c>
      <c r="H1170" s="14" t="s">
        <v>2986</v>
      </c>
    </row>
    <row r="1171" spans="1:12">
      <c r="A1171" s="3">
        <v>44480</v>
      </c>
      <c r="B1171" s="7" t="s">
        <v>2552</v>
      </c>
      <c r="C1171" s="50">
        <v>14040000</v>
      </c>
      <c r="D1171" s="83"/>
      <c r="E1171" s="50">
        <f t="shared" si="22"/>
        <v>109001398.80999994</v>
      </c>
      <c r="F1171" s="81" t="s">
        <v>2882</v>
      </c>
      <c r="G1171" s="14" t="s">
        <v>138</v>
      </c>
      <c r="H1171" s="14" t="s">
        <v>3042</v>
      </c>
    </row>
    <row r="1172" spans="1:12">
      <c r="A1172" s="3">
        <v>44480</v>
      </c>
      <c r="B1172" s="7" t="s">
        <v>2553</v>
      </c>
      <c r="C1172" s="50">
        <v>67500000</v>
      </c>
      <c r="D1172" s="83"/>
      <c r="E1172" s="50">
        <f t="shared" si="22"/>
        <v>41501398.809999943</v>
      </c>
      <c r="F1172" s="81" t="s">
        <v>2882</v>
      </c>
      <c r="G1172" s="14" t="s">
        <v>138</v>
      </c>
      <c r="H1172" s="14" t="s">
        <v>2278</v>
      </c>
    </row>
    <row r="1173" spans="1:12">
      <c r="A1173" s="3">
        <v>44480</v>
      </c>
      <c r="B1173" s="7" t="s">
        <v>2554</v>
      </c>
      <c r="C1173" s="50">
        <v>5400000</v>
      </c>
      <c r="D1173" s="83"/>
      <c r="E1173" s="50">
        <f t="shared" si="22"/>
        <v>36101398.809999943</v>
      </c>
      <c r="F1173" s="81" t="s">
        <v>2882</v>
      </c>
      <c r="G1173" s="14" t="s">
        <v>138</v>
      </c>
      <c r="H1173" s="14" t="s">
        <v>3042</v>
      </c>
    </row>
    <row r="1174" spans="1:12">
      <c r="A1174" s="3">
        <v>44480</v>
      </c>
      <c r="B1174" s="7" t="s">
        <v>2555</v>
      </c>
      <c r="C1174" s="50">
        <v>13625000</v>
      </c>
      <c r="D1174" s="83"/>
      <c r="E1174" s="50">
        <f t="shared" si="22"/>
        <v>22476398.809999943</v>
      </c>
      <c r="F1174" s="81" t="s">
        <v>2882</v>
      </c>
      <c r="G1174" s="14" t="s">
        <v>138</v>
      </c>
      <c r="H1174" s="14" t="s">
        <v>3038</v>
      </c>
    </row>
    <row r="1175" spans="1:12">
      <c r="A1175" s="3">
        <v>44480</v>
      </c>
      <c r="B1175" s="7" t="s">
        <v>2556</v>
      </c>
      <c r="C1175" s="50">
        <v>7000000</v>
      </c>
      <c r="D1175" s="83"/>
      <c r="E1175" s="50">
        <f t="shared" si="22"/>
        <v>15476398.809999943</v>
      </c>
      <c r="F1175" s="81" t="s">
        <v>2882</v>
      </c>
      <c r="G1175" s="14" t="s">
        <v>138</v>
      </c>
      <c r="H1175" s="14" t="s">
        <v>2982</v>
      </c>
    </row>
    <row r="1176" spans="1:12">
      <c r="A1176" s="3">
        <v>44480</v>
      </c>
      <c r="B1176" s="7" t="s">
        <v>2557</v>
      </c>
      <c r="C1176" s="50">
        <v>1132800</v>
      </c>
      <c r="D1176" s="83"/>
      <c r="E1176" s="50">
        <f t="shared" si="22"/>
        <v>14343598.809999943</v>
      </c>
      <c r="F1176" s="81" t="s">
        <v>2882</v>
      </c>
      <c r="G1176" s="14" t="s">
        <v>138</v>
      </c>
      <c r="H1176" s="14" t="s">
        <v>2982</v>
      </c>
      <c r="I1176" t="s">
        <v>64</v>
      </c>
    </row>
    <row r="1177" spans="1:12">
      <c r="A1177" s="3">
        <v>44480</v>
      </c>
      <c r="B1177" s="7" t="s">
        <v>2558</v>
      </c>
      <c r="C1177" s="50">
        <v>800000</v>
      </c>
      <c r="D1177" s="83"/>
      <c r="E1177" s="50">
        <f t="shared" si="22"/>
        <v>13543598.809999943</v>
      </c>
      <c r="F1177" s="81" t="s">
        <v>2882</v>
      </c>
      <c r="G1177" s="14" t="s">
        <v>138</v>
      </c>
      <c r="H1177" s="14" t="s">
        <v>2982</v>
      </c>
      <c r="J1177" s="10" t="s">
        <v>4150</v>
      </c>
      <c r="K1177" t="s">
        <v>459</v>
      </c>
      <c r="L1177" s="10">
        <v>2021</v>
      </c>
    </row>
    <row r="1178" spans="1:12">
      <c r="A1178" s="3">
        <v>44480</v>
      </c>
      <c r="B1178" s="7" t="s">
        <v>2559</v>
      </c>
      <c r="C1178" s="50">
        <v>800000</v>
      </c>
      <c r="D1178" s="83"/>
      <c r="E1178" s="50">
        <f t="shared" si="22"/>
        <v>12743598.809999943</v>
      </c>
      <c r="F1178" s="81" t="s">
        <v>2882</v>
      </c>
      <c r="G1178" s="14" t="s">
        <v>138</v>
      </c>
      <c r="H1178" s="14" t="s">
        <v>2982</v>
      </c>
      <c r="J1178" s="10" t="s">
        <v>4150</v>
      </c>
      <c r="K1178" t="s">
        <v>4148</v>
      </c>
      <c r="L1178" s="10">
        <v>2021</v>
      </c>
    </row>
    <row r="1179" spans="1:12">
      <c r="A1179" s="3">
        <v>44480</v>
      </c>
      <c r="B1179" s="7" t="s">
        <v>2560</v>
      </c>
      <c r="C1179" s="50">
        <v>800000</v>
      </c>
      <c r="D1179" s="83"/>
      <c r="E1179" s="50">
        <f t="shared" si="22"/>
        <v>11943598.809999943</v>
      </c>
      <c r="F1179" s="81" t="s">
        <v>2882</v>
      </c>
      <c r="G1179" s="14" t="s">
        <v>138</v>
      </c>
      <c r="H1179" s="14" t="s">
        <v>2982</v>
      </c>
      <c r="J1179" s="10" t="s">
        <v>4150</v>
      </c>
      <c r="K1179" t="s">
        <v>4152</v>
      </c>
      <c r="L1179" s="10">
        <v>2021</v>
      </c>
    </row>
    <row r="1180" spans="1:12">
      <c r="A1180" s="3">
        <v>44480</v>
      </c>
      <c r="B1180" s="7" t="s">
        <v>2561</v>
      </c>
      <c r="C1180" s="50">
        <v>800000</v>
      </c>
      <c r="D1180" s="83"/>
      <c r="E1180" s="50">
        <f t="shared" si="22"/>
        <v>11143598.809999943</v>
      </c>
      <c r="F1180" s="81" t="s">
        <v>2882</v>
      </c>
      <c r="G1180" s="14" t="s">
        <v>138</v>
      </c>
      <c r="H1180" s="14" t="s">
        <v>2982</v>
      </c>
      <c r="J1180" s="10" t="s">
        <v>4150</v>
      </c>
      <c r="K1180" t="s">
        <v>119</v>
      </c>
      <c r="L1180" s="10">
        <v>2021</v>
      </c>
    </row>
    <row r="1181" spans="1:12">
      <c r="A1181" s="3">
        <v>44480</v>
      </c>
      <c r="B1181" s="7" t="s">
        <v>2562</v>
      </c>
      <c r="C1181" s="50">
        <v>800000</v>
      </c>
      <c r="D1181" s="83"/>
      <c r="E1181" s="50">
        <f t="shared" si="22"/>
        <v>10343598.809999943</v>
      </c>
      <c r="F1181" s="81" t="s">
        <v>2882</v>
      </c>
      <c r="G1181" s="14" t="s">
        <v>138</v>
      </c>
      <c r="H1181" s="14" t="s">
        <v>2982</v>
      </c>
      <c r="J1181" s="10" t="s">
        <v>4150</v>
      </c>
      <c r="K1181" t="s">
        <v>622</v>
      </c>
      <c r="L1181" s="10">
        <v>2021</v>
      </c>
    </row>
    <row r="1182" spans="1:12">
      <c r="A1182" s="3">
        <v>44480</v>
      </c>
      <c r="B1182" s="7" t="s">
        <v>2563</v>
      </c>
      <c r="C1182" s="50">
        <v>800000</v>
      </c>
      <c r="D1182" s="83"/>
      <c r="E1182" s="50">
        <f t="shared" si="22"/>
        <v>9543598.8099999428</v>
      </c>
      <c r="F1182" s="81" t="s">
        <v>2882</v>
      </c>
      <c r="G1182" s="14" t="s">
        <v>138</v>
      </c>
      <c r="H1182" s="14" t="s">
        <v>3039</v>
      </c>
      <c r="J1182" s="10" t="s">
        <v>4150</v>
      </c>
      <c r="K1182" t="s">
        <v>480</v>
      </c>
      <c r="L1182" s="10">
        <v>2021</v>
      </c>
    </row>
    <row r="1183" spans="1:12">
      <c r="A1183" s="3">
        <v>44480</v>
      </c>
      <c r="B1183" s="7" t="s">
        <v>2564</v>
      </c>
      <c r="C1183" s="50">
        <v>800000</v>
      </c>
      <c r="D1183" s="83"/>
      <c r="E1183" s="50">
        <f t="shared" si="22"/>
        <v>8743598.8099999428</v>
      </c>
      <c r="F1183" s="81" t="s">
        <v>2882</v>
      </c>
      <c r="G1183" s="14" t="s">
        <v>138</v>
      </c>
      <c r="H1183" s="14" t="s">
        <v>3039</v>
      </c>
      <c r="J1183" s="10" t="s">
        <v>4150</v>
      </c>
      <c r="K1183" t="s">
        <v>459</v>
      </c>
      <c r="L1183" s="10">
        <v>2021</v>
      </c>
    </row>
    <row r="1184" spans="1:12">
      <c r="A1184" s="3">
        <v>44480</v>
      </c>
      <c r="B1184" s="7" t="s">
        <v>2565</v>
      </c>
      <c r="C1184" s="50">
        <v>800000</v>
      </c>
      <c r="D1184" s="83"/>
      <c r="E1184" s="50">
        <f t="shared" si="22"/>
        <v>7943598.8099999428</v>
      </c>
      <c r="F1184" s="81" t="s">
        <v>2882</v>
      </c>
      <c r="G1184" s="14" t="s">
        <v>138</v>
      </c>
      <c r="H1184" s="14" t="s">
        <v>3039</v>
      </c>
      <c r="J1184" s="10" t="s">
        <v>4150</v>
      </c>
      <c r="K1184" t="s">
        <v>4152</v>
      </c>
      <c r="L1184" s="10">
        <v>2021</v>
      </c>
    </row>
    <row r="1185" spans="1:12">
      <c r="A1185" s="3">
        <v>44480</v>
      </c>
      <c r="B1185" s="7" t="s">
        <v>2566</v>
      </c>
      <c r="C1185" s="50">
        <v>800000</v>
      </c>
      <c r="D1185" s="83"/>
      <c r="E1185" s="50">
        <f t="shared" si="22"/>
        <v>7143598.8099999428</v>
      </c>
      <c r="F1185" s="81" t="s">
        <v>2882</v>
      </c>
      <c r="G1185" s="14" t="s">
        <v>138</v>
      </c>
      <c r="H1185" s="14" t="s">
        <v>3039</v>
      </c>
      <c r="J1185" s="10" t="s">
        <v>4150</v>
      </c>
      <c r="K1185" t="s">
        <v>622</v>
      </c>
      <c r="L1185" s="10">
        <v>2021</v>
      </c>
    </row>
    <row r="1186" spans="1:12">
      <c r="A1186" s="3">
        <v>44480</v>
      </c>
      <c r="B1186" s="7" t="s">
        <v>2567</v>
      </c>
      <c r="C1186" s="50">
        <v>800000</v>
      </c>
      <c r="D1186" s="83"/>
      <c r="E1186" s="50">
        <f t="shared" si="22"/>
        <v>6343598.8099999428</v>
      </c>
      <c r="F1186" s="81" t="s">
        <v>2882</v>
      </c>
      <c r="G1186" s="14" t="s">
        <v>138</v>
      </c>
      <c r="H1186" s="14" t="s">
        <v>3039</v>
      </c>
      <c r="J1186" s="10" t="s">
        <v>4150</v>
      </c>
      <c r="K1186" t="s">
        <v>119</v>
      </c>
      <c r="L1186" s="10">
        <v>2021</v>
      </c>
    </row>
    <row r="1187" spans="1:12">
      <c r="A1187" s="3">
        <v>44480</v>
      </c>
      <c r="B1187" s="7" t="s">
        <v>2568</v>
      </c>
      <c r="C1187" s="50">
        <v>800000</v>
      </c>
      <c r="D1187" s="83"/>
      <c r="E1187" s="50">
        <f t="shared" si="22"/>
        <v>5543598.8099999428</v>
      </c>
      <c r="F1187" s="81" t="s">
        <v>2882</v>
      </c>
      <c r="G1187" s="14" t="s">
        <v>138</v>
      </c>
      <c r="H1187" s="14" t="s">
        <v>3039</v>
      </c>
      <c r="J1187" s="10" t="s">
        <v>4150</v>
      </c>
      <c r="K1187" t="s">
        <v>4157</v>
      </c>
      <c r="L1187" s="10">
        <v>2021</v>
      </c>
    </row>
    <row r="1188" spans="1:12">
      <c r="A1188" s="3">
        <v>44480</v>
      </c>
      <c r="B1188" s="7" t="s">
        <v>2569</v>
      </c>
      <c r="C1188" s="50">
        <v>500000</v>
      </c>
      <c r="D1188" s="83"/>
      <c r="E1188" s="50">
        <f t="shared" si="22"/>
        <v>5043598.8099999428</v>
      </c>
      <c r="F1188" s="81" t="s">
        <v>2882</v>
      </c>
      <c r="G1188" s="14" t="s">
        <v>138</v>
      </c>
      <c r="H1188" s="14" t="s">
        <v>3039</v>
      </c>
      <c r="J1188" s="10" t="s">
        <v>4150</v>
      </c>
      <c r="K1188" t="s">
        <v>3990</v>
      </c>
      <c r="L1188" s="10">
        <v>2021</v>
      </c>
    </row>
    <row r="1189" spans="1:12">
      <c r="A1189" s="3">
        <v>44480</v>
      </c>
      <c r="B1189" s="7" t="s">
        <v>2570</v>
      </c>
      <c r="C1189" s="50">
        <v>550000</v>
      </c>
      <c r="D1189" s="83"/>
      <c r="E1189" s="50">
        <f t="shared" si="22"/>
        <v>4493598.8099999428</v>
      </c>
      <c r="F1189" s="81" t="s">
        <v>2882</v>
      </c>
      <c r="G1189" s="14" t="s">
        <v>138</v>
      </c>
      <c r="H1189" s="14" t="s">
        <v>3039</v>
      </c>
      <c r="J1189" s="10" t="s">
        <v>4150</v>
      </c>
      <c r="K1189" t="s">
        <v>2083</v>
      </c>
      <c r="L1189" s="10">
        <v>2021</v>
      </c>
    </row>
    <row r="1190" spans="1:12">
      <c r="A1190" s="3">
        <v>44480</v>
      </c>
      <c r="B1190" s="7" t="s">
        <v>2571</v>
      </c>
      <c r="C1190" s="50">
        <v>1000000</v>
      </c>
      <c r="D1190" s="83"/>
      <c r="E1190" s="50">
        <f t="shared" si="22"/>
        <v>3493598.8099999428</v>
      </c>
      <c r="F1190" s="81" t="s">
        <v>2882</v>
      </c>
      <c r="G1190" s="14" t="s">
        <v>138</v>
      </c>
      <c r="H1190" s="14" t="s">
        <v>3039</v>
      </c>
      <c r="J1190" s="10" t="s">
        <v>64</v>
      </c>
    </row>
    <row r="1191" spans="1:12">
      <c r="A1191" s="3">
        <v>44480</v>
      </c>
      <c r="B1191" s="7" t="s">
        <v>1550</v>
      </c>
      <c r="C1191" s="50">
        <v>0</v>
      </c>
      <c r="D1191" s="50">
        <v>50000000</v>
      </c>
      <c r="E1191" s="50">
        <f t="shared" si="22"/>
        <v>53493598.809999943</v>
      </c>
      <c r="F1191" s="2" t="s">
        <v>107</v>
      </c>
      <c r="G1191" s="14" t="s">
        <v>108</v>
      </c>
      <c r="H1191" s="14"/>
    </row>
    <row r="1192" spans="1:12">
      <c r="A1192" s="3">
        <v>44480</v>
      </c>
      <c r="B1192" s="7" t="s">
        <v>2572</v>
      </c>
      <c r="C1192" s="50">
        <v>22900000</v>
      </c>
      <c r="D1192" s="83"/>
      <c r="E1192" s="50">
        <f t="shared" si="22"/>
        <v>30593598.809999943</v>
      </c>
      <c r="F1192" s="81" t="s">
        <v>2882</v>
      </c>
      <c r="G1192" s="14" t="s">
        <v>138</v>
      </c>
      <c r="H1192" s="14" t="s">
        <v>2278</v>
      </c>
    </row>
    <row r="1193" spans="1:12">
      <c r="A1193" s="3">
        <v>44480</v>
      </c>
      <c r="B1193" s="7" t="s">
        <v>1552</v>
      </c>
      <c r="C1193" s="50">
        <v>0</v>
      </c>
      <c r="D1193" s="83">
        <v>10000000</v>
      </c>
      <c r="E1193" s="50">
        <f t="shared" si="22"/>
        <v>40593598.809999943</v>
      </c>
      <c r="F1193" s="2" t="s">
        <v>115</v>
      </c>
      <c r="G1193" s="14" t="s">
        <v>122</v>
      </c>
      <c r="H1193" s="14" t="s">
        <v>247</v>
      </c>
    </row>
    <row r="1194" spans="1:12">
      <c r="A1194" s="3">
        <v>44480</v>
      </c>
      <c r="B1194" s="7" t="s">
        <v>2573</v>
      </c>
      <c r="C1194" s="50">
        <v>40000000</v>
      </c>
      <c r="D1194" s="83"/>
      <c r="E1194" s="50">
        <f t="shared" si="22"/>
        <v>593598.80999994278</v>
      </c>
      <c r="F1194" s="83" t="s">
        <v>107</v>
      </c>
      <c r="G1194" s="14" t="s">
        <v>666</v>
      </c>
      <c r="H1194" s="14" t="s">
        <v>3405</v>
      </c>
      <c r="I1194" t="s">
        <v>3827</v>
      </c>
    </row>
    <row r="1195" spans="1:12">
      <c r="A1195" s="3">
        <v>44481</v>
      </c>
      <c r="B1195" s="7" t="s">
        <v>2574</v>
      </c>
      <c r="C1195" s="8">
        <v>0</v>
      </c>
      <c r="D1195" s="8">
        <v>154000000</v>
      </c>
      <c r="E1195" s="50">
        <f t="shared" ref="E1195:E1202" si="23">E1194-C1195+D1195</f>
        <v>154593598.80999994</v>
      </c>
      <c r="F1195" s="83" t="s">
        <v>107</v>
      </c>
      <c r="G1195" s="14" t="s">
        <v>108</v>
      </c>
      <c r="H1195" s="14"/>
    </row>
    <row r="1196" spans="1:12">
      <c r="A1196" s="3">
        <v>44481</v>
      </c>
      <c r="B1196" s="7" t="s">
        <v>2575</v>
      </c>
      <c r="C1196" s="8">
        <f>67500000-C1197</f>
        <v>53724490</v>
      </c>
      <c r="E1196" s="50">
        <f t="shared" si="23"/>
        <v>100869108.80999994</v>
      </c>
      <c r="F1196" s="81" t="s">
        <v>2882</v>
      </c>
      <c r="G1196" s="14" t="s">
        <v>138</v>
      </c>
      <c r="H1196" s="14" t="s">
        <v>2278</v>
      </c>
    </row>
    <row r="1197" spans="1:12">
      <c r="A1197" s="3">
        <v>44481</v>
      </c>
      <c r="B1197" s="7" t="s">
        <v>2575</v>
      </c>
      <c r="C1197" s="8">
        <v>13775510</v>
      </c>
      <c r="E1197" s="50">
        <f t="shared" si="23"/>
        <v>87093598.809999943</v>
      </c>
      <c r="F1197" s="81" t="s">
        <v>110</v>
      </c>
      <c r="G1197" s="14" t="s">
        <v>616</v>
      </c>
      <c r="H1197" s="14" t="s">
        <v>4621</v>
      </c>
    </row>
    <row r="1198" spans="1:12">
      <c r="A1198" s="3">
        <v>44481</v>
      </c>
      <c r="B1198" s="7" t="s">
        <v>2576</v>
      </c>
      <c r="C1198" s="8">
        <v>44000000</v>
      </c>
      <c r="E1198" s="50">
        <f t="shared" si="23"/>
        <v>43093598.809999943</v>
      </c>
      <c r="F1198" s="81" t="s">
        <v>2882</v>
      </c>
      <c r="G1198" s="14" t="s">
        <v>138</v>
      </c>
      <c r="H1198" s="14" t="s">
        <v>2278</v>
      </c>
    </row>
    <row r="1199" spans="1:12">
      <c r="A1199" s="3">
        <v>44481</v>
      </c>
      <c r="B1199" s="7" t="s">
        <v>2577</v>
      </c>
      <c r="C1199" s="8">
        <v>10000000</v>
      </c>
      <c r="E1199" s="50">
        <f t="shared" si="23"/>
        <v>33093598.809999943</v>
      </c>
      <c r="F1199" s="81" t="s">
        <v>2882</v>
      </c>
      <c r="G1199" s="14" t="s">
        <v>138</v>
      </c>
      <c r="H1199" s="14" t="s">
        <v>2278</v>
      </c>
    </row>
    <row r="1200" spans="1:12">
      <c r="A1200" s="3">
        <v>44481</v>
      </c>
      <c r="B1200" s="7" t="s">
        <v>2578</v>
      </c>
      <c r="C1200" s="8">
        <v>30000000</v>
      </c>
      <c r="E1200" s="50">
        <f t="shared" si="23"/>
        <v>3093598.8099999428</v>
      </c>
      <c r="F1200" s="2" t="s">
        <v>137</v>
      </c>
      <c r="G1200" s="14" t="s">
        <v>138</v>
      </c>
      <c r="H1200" s="14" t="s">
        <v>2278</v>
      </c>
    </row>
    <row r="1201" spans="1:9">
      <c r="A1201" s="3">
        <v>44481</v>
      </c>
      <c r="B1201" s="7" t="s">
        <v>2579</v>
      </c>
      <c r="C1201" s="8">
        <v>6500</v>
      </c>
      <c r="E1201" s="50">
        <f t="shared" si="23"/>
        <v>3087098.8099999428</v>
      </c>
      <c r="F1201" s="2" t="s">
        <v>113</v>
      </c>
      <c r="G1201" s="14" t="s">
        <v>114</v>
      </c>
      <c r="H1201" s="14"/>
    </row>
    <row r="1202" spans="1:9">
      <c r="A1202" s="3">
        <v>44482</v>
      </c>
      <c r="B1202" s="7" t="s">
        <v>2580</v>
      </c>
      <c r="D1202" s="8">
        <v>9800000</v>
      </c>
      <c r="E1202" s="50">
        <f t="shared" si="23"/>
        <v>12887098.809999943</v>
      </c>
      <c r="F1202" s="83" t="s">
        <v>107</v>
      </c>
      <c r="G1202" s="14" t="s">
        <v>254</v>
      </c>
      <c r="H1202" s="14"/>
    </row>
    <row r="1203" spans="1:9">
      <c r="A1203" s="3">
        <v>44482</v>
      </c>
      <c r="B1203" s="7" t="s">
        <v>12</v>
      </c>
      <c r="D1203" s="8">
        <v>50000000</v>
      </c>
      <c r="E1203" s="50">
        <f t="shared" ref="E1203:E1208" si="24">E1202-C1203+D1203</f>
        <v>62887098.809999943</v>
      </c>
      <c r="F1203" s="83" t="s">
        <v>115</v>
      </c>
      <c r="G1203" s="14" t="s">
        <v>122</v>
      </c>
      <c r="H1203" s="14" t="s">
        <v>123</v>
      </c>
    </row>
    <row r="1204" spans="1:9">
      <c r="A1204" s="3">
        <v>44482</v>
      </c>
      <c r="B1204" s="7" t="s">
        <v>2581</v>
      </c>
      <c r="C1204" s="8">
        <v>59000000</v>
      </c>
      <c r="E1204" s="50">
        <f t="shared" si="24"/>
        <v>3887098.8099999428</v>
      </c>
      <c r="F1204" s="83" t="s">
        <v>107</v>
      </c>
      <c r="G1204" s="14" t="s">
        <v>666</v>
      </c>
      <c r="H1204" s="14" t="s">
        <v>3405</v>
      </c>
      <c r="I1204" t="s">
        <v>3835</v>
      </c>
    </row>
    <row r="1205" spans="1:9">
      <c r="A1205" s="3">
        <v>44482</v>
      </c>
      <c r="B1205" s="7" t="s">
        <v>2582</v>
      </c>
      <c r="C1205" s="8">
        <v>3000000</v>
      </c>
      <c r="E1205" s="50">
        <f t="shared" si="24"/>
        <v>887098.80999994278</v>
      </c>
      <c r="F1205" s="83" t="s">
        <v>107</v>
      </c>
      <c r="G1205" s="14" t="s">
        <v>666</v>
      </c>
      <c r="H1205" s="14" t="s">
        <v>3405</v>
      </c>
      <c r="I1205" t="s">
        <v>3843</v>
      </c>
    </row>
    <row r="1206" spans="1:9">
      <c r="A1206" s="3">
        <v>44482</v>
      </c>
      <c r="B1206" s="7" t="s">
        <v>1550</v>
      </c>
      <c r="D1206" s="8">
        <v>50000000</v>
      </c>
      <c r="E1206" s="50">
        <f t="shared" si="24"/>
        <v>50887098.809999943</v>
      </c>
      <c r="F1206" s="83" t="s">
        <v>107</v>
      </c>
      <c r="G1206" s="14" t="s">
        <v>108</v>
      </c>
      <c r="H1206" s="14"/>
    </row>
    <row r="1207" spans="1:9">
      <c r="A1207" s="3">
        <v>44482</v>
      </c>
      <c r="B1207" s="7" t="s">
        <v>2583</v>
      </c>
      <c r="C1207" s="8">
        <v>11002500</v>
      </c>
      <c r="E1207" s="50">
        <f t="shared" si="24"/>
        <v>39884598.809999943</v>
      </c>
      <c r="F1207" s="81" t="s">
        <v>2882</v>
      </c>
      <c r="G1207" s="14" t="s">
        <v>138</v>
      </c>
      <c r="H1207" s="14" t="s">
        <v>2986</v>
      </c>
    </row>
    <row r="1208" spans="1:9">
      <c r="A1208" s="3">
        <v>44483</v>
      </c>
      <c r="B1208" s="7" t="s">
        <v>2584</v>
      </c>
      <c r="C1208" s="8">
        <v>2850000</v>
      </c>
      <c r="E1208" s="50">
        <f t="shared" si="24"/>
        <v>37034598.809999943</v>
      </c>
      <c r="F1208" s="81" t="s">
        <v>2882</v>
      </c>
      <c r="G1208" s="14" t="s">
        <v>138</v>
      </c>
      <c r="H1208" s="14" t="s">
        <v>3018</v>
      </c>
    </row>
    <row r="1209" spans="1:9">
      <c r="A1209" s="3">
        <v>44483</v>
      </c>
      <c r="B1209" s="7" t="s">
        <v>2585</v>
      </c>
      <c r="D1209" s="8">
        <v>34500000</v>
      </c>
      <c r="E1209" s="50">
        <f t="shared" ref="E1209:E1263" si="25">E1208-C1209+D1209</f>
        <v>71534598.809999943</v>
      </c>
      <c r="F1209" s="83" t="s">
        <v>107</v>
      </c>
      <c r="G1209" s="14" t="s">
        <v>254</v>
      </c>
      <c r="H1209" s="14"/>
    </row>
    <row r="1210" spans="1:9">
      <c r="A1210" s="3">
        <v>44483</v>
      </c>
      <c r="B1210" s="7" t="s">
        <v>2586</v>
      </c>
      <c r="C1210" s="8">
        <v>10000000</v>
      </c>
      <c r="E1210" s="50">
        <f t="shared" si="25"/>
        <v>61534598.809999943</v>
      </c>
      <c r="F1210" s="83" t="s">
        <v>115</v>
      </c>
      <c r="G1210" s="14" t="s">
        <v>122</v>
      </c>
      <c r="H1210" s="14" t="s">
        <v>247</v>
      </c>
    </row>
    <row r="1211" spans="1:9">
      <c r="A1211" s="3">
        <v>44483</v>
      </c>
      <c r="B1211" s="7" t="s">
        <v>2587</v>
      </c>
      <c r="C1211" s="8">
        <v>50000000</v>
      </c>
      <c r="E1211" s="50">
        <f t="shared" si="25"/>
        <v>11534598.809999943</v>
      </c>
      <c r="F1211" s="83" t="s">
        <v>115</v>
      </c>
      <c r="G1211" s="14" t="s">
        <v>122</v>
      </c>
      <c r="H1211" s="14" t="s">
        <v>123</v>
      </c>
    </row>
    <row r="1212" spans="1:9">
      <c r="A1212" s="3">
        <v>44484</v>
      </c>
      <c r="B1212" s="7" t="s">
        <v>2588</v>
      </c>
      <c r="D1212" s="8">
        <v>50000000</v>
      </c>
      <c r="E1212" s="50">
        <f t="shared" si="25"/>
        <v>61534598.809999943</v>
      </c>
      <c r="F1212" s="83" t="s">
        <v>107</v>
      </c>
      <c r="G1212" s="14" t="s">
        <v>108</v>
      </c>
      <c r="H1212" s="14"/>
    </row>
    <row r="1213" spans="1:9">
      <c r="A1213" s="3">
        <v>44484</v>
      </c>
      <c r="B1213" s="7" t="s">
        <v>2589</v>
      </c>
      <c r="C1213" s="8">
        <v>2560000</v>
      </c>
      <c r="E1213" s="50">
        <f t="shared" si="25"/>
        <v>58974598.809999943</v>
      </c>
      <c r="F1213" s="83" t="s">
        <v>248</v>
      </c>
      <c r="G1213" s="14" t="s">
        <v>729</v>
      </c>
      <c r="H1213" s="14"/>
    </row>
    <row r="1214" spans="1:9">
      <c r="A1214" s="3">
        <v>44484</v>
      </c>
      <c r="B1214" s="7" t="s">
        <v>2590</v>
      </c>
      <c r="C1214" s="8">
        <v>1500000</v>
      </c>
      <c r="E1214" s="50">
        <f t="shared" si="25"/>
        <v>57474598.809999943</v>
      </c>
      <c r="F1214" s="83" t="s">
        <v>736</v>
      </c>
      <c r="G1214" s="14" t="s">
        <v>3994</v>
      </c>
      <c r="H1214" s="14"/>
    </row>
    <row r="1215" spans="1:9">
      <c r="A1215" s="3">
        <v>44484</v>
      </c>
      <c r="B1215" s="7" t="s">
        <v>2591</v>
      </c>
      <c r="C1215" s="8">
        <v>1155000</v>
      </c>
      <c r="E1215" s="50">
        <f t="shared" si="25"/>
        <v>56319598.809999943</v>
      </c>
      <c r="F1215" s="81" t="s">
        <v>2884</v>
      </c>
      <c r="G1215" s="14" t="s">
        <v>130</v>
      </c>
      <c r="H1215" t="s">
        <v>625</v>
      </c>
    </row>
    <row r="1216" spans="1:9">
      <c r="A1216" s="3">
        <v>44484</v>
      </c>
      <c r="B1216" s="7" t="s">
        <v>2592</v>
      </c>
      <c r="C1216" s="8">
        <v>600000</v>
      </c>
      <c r="E1216" s="50">
        <f t="shared" si="25"/>
        <v>55719598.809999943</v>
      </c>
      <c r="F1216" s="81" t="s">
        <v>2884</v>
      </c>
      <c r="G1216" s="14" t="s">
        <v>130</v>
      </c>
      <c r="H1216" t="s">
        <v>2083</v>
      </c>
    </row>
    <row r="1217" spans="1:12">
      <c r="A1217" s="3">
        <v>44484</v>
      </c>
      <c r="B1217" s="7" t="s">
        <v>2593</v>
      </c>
      <c r="C1217" s="8">
        <v>2750000</v>
      </c>
      <c r="E1217" s="50">
        <f t="shared" si="25"/>
        <v>52969598.809999943</v>
      </c>
      <c r="F1217" s="81" t="s">
        <v>2884</v>
      </c>
      <c r="G1217" s="14" t="s">
        <v>130</v>
      </c>
      <c r="H1217" t="s">
        <v>623</v>
      </c>
    </row>
    <row r="1218" spans="1:12">
      <c r="A1218" s="3">
        <v>44484</v>
      </c>
      <c r="B1218" s="7" t="s">
        <v>2594</v>
      </c>
      <c r="C1218" s="54">
        <v>3500000</v>
      </c>
      <c r="D1218" s="54">
        <v>0</v>
      </c>
      <c r="E1218" s="53">
        <f t="shared" si="25"/>
        <v>49469598.809999943</v>
      </c>
      <c r="F1218" s="80" t="s">
        <v>319</v>
      </c>
      <c r="G1218" s="14" t="s">
        <v>370</v>
      </c>
      <c r="H1218" s="14"/>
    </row>
    <row r="1219" spans="1:12">
      <c r="A1219" s="3">
        <v>44484</v>
      </c>
      <c r="B1219" s="7" t="s">
        <v>2594</v>
      </c>
      <c r="C1219" s="54">
        <v>350000</v>
      </c>
      <c r="D1219" s="54">
        <v>0</v>
      </c>
      <c r="E1219" s="53">
        <f t="shared" si="25"/>
        <v>49119598.809999943</v>
      </c>
      <c r="F1219" s="82" t="s">
        <v>110</v>
      </c>
      <c r="G1219" t="s">
        <v>616</v>
      </c>
      <c r="H1219" t="s">
        <v>4621</v>
      </c>
    </row>
    <row r="1220" spans="1:12">
      <c r="A1220" s="3">
        <v>44484</v>
      </c>
      <c r="B1220" s="7" t="s">
        <v>2594</v>
      </c>
      <c r="C1220" s="54">
        <v>0</v>
      </c>
      <c r="D1220" s="54">
        <v>70000</v>
      </c>
      <c r="E1220" s="53">
        <f t="shared" si="25"/>
        <v>49189598.809999943</v>
      </c>
      <c r="F1220" s="82" t="s">
        <v>115</v>
      </c>
      <c r="G1220" t="s">
        <v>441</v>
      </c>
      <c r="H1220" t="s">
        <v>596</v>
      </c>
    </row>
    <row r="1221" spans="1:12">
      <c r="A1221" s="3">
        <v>44484</v>
      </c>
      <c r="B1221" s="7" t="s">
        <v>2595</v>
      </c>
      <c r="C1221" s="8">
        <v>450000</v>
      </c>
      <c r="E1221" s="50">
        <f t="shared" si="25"/>
        <v>48739598.809999943</v>
      </c>
      <c r="F1221" s="81" t="s">
        <v>2882</v>
      </c>
      <c r="G1221" s="14" t="s">
        <v>138</v>
      </c>
      <c r="H1221" s="14" t="s">
        <v>2982</v>
      </c>
      <c r="J1221" s="10" t="s">
        <v>4150</v>
      </c>
      <c r="K1221" t="s">
        <v>2083</v>
      </c>
      <c r="L1221" s="10">
        <v>2021</v>
      </c>
    </row>
    <row r="1222" spans="1:12">
      <c r="A1222" s="3">
        <v>44484</v>
      </c>
      <c r="B1222" s="7" t="s">
        <v>2596</v>
      </c>
      <c r="C1222" s="8">
        <v>800000</v>
      </c>
      <c r="E1222" s="50">
        <f t="shared" si="25"/>
        <v>47939598.809999943</v>
      </c>
      <c r="F1222" s="81" t="s">
        <v>2882</v>
      </c>
      <c r="G1222" s="14" t="s">
        <v>138</v>
      </c>
      <c r="H1222" s="14" t="s">
        <v>2976</v>
      </c>
      <c r="J1222" s="10" t="s">
        <v>4150</v>
      </c>
      <c r="K1222" t="s">
        <v>4153</v>
      </c>
      <c r="L1222" s="10">
        <v>2021</v>
      </c>
    </row>
    <row r="1223" spans="1:12">
      <c r="A1223" s="3">
        <v>44484</v>
      </c>
      <c r="B1223" s="7" t="s">
        <v>2597</v>
      </c>
      <c r="C1223" s="8">
        <v>450000</v>
      </c>
      <c r="E1223" s="50">
        <f t="shared" si="25"/>
        <v>47489598.809999943</v>
      </c>
      <c r="F1223" s="81" t="s">
        <v>2882</v>
      </c>
      <c r="G1223" s="14" t="s">
        <v>138</v>
      </c>
      <c r="H1223" s="14" t="s">
        <v>2982</v>
      </c>
    </row>
    <row r="1224" spans="1:12">
      <c r="A1224" s="3">
        <v>44484</v>
      </c>
      <c r="B1224" s="7" t="s">
        <v>2598</v>
      </c>
      <c r="D1224" s="8">
        <v>200000000</v>
      </c>
      <c r="E1224" s="50">
        <f t="shared" si="25"/>
        <v>247489598.80999994</v>
      </c>
      <c r="F1224" s="83" t="s">
        <v>107</v>
      </c>
      <c r="G1224" s="14" t="s">
        <v>108</v>
      </c>
      <c r="H1224" s="14"/>
    </row>
    <row r="1225" spans="1:12">
      <c r="A1225" s="3">
        <v>44484</v>
      </c>
      <c r="B1225" s="7" t="s">
        <v>2599</v>
      </c>
      <c r="C1225" s="8">
        <v>50000000</v>
      </c>
      <c r="E1225" s="50">
        <f t="shared" si="25"/>
        <v>197489598.80999994</v>
      </c>
      <c r="F1225" s="81" t="s">
        <v>2882</v>
      </c>
      <c r="G1225" s="14" t="s">
        <v>138</v>
      </c>
      <c r="H1225" s="14" t="s">
        <v>3014</v>
      </c>
    </row>
    <row r="1226" spans="1:12">
      <c r="A1226" s="3">
        <v>44484</v>
      </c>
      <c r="B1226" s="7" t="s">
        <v>1268</v>
      </c>
      <c r="C1226" s="8">
        <v>20000</v>
      </c>
      <c r="E1226" s="50">
        <f t="shared" si="25"/>
        <v>197469598.80999994</v>
      </c>
      <c r="F1226" s="83" t="s">
        <v>113</v>
      </c>
      <c r="G1226" s="14" t="s">
        <v>114</v>
      </c>
      <c r="H1226" s="14"/>
    </row>
    <row r="1227" spans="1:12">
      <c r="A1227" s="3">
        <v>44487</v>
      </c>
      <c r="B1227" s="7" t="s">
        <v>2600</v>
      </c>
      <c r="C1227" s="8">
        <v>976501</v>
      </c>
      <c r="E1227" s="50">
        <f t="shared" si="25"/>
        <v>196493097.80999994</v>
      </c>
      <c r="F1227" s="83" t="s">
        <v>319</v>
      </c>
      <c r="G1227" s="14" t="s">
        <v>1016</v>
      </c>
      <c r="H1227" s="14"/>
    </row>
    <row r="1228" spans="1:12">
      <c r="A1228" s="3">
        <v>44487</v>
      </c>
      <c r="B1228" s="7" t="s">
        <v>2601</v>
      </c>
      <c r="C1228" s="8">
        <v>20000000</v>
      </c>
      <c r="E1228" s="50">
        <f t="shared" si="25"/>
        <v>176493097.80999994</v>
      </c>
      <c r="F1228" s="81" t="s">
        <v>2882</v>
      </c>
      <c r="G1228" s="14" t="s">
        <v>138</v>
      </c>
      <c r="H1228" s="14" t="s">
        <v>3042</v>
      </c>
    </row>
    <row r="1229" spans="1:12">
      <c r="A1229" s="3">
        <v>44487</v>
      </c>
      <c r="B1229" s="7" t="s">
        <v>2602</v>
      </c>
      <c r="C1229" s="8">
        <v>10000000</v>
      </c>
      <c r="E1229" s="50">
        <f t="shared" si="25"/>
        <v>166493097.80999994</v>
      </c>
      <c r="F1229" s="81" t="s">
        <v>2882</v>
      </c>
      <c r="G1229" s="14" t="s">
        <v>138</v>
      </c>
      <c r="H1229" s="14" t="s">
        <v>2279</v>
      </c>
    </row>
    <row r="1230" spans="1:12">
      <c r="A1230" s="3">
        <v>44487</v>
      </c>
      <c r="B1230" s="7" t="s">
        <v>2603</v>
      </c>
      <c r="C1230" s="8">
        <v>2500000</v>
      </c>
      <c r="E1230" s="50">
        <f t="shared" si="25"/>
        <v>163993097.80999994</v>
      </c>
      <c r="F1230" s="81" t="s">
        <v>2882</v>
      </c>
      <c r="G1230" s="14" t="s">
        <v>138</v>
      </c>
      <c r="H1230" s="14" t="s">
        <v>2279</v>
      </c>
    </row>
    <row r="1231" spans="1:12">
      <c r="A1231" s="3">
        <v>44487</v>
      </c>
      <c r="B1231" s="7" t="s">
        <v>2604</v>
      </c>
      <c r="C1231" s="8">
        <v>2988644</v>
      </c>
      <c r="E1231" s="50">
        <f t="shared" si="25"/>
        <v>161004453.80999994</v>
      </c>
      <c r="F1231" s="83" t="s">
        <v>107</v>
      </c>
      <c r="G1231" s="14" t="s">
        <v>129</v>
      </c>
      <c r="H1231" s="14"/>
    </row>
    <row r="1232" spans="1:12">
      <c r="A1232" s="3">
        <v>44487</v>
      </c>
      <c r="B1232" s="7" t="s">
        <v>2605</v>
      </c>
      <c r="C1232" s="8">
        <v>33002500</v>
      </c>
      <c r="E1232" s="50">
        <f t="shared" si="25"/>
        <v>128001953.80999994</v>
      </c>
      <c r="F1232" s="81" t="s">
        <v>2882</v>
      </c>
      <c r="G1232" s="14" t="s">
        <v>138</v>
      </c>
      <c r="H1232" s="14" t="s">
        <v>2986</v>
      </c>
    </row>
    <row r="1233" spans="1:9">
      <c r="A1233" s="3">
        <v>44487</v>
      </c>
      <c r="B1233" s="7" t="s">
        <v>2606</v>
      </c>
      <c r="C1233" s="8">
        <v>2600000</v>
      </c>
      <c r="E1233" s="50">
        <f t="shared" si="25"/>
        <v>125401953.80999994</v>
      </c>
      <c r="F1233" s="81" t="s">
        <v>2882</v>
      </c>
      <c r="G1233" s="14" t="s">
        <v>138</v>
      </c>
      <c r="H1233" s="14" t="s">
        <v>4145</v>
      </c>
    </row>
    <row r="1234" spans="1:9">
      <c r="A1234" s="3">
        <v>44487</v>
      </c>
      <c r="B1234" s="7" t="s">
        <v>2607</v>
      </c>
      <c r="C1234" s="8">
        <v>32000000</v>
      </c>
      <c r="E1234" s="50">
        <f t="shared" si="25"/>
        <v>93401953.809999943</v>
      </c>
      <c r="F1234" s="81" t="s">
        <v>2882</v>
      </c>
      <c r="G1234" s="14" t="s">
        <v>138</v>
      </c>
      <c r="H1234" s="14" t="s">
        <v>2279</v>
      </c>
    </row>
    <row r="1235" spans="1:9">
      <c r="A1235" s="3">
        <v>44488</v>
      </c>
      <c r="B1235" s="7" t="s">
        <v>1550</v>
      </c>
      <c r="D1235" s="8">
        <v>50000000</v>
      </c>
      <c r="E1235" s="50">
        <f t="shared" si="25"/>
        <v>143401953.80999994</v>
      </c>
      <c r="F1235" s="83" t="s">
        <v>107</v>
      </c>
      <c r="G1235" s="14" t="s">
        <v>108</v>
      </c>
      <c r="H1235" s="14"/>
    </row>
    <row r="1236" spans="1:9" s="14" customFormat="1">
      <c r="A1236" s="138">
        <v>44488</v>
      </c>
      <c r="B1236" s="49" t="s">
        <v>2608</v>
      </c>
      <c r="C1236" s="53">
        <v>100000000</v>
      </c>
      <c r="D1236" s="53"/>
      <c r="E1236" s="53">
        <f t="shared" si="25"/>
        <v>43401953.809999943</v>
      </c>
      <c r="F1236" s="81" t="s">
        <v>110</v>
      </c>
      <c r="G1236" s="14" t="s">
        <v>620</v>
      </c>
      <c r="H1236" s="14" t="s">
        <v>433</v>
      </c>
    </row>
    <row r="1237" spans="1:9">
      <c r="A1237" s="3">
        <v>44488</v>
      </c>
      <c r="B1237" s="7" t="s">
        <v>2609</v>
      </c>
      <c r="C1237" s="8">
        <v>7500000</v>
      </c>
      <c r="E1237" s="53">
        <f t="shared" si="25"/>
        <v>35901953.809999943</v>
      </c>
      <c r="F1237" s="81" t="s">
        <v>2882</v>
      </c>
      <c r="G1237" s="14" t="s">
        <v>138</v>
      </c>
      <c r="H1237" s="14" t="s">
        <v>2279</v>
      </c>
    </row>
    <row r="1238" spans="1:9">
      <c r="A1238" s="3">
        <v>44490</v>
      </c>
      <c r="B1238" s="7" t="s">
        <v>2610</v>
      </c>
      <c r="C1238" s="8">
        <v>14500000</v>
      </c>
      <c r="E1238" s="53">
        <f t="shared" si="25"/>
        <v>21401953.809999943</v>
      </c>
      <c r="F1238" s="81" t="s">
        <v>2882</v>
      </c>
      <c r="G1238" s="14" t="s">
        <v>138</v>
      </c>
      <c r="H1238" s="14" t="s">
        <v>3038</v>
      </c>
    </row>
    <row r="1239" spans="1:9">
      <c r="A1239" s="3">
        <v>44490</v>
      </c>
      <c r="B1239" s="7" t="s">
        <v>2611</v>
      </c>
      <c r="C1239" s="8">
        <v>10000000</v>
      </c>
      <c r="E1239" s="53">
        <f t="shared" si="25"/>
        <v>11401953.809999943</v>
      </c>
      <c r="F1239" s="83" t="s">
        <v>107</v>
      </c>
      <c r="G1239" s="14" t="s">
        <v>666</v>
      </c>
      <c r="H1239" s="14" t="s">
        <v>3405</v>
      </c>
      <c r="I1239" t="s">
        <v>3865</v>
      </c>
    </row>
    <row r="1240" spans="1:9">
      <c r="A1240" s="3">
        <v>44490</v>
      </c>
      <c r="B1240" s="7" t="s">
        <v>2612</v>
      </c>
      <c r="C1240" s="8">
        <v>10000000</v>
      </c>
      <c r="E1240" s="53">
        <f t="shared" si="25"/>
        <v>1401953.8099999428</v>
      </c>
      <c r="F1240" s="83" t="s">
        <v>107</v>
      </c>
      <c r="G1240" s="14" t="s">
        <v>666</v>
      </c>
      <c r="H1240" s="14" t="s">
        <v>3405</v>
      </c>
      <c r="I1240" t="s">
        <v>3882</v>
      </c>
    </row>
    <row r="1241" spans="1:9">
      <c r="A1241" s="3">
        <v>44490</v>
      </c>
      <c r="B1241" s="7" t="s">
        <v>2613</v>
      </c>
      <c r="D1241" s="8">
        <v>50000000</v>
      </c>
      <c r="E1241" s="53">
        <f t="shared" si="25"/>
        <v>51401953.809999943</v>
      </c>
      <c r="F1241" s="83" t="s">
        <v>107</v>
      </c>
      <c r="G1241" s="14" t="s">
        <v>108</v>
      </c>
      <c r="H1241" s="14"/>
    </row>
    <row r="1242" spans="1:9">
      <c r="A1242" s="3">
        <v>44490</v>
      </c>
      <c r="B1242" s="7" t="s">
        <v>4864</v>
      </c>
      <c r="C1242" s="8">
        <v>30000000</v>
      </c>
      <c r="E1242" s="53">
        <f t="shared" si="25"/>
        <v>21401953.809999943</v>
      </c>
      <c r="F1242" s="81" t="s">
        <v>2882</v>
      </c>
      <c r="G1242" s="14" t="s">
        <v>138</v>
      </c>
      <c r="H1242" s="14" t="s">
        <v>2279</v>
      </c>
    </row>
    <row r="1243" spans="1:9">
      <c r="A1243" s="3">
        <v>44490</v>
      </c>
      <c r="B1243" s="7" t="s">
        <v>4864</v>
      </c>
      <c r="C1243" s="54">
        <v>0</v>
      </c>
      <c r="D1243" s="54">
        <v>1866005</v>
      </c>
      <c r="E1243" s="53">
        <f t="shared" si="25"/>
        <v>23267958.809999943</v>
      </c>
      <c r="F1243" s="81" t="s">
        <v>110</v>
      </c>
      <c r="G1243" s="14" t="s">
        <v>118</v>
      </c>
      <c r="H1243" s="14" t="s">
        <v>4865</v>
      </c>
    </row>
    <row r="1244" spans="1:9">
      <c r="A1244" s="3">
        <v>44490</v>
      </c>
      <c r="B1244" s="7" t="s">
        <v>4866</v>
      </c>
      <c r="C1244" s="54">
        <v>0</v>
      </c>
      <c r="D1244" s="54">
        <f>C1242-27870000-D1243</f>
        <v>263995</v>
      </c>
      <c r="E1244" s="53">
        <f t="shared" si="25"/>
        <v>23531953.809999943</v>
      </c>
      <c r="F1244" s="81" t="s">
        <v>252</v>
      </c>
      <c r="G1244" s="14" t="s">
        <v>664</v>
      </c>
      <c r="H1244" s="14" t="s">
        <v>64</v>
      </c>
    </row>
    <row r="1245" spans="1:9">
      <c r="A1245" s="3">
        <v>44490</v>
      </c>
      <c r="B1245" s="7" t="s">
        <v>2614</v>
      </c>
      <c r="C1245" s="8">
        <v>3000000</v>
      </c>
      <c r="E1245" s="53">
        <f t="shared" si="25"/>
        <v>20531953.809999943</v>
      </c>
      <c r="F1245" s="83" t="s">
        <v>107</v>
      </c>
      <c r="G1245" s="14" t="s">
        <v>666</v>
      </c>
      <c r="H1245" s="14" t="s">
        <v>3405</v>
      </c>
      <c r="I1245" t="s">
        <v>3855</v>
      </c>
    </row>
    <row r="1246" spans="1:9">
      <c r="A1246" s="3">
        <v>44490</v>
      </c>
      <c r="B1246" s="7" t="s">
        <v>2615</v>
      </c>
      <c r="C1246" s="8">
        <v>17500000</v>
      </c>
      <c r="E1246" s="53">
        <f t="shared" si="25"/>
        <v>3031953.8099999428</v>
      </c>
      <c r="F1246" s="81" t="s">
        <v>2882</v>
      </c>
      <c r="G1246" s="14" t="s">
        <v>138</v>
      </c>
      <c r="H1246" s="14" t="s">
        <v>2279</v>
      </c>
    </row>
    <row r="1247" spans="1:9">
      <c r="A1247" s="3">
        <v>44490</v>
      </c>
      <c r="B1247" s="7" t="s">
        <v>2616</v>
      </c>
      <c r="C1247" s="8">
        <v>2640000</v>
      </c>
      <c r="E1247" s="53">
        <f t="shared" si="25"/>
        <v>391953.80999994278</v>
      </c>
      <c r="F1247" s="81" t="s">
        <v>2882</v>
      </c>
      <c r="G1247" s="14" t="s">
        <v>138</v>
      </c>
      <c r="H1247" s="14" t="s">
        <v>2279</v>
      </c>
    </row>
    <row r="1248" spans="1:9">
      <c r="A1248" s="3">
        <v>44490</v>
      </c>
      <c r="B1248" s="7" t="s">
        <v>1550</v>
      </c>
      <c r="D1248" s="8">
        <v>50000000</v>
      </c>
      <c r="E1248" s="53">
        <f t="shared" si="25"/>
        <v>50391953.809999943</v>
      </c>
      <c r="F1248" s="83" t="s">
        <v>107</v>
      </c>
      <c r="G1248" s="14" t="s">
        <v>108</v>
      </c>
      <c r="H1248" s="14"/>
    </row>
    <row r="1249" spans="1:9">
      <c r="A1249" s="3">
        <v>44490</v>
      </c>
      <c r="B1249" s="7" t="s">
        <v>2617</v>
      </c>
      <c r="C1249" s="8">
        <v>20000000</v>
      </c>
      <c r="E1249" s="53">
        <f t="shared" si="25"/>
        <v>30391953.809999943</v>
      </c>
      <c r="F1249" s="81" t="s">
        <v>2882</v>
      </c>
      <c r="G1249" s="14" t="s">
        <v>138</v>
      </c>
      <c r="H1249" s="14" t="s">
        <v>2279</v>
      </c>
    </row>
    <row r="1250" spans="1:9">
      <c r="A1250" s="3">
        <v>44490</v>
      </c>
      <c r="B1250" s="7" t="s">
        <v>2618</v>
      </c>
      <c r="C1250" s="8">
        <v>3500000</v>
      </c>
      <c r="E1250" s="53">
        <f t="shared" si="25"/>
        <v>26891953.809999943</v>
      </c>
      <c r="F1250" s="81" t="s">
        <v>2882</v>
      </c>
      <c r="G1250" s="14" t="s">
        <v>138</v>
      </c>
      <c r="H1250" s="14" t="s">
        <v>2279</v>
      </c>
    </row>
    <row r="1251" spans="1:9">
      <c r="A1251" s="3">
        <v>44491</v>
      </c>
      <c r="B1251" s="7" t="s">
        <v>2619</v>
      </c>
      <c r="C1251" s="8">
        <v>7500000</v>
      </c>
      <c r="E1251" s="53">
        <f t="shared" si="25"/>
        <v>19391953.809999943</v>
      </c>
      <c r="F1251" s="81" t="s">
        <v>2882</v>
      </c>
      <c r="G1251" s="14" t="s">
        <v>138</v>
      </c>
      <c r="H1251" s="14" t="s">
        <v>2279</v>
      </c>
    </row>
    <row r="1252" spans="1:9" s="14" customFormat="1">
      <c r="A1252" s="138">
        <v>44491</v>
      </c>
      <c r="B1252" s="49" t="s">
        <v>12</v>
      </c>
      <c r="C1252" s="53">
        <v>0</v>
      </c>
      <c r="D1252" s="53">
        <v>10700000</v>
      </c>
      <c r="E1252" s="53">
        <f t="shared" si="25"/>
        <v>30091953.809999943</v>
      </c>
      <c r="F1252" s="80" t="s">
        <v>115</v>
      </c>
      <c r="G1252" s="14" t="s">
        <v>122</v>
      </c>
      <c r="H1252" s="14" t="s">
        <v>123</v>
      </c>
    </row>
    <row r="1253" spans="1:9">
      <c r="A1253" s="3">
        <v>44491</v>
      </c>
      <c r="B1253" s="7" t="s">
        <v>2620</v>
      </c>
      <c r="C1253" s="8">
        <v>10000000</v>
      </c>
      <c r="E1253" s="53">
        <f t="shared" si="25"/>
        <v>20091953.809999943</v>
      </c>
      <c r="F1253" s="81" t="s">
        <v>2882</v>
      </c>
      <c r="G1253" s="14" t="s">
        <v>138</v>
      </c>
      <c r="H1253" s="14" t="s">
        <v>2279</v>
      </c>
    </row>
    <row r="1254" spans="1:9">
      <c r="A1254" s="3">
        <v>44494</v>
      </c>
      <c r="B1254" s="7" t="s">
        <v>2621</v>
      </c>
      <c r="C1254" s="8">
        <v>20000000</v>
      </c>
      <c r="E1254" s="53">
        <f t="shared" si="25"/>
        <v>91953.80999994278</v>
      </c>
      <c r="F1254" s="81" t="s">
        <v>2882</v>
      </c>
      <c r="G1254" s="14" t="s">
        <v>138</v>
      </c>
      <c r="H1254" s="14" t="s">
        <v>2279</v>
      </c>
    </row>
    <row r="1255" spans="1:9">
      <c r="A1255" s="3">
        <v>44494</v>
      </c>
      <c r="B1255" s="7" t="s">
        <v>2622</v>
      </c>
      <c r="D1255" s="8">
        <v>10400</v>
      </c>
      <c r="E1255" s="53">
        <f t="shared" si="25"/>
        <v>102353.80999994278</v>
      </c>
      <c r="F1255" s="83" t="s">
        <v>107</v>
      </c>
      <c r="G1255" s="14" t="s">
        <v>668</v>
      </c>
      <c r="H1255" s="14" t="s">
        <v>3405</v>
      </c>
      <c r="I1255" t="s">
        <v>3731</v>
      </c>
    </row>
    <row r="1256" spans="1:9">
      <c r="A1256" s="3">
        <v>44494</v>
      </c>
      <c r="B1256" s="7" t="s">
        <v>2623</v>
      </c>
      <c r="D1256" s="8">
        <v>140354</v>
      </c>
      <c r="E1256" s="53">
        <f t="shared" si="25"/>
        <v>242707.80999994278</v>
      </c>
      <c r="F1256" s="83" t="s">
        <v>107</v>
      </c>
      <c r="G1256" s="14" t="s">
        <v>668</v>
      </c>
      <c r="H1256" s="14" t="s">
        <v>3405</v>
      </c>
      <c r="I1256" t="s">
        <v>3767</v>
      </c>
    </row>
    <row r="1257" spans="1:9">
      <c r="A1257" s="3">
        <v>44494</v>
      </c>
      <c r="B1257" s="7" t="s">
        <v>2624</v>
      </c>
      <c r="D1257" s="8">
        <v>28000</v>
      </c>
      <c r="E1257" s="53">
        <f t="shared" si="25"/>
        <v>270707.80999994278</v>
      </c>
      <c r="F1257" s="83" t="s">
        <v>107</v>
      </c>
      <c r="G1257" s="14" t="s">
        <v>668</v>
      </c>
      <c r="H1257" s="14" t="s">
        <v>3405</v>
      </c>
      <c r="I1257" t="s">
        <v>3855</v>
      </c>
    </row>
    <row r="1258" spans="1:9">
      <c r="A1258" s="3">
        <v>44496</v>
      </c>
      <c r="B1258" s="7" t="s">
        <v>1552</v>
      </c>
      <c r="D1258" s="8">
        <v>10000000</v>
      </c>
      <c r="E1258" s="50">
        <f t="shared" si="25"/>
        <v>10270707.809999943</v>
      </c>
      <c r="F1258" s="83" t="s">
        <v>115</v>
      </c>
      <c r="G1258" s="14" t="s">
        <v>122</v>
      </c>
      <c r="H1258" s="14" t="s">
        <v>247</v>
      </c>
    </row>
    <row r="1259" spans="1:9">
      <c r="A1259" s="3">
        <v>44496</v>
      </c>
      <c r="B1259" s="7" t="s">
        <v>2625</v>
      </c>
      <c r="C1259" s="8">
        <v>5101966</v>
      </c>
      <c r="E1259" s="50">
        <f t="shared" si="25"/>
        <v>5168741.8099999428</v>
      </c>
      <c r="F1259" s="81" t="s">
        <v>2882</v>
      </c>
      <c r="G1259" s="14" t="s">
        <v>138</v>
      </c>
      <c r="H1259" s="14" t="s">
        <v>3042</v>
      </c>
    </row>
    <row r="1260" spans="1:9">
      <c r="A1260" s="3">
        <v>44496</v>
      </c>
      <c r="B1260" s="7" t="s">
        <v>3895</v>
      </c>
      <c r="C1260" s="8">
        <v>5000000</v>
      </c>
      <c r="E1260" s="50">
        <f t="shared" si="25"/>
        <v>168741.80999994278</v>
      </c>
      <c r="F1260" s="81" t="s">
        <v>107</v>
      </c>
      <c r="G1260" s="14" t="s">
        <v>666</v>
      </c>
      <c r="H1260" s="14" t="s">
        <v>3405</v>
      </c>
      <c r="I1260" t="s">
        <v>3896</v>
      </c>
    </row>
    <row r="1261" spans="1:9">
      <c r="A1261" s="3">
        <v>44497</v>
      </c>
      <c r="B1261" s="7" t="s">
        <v>1552</v>
      </c>
      <c r="D1261" s="8">
        <v>14050000</v>
      </c>
      <c r="E1261" s="50">
        <f t="shared" si="25"/>
        <v>14218741.809999943</v>
      </c>
      <c r="F1261" s="83" t="s">
        <v>115</v>
      </c>
      <c r="G1261" s="14" t="s">
        <v>122</v>
      </c>
      <c r="H1261" s="14" t="s">
        <v>247</v>
      </c>
    </row>
    <row r="1262" spans="1:9">
      <c r="A1262" s="3">
        <v>44497</v>
      </c>
      <c r="B1262" s="7" t="s">
        <v>2626</v>
      </c>
      <c r="C1262" s="8">
        <v>14165000</v>
      </c>
      <c r="E1262" s="50">
        <f t="shared" si="25"/>
        <v>53741.80999994278</v>
      </c>
      <c r="F1262" s="81" t="s">
        <v>2882</v>
      </c>
      <c r="G1262" s="14" t="s">
        <v>138</v>
      </c>
      <c r="H1262" s="14" t="s">
        <v>4388</v>
      </c>
    </row>
    <row r="1263" spans="1:9">
      <c r="A1263" s="3">
        <v>44497</v>
      </c>
      <c r="B1263" s="7" t="s">
        <v>2627</v>
      </c>
      <c r="D1263" s="8">
        <v>141900000</v>
      </c>
      <c r="E1263" s="50">
        <f t="shared" si="25"/>
        <v>141953741.80999994</v>
      </c>
      <c r="F1263" s="83" t="s">
        <v>115</v>
      </c>
      <c r="G1263" s="14" t="s">
        <v>122</v>
      </c>
      <c r="H1263" s="14" t="s">
        <v>123</v>
      </c>
    </row>
    <row r="1264" spans="1:9">
      <c r="A1264" s="3">
        <v>44497</v>
      </c>
      <c r="B1264" s="7" t="s">
        <v>2628</v>
      </c>
      <c r="C1264" s="8">
        <v>31250000</v>
      </c>
      <c r="E1264" s="50">
        <f t="shared" ref="E1264:E1327" si="26">E1263-C1264+D1264</f>
        <v>110703741.80999994</v>
      </c>
      <c r="F1264" s="81" t="s">
        <v>2882</v>
      </c>
      <c r="G1264" s="14" t="s">
        <v>138</v>
      </c>
      <c r="H1264" s="14" t="s">
        <v>2279</v>
      </c>
    </row>
    <row r="1265" spans="1:12">
      <c r="A1265" s="3">
        <v>44497</v>
      </c>
      <c r="B1265" s="7" t="s">
        <v>2629</v>
      </c>
      <c r="C1265" s="8">
        <v>79535000</v>
      </c>
      <c r="E1265" s="50">
        <f t="shared" si="26"/>
        <v>31168741.809999943</v>
      </c>
      <c r="F1265" s="83" t="s">
        <v>248</v>
      </c>
      <c r="G1265" s="14" t="s">
        <v>249</v>
      </c>
      <c r="H1265" s="14"/>
    </row>
    <row r="1266" spans="1:12">
      <c r="A1266" s="3">
        <v>44498</v>
      </c>
      <c r="B1266" s="7" t="s">
        <v>1783</v>
      </c>
      <c r="D1266" s="8">
        <v>200000</v>
      </c>
      <c r="E1266" s="50">
        <f t="shared" si="26"/>
        <v>31368741.809999943</v>
      </c>
      <c r="F1266" s="83" t="s">
        <v>110</v>
      </c>
      <c r="G1266" s="14" t="s">
        <v>620</v>
      </c>
      <c r="H1266" s="14" t="s">
        <v>625</v>
      </c>
    </row>
    <row r="1267" spans="1:12">
      <c r="A1267" s="3">
        <v>44498</v>
      </c>
      <c r="B1267" s="7" t="s">
        <v>1699</v>
      </c>
      <c r="D1267" s="8">
        <v>200000</v>
      </c>
      <c r="E1267" s="50">
        <f t="shared" si="26"/>
        <v>31568741.809999943</v>
      </c>
      <c r="F1267" s="83" t="s">
        <v>110</v>
      </c>
      <c r="G1267" s="14" t="s">
        <v>620</v>
      </c>
      <c r="H1267" s="14" t="s">
        <v>2083</v>
      </c>
    </row>
    <row r="1268" spans="1:12">
      <c r="A1268" s="3">
        <v>44498</v>
      </c>
      <c r="B1268" s="7" t="s">
        <v>1550</v>
      </c>
      <c r="D1268" s="8">
        <v>50000000</v>
      </c>
      <c r="E1268" s="50">
        <f t="shared" si="26"/>
        <v>81568741.809999943</v>
      </c>
      <c r="F1268" s="83" t="s">
        <v>107</v>
      </c>
      <c r="G1268" s="14" t="s">
        <v>108</v>
      </c>
      <c r="H1268" s="14"/>
    </row>
    <row r="1269" spans="1:12">
      <c r="A1269" s="3">
        <v>44498</v>
      </c>
      <c r="B1269" s="7" t="s">
        <v>2630</v>
      </c>
      <c r="C1269" s="8">
        <v>37744000</v>
      </c>
      <c r="E1269" s="50">
        <f t="shared" si="26"/>
        <v>43824741.809999943</v>
      </c>
      <c r="F1269" s="81" t="s">
        <v>2882</v>
      </c>
      <c r="G1269" s="14" t="s">
        <v>138</v>
      </c>
      <c r="H1269" s="14" t="s">
        <v>3018</v>
      </c>
    </row>
    <row r="1270" spans="1:12">
      <c r="A1270" s="3">
        <v>44498</v>
      </c>
      <c r="B1270" s="7" t="s">
        <v>2631</v>
      </c>
      <c r="C1270" s="8">
        <v>12250000</v>
      </c>
      <c r="E1270" s="50">
        <f t="shared" si="26"/>
        <v>31574741.809999943</v>
      </c>
      <c r="F1270" s="81" t="s">
        <v>2882</v>
      </c>
      <c r="G1270" s="14" t="s">
        <v>138</v>
      </c>
      <c r="H1270" s="14" t="s">
        <v>2994</v>
      </c>
    </row>
    <row r="1271" spans="1:12" s="14" customFormat="1">
      <c r="A1271" s="138">
        <v>44498</v>
      </c>
      <c r="B1271" s="49" t="s">
        <v>4480</v>
      </c>
      <c r="C1271" s="53">
        <v>2500000</v>
      </c>
      <c r="D1271" s="53"/>
      <c r="E1271" s="53">
        <f t="shared" si="26"/>
        <v>29074741.809999943</v>
      </c>
      <c r="F1271" s="81" t="s">
        <v>736</v>
      </c>
      <c r="G1271" s="14" t="s">
        <v>455</v>
      </c>
      <c r="H1271" s="14" t="s">
        <v>64</v>
      </c>
    </row>
    <row r="1272" spans="1:12">
      <c r="A1272" s="3">
        <v>44498</v>
      </c>
      <c r="B1272" s="7" t="s">
        <v>2632</v>
      </c>
      <c r="C1272" s="8">
        <v>750000</v>
      </c>
      <c r="E1272" s="50">
        <f t="shared" si="26"/>
        <v>28324741.809999943</v>
      </c>
      <c r="F1272" s="81" t="s">
        <v>2882</v>
      </c>
      <c r="G1272" s="14" t="s">
        <v>138</v>
      </c>
      <c r="H1272" s="14" t="s">
        <v>2279</v>
      </c>
    </row>
    <row r="1273" spans="1:12">
      <c r="A1273" s="3">
        <v>44498</v>
      </c>
      <c r="B1273" s="7" t="s">
        <v>2633</v>
      </c>
      <c r="C1273" s="8">
        <v>750000</v>
      </c>
      <c r="E1273" s="50">
        <f t="shared" si="26"/>
        <v>27574741.809999943</v>
      </c>
      <c r="F1273" s="81" t="s">
        <v>2882</v>
      </c>
      <c r="G1273" s="14" t="s">
        <v>138</v>
      </c>
      <c r="H1273" s="14" t="s">
        <v>3045</v>
      </c>
    </row>
    <row r="1274" spans="1:12">
      <c r="A1274" s="3">
        <v>44498</v>
      </c>
      <c r="B1274" s="7" t="s">
        <v>2634</v>
      </c>
      <c r="C1274" s="8">
        <v>2500000</v>
      </c>
      <c r="E1274" s="50">
        <f t="shared" si="26"/>
        <v>25074741.809999943</v>
      </c>
      <c r="F1274" s="81" t="s">
        <v>2882</v>
      </c>
      <c r="G1274" s="14" t="s">
        <v>138</v>
      </c>
      <c r="H1274" s="14" t="s">
        <v>2279</v>
      </c>
    </row>
    <row r="1275" spans="1:12">
      <c r="A1275" s="3">
        <v>44498</v>
      </c>
      <c r="B1275" s="7" t="s">
        <v>2635</v>
      </c>
      <c r="C1275" s="8">
        <v>7991447</v>
      </c>
      <c r="E1275" s="50">
        <f t="shared" si="26"/>
        <v>17083294.809999943</v>
      </c>
      <c r="F1275" s="81" t="s">
        <v>2882</v>
      </c>
      <c r="G1275" s="14" t="s">
        <v>138</v>
      </c>
      <c r="H1275" s="14" t="s">
        <v>2952</v>
      </c>
    </row>
    <row r="1276" spans="1:12">
      <c r="A1276" s="3">
        <v>44498</v>
      </c>
      <c r="B1276" s="7" t="s">
        <v>2636</v>
      </c>
      <c r="C1276" s="8">
        <v>1809100</v>
      </c>
      <c r="E1276" s="50">
        <f t="shared" si="26"/>
        <v>15274194.809999943</v>
      </c>
      <c r="F1276" s="81" t="s">
        <v>2882</v>
      </c>
      <c r="G1276" s="14" t="s">
        <v>138</v>
      </c>
      <c r="H1276" s="14" t="s">
        <v>2279</v>
      </c>
    </row>
    <row r="1277" spans="1:12">
      <c r="A1277" s="3">
        <v>44498</v>
      </c>
      <c r="B1277" s="7" t="s">
        <v>2637</v>
      </c>
      <c r="C1277" s="8">
        <v>3500000</v>
      </c>
      <c r="E1277" s="50">
        <f t="shared" si="26"/>
        <v>11774194.809999943</v>
      </c>
      <c r="F1277" s="81" t="s">
        <v>2882</v>
      </c>
      <c r="G1277" s="14" t="s">
        <v>138</v>
      </c>
      <c r="H1277" s="14" t="s">
        <v>3014</v>
      </c>
      <c r="J1277" s="10" t="s">
        <v>4150</v>
      </c>
      <c r="K1277" t="s">
        <v>119</v>
      </c>
      <c r="L1277" s="10">
        <v>2021</v>
      </c>
    </row>
    <row r="1278" spans="1:12">
      <c r="A1278" s="3">
        <v>44498</v>
      </c>
      <c r="B1278" s="7" t="s">
        <v>24</v>
      </c>
      <c r="C1278" s="8">
        <v>2986000</v>
      </c>
      <c r="E1278" s="50">
        <f t="shared" si="26"/>
        <v>8788194.8099999428</v>
      </c>
      <c r="F1278" s="83" t="s">
        <v>107</v>
      </c>
      <c r="G1278" s="14" t="s">
        <v>129</v>
      </c>
      <c r="H1278" s="14"/>
    </row>
    <row r="1279" spans="1:12">
      <c r="A1279" s="3">
        <v>44500</v>
      </c>
      <c r="B1279" s="7" t="s">
        <v>1785</v>
      </c>
      <c r="D1279" s="8">
        <v>1369.14</v>
      </c>
      <c r="E1279" s="50">
        <f t="shared" si="26"/>
        <v>8789563.9499999434</v>
      </c>
      <c r="F1279" s="83" t="s">
        <v>252</v>
      </c>
      <c r="G1279" s="14" t="s">
        <v>253</v>
      </c>
      <c r="H1279" s="14"/>
    </row>
    <row r="1280" spans="1:12">
      <c r="A1280" s="3">
        <v>44500</v>
      </c>
      <c r="B1280" s="7" t="s">
        <v>1702</v>
      </c>
      <c r="C1280" s="8">
        <v>273.83</v>
      </c>
      <c r="D1280" s="8">
        <v>0</v>
      </c>
      <c r="E1280" s="50">
        <f t="shared" si="26"/>
        <v>8789290.1199999433</v>
      </c>
      <c r="F1280" s="83" t="s">
        <v>252</v>
      </c>
      <c r="G1280" s="14" t="s">
        <v>253</v>
      </c>
      <c r="H1280" s="14"/>
    </row>
    <row r="1281" spans="1:9">
      <c r="A1281" s="3">
        <v>44501</v>
      </c>
      <c r="B1281" s="7" t="s">
        <v>2638</v>
      </c>
      <c r="D1281" s="8">
        <v>2075633728</v>
      </c>
      <c r="E1281" s="50">
        <f t="shared" si="26"/>
        <v>2084423018.1199999</v>
      </c>
      <c r="F1281" s="83" t="s">
        <v>581</v>
      </c>
      <c r="G1281" s="14" t="s">
        <v>582</v>
      </c>
      <c r="H1281" s="14" t="s">
        <v>2279</v>
      </c>
      <c r="I1281">
        <v>88</v>
      </c>
    </row>
    <row r="1282" spans="1:9">
      <c r="A1282" s="3">
        <v>44502</v>
      </c>
      <c r="B1282" s="7" t="s">
        <v>2639</v>
      </c>
      <c r="C1282" s="8">
        <v>26321250</v>
      </c>
      <c r="E1282" s="50">
        <f t="shared" si="26"/>
        <v>2058101768.1199999</v>
      </c>
      <c r="F1282" s="81" t="s">
        <v>2882</v>
      </c>
      <c r="G1282" s="14" t="s">
        <v>138</v>
      </c>
      <c r="H1282" s="14" t="s">
        <v>2279</v>
      </c>
    </row>
    <row r="1283" spans="1:9" s="14" customFormat="1">
      <c r="A1283" s="138">
        <v>44502</v>
      </c>
      <c r="B1283" s="49" t="s">
        <v>2640</v>
      </c>
      <c r="C1283" s="50">
        <v>95000000</v>
      </c>
      <c r="D1283" s="50"/>
      <c r="E1283" s="50">
        <f t="shared" si="26"/>
        <v>1963101768.1199999</v>
      </c>
      <c r="F1283" s="83" t="s">
        <v>137</v>
      </c>
      <c r="G1283" s="14" t="s">
        <v>138</v>
      </c>
      <c r="H1283" s="14" t="s">
        <v>2279</v>
      </c>
    </row>
    <row r="1284" spans="1:9">
      <c r="A1284" s="3">
        <v>44502</v>
      </c>
      <c r="B1284" s="7" t="s">
        <v>2641</v>
      </c>
      <c r="D1284" s="8">
        <v>211000</v>
      </c>
      <c r="E1284" s="50">
        <f t="shared" si="26"/>
        <v>1963312768.1199999</v>
      </c>
      <c r="F1284" s="83" t="s">
        <v>107</v>
      </c>
      <c r="G1284" s="14" t="s">
        <v>668</v>
      </c>
      <c r="H1284" s="14" t="s">
        <v>3405</v>
      </c>
      <c r="I1284" t="s">
        <v>3896</v>
      </c>
    </row>
    <row r="1285" spans="1:9">
      <c r="A1285" s="3">
        <v>44502</v>
      </c>
      <c r="B1285" s="7" t="s">
        <v>2642</v>
      </c>
      <c r="C1285" s="8">
        <v>500000</v>
      </c>
      <c r="E1285" s="50">
        <f t="shared" si="26"/>
        <v>1962812768.1199999</v>
      </c>
      <c r="F1285" s="81" t="s">
        <v>2882</v>
      </c>
      <c r="G1285" s="14" t="s">
        <v>138</v>
      </c>
      <c r="H1285" s="14" t="s">
        <v>3025</v>
      </c>
    </row>
    <row r="1286" spans="1:9">
      <c r="A1286" s="3">
        <v>44502</v>
      </c>
      <c r="B1286" s="7" t="s">
        <v>2643</v>
      </c>
      <c r="C1286" s="8">
        <v>17996660</v>
      </c>
      <c r="E1286" s="50">
        <f t="shared" si="26"/>
        <v>1944816108.1199999</v>
      </c>
      <c r="F1286" s="81" t="s">
        <v>2882</v>
      </c>
      <c r="G1286" s="14" t="s">
        <v>138</v>
      </c>
      <c r="H1286" s="14" t="s">
        <v>3027</v>
      </c>
    </row>
    <row r="1287" spans="1:9">
      <c r="A1287" s="3">
        <v>44502</v>
      </c>
      <c r="B1287" s="7" t="s">
        <v>2644</v>
      </c>
      <c r="C1287" s="8">
        <v>4500000</v>
      </c>
      <c r="E1287" s="50">
        <f t="shared" si="26"/>
        <v>1940316108.1199999</v>
      </c>
      <c r="F1287" s="81" t="s">
        <v>2882</v>
      </c>
      <c r="G1287" s="14" t="s">
        <v>138</v>
      </c>
      <c r="H1287" s="14" t="s">
        <v>2984</v>
      </c>
    </row>
    <row r="1288" spans="1:9">
      <c r="A1288" s="3">
        <v>44502</v>
      </c>
      <c r="B1288" s="7" t="s">
        <v>2645</v>
      </c>
      <c r="C1288" s="8">
        <v>19900000</v>
      </c>
      <c r="E1288" s="50">
        <f t="shared" si="26"/>
        <v>1920416108.1199999</v>
      </c>
      <c r="F1288" s="81" t="s">
        <v>2882</v>
      </c>
      <c r="G1288" s="14" t="s">
        <v>138</v>
      </c>
      <c r="H1288" s="14" t="s">
        <v>2990</v>
      </c>
    </row>
    <row r="1289" spans="1:9">
      <c r="A1289" s="3">
        <v>44503</v>
      </c>
      <c r="B1289" s="7" t="s">
        <v>2646</v>
      </c>
      <c r="C1289" s="8">
        <v>23671000</v>
      </c>
      <c r="E1289" s="50">
        <f t="shared" si="26"/>
        <v>1896745108.1199999</v>
      </c>
      <c r="F1289" s="81" t="s">
        <v>2882</v>
      </c>
      <c r="G1289" s="14" t="s">
        <v>138</v>
      </c>
      <c r="H1289" s="14" t="s">
        <v>2279</v>
      </c>
    </row>
    <row r="1290" spans="1:9">
      <c r="A1290" s="3">
        <v>44503</v>
      </c>
      <c r="B1290" s="7" t="s">
        <v>2647</v>
      </c>
      <c r="C1290" s="8">
        <v>63591400</v>
      </c>
      <c r="E1290" s="50">
        <f t="shared" si="26"/>
        <v>1833153708.1199999</v>
      </c>
      <c r="F1290" s="81" t="s">
        <v>2882</v>
      </c>
      <c r="G1290" s="14" t="s">
        <v>138</v>
      </c>
      <c r="H1290" s="14" t="s">
        <v>3018</v>
      </c>
    </row>
    <row r="1291" spans="1:9">
      <c r="A1291" s="3">
        <v>44503</v>
      </c>
      <c r="B1291" s="7" t="s">
        <v>2648</v>
      </c>
      <c r="C1291" s="8">
        <v>27487482</v>
      </c>
      <c r="E1291" s="50">
        <f t="shared" si="26"/>
        <v>1805666226.1199999</v>
      </c>
      <c r="F1291" s="81" t="s">
        <v>2882</v>
      </c>
      <c r="G1291" s="14" t="s">
        <v>138</v>
      </c>
      <c r="H1291" s="14" t="s">
        <v>2975</v>
      </c>
    </row>
    <row r="1292" spans="1:9">
      <c r="A1292" s="3">
        <v>44503</v>
      </c>
      <c r="B1292" s="7" t="s">
        <v>2649</v>
      </c>
      <c r="C1292" s="8">
        <v>2056500</v>
      </c>
      <c r="E1292" s="50">
        <f t="shared" si="26"/>
        <v>1803609726.1199999</v>
      </c>
      <c r="F1292" s="81" t="s">
        <v>2882</v>
      </c>
      <c r="G1292" s="14" t="s">
        <v>138</v>
      </c>
      <c r="H1292" s="14" t="s">
        <v>4388</v>
      </c>
    </row>
    <row r="1293" spans="1:9">
      <c r="A1293" s="3">
        <v>44503</v>
      </c>
      <c r="B1293" s="7" t="s">
        <v>2650</v>
      </c>
      <c r="C1293" s="8">
        <v>99731000</v>
      </c>
      <c r="E1293" s="50">
        <f t="shared" si="26"/>
        <v>1703878726.1199999</v>
      </c>
      <c r="F1293" s="81" t="s">
        <v>2882</v>
      </c>
      <c r="G1293" s="14" t="s">
        <v>138</v>
      </c>
      <c r="H1293" s="14" t="s">
        <v>2279</v>
      </c>
    </row>
    <row r="1294" spans="1:9">
      <c r="A1294" s="3">
        <v>44503</v>
      </c>
      <c r="B1294" s="7" t="s">
        <v>2651</v>
      </c>
      <c r="C1294" s="8">
        <v>13500000</v>
      </c>
      <c r="E1294" s="50">
        <f t="shared" si="26"/>
        <v>1690378726.1199999</v>
      </c>
      <c r="F1294" s="81" t="s">
        <v>2882</v>
      </c>
      <c r="G1294" s="14" t="s">
        <v>138</v>
      </c>
      <c r="H1294" s="14" t="s">
        <v>2982</v>
      </c>
    </row>
    <row r="1295" spans="1:9">
      <c r="A1295" s="3">
        <v>44503</v>
      </c>
      <c r="B1295" s="7" t="s">
        <v>2652</v>
      </c>
      <c r="C1295" s="8">
        <v>71700000</v>
      </c>
      <c r="E1295" s="50">
        <f t="shared" si="26"/>
        <v>1618678726.1199999</v>
      </c>
      <c r="F1295" s="81" t="s">
        <v>2882</v>
      </c>
      <c r="G1295" s="14" t="s">
        <v>138</v>
      </c>
      <c r="H1295" s="14" t="s">
        <v>3039</v>
      </c>
    </row>
    <row r="1296" spans="1:9">
      <c r="A1296" s="3">
        <v>44503</v>
      </c>
      <c r="B1296" s="7" t="s">
        <v>2653</v>
      </c>
      <c r="C1296" s="8">
        <v>31562500</v>
      </c>
      <c r="E1296" s="50">
        <f t="shared" si="26"/>
        <v>1587116226.1199999</v>
      </c>
      <c r="F1296" s="81" t="s">
        <v>2882</v>
      </c>
      <c r="G1296" s="14" t="s">
        <v>138</v>
      </c>
      <c r="H1296" s="14" t="s">
        <v>3037</v>
      </c>
    </row>
    <row r="1297" spans="1:12">
      <c r="A1297" s="3">
        <v>44503</v>
      </c>
      <c r="B1297" s="7" t="s">
        <v>2654</v>
      </c>
      <c r="C1297" s="8">
        <v>11250000</v>
      </c>
      <c r="E1297" s="50">
        <f t="shared" si="26"/>
        <v>1575866226.1199999</v>
      </c>
      <c r="F1297" s="81" t="s">
        <v>2882</v>
      </c>
      <c r="G1297" s="14" t="s">
        <v>138</v>
      </c>
      <c r="H1297" s="14" t="s">
        <v>3038</v>
      </c>
    </row>
    <row r="1298" spans="1:12">
      <c r="A1298" s="3">
        <v>44503</v>
      </c>
      <c r="B1298" s="7" t="s">
        <v>2655</v>
      </c>
      <c r="C1298" s="8">
        <v>3500000</v>
      </c>
      <c r="E1298" s="50">
        <f t="shared" si="26"/>
        <v>1572366226.1199999</v>
      </c>
      <c r="F1298" s="81" t="s">
        <v>2882</v>
      </c>
      <c r="G1298" s="14" t="s">
        <v>138</v>
      </c>
      <c r="H1298" s="14" t="s">
        <v>2279</v>
      </c>
    </row>
    <row r="1299" spans="1:12">
      <c r="A1299" s="3">
        <v>44503</v>
      </c>
      <c r="B1299" s="7" t="s">
        <v>2656</v>
      </c>
      <c r="C1299" s="8">
        <v>690000</v>
      </c>
      <c r="E1299" s="50">
        <f t="shared" si="26"/>
        <v>1571676226.1199999</v>
      </c>
      <c r="F1299" s="81" t="s">
        <v>2882</v>
      </c>
      <c r="G1299" s="14" t="s">
        <v>138</v>
      </c>
      <c r="H1299" s="14" t="s">
        <v>2279</v>
      </c>
    </row>
    <row r="1300" spans="1:12">
      <c r="A1300" s="3">
        <v>44503</v>
      </c>
      <c r="B1300" s="7" t="s">
        <v>2657</v>
      </c>
      <c r="C1300" s="8">
        <v>10000000</v>
      </c>
      <c r="E1300" s="50">
        <f t="shared" si="26"/>
        <v>1561676226.1199999</v>
      </c>
      <c r="F1300" s="81" t="s">
        <v>2882</v>
      </c>
      <c r="G1300" s="14" t="s">
        <v>138</v>
      </c>
      <c r="H1300" s="14" t="s">
        <v>2279</v>
      </c>
    </row>
    <row r="1301" spans="1:12">
      <c r="A1301" s="3">
        <v>44503</v>
      </c>
      <c r="B1301" s="7" t="s">
        <v>2658</v>
      </c>
      <c r="C1301" s="8">
        <v>1250000</v>
      </c>
      <c r="E1301" s="50">
        <f t="shared" si="26"/>
        <v>1560426226.1199999</v>
      </c>
      <c r="F1301" s="81" t="s">
        <v>2882</v>
      </c>
      <c r="G1301" s="14" t="s">
        <v>138</v>
      </c>
      <c r="H1301" s="14" t="s">
        <v>2279</v>
      </c>
    </row>
    <row r="1302" spans="1:12">
      <c r="A1302" s="3">
        <v>44503</v>
      </c>
      <c r="B1302" s="7" t="s">
        <v>2659</v>
      </c>
      <c r="C1302" s="8">
        <v>2250000</v>
      </c>
      <c r="E1302" s="50">
        <f t="shared" si="26"/>
        <v>1558176226.1199999</v>
      </c>
      <c r="F1302" s="81" t="s">
        <v>2882</v>
      </c>
      <c r="G1302" s="14" t="s">
        <v>138</v>
      </c>
      <c r="H1302" s="14" t="s">
        <v>3038</v>
      </c>
    </row>
    <row r="1303" spans="1:12">
      <c r="A1303" s="3">
        <v>44503</v>
      </c>
      <c r="B1303" s="7" t="s">
        <v>2660</v>
      </c>
      <c r="C1303" s="8">
        <v>6700000</v>
      </c>
      <c r="E1303" s="50">
        <f t="shared" si="26"/>
        <v>1551476226.1199999</v>
      </c>
      <c r="F1303" s="81" t="s">
        <v>2882</v>
      </c>
      <c r="G1303" s="14" t="s">
        <v>138</v>
      </c>
      <c r="H1303" s="14" t="s">
        <v>3037</v>
      </c>
    </row>
    <row r="1304" spans="1:12">
      <c r="A1304" s="3">
        <v>44503</v>
      </c>
      <c r="B1304" s="7" t="s">
        <v>2661</v>
      </c>
      <c r="C1304" s="8">
        <v>10350000</v>
      </c>
      <c r="E1304" s="50">
        <f t="shared" si="26"/>
        <v>1541126226.1199999</v>
      </c>
      <c r="F1304" s="81" t="s">
        <v>2882</v>
      </c>
      <c r="G1304" s="14" t="s">
        <v>138</v>
      </c>
      <c r="H1304" s="14" t="s">
        <v>3037</v>
      </c>
    </row>
    <row r="1305" spans="1:12">
      <c r="A1305" s="3">
        <v>44503</v>
      </c>
      <c r="B1305" s="7" t="s">
        <v>2662</v>
      </c>
      <c r="C1305" s="8">
        <v>1750000</v>
      </c>
      <c r="E1305" s="50">
        <f t="shared" si="26"/>
        <v>1539376226.1199999</v>
      </c>
      <c r="F1305" s="81" t="s">
        <v>2882</v>
      </c>
      <c r="G1305" s="14" t="s">
        <v>138</v>
      </c>
      <c r="H1305" s="14" t="s">
        <v>2982</v>
      </c>
    </row>
    <row r="1306" spans="1:12">
      <c r="A1306" s="3">
        <v>44503</v>
      </c>
      <c r="B1306" s="7" t="s">
        <v>2663</v>
      </c>
      <c r="C1306" s="8">
        <v>2250000</v>
      </c>
      <c r="E1306" s="50">
        <f t="shared" si="26"/>
        <v>1537126226.1199999</v>
      </c>
      <c r="F1306" s="81" t="s">
        <v>2882</v>
      </c>
      <c r="G1306" s="14" t="s">
        <v>138</v>
      </c>
      <c r="H1306" s="14" t="s">
        <v>3038</v>
      </c>
    </row>
    <row r="1307" spans="1:12">
      <c r="A1307" s="3">
        <v>44503</v>
      </c>
      <c r="B1307" s="7" t="s">
        <v>2664</v>
      </c>
      <c r="C1307" s="8">
        <v>2920758</v>
      </c>
      <c r="E1307" s="50">
        <f t="shared" si="26"/>
        <v>1534205468.1199999</v>
      </c>
      <c r="F1307" s="81" t="s">
        <v>248</v>
      </c>
      <c r="G1307" s="14" t="s">
        <v>391</v>
      </c>
      <c r="H1307" s="14"/>
    </row>
    <row r="1308" spans="1:12">
      <c r="A1308" s="3">
        <v>44503</v>
      </c>
      <c r="B1308" s="7" t="s">
        <v>2665</v>
      </c>
      <c r="C1308" s="8">
        <v>1000000</v>
      </c>
      <c r="E1308" s="50">
        <f t="shared" si="26"/>
        <v>1533205468.1199999</v>
      </c>
      <c r="F1308" s="81" t="s">
        <v>2882</v>
      </c>
      <c r="G1308" s="14" t="s">
        <v>138</v>
      </c>
      <c r="H1308" s="14" t="s">
        <v>2279</v>
      </c>
    </row>
    <row r="1309" spans="1:12">
      <c r="A1309" s="3">
        <v>44503</v>
      </c>
      <c r="B1309" s="7" t="s">
        <v>2666</v>
      </c>
      <c r="C1309" s="8">
        <v>2390850</v>
      </c>
      <c r="E1309" s="50">
        <f t="shared" si="26"/>
        <v>1530814618.1199999</v>
      </c>
      <c r="F1309" s="81" t="s">
        <v>2882</v>
      </c>
      <c r="G1309" s="14" t="s">
        <v>138</v>
      </c>
      <c r="H1309" s="14" t="s">
        <v>2279</v>
      </c>
    </row>
    <row r="1310" spans="1:12">
      <c r="A1310" s="3">
        <v>44503</v>
      </c>
      <c r="B1310" s="7" t="s">
        <v>2667</v>
      </c>
      <c r="C1310" s="8">
        <v>9240000</v>
      </c>
      <c r="E1310" s="50">
        <f t="shared" si="26"/>
        <v>1521574618.1199999</v>
      </c>
      <c r="F1310" s="81" t="s">
        <v>2882</v>
      </c>
      <c r="G1310" s="14" t="s">
        <v>138</v>
      </c>
      <c r="H1310" s="14" t="s">
        <v>2976</v>
      </c>
    </row>
    <row r="1311" spans="1:12">
      <c r="A1311" s="3">
        <v>44503</v>
      </c>
      <c r="B1311" s="7" t="s">
        <v>2668</v>
      </c>
      <c r="C1311" s="8">
        <v>1001400</v>
      </c>
      <c r="E1311" s="50">
        <f t="shared" si="26"/>
        <v>1520573218.1199999</v>
      </c>
      <c r="F1311" s="83" t="s">
        <v>107</v>
      </c>
      <c r="G1311" s="14" t="s">
        <v>666</v>
      </c>
      <c r="H1311" s="14" t="s">
        <v>3405</v>
      </c>
      <c r="I1311" t="s">
        <v>3820</v>
      </c>
    </row>
    <row r="1312" spans="1:12">
      <c r="A1312" s="3">
        <v>44503</v>
      </c>
      <c r="B1312" s="7" t="s">
        <v>2669</v>
      </c>
      <c r="C1312" s="8">
        <v>1500000</v>
      </c>
      <c r="E1312" s="50">
        <f t="shared" si="26"/>
        <v>1519073218.1199999</v>
      </c>
      <c r="F1312" s="81" t="s">
        <v>2882</v>
      </c>
      <c r="G1312" s="14" t="s">
        <v>138</v>
      </c>
      <c r="H1312" s="14" t="s">
        <v>2278</v>
      </c>
      <c r="J1312" s="10" t="s">
        <v>4150</v>
      </c>
      <c r="K1312" t="s">
        <v>480</v>
      </c>
      <c r="L1312" s="10">
        <v>2021</v>
      </c>
    </row>
    <row r="1313" spans="1:12">
      <c r="A1313" s="3">
        <v>44503</v>
      </c>
      <c r="B1313" s="7" t="s">
        <v>2670</v>
      </c>
      <c r="C1313" s="8">
        <v>1250000</v>
      </c>
      <c r="E1313" s="50">
        <f t="shared" si="26"/>
        <v>1517823218.1199999</v>
      </c>
      <c r="F1313" s="81" t="s">
        <v>2882</v>
      </c>
      <c r="G1313" s="14" t="s">
        <v>138</v>
      </c>
      <c r="H1313" s="14" t="s">
        <v>2279</v>
      </c>
      <c r="J1313" s="10" t="s">
        <v>4150</v>
      </c>
      <c r="K1313" t="s">
        <v>480</v>
      </c>
      <c r="L1313" s="10">
        <v>2021</v>
      </c>
    </row>
    <row r="1314" spans="1:12">
      <c r="A1314" s="3">
        <v>44503</v>
      </c>
      <c r="B1314" s="7" t="s">
        <v>2671</v>
      </c>
      <c r="C1314" s="8">
        <v>500000</v>
      </c>
      <c r="E1314" s="50">
        <f t="shared" si="26"/>
        <v>1517323218.1199999</v>
      </c>
      <c r="F1314" s="81" t="s">
        <v>2882</v>
      </c>
      <c r="G1314" s="14" t="s">
        <v>138</v>
      </c>
      <c r="H1314" s="14" t="s">
        <v>2279</v>
      </c>
      <c r="J1314" s="10" t="s">
        <v>64</v>
      </c>
    </row>
    <row r="1315" spans="1:12">
      <c r="A1315" s="3">
        <v>44503</v>
      </c>
      <c r="B1315" s="7" t="s">
        <v>2672</v>
      </c>
      <c r="C1315" s="8">
        <v>9888850</v>
      </c>
      <c r="E1315" s="50">
        <f t="shared" si="26"/>
        <v>1507434368.1199999</v>
      </c>
      <c r="F1315" s="81" t="s">
        <v>2882</v>
      </c>
      <c r="G1315" s="14" t="s">
        <v>138</v>
      </c>
      <c r="H1315" s="14" t="s">
        <v>2278</v>
      </c>
    </row>
    <row r="1316" spans="1:12">
      <c r="A1316" s="3">
        <v>44503</v>
      </c>
      <c r="B1316" s="7" t="s">
        <v>2673</v>
      </c>
      <c r="C1316" s="8">
        <v>1745000</v>
      </c>
      <c r="E1316" s="50">
        <f t="shared" si="26"/>
        <v>1505689368.1199999</v>
      </c>
      <c r="F1316" s="83" t="s">
        <v>107</v>
      </c>
      <c r="G1316" s="14" t="s">
        <v>666</v>
      </c>
      <c r="H1316" s="14" t="s">
        <v>3405</v>
      </c>
      <c r="I1316" t="s">
        <v>3843</v>
      </c>
    </row>
    <row r="1317" spans="1:12">
      <c r="A1317" s="3">
        <v>44503</v>
      </c>
      <c r="B1317" s="7" t="s">
        <v>2674</v>
      </c>
      <c r="C1317" s="8">
        <v>1825000</v>
      </c>
      <c r="E1317" s="50">
        <f t="shared" si="26"/>
        <v>1503864368.1199999</v>
      </c>
      <c r="F1317" s="81" t="s">
        <v>2882</v>
      </c>
      <c r="G1317" s="14" t="s">
        <v>138</v>
      </c>
      <c r="H1317" s="14" t="s">
        <v>2984</v>
      </c>
    </row>
    <row r="1318" spans="1:12">
      <c r="A1318" s="3">
        <v>44503</v>
      </c>
      <c r="B1318" s="7" t="s">
        <v>2675</v>
      </c>
      <c r="C1318" s="8">
        <v>2392000</v>
      </c>
      <c r="E1318" s="50">
        <f t="shared" si="26"/>
        <v>1501472368.1199999</v>
      </c>
      <c r="F1318" s="81" t="s">
        <v>2882</v>
      </c>
      <c r="G1318" s="14" t="s">
        <v>138</v>
      </c>
      <c r="H1318" s="14" t="s">
        <v>2279</v>
      </c>
    </row>
    <row r="1319" spans="1:12">
      <c r="A1319" s="3">
        <v>44503</v>
      </c>
      <c r="B1319" s="7" t="s">
        <v>2676</v>
      </c>
      <c r="C1319" s="8">
        <v>800000</v>
      </c>
      <c r="E1319" s="50">
        <f t="shared" si="26"/>
        <v>1500672368.1199999</v>
      </c>
      <c r="F1319" s="81" t="s">
        <v>2882</v>
      </c>
      <c r="G1319" s="14" t="s">
        <v>138</v>
      </c>
      <c r="H1319" s="14" t="s">
        <v>3018</v>
      </c>
      <c r="J1319" s="10" t="s">
        <v>4150</v>
      </c>
      <c r="K1319" t="s">
        <v>4152</v>
      </c>
      <c r="L1319" s="10">
        <v>2021</v>
      </c>
    </row>
    <row r="1320" spans="1:12" s="14" customFormat="1">
      <c r="A1320" s="138">
        <v>44503</v>
      </c>
      <c r="B1320" s="49" t="s">
        <v>2677</v>
      </c>
      <c r="C1320" s="53"/>
      <c r="D1320" s="53">
        <v>11440000</v>
      </c>
      <c r="E1320" s="53">
        <f t="shared" si="26"/>
        <v>1512112368.1199999</v>
      </c>
      <c r="F1320" t="s">
        <v>137</v>
      </c>
      <c r="G1320" t="s">
        <v>138</v>
      </c>
      <c r="H1320" s="14" t="s">
        <v>2278</v>
      </c>
    </row>
    <row r="1321" spans="1:12">
      <c r="A1321" s="3">
        <v>44503</v>
      </c>
      <c r="B1321" s="7" t="s">
        <v>2678</v>
      </c>
      <c r="C1321" s="8">
        <v>5000000</v>
      </c>
      <c r="E1321" s="50">
        <f t="shared" si="26"/>
        <v>1507112368.1199999</v>
      </c>
      <c r="F1321" s="81" t="s">
        <v>2882</v>
      </c>
      <c r="G1321" s="14" t="s">
        <v>138</v>
      </c>
      <c r="H1321" s="14" t="s">
        <v>2982</v>
      </c>
    </row>
    <row r="1322" spans="1:12">
      <c r="A1322" s="3">
        <v>44503</v>
      </c>
      <c r="B1322" s="7" t="s">
        <v>2679</v>
      </c>
      <c r="C1322" s="8">
        <v>2595300</v>
      </c>
      <c r="E1322" s="50">
        <f t="shared" si="26"/>
        <v>1504517068.1199999</v>
      </c>
      <c r="F1322" s="81" t="s">
        <v>2882</v>
      </c>
      <c r="G1322" s="14" t="s">
        <v>138</v>
      </c>
      <c r="H1322" s="14" t="s">
        <v>2982</v>
      </c>
    </row>
    <row r="1323" spans="1:12">
      <c r="A1323" s="3">
        <v>44503</v>
      </c>
      <c r="B1323" s="7" t="s">
        <v>2680</v>
      </c>
      <c r="C1323" s="8">
        <v>625000</v>
      </c>
      <c r="E1323" s="50">
        <f t="shared" si="26"/>
        <v>1503892068.1199999</v>
      </c>
      <c r="F1323" s="81" t="s">
        <v>2882</v>
      </c>
      <c r="G1323" s="14" t="s">
        <v>138</v>
      </c>
      <c r="H1323" s="14" t="s">
        <v>3038</v>
      </c>
    </row>
    <row r="1324" spans="1:12">
      <c r="A1324" s="3">
        <v>44503</v>
      </c>
      <c r="B1324" s="7" t="s">
        <v>2681</v>
      </c>
      <c r="C1324" s="8">
        <v>1445000</v>
      </c>
      <c r="E1324" s="50">
        <f t="shared" si="26"/>
        <v>1502447068.1199999</v>
      </c>
      <c r="F1324" s="81" t="s">
        <v>2882</v>
      </c>
      <c r="G1324" s="14" t="s">
        <v>138</v>
      </c>
      <c r="H1324" s="14" t="s">
        <v>2982</v>
      </c>
    </row>
    <row r="1325" spans="1:12">
      <c r="A1325" s="3">
        <v>44503</v>
      </c>
      <c r="B1325" s="7" t="s">
        <v>2682</v>
      </c>
      <c r="C1325" s="8">
        <v>620000</v>
      </c>
      <c r="E1325" s="50">
        <f t="shared" si="26"/>
        <v>1501827068.1199999</v>
      </c>
      <c r="F1325" s="81" t="s">
        <v>2882</v>
      </c>
      <c r="G1325" s="14" t="s">
        <v>138</v>
      </c>
      <c r="H1325" s="14" t="s">
        <v>3039</v>
      </c>
    </row>
    <row r="1326" spans="1:12">
      <c r="A1326" s="3">
        <v>44503</v>
      </c>
      <c r="B1326" s="7" t="s">
        <v>2683</v>
      </c>
      <c r="C1326" s="8">
        <v>9000000</v>
      </c>
      <c r="E1326" s="50">
        <f t="shared" si="26"/>
        <v>1492827068.1199999</v>
      </c>
      <c r="F1326" s="81" t="s">
        <v>2882</v>
      </c>
      <c r="G1326" s="14" t="s">
        <v>138</v>
      </c>
      <c r="H1326" s="14" t="s">
        <v>3039</v>
      </c>
    </row>
    <row r="1327" spans="1:12">
      <c r="A1327" s="3">
        <v>44503</v>
      </c>
      <c r="B1327" s="7" t="s">
        <v>2684</v>
      </c>
      <c r="C1327" s="8">
        <v>9187500</v>
      </c>
      <c r="E1327" s="50">
        <f t="shared" si="26"/>
        <v>1483639568.1199999</v>
      </c>
      <c r="F1327" s="81" t="s">
        <v>2882</v>
      </c>
      <c r="G1327" s="14" t="s">
        <v>138</v>
      </c>
      <c r="H1327" s="14" t="s">
        <v>3039</v>
      </c>
    </row>
    <row r="1328" spans="1:12">
      <c r="A1328" s="3">
        <v>44503</v>
      </c>
      <c r="B1328" s="7" t="s">
        <v>2685</v>
      </c>
      <c r="C1328" s="8">
        <v>55000000</v>
      </c>
      <c r="E1328" s="50">
        <f t="shared" ref="E1328:E1392" si="27">E1327-C1328+D1328</f>
        <v>1428639568.1199999</v>
      </c>
      <c r="F1328" s="81" t="s">
        <v>2882</v>
      </c>
      <c r="G1328" s="14" t="s">
        <v>138</v>
      </c>
      <c r="H1328" s="14" t="s">
        <v>2279</v>
      </c>
    </row>
    <row r="1329" spans="1:10">
      <c r="A1329" s="3">
        <v>44503</v>
      </c>
      <c r="B1329" s="7" t="s">
        <v>2686</v>
      </c>
      <c r="C1329" s="8">
        <v>1895400</v>
      </c>
      <c r="E1329" s="50">
        <f t="shared" si="27"/>
        <v>1426744168.1199999</v>
      </c>
      <c r="F1329" s="81" t="s">
        <v>2882</v>
      </c>
      <c r="G1329" s="14" t="s">
        <v>138</v>
      </c>
      <c r="H1329" s="14" t="s">
        <v>2279</v>
      </c>
    </row>
    <row r="1330" spans="1:10">
      <c r="A1330" s="3">
        <v>44503</v>
      </c>
      <c r="B1330" s="7" t="s">
        <v>2687</v>
      </c>
      <c r="C1330" s="8">
        <v>501000</v>
      </c>
      <c r="E1330" s="50">
        <f t="shared" si="27"/>
        <v>1426243168.1199999</v>
      </c>
      <c r="F1330" s="81" t="s">
        <v>2882</v>
      </c>
      <c r="G1330" s="14" t="s">
        <v>138</v>
      </c>
      <c r="H1330" s="14" t="s">
        <v>2991</v>
      </c>
    </row>
    <row r="1331" spans="1:10">
      <c r="A1331" s="3">
        <v>44503</v>
      </c>
      <c r="B1331" s="7" t="s">
        <v>2688</v>
      </c>
      <c r="C1331" s="8">
        <v>400000</v>
      </c>
      <c r="E1331" s="50">
        <f t="shared" si="27"/>
        <v>1425843168.1199999</v>
      </c>
      <c r="F1331" s="81" t="s">
        <v>2882</v>
      </c>
      <c r="G1331" s="14" t="s">
        <v>138</v>
      </c>
      <c r="H1331" s="14" t="s">
        <v>2279</v>
      </c>
    </row>
    <row r="1332" spans="1:10">
      <c r="A1332" s="3">
        <v>44503</v>
      </c>
      <c r="B1332" s="7" t="s">
        <v>2689</v>
      </c>
      <c r="C1332" s="8">
        <v>112810800</v>
      </c>
      <c r="E1332" s="50">
        <f t="shared" si="27"/>
        <v>1313032368.1199999</v>
      </c>
      <c r="F1332" s="81" t="s">
        <v>2882</v>
      </c>
      <c r="G1332" s="14" t="s">
        <v>138</v>
      </c>
      <c r="H1332" s="14" t="s">
        <v>2279</v>
      </c>
    </row>
    <row r="1333" spans="1:10">
      <c r="A1333" s="3">
        <v>44503</v>
      </c>
      <c r="B1333" s="7" t="s">
        <v>1265</v>
      </c>
      <c r="C1333" s="8">
        <v>50000000</v>
      </c>
      <c r="E1333" s="50">
        <f t="shared" si="27"/>
        <v>1263032368.1199999</v>
      </c>
      <c r="F1333" t="s">
        <v>107</v>
      </c>
      <c r="G1333" t="s">
        <v>109</v>
      </c>
      <c r="H1333" s="14"/>
    </row>
    <row r="1334" spans="1:10">
      <c r="A1334" s="3">
        <v>44503</v>
      </c>
      <c r="B1334" s="7" t="s">
        <v>1266</v>
      </c>
      <c r="C1334" s="8">
        <v>6500</v>
      </c>
      <c r="E1334" s="50">
        <f t="shared" si="27"/>
        <v>1263025868.1199999</v>
      </c>
      <c r="F1334" s="83" t="s">
        <v>113</v>
      </c>
      <c r="G1334" s="14" t="s">
        <v>114</v>
      </c>
      <c r="H1334" s="14"/>
    </row>
    <row r="1335" spans="1:10">
      <c r="A1335" s="3">
        <v>44504</v>
      </c>
      <c r="B1335" s="7" t="s">
        <v>2690</v>
      </c>
      <c r="C1335" s="8">
        <v>14326000</v>
      </c>
      <c r="E1335" s="50">
        <f t="shared" si="27"/>
        <v>1248699868.1199999</v>
      </c>
      <c r="F1335" s="83" t="s">
        <v>107</v>
      </c>
      <c r="G1335" s="14" t="s">
        <v>250</v>
      </c>
      <c r="H1335" s="14"/>
    </row>
    <row r="1336" spans="1:10">
      <c r="A1336" s="3">
        <v>44504</v>
      </c>
      <c r="B1336" s="7" t="s">
        <v>2691</v>
      </c>
      <c r="C1336" s="8">
        <v>0</v>
      </c>
      <c r="D1336" s="8">
        <v>14326000</v>
      </c>
      <c r="E1336" s="50">
        <f t="shared" si="27"/>
        <v>1263025868.1199999</v>
      </c>
      <c r="F1336" s="83" t="s">
        <v>107</v>
      </c>
      <c r="G1336" s="14" t="s">
        <v>250</v>
      </c>
      <c r="H1336" s="14"/>
    </row>
    <row r="1337" spans="1:10">
      <c r="A1337" s="3">
        <v>44504</v>
      </c>
      <c r="B1337" s="7" t="s">
        <v>4485</v>
      </c>
      <c r="C1337" s="54">
        <v>141900000</v>
      </c>
      <c r="D1337" s="54"/>
      <c r="E1337" s="53">
        <f t="shared" si="27"/>
        <v>1121125868.1199999</v>
      </c>
      <c r="F1337" s="80" t="s">
        <v>115</v>
      </c>
      <c r="G1337" s="14" t="s">
        <v>122</v>
      </c>
      <c r="H1337" s="14" t="s">
        <v>123</v>
      </c>
    </row>
    <row r="1338" spans="1:10">
      <c r="A1338" s="3">
        <v>44504</v>
      </c>
      <c r="B1338" s="7" t="s">
        <v>4485</v>
      </c>
      <c r="C1338" s="54">
        <f>143260000-C1337</f>
        <v>1360000</v>
      </c>
      <c r="D1338" s="54"/>
      <c r="E1338" s="53">
        <f t="shared" si="27"/>
        <v>1119765868.1199999</v>
      </c>
      <c r="F1338" s="80" t="s">
        <v>113</v>
      </c>
      <c r="G1338" s="14" t="s">
        <v>478</v>
      </c>
      <c r="H1338" s="14" t="s">
        <v>64</v>
      </c>
    </row>
    <row r="1339" spans="1:10" s="14" customFormat="1">
      <c r="A1339" s="138">
        <v>44505</v>
      </c>
      <c r="B1339" s="49" t="s">
        <v>2692</v>
      </c>
      <c r="C1339" s="53">
        <v>2628106</v>
      </c>
      <c r="D1339" s="53"/>
      <c r="E1339" s="50">
        <f t="shared" si="27"/>
        <v>1117137762.1199999</v>
      </c>
      <c r="F1339" s="80" t="s">
        <v>107</v>
      </c>
      <c r="G1339" s="14" t="s">
        <v>666</v>
      </c>
      <c r="H1339" s="14" t="s">
        <v>140</v>
      </c>
    </row>
    <row r="1340" spans="1:10">
      <c r="A1340" s="3">
        <v>44505</v>
      </c>
      <c r="B1340" s="7" t="s">
        <v>7</v>
      </c>
      <c r="C1340" s="8">
        <v>2900</v>
      </c>
      <c r="E1340" s="50">
        <f t="shared" si="27"/>
        <v>1117134862.1199999</v>
      </c>
      <c r="F1340" s="83" t="s">
        <v>113</v>
      </c>
      <c r="G1340" s="14" t="s">
        <v>114</v>
      </c>
      <c r="H1340" s="14"/>
    </row>
    <row r="1341" spans="1:10" s="14" customFormat="1">
      <c r="A1341" s="138">
        <v>44505</v>
      </c>
      <c r="B1341" s="49" t="s">
        <v>2693</v>
      </c>
      <c r="C1341" s="53">
        <v>14433747</v>
      </c>
      <c r="D1341" s="53"/>
      <c r="E1341" s="50">
        <f t="shared" si="27"/>
        <v>1102701115.1199999</v>
      </c>
      <c r="F1341" s="80" t="s">
        <v>107</v>
      </c>
      <c r="G1341" s="14" t="s">
        <v>666</v>
      </c>
      <c r="H1341" s="14" t="s">
        <v>141</v>
      </c>
    </row>
    <row r="1342" spans="1:10">
      <c r="A1342" s="3">
        <v>44505</v>
      </c>
      <c r="B1342" s="7" t="s">
        <v>7</v>
      </c>
      <c r="C1342" s="8">
        <v>2900</v>
      </c>
      <c r="E1342" s="50">
        <f t="shared" si="27"/>
        <v>1102698215.1199999</v>
      </c>
      <c r="F1342" s="83" t="s">
        <v>113</v>
      </c>
      <c r="G1342" s="14" t="s">
        <v>114</v>
      </c>
      <c r="H1342" s="14"/>
    </row>
    <row r="1343" spans="1:10" s="14" customFormat="1">
      <c r="A1343" s="138">
        <v>44505</v>
      </c>
      <c r="B1343" s="49" t="s">
        <v>2694</v>
      </c>
      <c r="C1343" s="53">
        <v>7251872</v>
      </c>
      <c r="D1343" s="53"/>
      <c r="E1343" s="50">
        <f t="shared" si="27"/>
        <v>1095446343.1199999</v>
      </c>
      <c r="F1343" s="80" t="s">
        <v>107</v>
      </c>
      <c r="G1343" s="14" t="s">
        <v>666</v>
      </c>
      <c r="H1343" s="14" t="s">
        <v>141</v>
      </c>
      <c r="I1343" s="14" t="s">
        <v>114</v>
      </c>
      <c r="J1343" s="14" t="s">
        <v>64</v>
      </c>
    </row>
    <row r="1344" spans="1:10">
      <c r="A1344" s="3">
        <v>44505</v>
      </c>
      <c r="B1344" s="7" t="s">
        <v>7</v>
      </c>
      <c r="C1344" s="8">
        <v>2900</v>
      </c>
      <c r="E1344" s="50">
        <f t="shared" si="27"/>
        <v>1095443443.1199999</v>
      </c>
      <c r="F1344" s="83" t="s">
        <v>113</v>
      </c>
      <c r="G1344" s="14" t="s">
        <v>114</v>
      </c>
      <c r="H1344" s="14"/>
    </row>
    <row r="1345" spans="1:9" s="14" customFormat="1">
      <c r="A1345" s="138">
        <v>44505</v>
      </c>
      <c r="B1345" s="49" t="s">
        <v>2695</v>
      </c>
      <c r="C1345" s="53">
        <v>3486243</v>
      </c>
      <c r="D1345" s="53"/>
      <c r="E1345" s="50">
        <f t="shared" si="27"/>
        <v>1091957200.1199999</v>
      </c>
      <c r="F1345" s="80" t="s">
        <v>107</v>
      </c>
      <c r="G1345" s="14" t="s">
        <v>666</v>
      </c>
      <c r="H1345" s="14" t="s">
        <v>140</v>
      </c>
    </row>
    <row r="1346" spans="1:9">
      <c r="A1346" s="3">
        <v>44505</v>
      </c>
      <c r="B1346" s="7" t="s">
        <v>7</v>
      </c>
      <c r="C1346" s="8">
        <v>2900</v>
      </c>
      <c r="E1346" s="50">
        <f t="shared" si="27"/>
        <v>1091954300.1199999</v>
      </c>
      <c r="F1346" s="83" t="s">
        <v>113</v>
      </c>
      <c r="G1346" s="14" t="s">
        <v>114</v>
      </c>
      <c r="H1346" s="14"/>
    </row>
    <row r="1347" spans="1:9" s="14" customFormat="1">
      <c r="A1347" s="138">
        <v>44505</v>
      </c>
      <c r="B1347" s="49" t="s">
        <v>2696</v>
      </c>
      <c r="C1347" s="53">
        <v>126860622</v>
      </c>
      <c r="D1347" s="53"/>
      <c r="E1347" s="53">
        <f t="shared" si="27"/>
        <v>965093678.11999989</v>
      </c>
      <c r="F1347" s="80" t="s">
        <v>107</v>
      </c>
      <c r="G1347" s="14" t="s">
        <v>666</v>
      </c>
      <c r="H1347" s="14" t="s">
        <v>142</v>
      </c>
    </row>
    <row r="1348" spans="1:9">
      <c r="A1348" s="3">
        <v>44505</v>
      </c>
      <c r="B1348" s="7" t="s">
        <v>7</v>
      </c>
      <c r="C1348" s="8">
        <v>2900</v>
      </c>
      <c r="E1348" s="50">
        <f t="shared" si="27"/>
        <v>965090778.11999989</v>
      </c>
      <c r="F1348" s="83" t="s">
        <v>113</v>
      </c>
      <c r="G1348" s="14" t="s">
        <v>114</v>
      </c>
      <c r="H1348" s="14"/>
    </row>
    <row r="1349" spans="1:9">
      <c r="A1349" s="3">
        <v>44505</v>
      </c>
      <c r="B1349" s="7" t="s">
        <v>2697</v>
      </c>
      <c r="C1349" s="8">
        <v>20000000</v>
      </c>
      <c r="E1349" s="50">
        <f t="shared" si="27"/>
        <v>945090778.11999989</v>
      </c>
      <c r="F1349" s="81" t="s">
        <v>2882</v>
      </c>
      <c r="G1349" s="14" t="s">
        <v>138</v>
      </c>
      <c r="H1349" s="14" t="s">
        <v>2985</v>
      </c>
    </row>
    <row r="1350" spans="1:9">
      <c r="A1350" s="3">
        <v>44508</v>
      </c>
      <c r="B1350" s="7" t="s">
        <v>2698</v>
      </c>
      <c r="C1350" s="8">
        <v>500000000</v>
      </c>
      <c r="E1350" s="50">
        <f t="shared" si="27"/>
        <v>445090778.11999989</v>
      </c>
      <c r="F1350" s="83" t="s">
        <v>115</v>
      </c>
      <c r="G1350" s="14" t="s">
        <v>122</v>
      </c>
      <c r="H1350" s="14" t="s">
        <v>149</v>
      </c>
    </row>
    <row r="1351" spans="1:9">
      <c r="A1351" s="3">
        <v>44508</v>
      </c>
      <c r="B1351" s="7" t="s">
        <v>7</v>
      </c>
      <c r="C1351" s="8">
        <v>2900</v>
      </c>
      <c r="E1351" s="50">
        <f t="shared" si="27"/>
        <v>445087878.11999989</v>
      </c>
      <c r="F1351" s="83" t="s">
        <v>113</v>
      </c>
      <c r="G1351" s="14" t="s">
        <v>114</v>
      </c>
      <c r="H1351" s="14"/>
    </row>
    <row r="1352" spans="1:9">
      <c r="A1352" s="3">
        <v>44509</v>
      </c>
      <c r="B1352" s="7" t="s">
        <v>2699</v>
      </c>
      <c r="C1352" s="8">
        <v>23000000</v>
      </c>
      <c r="E1352" s="50">
        <f t="shared" si="27"/>
        <v>422087878.11999989</v>
      </c>
      <c r="F1352" s="83" t="s">
        <v>107</v>
      </c>
      <c r="G1352" s="14" t="s">
        <v>666</v>
      </c>
      <c r="H1352" s="14" t="s">
        <v>3405</v>
      </c>
      <c r="I1352" t="s">
        <v>3902</v>
      </c>
    </row>
    <row r="1353" spans="1:9">
      <c r="A1353" s="3">
        <v>44509</v>
      </c>
      <c r="B1353" s="7" t="s">
        <v>2700</v>
      </c>
      <c r="C1353" s="8">
        <v>42978832</v>
      </c>
      <c r="E1353" s="50">
        <f t="shared" si="27"/>
        <v>379109046.11999989</v>
      </c>
      <c r="F1353" s="81" t="s">
        <v>2882</v>
      </c>
      <c r="G1353" s="14" t="s">
        <v>138</v>
      </c>
      <c r="H1353" s="14" t="s">
        <v>2279</v>
      </c>
    </row>
    <row r="1354" spans="1:9" s="14" customFormat="1">
      <c r="A1354" s="138">
        <v>44509</v>
      </c>
      <c r="B1354" s="49" t="s">
        <v>2701</v>
      </c>
      <c r="C1354" s="53">
        <v>800000</v>
      </c>
      <c r="D1354" s="53"/>
      <c r="E1354" s="53">
        <f t="shared" si="27"/>
        <v>378309046.11999989</v>
      </c>
      <c r="F1354" s="81" t="s">
        <v>115</v>
      </c>
      <c r="G1354" s="14" t="s">
        <v>120</v>
      </c>
      <c r="H1354" s="14" t="s">
        <v>127</v>
      </c>
      <c r="I1354" s="14" t="s">
        <v>444</v>
      </c>
    </row>
    <row r="1355" spans="1:9">
      <c r="A1355" s="3">
        <v>44509</v>
      </c>
      <c r="B1355" s="7" t="s">
        <v>2702</v>
      </c>
      <c r="C1355" s="8">
        <v>22500000</v>
      </c>
      <c r="E1355" s="50">
        <f t="shared" si="27"/>
        <v>355809046.11999989</v>
      </c>
      <c r="F1355" s="81" t="s">
        <v>2882</v>
      </c>
      <c r="G1355" s="14" t="s">
        <v>138</v>
      </c>
      <c r="H1355" s="14" t="s">
        <v>3037</v>
      </c>
    </row>
    <row r="1356" spans="1:9">
      <c r="A1356" s="3">
        <v>44509</v>
      </c>
      <c r="B1356" s="7" t="s">
        <v>2703</v>
      </c>
      <c r="C1356" s="8">
        <v>21291472</v>
      </c>
      <c r="E1356" s="50">
        <f t="shared" si="27"/>
        <v>334517574.11999989</v>
      </c>
      <c r="F1356" s="81" t="s">
        <v>2882</v>
      </c>
      <c r="G1356" s="14" t="s">
        <v>138</v>
      </c>
      <c r="H1356" s="14" t="s">
        <v>2278</v>
      </c>
    </row>
    <row r="1357" spans="1:9">
      <c r="A1357" s="3">
        <v>44509</v>
      </c>
      <c r="B1357" s="7" t="s">
        <v>2704</v>
      </c>
      <c r="C1357" s="8">
        <v>23089668</v>
      </c>
      <c r="E1357" s="50">
        <f t="shared" si="27"/>
        <v>311427906.11999989</v>
      </c>
      <c r="F1357" s="81" t="s">
        <v>2882</v>
      </c>
      <c r="G1357" s="14" t="s">
        <v>138</v>
      </c>
      <c r="H1357" s="14" t="s">
        <v>2975</v>
      </c>
    </row>
    <row r="1358" spans="1:9">
      <c r="A1358" s="3">
        <v>44509</v>
      </c>
      <c r="B1358" s="7" t="s">
        <v>2705</v>
      </c>
      <c r="C1358" s="8">
        <v>11960497</v>
      </c>
      <c r="E1358" s="50">
        <f t="shared" si="27"/>
        <v>299467409.11999989</v>
      </c>
      <c r="F1358" s="81" t="s">
        <v>2882</v>
      </c>
      <c r="G1358" s="14" t="s">
        <v>138</v>
      </c>
      <c r="H1358" s="14" t="s">
        <v>2975</v>
      </c>
    </row>
    <row r="1359" spans="1:9">
      <c r="A1359" s="3">
        <v>44509</v>
      </c>
      <c r="B1359" s="7" t="s">
        <v>2706</v>
      </c>
      <c r="C1359" s="8">
        <v>806500</v>
      </c>
      <c r="E1359" s="50">
        <f t="shared" si="27"/>
        <v>298660909.11999989</v>
      </c>
      <c r="F1359" s="81" t="s">
        <v>2882</v>
      </c>
      <c r="G1359" s="14" t="s">
        <v>138</v>
      </c>
      <c r="H1359" s="14" t="s">
        <v>4388</v>
      </c>
    </row>
    <row r="1360" spans="1:9">
      <c r="A1360" s="3">
        <v>44509</v>
      </c>
      <c r="B1360" s="7" t="s">
        <v>2707</v>
      </c>
      <c r="C1360" s="8">
        <v>29050000</v>
      </c>
      <c r="E1360" s="50">
        <f t="shared" si="27"/>
        <v>269610909.11999989</v>
      </c>
      <c r="F1360" s="81" t="s">
        <v>2882</v>
      </c>
      <c r="G1360" s="14" t="s">
        <v>138</v>
      </c>
      <c r="H1360" s="14" t="s">
        <v>2279</v>
      </c>
    </row>
    <row r="1361" spans="1:12">
      <c r="A1361" s="3">
        <v>44509</v>
      </c>
      <c r="B1361" s="7" t="s">
        <v>2708</v>
      </c>
      <c r="C1361" s="8">
        <v>32000000</v>
      </c>
      <c r="E1361" s="50">
        <f t="shared" si="27"/>
        <v>237610909.11999989</v>
      </c>
      <c r="F1361" s="81" t="s">
        <v>2882</v>
      </c>
      <c r="G1361" s="14" t="s">
        <v>138</v>
      </c>
      <c r="H1361" s="14" t="s">
        <v>2279</v>
      </c>
    </row>
    <row r="1362" spans="1:12">
      <c r="A1362" s="3">
        <v>44509</v>
      </c>
      <c r="B1362" s="7" t="s">
        <v>2709</v>
      </c>
      <c r="C1362" s="8">
        <v>30833000</v>
      </c>
      <c r="E1362" s="50">
        <f t="shared" si="27"/>
        <v>206777909.11999989</v>
      </c>
      <c r="F1362" s="81" t="s">
        <v>107</v>
      </c>
      <c r="G1362" s="14" t="s">
        <v>666</v>
      </c>
      <c r="H1362" s="14" t="s">
        <v>3405</v>
      </c>
      <c r="I1362" t="s">
        <v>3835</v>
      </c>
    </row>
    <row r="1363" spans="1:12">
      <c r="A1363" s="3">
        <v>44509</v>
      </c>
      <c r="B1363" s="7" t="s">
        <v>2710</v>
      </c>
      <c r="C1363" s="8">
        <v>9100000</v>
      </c>
      <c r="E1363" s="50">
        <f t="shared" si="27"/>
        <v>197677909.11999989</v>
      </c>
      <c r="F1363" s="81" t="s">
        <v>2882</v>
      </c>
      <c r="G1363" s="14" t="s">
        <v>138</v>
      </c>
      <c r="H1363" s="14" t="s">
        <v>2982</v>
      </c>
    </row>
    <row r="1364" spans="1:12">
      <c r="A1364" s="3">
        <v>44509</v>
      </c>
      <c r="B1364" s="7" t="s">
        <v>2711</v>
      </c>
      <c r="C1364" s="8">
        <v>6300000</v>
      </c>
      <c r="E1364" s="50">
        <f t="shared" si="27"/>
        <v>191377909.11999989</v>
      </c>
      <c r="F1364" s="81" t="s">
        <v>2882</v>
      </c>
      <c r="G1364" s="14" t="s">
        <v>138</v>
      </c>
      <c r="H1364" s="14" t="s">
        <v>3038</v>
      </c>
    </row>
    <row r="1365" spans="1:12">
      <c r="A1365" s="3">
        <v>44509</v>
      </c>
      <c r="B1365" s="7" t="s">
        <v>2712</v>
      </c>
      <c r="C1365" s="8">
        <v>4500000</v>
      </c>
      <c r="E1365" s="50">
        <f t="shared" si="27"/>
        <v>186877909.11999989</v>
      </c>
      <c r="F1365" s="81" t="s">
        <v>2882</v>
      </c>
      <c r="G1365" s="14" t="s">
        <v>138</v>
      </c>
      <c r="H1365" s="14" t="s">
        <v>3037</v>
      </c>
    </row>
    <row r="1366" spans="1:12">
      <c r="A1366" s="3">
        <v>44509</v>
      </c>
      <c r="B1366" s="7" t="s">
        <v>2713</v>
      </c>
      <c r="C1366" s="8">
        <v>1500000</v>
      </c>
      <c r="E1366" s="50">
        <f t="shared" si="27"/>
        <v>185377909.11999989</v>
      </c>
      <c r="F1366" s="81" t="s">
        <v>2882</v>
      </c>
      <c r="G1366" s="14" t="s">
        <v>138</v>
      </c>
      <c r="H1366" s="14" t="s">
        <v>3037</v>
      </c>
    </row>
    <row r="1367" spans="1:12">
      <c r="A1367" s="3">
        <v>44509</v>
      </c>
      <c r="B1367" s="7" t="s">
        <v>2714</v>
      </c>
      <c r="C1367" s="8">
        <v>800000</v>
      </c>
      <c r="E1367" s="50">
        <f t="shared" si="27"/>
        <v>184577909.11999989</v>
      </c>
      <c r="F1367" s="81" t="s">
        <v>2882</v>
      </c>
      <c r="G1367" s="14" t="s">
        <v>138</v>
      </c>
      <c r="H1367" s="14" t="s">
        <v>2279</v>
      </c>
      <c r="J1367" s="10" t="s">
        <v>4150</v>
      </c>
      <c r="K1367" t="s">
        <v>622</v>
      </c>
      <c r="L1367" s="10">
        <v>2021</v>
      </c>
    </row>
    <row r="1368" spans="1:12">
      <c r="A1368" s="3">
        <v>44509</v>
      </c>
      <c r="B1368" s="7" t="s">
        <v>2715</v>
      </c>
      <c r="C1368" s="8">
        <v>800000</v>
      </c>
      <c r="E1368" s="50">
        <f t="shared" si="27"/>
        <v>183777909.11999989</v>
      </c>
      <c r="F1368" s="81" t="s">
        <v>2882</v>
      </c>
      <c r="G1368" s="14" t="s">
        <v>138</v>
      </c>
      <c r="H1368" s="14" t="s">
        <v>3025</v>
      </c>
      <c r="J1368" s="10" t="s">
        <v>4150</v>
      </c>
      <c r="K1368" t="s">
        <v>622</v>
      </c>
      <c r="L1368" s="10">
        <v>2021</v>
      </c>
    </row>
    <row r="1369" spans="1:12">
      <c r="A1369" s="3">
        <v>44509</v>
      </c>
      <c r="B1369" s="7" t="s">
        <v>2716</v>
      </c>
      <c r="C1369" s="8">
        <v>800000</v>
      </c>
      <c r="E1369" s="50">
        <f t="shared" si="27"/>
        <v>182977909.11999989</v>
      </c>
      <c r="F1369" s="81" t="s">
        <v>2882</v>
      </c>
      <c r="G1369" s="14" t="s">
        <v>138</v>
      </c>
      <c r="H1369" s="14" t="s">
        <v>3025</v>
      </c>
      <c r="J1369" s="10" t="s">
        <v>4150</v>
      </c>
      <c r="K1369" t="s">
        <v>4152</v>
      </c>
      <c r="L1369" s="10">
        <v>2021</v>
      </c>
    </row>
    <row r="1370" spans="1:12">
      <c r="A1370" s="3">
        <v>44509</v>
      </c>
      <c r="B1370" s="7" t="s">
        <v>2717</v>
      </c>
      <c r="C1370" s="8">
        <v>800000</v>
      </c>
      <c r="E1370" s="50">
        <f t="shared" si="27"/>
        <v>182177909.11999989</v>
      </c>
      <c r="F1370" s="81" t="s">
        <v>2882</v>
      </c>
      <c r="G1370" s="14" t="s">
        <v>138</v>
      </c>
      <c r="H1370" s="14" t="s">
        <v>3025</v>
      </c>
      <c r="J1370" s="10" t="s">
        <v>4150</v>
      </c>
      <c r="K1370" t="s">
        <v>459</v>
      </c>
      <c r="L1370" s="10">
        <v>2021</v>
      </c>
    </row>
    <row r="1371" spans="1:12">
      <c r="A1371" s="3">
        <v>44509</v>
      </c>
      <c r="B1371" s="7" t="s">
        <v>2718</v>
      </c>
      <c r="C1371" s="8">
        <v>400000</v>
      </c>
      <c r="E1371" s="50">
        <f t="shared" si="27"/>
        <v>181777909.11999989</v>
      </c>
      <c r="F1371" s="81" t="s">
        <v>2882</v>
      </c>
      <c r="G1371" s="14" t="s">
        <v>138</v>
      </c>
      <c r="H1371" s="14" t="s">
        <v>3025</v>
      </c>
      <c r="J1371" s="10" t="s">
        <v>4150</v>
      </c>
      <c r="K1371" t="s">
        <v>119</v>
      </c>
      <c r="L1371" s="10">
        <v>2021</v>
      </c>
    </row>
    <row r="1372" spans="1:12">
      <c r="A1372" s="3">
        <v>44509</v>
      </c>
      <c r="B1372" s="7" t="s">
        <v>2719</v>
      </c>
      <c r="C1372" s="8">
        <v>800000</v>
      </c>
      <c r="E1372" s="50">
        <f t="shared" si="27"/>
        <v>180977909.11999989</v>
      </c>
      <c r="F1372" s="81" t="s">
        <v>2882</v>
      </c>
      <c r="G1372" s="14" t="s">
        <v>138</v>
      </c>
      <c r="H1372" s="14" t="s">
        <v>3025</v>
      </c>
      <c r="J1372" s="10" t="s">
        <v>4150</v>
      </c>
      <c r="K1372" t="s">
        <v>4148</v>
      </c>
      <c r="L1372" s="10">
        <v>2021</v>
      </c>
    </row>
    <row r="1373" spans="1:12">
      <c r="A1373" s="3">
        <v>44509</v>
      </c>
      <c r="B1373" s="7" t="s">
        <v>2720</v>
      </c>
      <c r="C1373" s="8">
        <v>300000</v>
      </c>
      <c r="E1373" s="50">
        <f t="shared" si="27"/>
        <v>180677909.11999989</v>
      </c>
      <c r="F1373" s="81" t="s">
        <v>2882</v>
      </c>
      <c r="G1373" s="14" t="s">
        <v>138</v>
      </c>
      <c r="H1373" s="14" t="s">
        <v>3025</v>
      </c>
      <c r="J1373" s="10" t="s">
        <v>4150</v>
      </c>
      <c r="K1373" t="s">
        <v>2083</v>
      </c>
      <c r="L1373" s="10">
        <v>2021</v>
      </c>
    </row>
    <row r="1374" spans="1:12">
      <c r="A1374" s="3">
        <v>44509</v>
      </c>
      <c r="B1374" s="7" t="s">
        <v>2721</v>
      </c>
      <c r="C1374" s="8">
        <v>896000</v>
      </c>
      <c r="E1374" s="50">
        <f t="shared" si="27"/>
        <v>179781909.11999989</v>
      </c>
      <c r="F1374" s="81" t="s">
        <v>2882</v>
      </c>
      <c r="G1374" s="14" t="s">
        <v>138</v>
      </c>
      <c r="H1374" s="14" t="s">
        <v>2279</v>
      </c>
    </row>
    <row r="1375" spans="1:12">
      <c r="A1375" s="3">
        <v>44509</v>
      </c>
      <c r="B1375" s="7" t="s">
        <v>2722</v>
      </c>
      <c r="C1375" s="8">
        <v>3500000</v>
      </c>
      <c r="E1375" s="50">
        <f t="shared" si="27"/>
        <v>176281909.11999989</v>
      </c>
      <c r="F1375" s="81" t="s">
        <v>2882</v>
      </c>
      <c r="G1375" s="14" t="s">
        <v>138</v>
      </c>
      <c r="H1375" s="14" t="s">
        <v>3016</v>
      </c>
    </row>
    <row r="1376" spans="1:12">
      <c r="A1376" s="3">
        <v>44509</v>
      </c>
      <c r="B1376" s="7" t="s">
        <v>2723</v>
      </c>
      <c r="C1376" s="8">
        <v>747500</v>
      </c>
      <c r="E1376" s="50">
        <f t="shared" si="27"/>
        <v>175534409.11999989</v>
      </c>
      <c r="F1376" s="83" t="s">
        <v>319</v>
      </c>
      <c r="G1376" s="14" t="s">
        <v>244</v>
      </c>
      <c r="H1376" s="14"/>
    </row>
    <row r="1377" spans="1:9">
      <c r="A1377" s="3">
        <v>44509</v>
      </c>
      <c r="B1377" s="7" t="s">
        <v>1265</v>
      </c>
      <c r="C1377" s="8">
        <v>50000000</v>
      </c>
      <c r="E1377" s="50">
        <f t="shared" si="27"/>
        <v>125534409.11999989</v>
      </c>
      <c r="F1377" t="s">
        <v>107</v>
      </c>
      <c r="G1377" t="s">
        <v>109</v>
      </c>
      <c r="H1377" s="14"/>
    </row>
    <row r="1378" spans="1:9">
      <c r="A1378" s="3">
        <v>44509</v>
      </c>
      <c r="B1378" s="7" t="s">
        <v>1266</v>
      </c>
      <c r="C1378" s="8">
        <v>6500</v>
      </c>
      <c r="E1378" s="50">
        <f t="shared" si="27"/>
        <v>125527909.11999989</v>
      </c>
      <c r="F1378" s="83" t="s">
        <v>113</v>
      </c>
      <c r="G1378" s="14" t="s">
        <v>114</v>
      </c>
      <c r="H1378" s="14"/>
    </row>
    <row r="1379" spans="1:9">
      <c r="A1379" s="3">
        <v>44509</v>
      </c>
      <c r="B1379" s="7" t="s">
        <v>2724</v>
      </c>
      <c r="C1379" s="8">
        <v>4000000</v>
      </c>
      <c r="E1379" s="50">
        <f t="shared" si="27"/>
        <v>121527909.11999989</v>
      </c>
      <c r="F1379" s="83" t="s">
        <v>107</v>
      </c>
      <c r="G1379" s="14" t="s">
        <v>666</v>
      </c>
      <c r="H1379" s="14" t="s">
        <v>3405</v>
      </c>
      <c r="I1379" t="s">
        <v>3903</v>
      </c>
    </row>
    <row r="1380" spans="1:9">
      <c r="A1380" s="3">
        <v>44510</v>
      </c>
      <c r="B1380" s="7" t="s">
        <v>2725</v>
      </c>
      <c r="C1380" s="8">
        <v>6369866</v>
      </c>
      <c r="E1380" s="50">
        <f t="shared" si="27"/>
        <v>115158043.11999989</v>
      </c>
      <c r="F1380" s="83" t="s">
        <v>113</v>
      </c>
      <c r="G1380" s="14" t="s">
        <v>478</v>
      </c>
      <c r="H1380" s="14"/>
    </row>
    <row r="1381" spans="1:9">
      <c r="A1381" s="3">
        <v>44510</v>
      </c>
      <c r="B1381" s="7" t="s">
        <v>7</v>
      </c>
      <c r="C1381" s="8">
        <v>2900</v>
      </c>
      <c r="E1381" s="50">
        <f t="shared" si="27"/>
        <v>115155143.11999989</v>
      </c>
      <c r="F1381" s="83" t="s">
        <v>113</v>
      </c>
      <c r="G1381" s="14" t="s">
        <v>114</v>
      </c>
      <c r="H1381" s="14"/>
    </row>
    <row r="1382" spans="1:9">
      <c r="A1382" s="3">
        <v>44510</v>
      </c>
      <c r="B1382" s="7" t="s">
        <v>2726</v>
      </c>
      <c r="C1382" s="8">
        <v>10000000</v>
      </c>
      <c r="E1382" s="50">
        <f t="shared" si="27"/>
        <v>105155143.11999989</v>
      </c>
      <c r="F1382" s="83" t="s">
        <v>115</v>
      </c>
      <c r="G1382" s="14" t="s">
        <v>122</v>
      </c>
      <c r="H1382" s="14" t="s">
        <v>247</v>
      </c>
    </row>
    <row r="1383" spans="1:9">
      <c r="A1383" s="3">
        <v>44510</v>
      </c>
      <c r="B1383" s="7" t="s">
        <v>2727</v>
      </c>
      <c r="C1383" s="8">
        <v>8200000</v>
      </c>
      <c r="E1383" s="50">
        <f t="shared" si="27"/>
        <v>96955143.119999886</v>
      </c>
      <c r="F1383" s="83" t="s">
        <v>319</v>
      </c>
      <c r="G1383" s="14" t="s">
        <v>647</v>
      </c>
      <c r="H1383" s="14"/>
    </row>
    <row r="1384" spans="1:9">
      <c r="A1384" s="3">
        <v>44511</v>
      </c>
      <c r="B1384" s="7" t="s">
        <v>25</v>
      </c>
      <c r="D1384" s="8">
        <v>33250000</v>
      </c>
      <c r="E1384" s="50">
        <f t="shared" si="27"/>
        <v>130205143.11999989</v>
      </c>
      <c r="F1384" s="83" t="s">
        <v>107</v>
      </c>
      <c r="G1384" s="14" t="s">
        <v>108</v>
      </c>
      <c r="H1384" s="14"/>
    </row>
    <row r="1385" spans="1:9">
      <c r="A1385" s="3">
        <v>44511</v>
      </c>
      <c r="B1385" s="7" t="s">
        <v>278</v>
      </c>
      <c r="D1385" s="8">
        <v>20685000</v>
      </c>
      <c r="E1385" s="50">
        <f t="shared" si="27"/>
        <v>150890143.11999989</v>
      </c>
      <c r="F1385" s="83" t="s">
        <v>107</v>
      </c>
      <c r="G1385" s="14" t="s">
        <v>254</v>
      </c>
      <c r="H1385" s="14"/>
    </row>
    <row r="1386" spans="1:9">
      <c r="A1386" s="3">
        <v>44511</v>
      </c>
      <c r="B1386" s="7" t="s">
        <v>12</v>
      </c>
      <c r="D1386" s="8">
        <v>10000000</v>
      </c>
      <c r="E1386" s="50">
        <f t="shared" si="27"/>
        <v>160890143.11999989</v>
      </c>
      <c r="F1386" s="83" t="s">
        <v>115</v>
      </c>
      <c r="G1386" s="14" t="s">
        <v>122</v>
      </c>
      <c r="H1386" s="14" t="s">
        <v>123</v>
      </c>
    </row>
    <row r="1387" spans="1:9" s="14" customFormat="1">
      <c r="A1387" s="138">
        <v>44511</v>
      </c>
      <c r="B1387" s="49" t="s">
        <v>4417</v>
      </c>
      <c r="C1387" s="53">
        <v>160000000</v>
      </c>
      <c r="D1387" s="53"/>
      <c r="E1387" s="53">
        <f t="shared" si="27"/>
        <v>890143.11999988556</v>
      </c>
      <c r="F1387" s="14" t="s">
        <v>107</v>
      </c>
      <c r="G1387" s="14" t="s">
        <v>2886</v>
      </c>
      <c r="H1387" s="14" t="s">
        <v>64</v>
      </c>
    </row>
    <row r="1388" spans="1:9">
      <c r="A1388" s="3">
        <v>44512</v>
      </c>
      <c r="B1388" s="7" t="s">
        <v>25</v>
      </c>
      <c r="D1388" s="8">
        <v>261950000</v>
      </c>
      <c r="E1388" s="50">
        <f t="shared" si="27"/>
        <v>262840143.11999989</v>
      </c>
      <c r="F1388" s="83" t="s">
        <v>107</v>
      </c>
      <c r="G1388" s="14" t="s">
        <v>108</v>
      </c>
      <c r="H1388" s="14"/>
    </row>
    <row r="1389" spans="1:9">
      <c r="A1389" s="3">
        <v>44512</v>
      </c>
      <c r="B1389" s="7" t="s">
        <v>2728</v>
      </c>
      <c r="C1389" s="8">
        <v>1000000</v>
      </c>
      <c r="E1389" s="50">
        <f t="shared" si="27"/>
        <v>261840143.11999989</v>
      </c>
      <c r="F1389" s="83" t="s">
        <v>107</v>
      </c>
      <c r="G1389" s="14" t="s">
        <v>666</v>
      </c>
      <c r="H1389" s="14" t="s">
        <v>3405</v>
      </c>
      <c r="I1389" t="s">
        <v>3905</v>
      </c>
    </row>
    <row r="1390" spans="1:9">
      <c r="A1390" s="3">
        <v>44512</v>
      </c>
      <c r="B1390" s="7" t="s">
        <v>12</v>
      </c>
      <c r="D1390" s="8">
        <v>133170000</v>
      </c>
      <c r="E1390" s="50">
        <f t="shared" si="27"/>
        <v>395010143.11999989</v>
      </c>
      <c r="F1390" s="83" t="s">
        <v>115</v>
      </c>
      <c r="G1390" s="14" t="s">
        <v>122</v>
      </c>
      <c r="H1390" s="14" t="s">
        <v>123</v>
      </c>
    </row>
    <row r="1391" spans="1:9">
      <c r="A1391" s="3">
        <v>44512</v>
      </c>
      <c r="B1391" s="7" t="s">
        <v>2729</v>
      </c>
      <c r="C1391" s="8">
        <v>394960000</v>
      </c>
      <c r="E1391" s="50">
        <f t="shared" si="27"/>
        <v>50143.119999885559</v>
      </c>
      <c r="F1391" s="81" t="s">
        <v>2882</v>
      </c>
      <c r="G1391" s="14" t="s">
        <v>138</v>
      </c>
      <c r="H1391" s="14" t="s">
        <v>2992</v>
      </c>
    </row>
    <row r="1392" spans="1:9">
      <c r="A1392" s="3">
        <v>44515</v>
      </c>
      <c r="B1392" s="7" t="s">
        <v>12</v>
      </c>
      <c r="D1392" s="8">
        <v>15000000</v>
      </c>
      <c r="E1392" s="50">
        <f t="shared" si="27"/>
        <v>15050143.119999886</v>
      </c>
      <c r="F1392" s="83" t="s">
        <v>115</v>
      </c>
      <c r="G1392" s="14" t="s">
        <v>122</v>
      </c>
      <c r="H1392" s="14" t="s">
        <v>123</v>
      </c>
    </row>
    <row r="1393" spans="1:9">
      <c r="A1393" s="3">
        <v>44515</v>
      </c>
      <c r="B1393" s="7" t="s">
        <v>2730</v>
      </c>
      <c r="C1393" s="8">
        <v>15000000</v>
      </c>
      <c r="E1393" s="50">
        <f t="shared" ref="E1393:E1458" si="28">E1392-C1393+D1393</f>
        <v>50143.119999885559</v>
      </c>
      <c r="F1393" s="83" t="s">
        <v>107</v>
      </c>
      <c r="G1393" s="14" t="s">
        <v>666</v>
      </c>
      <c r="H1393" t="s">
        <v>3915</v>
      </c>
      <c r="I1393" t="s">
        <v>64</v>
      </c>
    </row>
    <row r="1394" spans="1:9">
      <c r="A1394" s="3">
        <v>44515</v>
      </c>
      <c r="B1394" s="7" t="s">
        <v>2731</v>
      </c>
      <c r="D1394" s="8">
        <v>22830000</v>
      </c>
      <c r="E1394" s="50">
        <f t="shared" si="28"/>
        <v>22880143.119999886</v>
      </c>
      <c r="F1394" s="83" t="s">
        <v>107</v>
      </c>
      <c r="G1394" s="14" t="s">
        <v>668</v>
      </c>
      <c r="H1394" s="14" t="s">
        <v>3405</v>
      </c>
      <c r="I1394" t="s">
        <v>3827</v>
      </c>
    </row>
    <row r="1395" spans="1:9">
      <c r="A1395" s="3">
        <v>44515</v>
      </c>
      <c r="B1395" s="7" t="s">
        <v>2732</v>
      </c>
      <c r="C1395" s="8">
        <v>14000000</v>
      </c>
      <c r="E1395" s="50">
        <f t="shared" si="28"/>
        <v>8880143.1199998856</v>
      </c>
      <c r="F1395" s="81" t="s">
        <v>2882</v>
      </c>
      <c r="G1395" s="14" t="s">
        <v>138</v>
      </c>
      <c r="H1395" s="14" t="s">
        <v>3010</v>
      </c>
    </row>
    <row r="1396" spans="1:9">
      <c r="A1396" s="3">
        <v>44515</v>
      </c>
      <c r="B1396" s="7" t="s">
        <v>2733</v>
      </c>
      <c r="C1396" s="8">
        <v>6100000</v>
      </c>
      <c r="E1396" s="50">
        <f t="shared" si="28"/>
        <v>2780143.1199998856</v>
      </c>
      <c r="F1396" s="81" t="s">
        <v>2882</v>
      </c>
      <c r="G1396" s="14" t="s">
        <v>138</v>
      </c>
      <c r="H1396" s="14" t="s">
        <v>3010</v>
      </c>
    </row>
    <row r="1397" spans="1:9">
      <c r="A1397" s="3">
        <v>44516</v>
      </c>
      <c r="B1397" s="7" t="s">
        <v>278</v>
      </c>
      <c r="D1397" s="8">
        <v>300000000</v>
      </c>
      <c r="E1397" s="50">
        <f t="shared" si="28"/>
        <v>302780143.11999989</v>
      </c>
      <c r="F1397" s="83" t="s">
        <v>107</v>
      </c>
      <c r="G1397" s="14" t="s">
        <v>254</v>
      </c>
      <c r="H1397" s="14"/>
    </row>
    <row r="1398" spans="1:9">
      <c r="A1398" s="3">
        <v>44516</v>
      </c>
      <c r="B1398" s="7" t="s">
        <v>2734</v>
      </c>
      <c r="C1398" s="8">
        <v>10000000</v>
      </c>
      <c r="E1398" s="50">
        <f t="shared" si="28"/>
        <v>292780143.11999989</v>
      </c>
      <c r="F1398" s="83" t="s">
        <v>115</v>
      </c>
      <c r="G1398" s="14" t="s">
        <v>122</v>
      </c>
      <c r="H1398" s="14" t="s">
        <v>123</v>
      </c>
    </row>
    <row r="1399" spans="1:9">
      <c r="A1399" s="3">
        <v>44516</v>
      </c>
      <c r="B1399" s="7" t="s">
        <v>2735</v>
      </c>
      <c r="C1399" s="8">
        <v>133170000</v>
      </c>
      <c r="E1399" s="50">
        <f t="shared" si="28"/>
        <v>159610143.11999989</v>
      </c>
      <c r="F1399" s="83" t="s">
        <v>115</v>
      </c>
      <c r="G1399" s="14" t="s">
        <v>122</v>
      </c>
      <c r="H1399" s="14" t="s">
        <v>123</v>
      </c>
    </row>
    <row r="1400" spans="1:9">
      <c r="A1400" s="3">
        <v>44516</v>
      </c>
      <c r="B1400" s="7" t="s">
        <v>2736</v>
      </c>
      <c r="C1400" s="8">
        <v>15000000</v>
      </c>
      <c r="E1400" s="50">
        <f t="shared" si="28"/>
        <v>144610143.11999989</v>
      </c>
      <c r="F1400" s="83" t="s">
        <v>115</v>
      </c>
      <c r="G1400" s="14" t="s">
        <v>122</v>
      </c>
      <c r="H1400" s="14" t="s">
        <v>123</v>
      </c>
    </row>
    <row r="1401" spans="1:9">
      <c r="A1401" s="3">
        <v>44516</v>
      </c>
      <c r="B1401" s="7" t="s">
        <v>2737</v>
      </c>
      <c r="C1401" s="8">
        <v>11960497</v>
      </c>
      <c r="E1401" s="50">
        <f t="shared" si="28"/>
        <v>132649646.11999989</v>
      </c>
      <c r="F1401" s="81" t="s">
        <v>2882</v>
      </c>
      <c r="G1401" s="14" t="s">
        <v>138</v>
      </c>
      <c r="H1401" s="14" t="s">
        <v>2975</v>
      </c>
    </row>
    <row r="1402" spans="1:9" s="14" customFormat="1">
      <c r="A1402" s="138">
        <v>44516</v>
      </c>
      <c r="B1402" s="49" t="s">
        <v>2738</v>
      </c>
      <c r="C1402" s="53">
        <v>503500</v>
      </c>
      <c r="D1402" s="53"/>
      <c r="E1402" s="53">
        <f t="shared" si="28"/>
        <v>132146146.11999989</v>
      </c>
      <c r="F1402" s="80" t="s">
        <v>115</v>
      </c>
      <c r="G1402" s="14" t="s">
        <v>120</v>
      </c>
      <c r="H1402" s="14" t="s">
        <v>127</v>
      </c>
      <c r="I1402" s="14" t="s">
        <v>444</v>
      </c>
    </row>
    <row r="1403" spans="1:9">
      <c r="A1403" s="3">
        <v>44516</v>
      </c>
      <c r="B1403" s="7" t="s">
        <v>2739</v>
      </c>
      <c r="C1403" s="8">
        <v>747500</v>
      </c>
      <c r="E1403" s="50">
        <f t="shared" si="28"/>
        <v>131398646.11999989</v>
      </c>
      <c r="F1403" s="83" t="s">
        <v>319</v>
      </c>
      <c r="G1403" s="14" t="s">
        <v>244</v>
      </c>
      <c r="H1403" s="14"/>
    </row>
    <row r="1404" spans="1:9">
      <c r="A1404" s="3">
        <v>44516</v>
      </c>
      <c r="B1404" s="7" t="s">
        <v>2740</v>
      </c>
      <c r="C1404" s="54">
        <v>3500000</v>
      </c>
      <c r="D1404" s="54">
        <v>0</v>
      </c>
      <c r="E1404" s="53">
        <f t="shared" si="28"/>
        <v>127898646.11999989</v>
      </c>
      <c r="F1404" s="80" t="s">
        <v>319</v>
      </c>
      <c r="G1404" s="14" t="s">
        <v>370</v>
      </c>
      <c r="H1404" s="14"/>
    </row>
    <row r="1405" spans="1:9" s="14" customFormat="1">
      <c r="A1405" s="138">
        <v>44516</v>
      </c>
      <c r="B1405" s="49" t="s">
        <v>2740</v>
      </c>
      <c r="C1405" s="53">
        <v>350000</v>
      </c>
      <c r="D1405" s="53">
        <v>0</v>
      </c>
      <c r="E1405" s="53">
        <f t="shared" si="28"/>
        <v>127548646.11999989</v>
      </c>
      <c r="F1405" s="80" t="s">
        <v>110</v>
      </c>
      <c r="G1405" s="14" t="s">
        <v>616</v>
      </c>
      <c r="H1405" s="14" t="s">
        <v>4621</v>
      </c>
    </row>
    <row r="1406" spans="1:9">
      <c r="A1406" s="3">
        <v>44516</v>
      </c>
      <c r="B1406" s="7" t="s">
        <v>2740</v>
      </c>
      <c r="C1406" s="54">
        <v>0</v>
      </c>
      <c r="D1406" s="54">
        <v>70000</v>
      </c>
      <c r="E1406" s="53">
        <f t="shared" si="28"/>
        <v>127618646.11999989</v>
      </c>
      <c r="F1406" s="82" t="s">
        <v>115</v>
      </c>
      <c r="G1406" t="s">
        <v>441</v>
      </c>
      <c r="H1406" t="s">
        <v>596</v>
      </c>
    </row>
    <row r="1407" spans="1:9">
      <c r="A1407" s="3">
        <v>44516</v>
      </c>
      <c r="B1407" s="7" t="s">
        <v>2741</v>
      </c>
      <c r="C1407" s="8">
        <v>3000000</v>
      </c>
      <c r="E1407" s="50">
        <f t="shared" si="28"/>
        <v>124618646.11999989</v>
      </c>
      <c r="F1407" s="81" t="s">
        <v>2882</v>
      </c>
      <c r="G1407" s="14" t="s">
        <v>138</v>
      </c>
      <c r="H1407" s="14" t="s">
        <v>3041</v>
      </c>
    </row>
    <row r="1408" spans="1:9">
      <c r="A1408" s="3">
        <v>44516</v>
      </c>
      <c r="B1408" s="7" t="s">
        <v>2742</v>
      </c>
      <c r="C1408" s="8">
        <v>10000000</v>
      </c>
      <c r="E1408" s="50">
        <f t="shared" si="28"/>
        <v>114618646.11999989</v>
      </c>
      <c r="F1408" s="81" t="s">
        <v>2882</v>
      </c>
      <c r="G1408" s="14" t="s">
        <v>138</v>
      </c>
      <c r="H1408" s="14" t="s">
        <v>2982</v>
      </c>
    </row>
    <row r="1409" spans="1:9">
      <c r="A1409" s="3">
        <v>44516</v>
      </c>
      <c r="B1409" s="7" t="s">
        <v>2743</v>
      </c>
      <c r="C1409" s="8">
        <v>13414500</v>
      </c>
      <c r="E1409" s="50">
        <f t="shared" si="28"/>
        <v>101204146.11999989</v>
      </c>
      <c r="F1409" s="81" t="s">
        <v>2882</v>
      </c>
      <c r="G1409" s="14" t="s">
        <v>138</v>
      </c>
      <c r="H1409" s="14" t="s">
        <v>2279</v>
      </c>
    </row>
    <row r="1410" spans="1:9">
      <c r="A1410" s="3">
        <v>44516</v>
      </c>
      <c r="B1410" s="7" t="s">
        <v>2744</v>
      </c>
      <c r="C1410" s="8">
        <v>2000000</v>
      </c>
      <c r="E1410" s="50">
        <f t="shared" si="28"/>
        <v>99204146.119999886</v>
      </c>
      <c r="F1410" s="81" t="s">
        <v>2882</v>
      </c>
      <c r="G1410" s="14" t="s">
        <v>138</v>
      </c>
      <c r="H1410" s="14" t="s">
        <v>3037</v>
      </c>
    </row>
    <row r="1411" spans="1:9">
      <c r="A1411" s="3">
        <v>44516</v>
      </c>
      <c r="B1411" s="7" t="s">
        <v>2745</v>
      </c>
      <c r="C1411" s="8">
        <v>4500000</v>
      </c>
      <c r="E1411" s="50">
        <f t="shared" si="28"/>
        <v>94704146.119999886</v>
      </c>
      <c r="F1411" s="81" t="s">
        <v>2882</v>
      </c>
      <c r="G1411" s="14" t="s">
        <v>138</v>
      </c>
      <c r="H1411" s="14" t="s">
        <v>2982</v>
      </c>
    </row>
    <row r="1412" spans="1:9">
      <c r="A1412" s="3">
        <v>44516</v>
      </c>
      <c r="B1412" s="7" t="s">
        <v>2746</v>
      </c>
      <c r="C1412" s="8">
        <v>42931200</v>
      </c>
      <c r="E1412" s="50">
        <f t="shared" si="28"/>
        <v>51772946.119999886</v>
      </c>
      <c r="F1412" s="81" t="s">
        <v>2882</v>
      </c>
      <c r="G1412" s="14" t="s">
        <v>138</v>
      </c>
      <c r="H1412" s="14" t="s">
        <v>2994</v>
      </c>
    </row>
    <row r="1413" spans="1:9">
      <c r="A1413" s="3">
        <v>44516</v>
      </c>
      <c r="B1413" s="7" t="s">
        <v>24</v>
      </c>
      <c r="C1413" s="8">
        <v>2934617</v>
      </c>
      <c r="E1413" s="50">
        <f t="shared" si="28"/>
        <v>48838329.119999886</v>
      </c>
      <c r="F1413" s="83" t="s">
        <v>107</v>
      </c>
      <c r="G1413" s="14" t="s">
        <v>129</v>
      </c>
      <c r="H1413" s="14"/>
    </row>
    <row r="1414" spans="1:9">
      <c r="A1414" s="3">
        <v>44516</v>
      </c>
      <c r="B1414" s="7" t="s">
        <v>2747</v>
      </c>
      <c r="C1414" s="8">
        <v>3120000</v>
      </c>
      <c r="E1414" s="50">
        <f t="shared" si="28"/>
        <v>45718329.119999886</v>
      </c>
      <c r="F1414" s="81" t="s">
        <v>2884</v>
      </c>
      <c r="G1414" s="14" t="s">
        <v>130</v>
      </c>
      <c r="H1414" t="s">
        <v>623</v>
      </c>
    </row>
    <row r="1415" spans="1:9">
      <c r="A1415" s="3">
        <v>44516</v>
      </c>
      <c r="B1415" s="7" t="s">
        <v>2748</v>
      </c>
      <c r="C1415" s="8">
        <v>1085000</v>
      </c>
      <c r="E1415" s="50">
        <f t="shared" si="28"/>
        <v>44633329.119999886</v>
      </c>
      <c r="F1415" s="81" t="s">
        <v>2884</v>
      </c>
      <c r="G1415" s="14" t="s">
        <v>130</v>
      </c>
      <c r="H1415" t="s">
        <v>625</v>
      </c>
    </row>
    <row r="1416" spans="1:9">
      <c r="A1416" s="3">
        <v>44516</v>
      </c>
      <c r="B1416" s="7" t="s">
        <v>2749</v>
      </c>
      <c r="C1416" s="8">
        <v>910000</v>
      </c>
      <c r="E1416" s="50">
        <f t="shared" si="28"/>
        <v>43723329.119999886</v>
      </c>
      <c r="F1416" s="81" t="s">
        <v>2884</v>
      </c>
      <c r="G1416" s="14" t="s">
        <v>130</v>
      </c>
      <c r="H1416" t="s">
        <v>2083</v>
      </c>
    </row>
    <row r="1417" spans="1:9">
      <c r="A1417" s="3">
        <v>44516</v>
      </c>
      <c r="B1417" s="7" t="s">
        <v>2750</v>
      </c>
      <c r="C1417" s="8">
        <v>2923500</v>
      </c>
      <c r="E1417" s="50">
        <f t="shared" si="28"/>
        <v>40799829.119999886</v>
      </c>
      <c r="F1417" s="81" t="s">
        <v>2882</v>
      </c>
      <c r="G1417" s="14" t="s">
        <v>138</v>
      </c>
      <c r="H1417" s="14" t="s">
        <v>2984</v>
      </c>
    </row>
    <row r="1418" spans="1:9">
      <c r="A1418" s="3">
        <v>44516</v>
      </c>
      <c r="B1418" s="7" t="s">
        <v>2751</v>
      </c>
      <c r="C1418" s="8">
        <v>4592000</v>
      </c>
      <c r="E1418" s="50">
        <f t="shared" si="28"/>
        <v>36207829.119999886</v>
      </c>
      <c r="F1418" s="81" t="s">
        <v>2882</v>
      </c>
      <c r="G1418" s="14" t="s">
        <v>138</v>
      </c>
      <c r="H1418" s="14" t="s">
        <v>3025</v>
      </c>
    </row>
    <row r="1419" spans="1:9" s="14" customFormat="1">
      <c r="A1419" s="138">
        <v>44516</v>
      </c>
      <c r="B1419" s="49" t="s">
        <v>2752</v>
      </c>
      <c r="C1419" s="53">
        <v>3025000</v>
      </c>
      <c r="D1419" s="53"/>
      <c r="E1419" s="53">
        <f t="shared" si="28"/>
        <v>33182829.119999886</v>
      </c>
      <c r="F1419" s="81" t="s">
        <v>115</v>
      </c>
      <c r="G1419" s="14" t="s">
        <v>120</v>
      </c>
      <c r="H1419" s="14" t="s">
        <v>127</v>
      </c>
      <c r="I1419" s="14" t="s">
        <v>444</v>
      </c>
    </row>
    <row r="1420" spans="1:9">
      <c r="A1420" s="3">
        <v>44516</v>
      </c>
      <c r="B1420" s="7" t="s">
        <v>2753</v>
      </c>
      <c r="C1420" s="8">
        <v>5495000</v>
      </c>
      <c r="E1420" s="50">
        <f t="shared" si="28"/>
        <v>27687829.119999886</v>
      </c>
      <c r="F1420" s="81" t="s">
        <v>2882</v>
      </c>
      <c r="G1420" s="14" t="s">
        <v>138</v>
      </c>
      <c r="H1420" s="14" t="s">
        <v>2976</v>
      </c>
    </row>
    <row r="1421" spans="1:9">
      <c r="A1421" s="3">
        <v>44516</v>
      </c>
      <c r="B1421" s="7" t="s">
        <v>2754</v>
      </c>
      <c r="C1421" s="8">
        <v>6028000</v>
      </c>
      <c r="E1421" s="50">
        <f t="shared" si="28"/>
        <v>21659829.119999886</v>
      </c>
      <c r="F1421" s="81" t="s">
        <v>2882</v>
      </c>
      <c r="G1421" s="14" t="s">
        <v>138</v>
      </c>
      <c r="H1421" s="168" t="s">
        <v>4862</v>
      </c>
    </row>
    <row r="1422" spans="1:9">
      <c r="A1422" s="3">
        <v>44516</v>
      </c>
      <c r="B1422" s="7" t="s">
        <v>2755</v>
      </c>
      <c r="C1422" s="8">
        <v>6042000</v>
      </c>
      <c r="E1422" s="50">
        <f t="shared" si="28"/>
        <v>15617829.119999886</v>
      </c>
      <c r="F1422" s="81" t="s">
        <v>2882</v>
      </c>
      <c r="G1422" s="14" t="s">
        <v>138</v>
      </c>
      <c r="H1422" s="14" t="s">
        <v>2279</v>
      </c>
    </row>
    <row r="1423" spans="1:9">
      <c r="A1423" s="3">
        <v>44516</v>
      </c>
      <c r="B1423" s="7" t="s">
        <v>2755</v>
      </c>
      <c r="C1423" s="8">
        <v>6277100</v>
      </c>
      <c r="E1423" s="50">
        <f t="shared" si="28"/>
        <v>9340729.1199998856</v>
      </c>
      <c r="F1423" s="81" t="s">
        <v>2882</v>
      </c>
      <c r="G1423" s="14" t="s">
        <v>138</v>
      </c>
      <c r="H1423" s="14" t="s">
        <v>2279</v>
      </c>
    </row>
    <row r="1424" spans="1:9">
      <c r="A1424" s="3">
        <v>44516</v>
      </c>
      <c r="B1424" s="7" t="s">
        <v>2756</v>
      </c>
      <c r="C1424" s="8">
        <v>541200</v>
      </c>
      <c r="E1424" s="50">
        <f t="shared" si="28"/>
        <v>8799529.1199998856</v>
      </c>
      <c r="F1424" s="81" t="s">
        <v>2882</v>
      </c>
      <c r="G1424" s="14" t="s">
        <v>138</v>
      </c>
      <c r="H1424" s="14" t="s">
        <v>2279</v>
      </c>
    </row>
    <row r="1425" spans="1:12">
      <c r="A1425" s="3">
        <v>44516</v>
      </c>
      <c r="B1425" s="7" t="s">
        <v>2757</v>
      </c>
      <c r="C1425" s="8">
        <v>800000</v>
      </c>
      <c r="E1425" s="50">
        <f t="shared" si="28"/>
        <v>7999529.1199998856</v>
      </c>
      <c r="F1425" s="81" t="s">
        <v>2882</v>
      </c>
      <c r="G1425" s="14" t="s">
        <v>138</v>
      </c>
      <c r="H1425" s="14" t="s">
        <v>3021</v>
      </c>
      <c r="J1425" s="10" t="s">
        <v>4150</v>
      </c>
      <c r="K1425" t="s">
        <v>459</v>
      </c>
      <c r="L1425" s="10">
        <v>2021</v>
      </c>
    </row>
    <row r="1426" spans="1:12">
      <c r="A1426" s="3">
        <v>44516</v>
      </c>
      <c r="B1426" s="7" t="s">
        <v>2758</v>
      </c>
      <c r="C1426" s="8">
        <v>800000</v>
      </c>
      <c r="E1426" s="50">
        <f t="shared" si="28"/>
        <v>7199529.1199998856</v>
      </c>
      <c r="F1426" s="81" t="s">
        <v>2882</v>
      </c>
      <c r="G1426" s="14" t="s">
        <v>138</v>
      </c>
      <c r="H1426" s="14" t="s">
        <v>3021</v>
      </c>
      <c r="J1426" s="10" t="s">
        <v>4150</v>
      </c>
      <c r="K1426" t="s">
        <v>4152</v>
      </c>
      <c r="L1426" s="10">
        <v>2021</v>
      </c>
    </row>
    <row r="1427" spans="1:12">
      <c r="A1427" s="3">
        <v>44516</v>
      </c>
      <c r="B1427" s="7" t="s">
        <v>2759</v>
      </c>
      <c r="C1427" s="8">
        <v>800000</v>
      </c>
      <c r="E1427" s="50">
        <f t="shared" si="28"/>
        <v>6399529.1199998856</v>
      </c>
      <c r="F1427" s="81" t="s">
        <v>2882</v>
      </c>
      <c r="G1427" s="14" t="s">
        <v>138</v>
      </c>
      <c r="H1427" s="14" t="s">
        <v>3021</v>
      </c>
      <c r="J1427" s="10" t="s">
        <v>4150</v>
      </c>
      <c r="K1427" t="s">
        <v>622</v>
      </c>
      <c r="L1427" s="10">
        <v>2021</v>
      </c>
    </row>
    <row r="1428" spans="1:12">
      <c r="A1428" s="3">
        <v>44516</v>
      </c>
      <c r="B1428" s="7" t="s">
        <v>2760</v>
      </c>
      <c r="C1428" s="8">
        <v>500000</v>
      </c>
      <c r="E1428" s="50">
        <f t="shared" si="28"/>
        <v>5899529.1199998856</v>
      </c>
      <c r="F1428" s="81" t="s">
        <v>2882</v>
      </c>
      <c r="G1428" s="14" t="s">
        <v>138</v>
      </c>
      <c r="H1428" s="14" t="s">
        <v>3021</v>
      </c>
      <c r="J1428" s="10" t="s">
        <v>4150</v>
      </c>
      <c r="K1428" t="s">
        <v>3990</v>
      </c>
      <c r="L1428" s="10">
        <v>2021</v>
      </c>
    </row>
    <row r="1429" spans="1:12">
      <c r="A1429" s="3">
        <v>44516</v>
      </c>
      <c r="B1429" s="7" t="s">
        <v>2761</v>
      </c>
      <c r="C1429" s="8">
        <v>300000</v>
      </c>
      <c r="E1429" s="50">
        <f t="shared" si="28"/>
        <v>5599529.1199998856</v>
      </c>
      <c r="F1429" s="81" t="s">
        <v>2882</v>
      </c>
      <c r="G1429" s="14" t="s">
        <v>138</v>
      </c>
      <c r="H1429" s="14" t="s">
        <v>3021</v>
      </c>
      <c r="J1429" s="10" t="s">
        <v>4150</v>
      </c>
      <c r="K1429" t="s">
        <v>2083</v>
      </c>
      <c r="L1429" s="10">
        <v>2021</v>
      </c>
    </row>
    <row r="1430" spans="1:12">
      <c r="A1430" s="3">
        <v>44516</v>
      </c>
      <c r="B1430" s="7" t="s">
        <v>2762</v>
      </c>
      <c r="C1430" s="8">
        <v>150000</v>
      </c>
      <c r="E1430" s="50">
        <f t="shared" si="28"/>
        <v>5449529.1199998856</v>
      </c>
      <c r="F1430" s="81" t="s">
        <v>2882</v>
      </c>
      <c r="G1430" s="14" t="s">
        <v>138</v>
      </c>
      <c r="H1430" s="14" t="s">
        <v>3021</v>
      </c>
      <c r="J1430" s="10" t="s">
        <v>4150</v>
      </c>
      <c r="K1430" t="s">
        <v>625</v>
      </c>
      <c r="L1430" s="10">
        <v>2021</v>
      </c>
    </row>
    <row r="1431" spans="1:12">
      <c r="A1431" s="3">
        <v>44516</v>
      </c>
      <c r="B1431" s="7" t="s">
        <v>2763</v>
      </c>
      <c r="C1431" s="8">
        <v>150000</v>
      </c>
      <c r="E1431" s="50">
        <f t="shared" si="28"/>
        <v>5299529.1199998856</v>
      </c>
      <c r="F1431" s="81" t="s">
        <v>2882</v>
      </c>
      <c r="G1431" s="14" t="s">
        <v>138</v>
      </c>
      <c r="H1431" s="14" t="s">
        <v>2982</v>
      </c>
      <c r="J1431" s="10" t="s">
        <v>4150</v>
      </c>
      <c r="K1431" t="s">
        <v>625</v>
      </c>
      <c r="L1431" s="10">
        <v>2021</v>
      </c>
    </row>
    <row r="1432" spans="1:12">
      <c r="A1432" s="3">
        <v>44517</v>
      </c>
      <c r="B1432" s="7" t="s">
        <v>25</v>
      </c>
      <c r="D1432" s="8">
        <v>2176150</v>
      </c>
      <c r="E1432" s="50">
        <f t="shared" si="28"/>
        <v>7475679.1199998856</v>
      </c>
      <c r="F1432" s="83" t="s">
        <v>107</v>
      </c>
      <c r="G1432" s="14" t="s">
        <v>108</v>
      </c>
      <c r="H1432" s="14"/>
    </row>
    <row r="1433" spans="1:12">
      <c r="A1433" s="3">
        <v>44517</v>
      </c>
      <c r="B1433" s="7" t="s">
        <v>12</v>
      </c>
      <c r="C1433" s="8">
        <v>0</v>
      </c>
      <c r="D1433" s="8">
        <v>3036321</v>
      </c>
      <c r="E1433" s="50">
        <f t="shared" si="28"/>
        <v>10512000.119999886</v>
      </c>
      <c r="F1433" s="83" t="s">
        <v>115</v>
      </c>
      <c r="G1433" s="14" t="s">
        <v>122</v>
      </c>
      <c r="H1433" s="14" t="s">
        <v>123</v>
      </c>
    </row>
    <row r="1434" spans="1:12">
      <c r="A1434" s="3">
        <v>44517</v>
      </c>
      <c r="B1434" s="7" t="s">
        <v>2764</v>
      </c>
      <c r="C1434" s="8">
        <v>10462000</v>
      </c>
      <c r="E1434" s="50">
        <f t="shared" si="28"/>
        <v>50000.119999885559</v>
      </c>
      <c r="F1434" s="81" t="s">
        <v>2882</v>
      </c>
      <c r="G1434" s="14" t="s">
        <v>138</v>
      </c>
      <c r="H1434" s="14" t="s">
        <v>2279</v>
      </c>
    </row>
    <row r="1435" spans="1:12">
      <c r="A1435" s="3">
        <v>44517</v>
      </c>
      <c r="B1435" s="7" t="s">
        <v>2765</v>
      </c>
      <c r="D1435" s="8">
        <v>166900</v>
      </c>
      <c r="E1435" s="50">
        <f t="shared" si="28"/>
        <v>216900.11999988556</v>
      </c>
      <c r="F1435" s="83" t="s">
        <v>107</v>
      </c>
      <c r="G1435" s="14" t="s">
        <v>668</v>
      </c>
      <c r="H1435" s="14" t="s">
        <v>3405</v>
      </c>
      <c r="I1435" t="s">
        <v>3865</v>
      </c>
    </row>
    <row r="1436" spans="1:12">
      <c r="A1436" s="3">
        <v>44519</v>
      </c>
      <c r="B1436" s="7" t="s">
        <v>2766</v>
      </c>
      <c r="D1436" s="8">
        <v>45500</v>
      </c>
      <c r="E1436" s="50">
        <f t="shared" si="28"/>
        <v>262400.11999988556</v>
      </c>
      <c r="F1436" s="83" t="s">
        <v>107</v>
      </c>
      <c r="G1436" s="14" t="s">
        <v>668</v>
      </c>
      <c r="H1436" s="14" t="s">
        <v>3405</v>
      </c>
      <c r="I1436" t="s">
        <v>3905</v>
      </c>
    </row>
    <row r="1437" spans="1:12">
      <c r="A1437" s="3">
        <v>44519</v>
      </c>
      <c r="B1437" s="7" t="s">
        <v>1268</v>
      </c>
      <c r="C1437" s="8">
        <v>19000</v>
      </c>
      <c r="E1437" s="50">
        <f t="shared" si="28"/>
        <v>243400.11999988556</v>
      </c>
      <c r="F1437" s="83" t="s">
        <v>113</v>
      </c>
      <c r="G1437" s="14" t="s">
        <v>114</v>
      </c>
      <c r="H1437" s="14"/>
    </row>
    <row r="1438" spans="1:12">
      <c r="A1438" s="3">
        <v>44522</v>
      </c>
      <c r="B1438" s="7" t="s">
        <v>12</v>
      </c>
      <c r="D1438" s="8">
        <v>56901748</v>
      </c>
      <c r="E1438" s="50">
        <f t="shared" si="28"/>
        <v>57145148.119999886</v>
      </c>
      <c r="F1438" s="83" t="s">
        <v>115</v>
      </c>
      <c r="G1438" s="14" t="s">
        <v>122</v>
      </c>
      <c r="H1438" s="14" t="s">
        <v>123</v>
      </c>
    </row>
    <row r="1439" spans="1:12">
      <c r="A1439" s="3">
        <v>44522</v>
      </c>
      <c r="B1439" s="7" t="s">
        <v>2767</v>
      </c>
      <c r="C1439" s="8">
        <v>30000000</v>
      </c>
      <c r="E1439" s="50">
        <f t="shared" si="28"/>
        <v>27145148.119999886</v>
      </c>
      <c r="F1439" s="81" t="s">
        <v>2882</v>
      </c>
      <c r="G1439" s="14" t="s">
        <v>138</v>
      </c>
      <c r="H1439" s="14" t="s">
        <v>2974</v>
      </c>
    </row>
    <row r="1440" spans="1:12">
      <c r="A1440" s="3">
        <v>44522</v>
      </c>
      <c r="B1440" s="7" t="s">
        <v>2768</v>
      </c>
      <c r="C1440" s="8">
        <v>6801000</v>
      </c>
      <c r="E1440" s="50">
        <f t="shared" si="28"/>
        <v>20344148.119999886</v>
      </c>
      <c r="F1440" s="81" t="s">
        <v>2882</v>
      </c>
      <c r="G1440" s="14" t="s">
        <v>138</v>
      </c>
      <c r="H1440" s="14" t="s">
        <v>4143</v>
      </c>
    </row>
    <row r="1441" spans="1:12">
      <c r="A1441" s="3">
        <v>44522</v>
      </c>
      <c r="B1441" s="7" t="s">
        <v>3911</v>
      </c>
      <c r="C1441" s="8">
        <v>19000000</v>
      </c>
      <c r="E1441" s="50">
        <f t="shared" si="28"/>
        <v>1344148.1199998856</v>
      </c>
      <c r="F1441" s="81" t="s">
        <v>107</v>
      </c>
      <c r="G1441" s="14" t="s">
        <v>666</v>
      </c>
      <c r="H1441" s="14" t="s">
        <v>3405</v>
      </c>
      <c r="I1441" t="s">
        <v>3912</v>
      </c>
    </row>
    <row r="1442" spans="1:12">
      <c r="A1442" s="3">
        <v>44522</v>
      </c>
      <c r="B1442" s="7" t="s">
        <v>2769</v>
      </c>
      <c r="C1442" s="8">
        <v>1100748</v>
      </c>
      <c r="E1442" s="50">
        <f t="shared" si="28"/>
        <v>243400.11999988556</v>
      </c>
      <c r="F1442" s="83" t="s">
        <v>319</v>
      </c>
      <c r="G1442" s="14" t="s">
        <v>1016</v>
      </c>
      <c r="H1442" s="14"/>
    </row>
    <row r="1443" spans="1:12">
      <c r="A1443" s="3">
        <v>44522</v>
      </c>
      <c r="B1443" s="7" t="s">
        <v>12</v>
      </c>
      <c r="C1443" s="8">
        <v>0</v>
      </c>
      <c r="D1443" s="8">
        <v>11806600</v>
      </c>
      <c r="E1443" s="50">
        <f t="shared" si="28"/>
        <v>12050000.119999886</v>
      </c>
      <c r="F1443" s="83" t="s">
        <v>115</v>
      </c>
      <c r="G1443" s="14" t="s">
        <v>122</v>
      </c>
      <c r="H1443" s="14" t="s">
        <v>123</v>
      </c>
    </row>
    <row r="1444" spans="1:12">
      <c r="A1444" s="3">
        <v>44522</v>
      </c>
      <c r="B1444" s="7" t="s">
        <v>2770</v>
      </c>
      <c r="C1444" s="8">
        <v>12000000</v>
      </c>
      <c r="E1444" s="50">
        <f t="shared" si="28"/>
        <v>50000.119999885559</v>
      </c>
      <c r="F1444" s="83" t="s">
        <v>110</v>
      </c>
      <c r="G1444" s="14" t="s">
        <v>620</v>
      </c>
      <c r="H1444" s="14" t="s">
        <v>623</v>
      </c>
    </row>
    <row r="1445" spans="1:12">
      <c r="A1445" s="3">
        <v>44522</v>
      </c>
      <c r="B1445" s="7" t="s">
        <v>278</v>
      </c>
      <c r="D1445" s="8">
        <v>247534218</v>
      </c>
      <c r="E1445" s="50">
        <f t="shared" si="28"/>
        <v>247584218.11999989</v>
      </c>
      <c r="F1445" s="83" t="s">
        <v>107</v>
      </c>
      <c r="G1445" s="14" t="s">
        <v>254</v>
      </c>
      <c r="H1445" s="14"/>
    </row>
    <row r="1446" spans="1:12">
      <c r="A1446" s="3">
        <v>44522</v>
      </c>
      <c r="B1446" s="7" t="s">
        <v>2771</v>
      </c>
      <c r="C1446" s="8">
        <v>3036321</v>
      </c>
      <c r="E1446" s="50">
        <f t="shared" si="28"/>
        <v>244547897.11999989</v>
      </c>
      <c r="F1446" s="83" t="s">
        <v>115</v>
      </c>
      <c r="G1446" s="14" t="s">
        <v>122</v>
      </c>
      <c r="H1446" s="14" t="s">
        <v>123</v>
      </c>
    </row>
    <row r="1447" spans="1:12">
      <c r="A1447" s="3">
        <v>44522</v>
      </c>
      <c r="B1447" s="7" t="s">
        <v>2772</v>
      </c>
      <c r="C1447" s="8">
        <v>56901748</v>
      </c>
      <c r="E1447" s="50">
        <f t="shared" si="28"/>
        <v>187646149.11999989</v>
      </c>
      <c r="F1447" s="83" t="s">
        <v>115</v>
      </c>
      <c r="G1447" s="14" t="s">
        <v>122</v>
      </c>
      <c r="H1447" s="14" t="s">
        <v>123</v>
      </c>
    </row>
    <row r="1448" spans="1:12">
      <c r="A1448" s="3">
        <v>44522</v>
      </c>
      <c r="B1448" s="7" t="s">
        <v>2773</v>
      </c>
      <c r="C1448" s="8">
        <v>11806600</v>
      </c>
      <c r="E1448" s="50">
        <f t="shared" si="28"/>
        <v>175839549.11999989</v>
      </c>
      <c r="F1448" s="83" t="s">
        <v>115</v>
      </c>
      <c r="G1448" s="14" t="s">
        <v>122</v>
      </c>
      <c r="H1448" s="14" t="s">
        <v>123</v>
      </c>
    </row>
    <row r="1449" spans="1:12">
      <c r="A1449" s="3">
        <v>44522</v>
      </c>
      <c r="B1449" s="7" t="s">
        <v>2774</v>
      </c>
      <c r="D1449" s="8">
        <v>6150900</v>
      </c>
      <c r="E1449" s="50">
        <f t="shared" si="28"/>
        <v>181990449.11999989</v>
      </c>
      <c r="F1449" s="83" t="s">
        <v>107</v>
      </c>
      <c r="G1449" s="14" t="s">
        <v>668</v>
      </c>
      <c r="H1449" s="14" t="s">
        <v>3405</v>
      </c>
      <c r="I1449" t="s">
        <v>3882</v>
      </c>
    </row>
    <row r="1450" spans="1:12">
      <c r="A1450" s="3">
        <v>44524</v>
      </c>
      <c r="B1450" s="7" t="s">
        <v>2891</v>
      </c>
      <c r="C1450" s="8">
        <v>15334500</v>
      </c>
      <c r="D1450" s="8">
        <v>0</v>
      </c>
      <c r="E1450" s="50">
        <f t="shared" si="28"/>
        <v>166655949.11999989</v>
      </c>
      <c r="F1450" s="83" t="s">
        <v>137</v>
      </c>
      <c r="G1450" s="14" t="s">
        <v>138</v>
      </c>
      <c r="H1450" s="14" t="s">
        <v>4388</v>
      </c>
    </row>
    <row r="1451" spans="1:12">
      <c r="A1451" s="3">
        <v>44524</v>
      </c>
      <c r="B1451" s="7" t="s">
        <v>2889</v>
      </c>
      <c r="C1451" s="8">
        <v>1500000</v>
      </c>
      <c r="D1451" s="8">
        <v>0</v>
      </c>
      <c r="E1451" s="50">
        <f t="shared" si="28"/>
        <v>165155949.11999989</v>
      </c>
      <c r="F1451" s="83" t="s">
        <v>137</v>
      </c>
      <c r="G1451" s="14" t="s">
        <v>138</v>
      </c>
      <c r="H1451" s="14" t="s">
        <v>2279</v>
      </c>
      <c r="J1451" s="10" t="s">
        <v>4150</v>
      </c>
      <c r="K1451" t="s">
        <v>4148</v>
      </c>
      <c r="L1451" s="10">
        <v>2021</v>
      </c>
    </row>
    <row r="1452" spans="1:12">
      <c r="A1452" s="3">
        <v>44524</v>
      </c>
      <c r="B1452" s="7" t="s">
        <v>2905</v>
      </c>
      <c r="C1452" s="8">
        <v>800000</v>
      </c>
      <c r="D1452" s="8">
        <v>0</v>
      </c>
      <c r="E1452" s="50">
        <f t="shared" si="28"/>
        <v>164355949.11999989</v>
      </c>
      <c r="F1452" s="83" t="s">
        <v>137</v>
      </c>
      <c r="G1452" s="14" t="s">
        <v>138</v>
      </c>
      <c r="H1452" s="14" t="s">
        <v>3021</v>
      </c>
      <c r="J1452" s="10" t="s">
        <v>4150</v>
      </c>
      <c r="K1452" t="s">
        <v>4148</v>
      </c>
      <c r="L1452" s="10">
        <v>2021</v>
      </c>
    </row>
    <row r="1453" spans="1:12">
      <c r="A1453" s="3">
        <v>44524</v>
      </c>
      <c r="B1453" s="7" t="s">
        <v>2906</v>
      </c>
      <c r="C1453" s="8">
        <v>4500000</v>
      </c>
      <c r="D1453" s="8">
        <v>0</v>
      </c>
      <c r="E1453" s="50">
        <f t="shared" si="28"/>
        <v>159855949.11999989</v>
      </c>
      <c r="F1453" s="83" t="s">
        <v>137</v>
      </c>
      <c r="G1453" s="14" t="s">
        <v>138</v>
      </c>
      <c r="H1453" s="14" t="s">
        <v>3021</v>
      </c>
    </row>
    <row r="1454" spans="1:12">
      <c r="A1454" s="3">
        <v>44524</v>
      </c>
      <c r="B1454" s="7" t="s">
        <v>2907</v>
      </c>
      <c r="C1454" s="8">
        <v>5000000</v>
      </c>
      <c r="D1454" s="8">
        <v>0</v>
      </c>
      <c r="E1454" s="50">
        <f t="shared" si="28"/>
        <v>154855949.11999989</v>
      </c>
      <c r="F1454" s="83" t="s">
        <v>137</v>
      </c>
      <c r="G1454" s="14" t="s">
        <v>138</v>
      </c>
      <c r="H1454" s="14" t="s">
        <v>3021</v>
      </c>
    </row>
    <row r="1455" spans="1:12">
      <c r="A1455" s="3">
        <v>44524</v>
      </c>
      <c r="B1455" s="7" t="s">
        <v>2908</v>
      </c>
      <c r="C1455" s="8">
        <v>500000</v>
      </c>
      <c r="D1455" s="8">
        <v>0</v>
      </c>
      <c r="E1455" s="50">
        <f t="shared" si="28"/>
        <v>154355949.11999989</v>
      </c>
      <c r="F1455" s="83" t="s">
        <v>137</v>
      </c>
      <c r="G1455" s="14" t="s">
        <v>138</v>
      </c>
      <c r="H1455" s="14" t="s">
        <v>2976</v>
      </c>
    </row>
    <row r="1456" spans="1:12">
      <c r="A1456" s="3">
        <v>44524</v>
      </c>
      <c r="B1456" s="7" t="s">
        <v>2909</v>
      </c>
      <c r="C1456" s="8">
        <v>800000</v>
      </c>
      <c r="D1456" s="8">
        <v>0</v>
      </c>
      <c r="E1456" s="50">
        <f t="shared" si="28"/>
        <v>153555949.11999989</v>
      </c>
      <c r="F1456" s="83" t="s">
        <v>137</v>
      </c>
      <c r="G1456" s="14" t="s">
        <v>138</v>
      </c>
      <c r="H1456" s="14" t="s">
        <v>2976</v>
      </c>
      <c r="J1456" s="10" t="s">
        <v>4150</v>
      </c>
      <c r="K1456" t="s">
        <v>459</v>
      </c>
      <c r="L1456" s="10">
        <v>2021</v>
      </c>
    </row>
    <row r="1457" spans="1:12">
      <c r="A1457" s="3">
        <v>44524</v>
      </c>
      <c r="B1457" s="7" t="s">
        <v>2910</v>
      </c>
      <c r="C1457" s="8">
        <v>800000</v>
      </c>
      <c r="D1457" s="8">
        <v>0</v>
      </c>
      <c r="E1457" s="50">
        <f t="shared" si="28"/>
        <v>152755949.11999989</v>
      </c>
      <c r="F1457" s="83" t="s">
        <v>137</v>
      </c>
      <c r="G1457" s="14" t="s">
        <v>138</v>
      </c>
      <c r="H1457" s="14" t="s">
        <v>2976</v>
      </c>
      <c r="J1457" s="10" t="s">
        <v>4150</v>
      </c>
      <c r="K1457" t="s">
        <v>4152</v>
      </c>
      <c r="L1457" s="10">
        <v>2021</v>
      </c>
    </row>
    <row r="1458" spans="1:12">
      <c r="A1458" s="3">
        <v>44524</v>
      </c>
      <c r="B1458" s="7" t="s">
        <v>2911</v>
      </c>
      <c r="C1458" s="8">
        <v>800000</v>
      </c>
      <c r="D1458" s="8">
        <v>0</v>
      </c>
      <c r="E1458" s="50">
        <f t="shared" si="28"/>
        <v>151955949.11999989</v>
      </c>
      <c r="F1458" s="83" t="s">
        <v>137</v>
      </c>
      <c r="G1458" s="14" t="s">
        <v>138</v>
      </c>
      <c r="H1458" s="14" t="s">
        <v>2976</v>
      </c>
      <c r="J1458" s="10" t="s">
        <v>4150</v>
      </c>
      <c r="K1458" t="s">
        <v>622</v>
      </c>
      <c r="L1458" s="10">
        <v>2021</v>
      </c>
    </row>
    <row r="1459" spans="1:12">
      <c r="A1459" s="3">
        <v>44524</v>
      </c>
      <c r="B1459" s="7" t="s">
        <v>2912</v>
      </c>
      <c r="C1459" s="8">
        <v>800000</v>
      </c>
      <c r="D1459" s="8">
        <v>0</v>
      </c>
      <c r="E1459" s="50">
        <f t="shared" ref="E1459:E1524" si="29">E1458-C1459+D1459</f>
        <v>151155949.11999989</v>
      </c>
      <c r="F1459" s="83" t="s">
        <v>137</v>
      </c>
      <c r="G1459" s="14" t="s">
        <v>138</v>
      </c>
      <c r="H1459" s="14" t="s">
        <v>2976</v>
      </c>
      <c r="J1459" s="10" t="s">
        <v>4150</v>
      </c>
      <c r="K1459" t="s">
        <v>4148</v>
      </c>
      <c r="L1459" s="10">
        <v>2021</v>
      </c>
    </row>
    <row r="1460" spans="1:12">
      <c r="A1460" s="3">
        <v>44524</v>
      </c>
      <c r="B1460" s="7" t="s">
        <v>2913</v>
      </c>
      <c r="C1460" s="8">
        <v>800000</v>
      </c>
      <c r="D1460" s="8">
        <v>0</v>
      </c>
      <c r="E1460" s="50">
        <f t="shared" si="29"/>
        <v>150355949.11999989</v>
      </c>
      <c r="F1460" s="83" t="s">
        <v>137</v>
      </c>
      <c r="G1460" s="14" t="s">
        <v>138</v>
      </c>
      <c r="H1460" s="14" t="s">
        <v>3010</v>
      </c>
      <c r="J1460" s="10" t="s">
        <v>4150</v>
      </c>
      <c r="K1460" t="s">
        <v>4148</v>
      </c>
      <c r="L1460" s="10">
        <v>2021</v>
      </c>
    </row>
    <row r="1461" spans="1:12">
      <c r="A1461" s="3">
        <v>44524</v>
      </c>
      <c r="B1461" s="7" t="s">
        <v>2914</v>
      </c>
      <c r="C1461" s="8">
        <v>300000</v>
      </c>
      <c r="D1461" s="8">
        <v>0</v>
      </c>
      <c r="E1461" s="50">
        <f t="shared" si="29"/>
        <v>150055949.11999989</v>
      </c>
      <c r="F1461" s="83" t="s">
        <v>137</v>
      </c>
      <c r="G1461" s="14" t="s">
        <v>138</v>
      </c>
      <c r="H1461" s="14" t="s">
        <v>3010</v>
      </c>
      <c r="J1461" s="10" t="s">
        <v>4150</v>
      </c>
      <c r="K1461" t="s">
        <v>2083</v>
      </c>
      <c r="L1461" s="10">
        <v>2021</v>
      </c>
    </row>
    <row r="1462" spans="1:12">
      <c r="A1462" s="3">
        <v>44524</v>
      </c>
      <c r="B1462" s="7" t="s">
        <v>2915</v>
      </c>
      <c r="C1462" s="8">
        <v>1000000</v>
      </c>
      <c r="D1462" s="8">
        <v>0</v>
      </c>
      <c r="E1462" s="50">
        <f t="shared" si="29"/>
        <v>149055949.11999989</v>
      </c>
      <c r="F1462" s="83" t="s">
        <v>137</v>
      </c>
      <c r="G1462" s="14" t="s">
        <v>138</v>
      </c>
      <c r="H1462" s="14" t="s">
        <v>3010</v>
      </c>
      <c r="J1462" s="10" t="s">
        <v>4150</v>
      </c>
      <c r="K1462" t="s">
        <v>622</v>
      </c>
      <c r="L1462" s="10">
        <v>2021</v>
      </c>
    </row>
    <row r="1463" spans="1:12">
      <c r="A1463" s="3">
        <v>44524</v>
      </c>
      <c r="B1463" s="7" t="s">
        <v>2916</v>
      </c>
      <c r="C1463" s="8">
        <v>1175000</v>
      </c>
      <c r="D1463" s="8">
        <v>0</v>
      </c>
      <c r="E1463" s="50">
        <f t="shared" si="29"/>
        <v>147880949.11999989</v>
      </c>
      <c r="F1463" s="83" t="s">
        <v>137</v>
      </c>
      <c r="G1463" s="14" t="s">
        <v>138</v>
      </c>
      <c r="H1463" s="14" t="s">
        <v>3010</v>
      </c>
    </row>
    <row r="1464" spans="1:12">
      <c r="A1464" s="3">
        <v>44524</v>
      </c>
      <c r="B1464" s="7" t="s">
        <v>2917</v>
      </c>
      <c r="C1464" s="8">
        <v>4509000</v>
      </c>
      <c r="D1464" s="8">
        <v>0</v>
      </c>
      <c r="E1464" s="50">
        <f t="shared" si="29"/>
        <v>143371949.11999989</v>
      </c>
      <c r="F1464" s="83" t="s">
        <v>137</v>
      </c>
      <c r="G1464" s="14" t="s">
        <v>138</v>
      </c>
      <c r="H1464" s="14" t="s">
        <v>2991</v>
      </c>
    </row>
    <row r="1465" spans="1:12">
      <c r="A1465" s="3">
        <v>44524</v>
      </c>
      <c r="B1465" s="7" t="s">
        <v>2918</v>
      </c>
      <c r="C1465" s="8">
        <v>10000000</v>
      </c>
      <c r="D1465" s="8">
        <v>0</v>
      </c>
      <c r="E1465" s="50">
        <f t="shared" si="29"/>
        <v>133371949.11999989</v>
      </c>
      <c r="F1465" s="83" t="s">
        <v>137</v>
      </c>
      <c r="G1465" s="14" t="s">
        <v>138</v>
      </c>
      <c r="H1465" s="14" t="s">
        <v>3039</v>
      </c>
    </row>
    <row r="1466" spans="1:12">
      <c r="A1466" s="3">
        <v>44524</v>
      </c>
      <c r="B1466" s="7" t="s">
        <v>2919</v>
      </c>
      <c r="C1466" s="8">
        <v>18109000</v>
      </c>
      <c r="D1466" s="8">
        <v>0</v>
      </c>
      <c r="E1466" s="50">
        <f t="shared" si="29"/>
        <v>115262949.11999989</v>
      </c>
      <c r="F1466" s="83" t="s">
        <v>137</v>
      </c>
      <c r="G1466" s="14" t="s">
        <v>138</v>
      </c>
      <c r="H1466" s="14" t="s">
        <v>2984</v>
      </c>
    </row>
    <row r="1467" spans="1:12">
      <c r="A1467" s="3">
        <v>44524</v>
      </c>
      <c r="B1467" s="7" t="s">
        <v>2920</v>
      </c>
      <c r="C1467" s="8">
        <v>2010000</v>
      </c>
      <c r="D1467" s="8">
        <v>0</v>
      </c>
      <c r="E1467" s="50">
        <f t="shared" si="29"/>
        <v>113252949.11999989</v>
      </c>
      <c r="F1467" s="83" t="s">
        <v>137</v>
      </c>
      <c r="G1467" s="14" t="s">
        <v>138</v>
      </c>
      <c r="H1467" s="14" t="s">
        <v>3030</v>
      </c>
    </row>
    <row r="1468" spans="1:12">
      <c r="A1468" s="3">
        <v>44524</v>
      </c>
      <c r="B1468" s="7" t="s">
        <v>2890</v>
      </c>
      <c r="C1468" s="8">
        <v>22000000</v>
      </c>
      <c r="D1468" s="8">
        <v>0</v>
      </c>
      <c r="E1468" s="50">
        <f t="shared" si="29"/>
        <v>91252949.119999886</v>
      </c>
      <c r="F1468" s="83" t="s">
        <v>137</v>
      </c>
      <c r="G1468" s="14" t="s">
        <v>138</v>
      </c>
      <c r="H1468" s="14" t="s">
        <v>3039</v>
      </c>
    </row>
    <row r="1469" spans="1:12">
      <c r="A1469" s="3">
        <v>44524</v>
      </c>
      <c r="B1469" s="7" t="s">
        <v>2921</v>
      </c>
      <c r="C1469" s="8">
        <v>7000000</v>
      </c>
      <c r="D1469" s="8">
        <v>0</v>
      </c>
      <c r="E1469" s="50">
        <f t="shared" si="29"/>
        <v>84252949.119999886</v>
      </c>
      <c r="F1469" s="83" t="s">
        <v>137</v>
      </c>
      <c r="G1469" s="14" t="s">
        <v>138</v>
      </c>
      <c r="H1469" s="14" t="s">
        <v>3039</v>
      </c>
    </row>
    <row r="1470" spans="1:12">
      <c r="A1470" s="3">
        <v>44524</v>
      </c>
      <c r="B1470" s="7" t="s">
        <v>2922</v>
      </c>
      <c r="C1470" s="8">
        <v>4500000</v>
      </c>
      <c r="D1470" s="8">
        <v>0</v>
      </c>
      <c r="E1470" s="50">
        <f t="shared" si="29"/>
        <v>79752949.119999886</v>
      </c>
      <c r="F1470" s="83" t="s">
        <v>137</v>
      </c>
      <c r="G1470" s="14" t="s">
        <v>138</v>
      </c>
      <c r="H1470" s="14" t="s">
        <v>3039</v>
      </c>
    </row>
    <row r="1471" spans="1:12">
      <c r="A1471" s="3">
        <v>44526</v>
      </c>
      <c r="B1471" s="7" t="s">
        <v>2923</v>
      </c>
      <c r="C1471" s="8">
        <v>5500000</v>
      </c>
      <c r="D1471" s="8">
        <v>0</v>
      </c>
      <c r="E1471" s="50">
        <f t="shared" si="29"/>
        <v>74252949.119999886</v>
      </c>
      <c r="F1471" s="83" t="s">
        <v>137</v>
      </c>
      <c r="G1471" s="14" t="s">
        <v>138</v>
      </c>
      <c r="H1471" s="14" t="s">
        <v>3042</v>
      </c>
    </row>
    <row r="1472" spans="1:12">
      <c r="A1472" s="3">
        <v>44526</v>
      </c>
      <c r="B1472" s="7" t="s">
        <v>2924</v>
      </c>
      <c r="C1472" s="8">
        <v>5101966</v>
      </c>
      <c r="D1472" s="8">
        <v>0</v>
      </c>
      <c r="E1472" s="50">
        <f t="shared" si="29"/>
        <v>69150983.119999886</v>
      </c>
      <c r="F1472" s="83" t="s">
        <v>137</v>
      </c>
      <c r="G1472" s="14" t="s">
        <v>138</v>
      </c>
      <c r="H1472" s="14" t="s">
        <v>3042</v>
      </c>
    </row>
    <row r="1473" spans="1:9">
      <c r="A1473" s="3">
        <v>44526</v>
      </c>
      <c r="B1473" s="7" t="s">
        <v>2925</v>
      </c>
      <c r="C1473" s="8">
        <v>5500000</v>
      </c>
      <c r="D1473" s="8">
        <v>0</v>
      </c>
      <c r="E1473" s="50">
        <f t="shared" si="29"/>
        <v>63650983.119999886</v>
      </c>
      <c r="F1473" s="83" t="s">
        <v>137</v>
      </c>
      <c r="G1473" s="14" t="s">
        <v>138</v>
      </c>
      <c r="H1473" s="14" t="s">
        <v>3042</v>
      </c>
    </row>
    <row r="1474" spans="1:9">
      <c r="A1474" s="3">
        <v>44526</v>
      </c>
      <c r="B1474" s="7" t="s">
        <v>2891</v>
      </c>
      <c r="C1474" s="8">
        <v>3412500</v>
      </c>
      <c r="D1474" s="8">
        <v>0</v>
      </c>
      <c r="E1474" s="50">
        <f t="shared" si="29"/>
        <v>60238483.119999886</v>
      </c>
      <c r="F1474" s="83" t="s">
        <v>137</v>
      </c>
      <c r="G1474" s="14" t="s">
        <v>138</v>
      </c>
      <c r="H1474" s="14" t="s">
        <v>4388</v>
      </c>
    </row>
    <row r="1475" spans="1:9">
      <c r="A1475" s="3">
        <v>44526</v>
      </c>
      <c r="B1475" s="7" t="s">
        <v>2926</v>
      </c>
      <c r="C1475" s="8">
        <v>5500000</v>
      </c>
      <c r="D1475" s="8">
        <v>0</v>
      </c>
      <c r="E1475" s="50">
        <f t="shared" si="29"/>
        <v>54738483.119999886</v>
      </c>
      <c r="F1475" s="83" t="s">
        <v>137</v>
      </c>
      <c r="G1475" s="14" t="s">
        <v>138</v>
      </c>
      <c r="H1475" s="14" t="s">
        <v>3046</v>
      </c>
    </row>
    <row r="1476" spans="1:9">
      <c r="A1476" s="3">
        <v>44526</v>
      </c>
      <c r="B1476" s="7" t="s">
        <v>1550</v>
      </c>
      <c r="C1476" s="8">
        <v>0</v>
      </c>
      <c r="D1476" s="8">
        <v>24846517</v>
      </c>
      <c r="E1476" s="50">
        <f t="shared" si="29"/>
        <v>79585000.119999886</v>
      </c>
      <c r="F1476" s="83" t="s">
        <v>107</v>
      </c>
      <c r="G1476" s="14" t="s">
        <v>108</v>
      </c>
      <c r="H1476" s="14"/>
    </row>
    <row r="1477" spans="1:9">
      <c r="A1477" s="3">
        <v>44526</v>
      </c>
      <c r="B1477" s="7" t="s">
        <v>2892</v>
      </c>
      <c r="C1477" s="8">
        <v>79535000</v>
      </c>
      <c r="D1477" s="8">
        <v>0</v>
      </c>
      <c r="E1477" s="50">
        <f t="shared" si="29"/>
        <v>50000.119999885559</v>
      </c>
      <c r="F1477" s="83" t="s">
        <v>248</v>
      </c>
      <c r="G1477" s="14" t="s">
        <v>249</v>
      </c>
      <c r="H1477" s="14"/>
    </row>
    <row r="1478" spans="1:9">
      <c r="A1478" s="3">
        <v>44529</v>
      </c>
      <c r="B1478" s="7" t="s">
        <v>2893</v>
      </c>
      <c r="C1478" s="8">
        <v>0</v>
      </c>
      <c r="D1478" s="8">
        <v>198500</v>
      </c>
      <c r="E1478" s="50">
        <f t="shared" si="29"/>
        <v>248500.11999988556</v>
      </c>
      <c r="F1478" s="83" t="s">
        <v>107</v>
      </c>
      <c r="G1478" s="14" t="s">
        <v>668</v>
      </c>
      <c r="H1478" s="14" t="s">
        <v>3405</v>
      </c>
      <c r="I1478" t="s">
        <v>3912</v>
      </c>
    </row>
    <row r="1479" spans="1:9">
      <c r="A1479" s="3">
        <v>44529</v>
      </c>
      <c r="B1479" s="7" t="s">
        <v>2894</v>
      </c>
      <c r="C1479" s="8">
        <v>0</v>
      </c>
      <c r="D1479" s="8">
        <v>300000</v>
      </c>
      <c r="E1479" s="50">
        <f t="shared" si="29"/>
        <v>548500.11999988556</v>
      </c>
      <c r="F1479" s="2" t="s">
        <v>137</v>
      </c>
      <c r="G1479" s="14" t="s">
        <v>138</v>
      </c>
      <c r="H1479" s="14" t="s">
        <v>2278</v>
      </c>
    </row>
    <row r="1480" spans="1:9">
      <c r="A1480" s="3">
        <v>44530</v>
      </c>
      <c r="B1480" s="7" t="s">
        <v>2895</v>
      </c>
      <c r="C1480" s="8">
        <v>0</v>
      </c>
      <c r="D1480" s="8">
        <v>200000</v>
      </c>
      <c r="E1480" s="50">
        <f t="shared" si="29"/>
        <v>748500.11999988556</v>
      </c>
      <c r="F1480" s="83" t="s">
        <v>110</v>
      </c>
      <c r="G1480" s="14" t="s">
        <v>620</v>
      </c>
      <c r="H1480" s="14" t="s">
        <v>625</v>
      </c>
    </row>
    <row r="1481" spans="1:9">
      <c r="A1481" s="3">
        <v>44530</v>
      </c>
      <c r="B1481" s="7" t="s">
        <v>2896</v>
      </c>
      <c r="C1481" s="8">
        <v>0</v>
      </c>
      <c r="D1481" s="8">
        <v>1000000</v>
      </c>
      <c r="E1481" s="50">
        <f t="shared" si="29"/>
        <v>1748500.1199998856</v>
      </c>
      <c r="F1481" s="83" t="s">
        <v>110</v>
      </c>
      <c r="G1481" s="14" t="s">
        <v>620</v>
      </c>
      <c r="H1481" s="14" t="s">
        <v>623</v>
      </c>
    </row>
    <row r="1482" spans="1:9">
      <c r="A1482" s="3">
        <v>44530</v>
      </c>
      <c r="B1482" s="7" t="s">
        <v>2897</v>
      </c>
      <c r="C1482" s="8">
        <v>0</v>
      </c>
      <c r="D1482" s="8">
        <v>200000</v>
      </c>
      <c r="E1482" s="50">
        <f t="shared" si="29"/>
        <v>1948500.1199998856</v>
      </c>
      <c r="F1482" s="83" t="s">
        <v>110</v>
      </c>
      <c r="G1482" s="14" t="s">
        <v>620</v>
      </c>
      <c r="H1482" s="14" t="s">
        <v>2083</v>
      </c>
    </row>
    <row r="1483" spans="1:9">
      <c r="A1483" s="3">
        <v>44530</v>
      </c>
      <c r="B1483" s="7" t="s">
        <v>2898</v>
      </c>
      <c r="C1483" s="8">
        <v>1860000</v>
      </c>
      <c r="D1483" s="8">
        <v>0</v>
      </c>
      <c r="E1483" s="50">
        <f t="shared" si="29"/>
        <v>88500.119999885559</v>
      </c>
      <c r="F1483" s="83" t="s">
        <v>248</v>
      </c>
      <c r="G1483" s="14" t="s">
        <v>249</v>
      </c>
      <c r="H1483" s="14"/>
    </row>
    <row r="1484" spans="1:9">
      <c r="A1484" s="3">
        <v>44530</v>
      </c>
      <c r="B1484" s="7" t="s">
        <v>3995</v>
      </c>
      <c r="C1484" s="8">
        <v>0</v>
      </c>
      <c r="D1484" s="8">
        <v>400000</v>
      </c>
      <c r="E1484" s="50">
        <f t="shared" si="29"/>
        <v>488500.11999988556</v>
      </c>
      <c r="F1484" s="83" t="s">
        <v>107</v>
      </c>
      <c r="G1484" s="14" t="s">
        <v>668</v>
      </c>
      <c r="H1484" s="14" t="s">
        <v>3405</v>
      </c>
      <c r="I1484" t="s">
        <v>3896</v>
      </c>
    </row>
    <row r="1485" spans="1:9">
      <c r="A1485" s="3">
        <v>44530</v>
      </c>
      <c r="B1485" s="7" t="s">
        <v>1550</v>
      </c>
      <c r="C1485" s="8">
        <v>0</v>
      </c>
      <c r="D1485" s="8">
        <v>50000000</v>
      </c>
      <c r="E1485" s="50">
        <f t="shared" si="29"/>
        <v>50488500.119999886</v>
      </c>
      <c r="F1485" s="83" t="s">
        <v>107</v>
      </c>
      <c r="G1485" s="14" t="s">
        <v>108</v>
      </c>
      <c r="H1485" s="14"/>
    </row>
    <row r="1486" spans="1:9">
      <c r="A1486" s="3">
        <v>44530</v>
      </c>
      <c r="B1486" s="7" t="s">
        <v>2899</v>
      </c>
      <c r="C1486" s="8">
        <v>3500000</v>
      </c>
      <c r="D1486" s="8">
        <v>0</v>
      </c>
      <c r="E1486" s="50">
        <f t="shared" si="29"/>
        <v>46988500.119999886</v>
      </c>
      <c r="F1486" s="83" t="s">
        <v>137</v>
      </c>
      <c r="G1486" s="14" t="s">
        <v>138</v>
      </c>
      <c r="H1486" s="14" t="s">
        <v>3047</v>
      </c>
    </row>
    <row r="1487" spans="1:9">
      <c r="A1487" s="3">
        <v>44530</v>
      </c>
      <c r="B1487" s="7" t="s">
        <v>2900</v>
      </c>
      <c r="C1487" s="8">
        <v>0</v>
      </c>
      <c r="D1487" s="8">
        <v>561500</v>
      </c>
      <c r="E1487" s="50">
        <f t="shared" si="29"/>
        <v>47550000.119999886</v>
      </c>
      <c r="F1487" s="83" t="s">
        <v>115</v>
      </c>
      <c r="G1487" s="14" t="s">
        <v>122</v>
      </c>
      <c r="H1487" s="14" t="s">
        <v>123</v>
      </c>
    </row>
    <row r="1488" spans="1:9">
      <c r="A1488" s="3">
        <v>44530</v>
      </c>
      <c r="B1488" s="7" t="s">
        <v>2901</v>
      </c>
      <c r="C1488" s="8">
        <v>47500000</v>
      </c>
      <c r="D1488" s="8">
        <v>0</v>
      </c>
      <c r="E1488" s="50">
        <f t="shared" si="29"/>
        <v>50000.119999885559</v>
      </c>
      <c r="F1488" s="83" t="s">
        <v>137</v>
      </c>
      <c r="G1488" s="14" t="s">
        <v>138</v>
      </c>
      <c r="H1488" s="14" t="s">
        <v>3391</v>
      </c>
    </row>
    <row r="1489" spans="1:8">
      <c r="A1489" s="3">
        <v>44530</v>
      </c>
      <c r="B1489" s="7" t="s">
        <v>2900</v>
      </c>
      <c r="C1489" s="8">
        <v>0</v>
      </c>
      <c r="D1489" s="8">
        <v>55582000</v>
      </c>
      <c r="E1489" s="50">
        <f t="shared" si="29"/>
        <v>55632000.119999886</v>
      </c>
      <c r="F1489" s="83" t="s">
        <v>115</v>
      </c>
      <c r="G1489" s="14" t="s">
        <v>122</v>
      </c>
      <c r="H1489" s="14" t="s">
        <v>123</v>
      </c>
    </row>
    <row r="1490" spans="1:8">
      <c r="A1490" s="3">
        <v>44530</v>
      </c>
      <c r="B1490" s="7" t="s">
        <v>2902</v>
      </c>
      <c r="C1490" s="8">
        <v>32082000</v>
      </c>
      <c r="D1490" s="8">
        <v>0</v>
      </c>
      <c r="E1490" s="50">
        <f t="shared" si="29"/>
        <v>23550000.119999886</v>
      </c>
      <c r="F1490" s="83" t="s">
        <v>137</v>
      </c>
      <c r="G1490" s="14" t="s">
        <v>138</v>
      </c>
      <c r="H1490" s="14" t="s">
        <v>2994</v>
      </c>
    </row>
    <row r="1491" spans="1:8">
      <c r="A1491" s="3">
        <v>44530</v>
      </c>
      <c r="B1491" s="7" t="s">
        <v>2903</v>
      </c>
      <c r="C1491" s="8">
        <v>1000000</v>
      </c>
      <c r="D1491" s="8">
        <v>0</v>
      </c>
      <c r="E1491" s="50">
        <f t="shared" si="29"/>
        <v>22550000.119999886</v>
      </c>
      <c r="F1491" s="83" t="s">
        <v>137</v>
      </c>
      <c r="G1491" s="14" t="s">
        <v>138</v>
      </c>
      <c r="H1491" s="14" t="s">
        <v>2994</v>
      </c>
    </row>
    <row r="1492" spans="1:8">
      <c r="A1492" s="3">
        <v>44530</v>
      </c>
      <c r="B1492" s="7" t="s">
        <v>2904</v>
      </c>
      <c r="C1492" s="8">
        <v>22500000</v>
      </c>
      <c r="D1492" s="8">
        <v>0</v>
      </c>
      <c r="E1492" s="50">
        <f t="shared" si="29"/>
        <v>50000.119999885559</v>
      </c>
      <c r="F1492" s="83" t="s">
        <v>137</v>
      </c>
      <c r="G1492" s="14" t="s">
        <v>138</v>
      </c>
      <c r="H1492" s="14" t="s">
        <v>3046</v>
      </c>
    </row>
    <row r="1493" spans="1:8">
      <c r="A1493" s="3">
        <v>44530</v>
      </c>
      <c r="B1493" s="7" t="s">
        <v>1785</v>
      </c>
      <c r="C1493" s="8">
        <v>0</v>
      </c>
      <c r="D1493" s="8">
        <v>8135.64</v>
      </c>
      <c r="E1493" s="50">
        <f t="shared" si="29"/>
        <v>58135.759999885558</v>
      </c>
      <c r="F1493" s="83" t="s">
        <v>252</v>
      </c>
      <c r="G1493" s="14" t="s">
        <v>253</v>
      </c>
      <c r="H1493" s="14"/>
    </row>
    <row r="1494" spans="1:8">
      <c r="A1494" s="3">
        <v>44530</v>
      </c>
      <c r="B1494" s="7" t="s">
        <v>1702</v>
      </c>
      <c r="C1494" s="8">
        <v>1627.13</v>
      </c>
      <c r="D1494" s="8">
        <v>0</v>
      </c>
      <c r="E1494" s="50">
        <f t="shared" si="29"/>
        <v>56508.629999885561</v>
      </c>
      <c r="F1494" s="83" t="s">
        <v>252</v>
      </c>
      <c r="G1494" s="14" t="s">
        <v>253</v>
      </c>
      <c r="H1494" s="14"/>
    </row>
    <row r="1495" spans="1:8">
      <c r="A1495" s="3">
        <v>44531</v>
      </c>
      <c r="B1495" s="7" t="s">
        <v>1550</v>
      </c>
      <c r="C1495" s="8">
        <v>0</v>
      </c>
      <c r="D1495" s="8">
        <v>14902811</v>
      </c>
      <c r="E1495" s="50">
        <f t="shared" si="29"/>
        <v>14959319.629999885</v>
      </c>
      <c r="F1495" s="83" t="s">
        <v>107</v>
      </c>
      <c r="G1495" s="14" t="s">
        <v>108</v>
      </c>
      <c r="H1495" s="14"/>
    </row>
    <row r="1496" spans="1:8">
      <c r="A1496" s="3">
        <v>44531</v>
      </c>
      <c r="B1496" s="7" t="s">
        <v>25</v>
      </c>
      <c r="C1496" s="8">
        <v>0</v>
      </c>
      <c r="D1496" s="8">
        <v>385851384</v>
      </c>
      <c r="E1496" s="50">
        <f t="shared" si="29"/>
        <v>400810703.62999988</v>
      </c>
      <c r="F1496" s="83" t="s">
        <v>107</v>
      </c>
      <c r="G1496" s="14" t="s">
        <v>108</v>
      </c>
      <c r="H1496" s="14"/>
    </row>
    <row r="1497" spans="1:8" s="168" customFormat="1">
      <c r="A1497" s="174">
        <v>44531</v>
      </c>
      <c r="B1497" s="175" t="s">
        <v>3916</v>
      </c>
      <c r="C1497" s="170">
        <v>68000000</v>
      </c>
      <c r="D1497" s="170"/>
      <c r="E1497" s="170">
        <f t="shared" si="29"/>
        <v>332810703.62999988</v>
      </c>
      <c r="F1497" s="176" t="s">
        <v>137</v>
      </c>
      <c r="G1497" s="168" t="s">
        <v>138</v>
      </c>
      <c r="H1497" s="168" t="s">
        <v>2991</v>
      </c>
    </row>
    <row r="1498" spans="1:8" s="168" customFormat="1">
      <c r="A1498" s="174">
        <v>44531</v>
      </c>
      <c r="B1498" s="175" t="s">
        <v>3917</v>
      </c>
      <c r="C1498" s="170">
        <v>76000000</v>
      </c>
      <c r="D1498" s="170"/>
      <c r="E1498" s="170">
        <f t="shared" si="29"/>
        <v>256810703.62999988</v>
      </c>
      <c r="F1498" s="176" t="s">
        <v>137</v>
      </c>
      <c r="G1498" s="168" t="s">
        <v>138</v>
      </c>
      <c r="H1498" s="168" t="s">
        <v>2991</v>
      </c>
    </row>
    <row r="1499" spans="1:8">
      <c r="A1499" s="3">
        <v>44531</v>
      </c>
      <c r="B1499" s="7" t="s">
        <v>3918</v>
      </c>
      <c r="C1499" s="8">
        <v>561500</v>
      </c>
      <c r="E1499" s="50">
        <f t="shared" si="29"/>
        <v>256249203.62999988</v>
      </c>
      <c r="F1499" s="83" t="s">
        <v>115</v>
      </c>
      <c r="G1499" s="14" t="s">
        <v>122</v>
      </c>
      <c r="H1499" s="14" t="s">
        <v>123</v>
      </c>
    </row>
    <row r="1500" spans="1:8">
      <c r="A1500" s="3">
        <v>44531</v>
      </c>
      <c r="B1500" s="7" t="s">
        <v>3918</v>
      </c>
      <c r="C1500" s="8">
        <v>55582000</v>
      </c>
      <c r="E1500" s="50">
        <f t="shared" si="29"/>
        <v>200667203.62999988</v>
      </c>
      <c r="F1500" s="83" t="s">
        <v>115</v>
      </c>
      <c r="G1500" s="14" t="s">
        <v>122</v>
      </c>
      <c r="H1500" s="14" t="s">
        <v>123</v>
      </c>
    </row>
    <row r="1501" spans="1:8">
      <c r="A1501" s="3">
        <v>44532</v>
      </c>
      <c r="B1501" s="7" t="s">
        <v>3919</v>
      </c>
      <c r="C1501" s="8">
        <v>16000000</v>
      </c>
      <c r="E1501" s="50">
        <f t="shared" si="29"/>
        <v>184667203.62999988</v>
      </c>
      <c r="F1501" s="83" t="s">
        <v>137</v>
      </c>
      <c r="G1501" s="14" t="s">
        <v>138</v>
      </c>
      <c r="H1501" s="14" t="s">
        <v>3391</v>
      </c>
    </row>
    <row r="1502" spans="1:8">
      <c r="A1502" s="3">
        <v>44532</v>
      </c>
      <c r="B1502" s="7" t="s">
        <v>3997</v>
      </c>
      <c r="C1502" s="8">
        <f>106052250-C1503-C1504</f>
        <v>98552250</v>
      </c>
      <c r="E1502" s="50">
        <f t="shared" si="29"/>
        <v>86114953.629999876</v>
      </c>
      <c r="F1502" s="83" t="s">
        <v>137</v>
      </c>
      <c r="G1502" s="14" t="s">
        <v>138</v>
      </c>
      <c r="H1502" s="14" t="s">
        <v>3391</v>
      </c>
    </row>
    <row r="1503" spans="1:8">
      <c r="A1503" s="3">
        <v>44532</v>
      </c>
      <c r="B1503" s="7" t="s">
        <v>3997</v>
      </c>
      <c r="C1503" s="8">
        <v>5000000</v>
      </c>
      <c r="E1503" s="50">
        <f t="shared" si="29"/>
        <v>81114953.629999876</v>
      </c>
      <c r="F1503" s="83" t="s">
        <v>110</v>
      </c>
      <c r="G1503" s="14" t="s">
        <v>321</v>
      </c>
      <c r="H1503" s="14" t="s">
        <v>3998</v>
      </c>
    </row>
    <row r="1504" spans="1:8">
      <c r="A1504" s="3">
        <v>44532</v>
      </c>
      <c r="B1504" s="7" t="s">
        <v>3997</v>
      </c>
      <c r="C1504" s="8">
        <v>2500000</v>
      </c>
      <c r="E1504" s="50">
        <f t="shared" si="29"/>
        <v>78614953.629999876</v>
      </c>
      <c r="F1504" s="83" t="s">
        <v>110</v>
      </c>
      <c r="G1504" s="14" t="s">
        <v>321</v>
      </c>
      <c r="H1504" s="14" t="s">
        <v>3998</v>
      </c>
    </row>
    <row r="1505" spans="1:8">
      <c r="A1505" s="3">
        <v>44532</v>
      </c>
      <c r="B1505" s="7" t="s">
        <v>3920</v>
      </c>
      <c r="C1505" s="8">
        <v>10000000</v>
      </c>
      <c r="E1505" s="50">
        <f t="shared" si="29"/>
        <v>68614953.629999876</v>
      </c>
      <c r="F1505" s="83" t="s">
        <v>137</v>
      </c>
      <c r="G1505" s="14" t="s">
        <v>138</v>
      </c>
      <c r="H1505" s="14" t="s">
        <v>3391</v>
      </c>
    </row>
    <row r="1506" spans="1:8">
      <c r="A1506" s="3">
        <v>44533</v>
      </c>
      <c r="B1506" s="7" t="s">
        <v>3921</v>
      </c>
      <c r="C1506" s="8">
        <v>16000000</v>
      </c>
      <c r="E1506" s="50">
        <f t="shared" si="29"/>
        <v>52614953.629999876</v>
      </c>
      <c r="F1506" s="83" t="s">
        <v>137</v>
      </c>
      <c r="G1506" s="14" t="s">
        <v>138</v>
      </c>
      <c r="H1506" s="14" t="s">
        <v>3391</v>
      </c>
    </row>
    <row r="1507" spans="1:8">
      <c r="A1507" s="3">
        <v>44533</v>
      </c>
      <c r="B1507" s="7" t="s">
        <v>1265</v>
      </c>
      <c r="C1507" s="8">
        <v>50000000</v>
      </c>
      <c r="E1507" s="50">
        <f t="shared" si="29"/>
        <v>2614953.629999876</v>
      </c>
      <c r="F1507" s="83" t="s">
        <v>107</v>
      </c>
      <c r="G1507" s="14" t="s">
        <v>109</v>
      </c>
      <c r="H1507" s="14"/>
    </row>
    <row r="1508" spans="1:8">
      <c r="A1508" s="3">
        <v>44533</v>
      </c>
      <c r="B1508" s="7" t="s">
        <v>1650</v>
      </c>
      <c r="C1508" s="8">
        <v>6500</v>
      </c>
      <c r="E1508" s="50">
        <f t="shared" si="29"/>
        <v>2608453.629999876</v>
      </c>
      <c r="F1508" s="83" t="s">
        <v>113</v>
      </c>
      <c r="G1508" s="14" t="s">
        <v>114</v>
      </c>
      <c r="H1508" s="14"/>
    </row>
    <row r="1509" spans="1:8">
      <c r="A1509" s="3">
        <v>44533</v>
      </c>
      <c r="B1509" s="7" t="s">
        <v>3922</v>
      </c>
      <c r="C1509" s="8">
        <v>0</v>
      </c>
      <c r="D1509" s="8">
        <v>372197</v>
      </c>
      <c r="E1509" s="50">
        <f t="shared" si="29"/>
        <v>2980650.629999876</v>
      </c>
      <c r="F1509" s="83" t="s">
        <v>115</v>
      </c>
      <c r="G1509" s="14" t="s">
        <v>122</v>
      </c>
      <c r="H1509" s="14" t="s">
        <v>123</v>
      </c>
    </row>
    <row r="1510" spans="1:8">
      <c r="A1510" s="3">
        <v>44533</v>
      </c>
      <c r="B1510" s="7" t="s">
        <v>24</v>
      </c>
      <c r="C1510" s="8">
        <v>2930650</v>
      </c>
      <c r="D1510" s="8">
        <v>0</v>
      </c>
      <c r="E1510" s="50">
        <f t="shared" si="29"/>
        <v>50000.629999876022</v>
      </c>
      <c r="F1510" s="83" t="s">
        <v>107</v>
      </c>
      <c r="G1510" s="14" t="s">
        <v>129</v>
      </c>
      <c r="H1510" s="14"/>
    </row>
    <row r="1511" spans="1:8">
      <c r="A1511" s="3">
        <v>44536</v>
      </c>
      <c r="B1511" s="7" t="s">
        <v>12</v>
      </c>
      <c r="C1511" s="8">
        <v>0</v>
      </c>
      <c r="D1511" s="8">
        <v>47500000</v>
      </c>
      <c r="E1511" s="50">
        <f t="shared" si="29"/>
        <v>47550000.629999876</v>
      </c>
      <c r="F1511" s="83" t="s">
        <v>115</v>
      </c>
      <c r="G1511" s="14" t="s">
        <v>122</v>
      </c>
      <c r="H1511" s="14" t="s">
        <v>123</v>
      </c>
    </row>
    <row r="1512" spans="1:8">
      <c r="A1512" s="3">
        <v>44536</v>
      </c>
      <c r="B1512" s="7" t="s">
        <v>3923</v>
      </c>
      <c r="C1512" s="8">
        <v>47500000</v>
      </c>
      <c r="D1512" s="8">
        <v>0</v>
      </c>
      <c r="E1512" s="50">
        <f t="shared" si="29"/>
        <v>50000.629999876022</v>
      </c>
      <c r="F1512" s="83" t="s">
        <v>137</v>
      </c>
      <c r="G1512" s="14" t="s">
        <v>138</v>
      </c>
      <c r="H1512" s="14" t="s">
        <v>3391</v>
      </c>
    </row>
    <row r="1513" spans="1:8">
      <c r="A1513" s="3">
        <v>44536</v>
      </c>
      <c r="B1513" s="7" t="s">
        <v>12</v>
      </c>
      <c r="C1513" s="8">
        <v>0</v>
      </c>
      <c r="D1513" s="8">
        <v>15500000</v>
      </c>
      <c r="E1513" s="50">
        <f t="shared" si="29"/>
        <v>15550000.629999876</v>
      </c>
      <c r="F1513" s="83" t="s">
        <v>115</v>
      </c>
      <c r="G1513" s="14" t="s">
        <v>122</v>
      </c>
      <c r="H1513" s="14" t="s">
        <v>123</v>
      </c>
    </row>
    <row r="1514" spans="1:8">
      <c r="A1514" s="3">
        <v>44536</v>
      </c>
      <c r="B1514" s="7" t="s">
        <v>3924</v>
      </c>
      <c r="C1514" s="8">
        <v>4500000</v>
      </c>
      <c r="D1514" s="8">
        <v>0</v>
      </c>
      <c r="E1514" s="50">
        <f t="shared" si="29"/>
        <v>11050000.629999876</v>
      </c>
      <c r="F1514" s="83" t="s">
        <v>137</v>
      </c>
      <c r="G1514" s="14" t="s">
        <v>138</v>
      </c>
      <c r="H1514" s="14" t="s">
        <v>3391</v>
      </c>
    </row>
    <row r="1515" spans="1:8">
      <c r="A1515" s="3">
        <v>44536</v>
      </c>
      <c r="B1515" s="7" t="s">
        <v>3925</v>
      </c>
      <c r="C1515" s="8">
        <v>11000000</v>
      </c>
      <c r="D1515" s="8">
        <v>0</v>
      </c>
      <c r="E1515" s="50">
        <f t="shared" si="29"/>
        <v>50000.629999876022</v>
      </c>
      <c r="F1515" s="83" t="s">
        <v>137</v>
      </c>
      <c r="G1515" s="14" t="s">
        <v>138</v>
      </c>
      <c r="H1515" s="14" t="s">
        <v>3391</v>
      </c>
    </row>
    <row r="1516" spans="1:8">
      <c r="A1516" s="3">
        <v>44536</v>
      </c>
      <c r="B1516" s="7" t="s">
        <v>12</v>
      </c>
      <c r="C1516" s="8">
        <v>0</v>
      </c>
      <c r="D1516" s="8">
        <v>21895000</v>
      </c>
      <c r="E1516" s="50">
        <f t="shared" si="29"/>
        <v>21945000.629999876</v>
      </c>
      <c r="F1516" s="83" t="s">
        <v>115</v>
      </c>
      <c r="G1516" s="14" t="s">
        <v>122</v>
      </c>
      <c r="H1516" s="14" t="s">
        <v>123</v>
      </c>
    </row>
    <row r="1517" spans="1:8">
      <c r="A1517" s="3">
        <v>44536</v>
      </c>
      <c r="B1517" s="7" t="s">
        <v>2768</v>
      </c>
      <c r="C1517" s="8">
        <v>14534500</v>
      </c>
      <c r="D1517" s="8">
        <v>0</v>
      </c>
      <c r="E1517" s="50">
        <f t="shared" si="29"/>
        <v>7410500.629999876</v>
      </c>
      <c r="F1517" s="83" t="s">
        <v>137</v>
      </c>
      <c r="G1517" s="14" t="s">
        <v>138</v>
      </c>
      <c r="H1517" s="14" t="s">
        <v>4388</v>
      </c>
    </row>
    <row r="1518" spans="1:8">
      <c r="A1518" s="3">
        <v>44536</v>
      </c>
      <c r="B1518" s="7" t="s">
        <v>2768</v>
      </c>
      <c r="C1518" s="8">
        <v>3362500</v>
      </c>
      <c r="D1518" s="8">
        <v>0</v>
      </c>
      <c r="E1518" s="50">
        <f t="shared" si="29"/>
        <v>4048000.629999876</v>
      </c>
      <c r="F1518" s="83" t="s">
        <v>137</v>
      </c>
      <c r="G1518" s="14" t="s">
        <v>138</v>
      </c>
      <c r="H1518" s="14" t="s">
        <v>4388</v>
      </c>
    </row>
    <row r="1519" spans="1:8">
      <c r="A1519" s="3">
        <v>44536</v>
      </c>
      <c r="B1519" s="7" t="s">
        <v>1552</v>
      </c>
      <c r="C1519" s="8">
        <v>0</v>
      </c>
      <c r="D1519" s="8">
        <v>7000000</v>
      </c>
      <c r="E1519" s="50">
        <f t="shared" si="29"/>
        <v>11048000.629999876</v>
      </c>
      <c r="F1519" s="83" t="s">
        <v>115</v>
      </c>
      <c r="G1519" s="14" t="s">
        <v>122</v>
      </c>
      <c r="H1519" s="14" t="s">
        <v>123</v>
      </c>
    </row>
    <row r="1520" spans="1:8">
      <c r="A1520" s="3">
        <v>44536</v>
      </c>
      <c r="B1520" s="7" t="s">
        <v>12</v>
      </c>
      <c r="C1520" s="8">
        <v>0</v>
      </c>
      <c r="D1520" s="8">
        <v>4962497</v>
      </c>
      <c r="E1520" s="50">
        <f t="shared" si="29"/>
        <v>16010497.629999876</v>
      </c>
      <c r="F1520" s="83" t="s">
        <v>115</v>
      </c>
      <c r="G1520" s="14" t="s">
        <v>122</v>
      </c>
      <c r="H1520" s="14" t="s">
        <v>123</v>
      </c>
    </row>
    <row r="1521" spans="1:12">
      <c r="A1521" s="3">
        <v>44536</v>
      </c>
      <c r="B1521" s="7" t="s">
        <v>3926</v>
      </c>
      <c r="C1521" s="8">
        <v>11960497</v>
      </c>
      <c r="D1521" s="8">
        <v>0</v>
      </c>
      <c r="E1521" s="50">
        <f t="shared" si="29"/>
        <v>4050000.629999876</v>
      </c>
      <c r="F1521" s="83" t="s">
        <v>137</v>
      </c>
      <c r="G1521" s="14" t="s">
        <v>138</v>
      </c>
      <c r="H1521" s="14" t="s">
        <v>2975</v>
      </c>
    </row>
    <row r="1522" spans="1:12">
      <c r="A1522" s="3">
        <v>44536</v>
      </c>
      <c r="B1522" s="7" t="s">
        <v>3927</v>
      </c>
      <c r="C1522" s="8">
        <v>4000000</v>
      </c>
      <c r="D1522" s="8">
        <v>0</v>
      </c>
      <c r="E1522" s="50">
        <f t="shared" si="29"/>
        <v>50000.629999876022</v>
      </c>
      <c r="F1522" s="83" t="s">
        <v>107</v>
      </c>
      <c r="G1522" s="14" t="s">
        <v>666</v>
      </c>
      <c r="H1522" s="14" t="s">
        <v>3991</v>
      </c>
      <c r="I1522" t="s">
        <v>3991</v>
      </c>
    </row>
    <row r="1523" spans="1:12">
      <c r="A1523" s="3">
        <v>44537</v>
      </c>
      <c r="B1523" s="7" t="s">
        <v>3928</v>
      </c>
      <c r="C1523" s="8">
        <v>0</v>
      </c>
      <c r="D1523" s="8">
        <v>625000000</v>
      </c>
      <c r="E1523" s="50">
        <f t="shared" si="29"/>
        <v>625050000.62999988</v>
      </c>
      <c r="F1523" s="83" t="s">
        <v>115</v>
      </c>
      <c r="G1523" s="14" t="s">
        <v>122</v>
      </c>
      <c r="H1523" s="14" t="s">
        <v>123</v>
      </c>
    </row>
    <row r="1524" spans="1:12">
      <c r="A1524" s="3">
        <v>44537</v>
      </c>
      <c r="B1524" s="7" t="s">
        <v>3929</v>
      </c>
      <c r="C1524" s="8">
        <v>116390591</v>
      </c>
      <c r="D1524" s="8">
        <v>0</v>
      </c>
      <c r="E1524" s="50">
        <f t="shared" si="29"/>
        <v>508659409.62999988</v>
      </c>
      <c r="F1524" s="83" t="s">
        <v>107</v>
      </c>
      <c r="G1524" s="14" t="s">
        <v>666</v>
      </c>
      <c r="H1524" s="14" t="s">
        <v>142</v>
      </c>
    </row>
    <row r="1525" spans="1:12">
      <c r="A1525" s="3">
        <v>44537</v>
      </c>
      <c r="B1525" s="7" t="s">
        <v>7</v>
      </c>
      <c r="C1525" s="8">
        <v>2900</v>
      </c>
      <c r="D1525" s="8">
        <v>0</v>
      </c>
      <c r="E1525" s="50">
        <f t="shared" ref="E1525:E1591" si="30">E1524-C1525+D1525</f>
        <v>508656509.62999988</v>
      </c>
      <c r="F1525" s="83" t="s">
        <v>113</v>
      </c>
      <c r="G1525" s="14" t="s">
        <v>114</v>
      </c>
      <c r="H1525" s="14"/>
    </row>
    <row r="1526" spans="1:12">
      <c r="A1526" s="3">
        <v>44537</v>
      </c>
      <c r="B1526" s="7" t="s">
        <v>3930</v>
      </c>
      <c r="C1526" s="8">
        <v>11936676</v>
      </c>
      <c r="D1526" s="8">
        <v>0</v>
      </c>
      <c r="E1526" s="50">
        <f t="shared" si="30"/>
        <v>496719833.62999988</v>
      </c>
      <c r="F1526" s="83" t="s">
        <v>107</v>
      </c>
      <c r="G1526" s="14" t="s">
        <v>666</v>
      </c>
      <c r="H1526" s="14" t="s">
        <v>141</v>
      </c>
    </row>
    <row r="1527" spans="1:12">
      <c r="A1527" s="3">
        <v>44537</v>
      </c>
      <c r="B1527" s="7" t="s">
        <v>7</v>
      </c>
      <c r="C1527" s="8">
        <v>2900</v>
      </c>
      <c r="D1527" s="8">
        <v>0</v>
      </c>
      <c r="E1527" s="50">
        <f t="shared" si="30"/>
        <v>496716933.62999988</v>
      </c>
      <c r="F1527" s="83" t="s">
        <v>113</v>
      </c>
      <c r="G1527" s="14" t="s">
        <v>114</v>
      </c>
      <c r="H1527" s="14"/>
    </row>
    <row r="1528" spans="1:12">
      <c r="A1528" s="3">
        <v>44537</v>
      </c>
      <c r="B1528" s="7" t="s">
        <v>3931</v>
      </c>
      <c r="C1528" s="8">
        <v>2497072</v>
      </c>
      <c r="D1528" s="8">
        <v>0</v>
      </c>
      <c r="E1528" s="50">
        <f t="shared" si="30"/>
        <v>494219861.62999988</v>
      </c>
      <c r="F1528" s="83" t="s">
        <v>107</v>
      </c>
      <c r="G1528" s="14" t="s">
        <v>666</v>
      </c>
      <c r="H1528" s="14" t="s">
        <v>140</v>
      </c>
    </row>
    <row r="1529" spans="1:12">
      <c r="A1529" s="3">
        <v>44537</v>
      </c>
      <c r="B1529" s="7" t="s">
        <v>7</v>
      </c>
      <c r="C1529" s="8">
        <v>2900</v>
      </c>
      <c r="D1529" s="8">
        <v>0</v>
      </c>
      <c r="E1529" s="50">
        <f t="shared" si="30"/>
        <v>494216961.62999988</v>
      </c>
      <c r="F1529" s="83" t="s">
        <v>113</v>
      </c>
      <c r="G1529" s="14" t="s">
        <v>114</v>
      </c>
      <c r="H1529" s="14"/>
    </row>
    <row r="1530" spans="1:12">
      <c r="A1530" s="3">
        <v>44537</v>
      </c>
      <c r="B1530" s="7" t="s">
        <v>3932</v>
      </c>
      <c r="C1530" s="8">
        <v>200000</v>
      </c>
      <c r="D1530" s="8">
        <v>0</v>
      </c>
      <c r="E1530" s="50">
        <f t="shared" si="30"/>
        <v>494016961.62999988</v>
      </c>
      <c r="F1530" s="83" t="s">
        <v>137</v>
      </c>
      <c r="G1530" s="14" t="s">
        <v>138</v>
      </c>
      <c r="H1530" s="14" t="s">
        <v>3390</v>
      </c>
      <c r="J1530" s="10" t="s">
        <v>4150</v>
      </c>
      <c r="K1530" t="s">
        <v>2083</v>
      </c>
      <c r="L1530" s="10">
        <v>2021</v>
      </c>
    </row>
    <row r="1531" spans="1:12">
      <c r="A1531" s="3">
        <v>44537</v>
      </c>
      <c r="B1531" s="7" t="s">
        <v>5028</v>
      </c>
      <c r="C1531" s="8">
        <v>10000000</v>
      </c>
      <c r="D1531" s="8">
        <v>0</v>
      </c>
      <c r="E1531" s="50">
        <f t="shared" si="30"/>
        <v>484016961.62999988</v>
      </c>
      <c r="F1531" s="83" t="s">
        <v>107</v>
      </c>
      <c r="G1531" s="14" t="s">
        <v>666</v>
      </c>
      <c r="H1531" s="14" t="s">
        <v>3405</v>
      </c>
      <c r="I1531" t="s">
        <v>5029</v>
      </c>
    </row>
    <row r="1532" spans="1:12">
      <c r="A1532" s="3">
        <v>44537</v>
      </c>
      <c r="B1532" s="7" t="s">
        <v>3933</v>
      </c>
      <c r="C1532" s="8">
        <v>4700000</v>
      </c>
      <c r="D1532" s="8">
        <v>0</v>
      </c>
      <c r="E1532" s="50">
        <f t="shared" si="30"/>
        <v>479316961.62999988</v>
      </c>
      <c r="F1532" s="83" t="s">
        <v>107</v>
      </c>
      <c r="G1532" s="14" t="s">
        <v>666</v>
      </c>
      <c r="H1532" s="14" t="s">
        <v>3992</v>
      </c>
      <c r="I1532" t="s">
        <v>3992</v>
      </c>
    </row>
    <row r="1533" spans="1:12">
      <c r="A1533" s="3">
        <v>44537</v>
      </c>
      <c r="B1533" s="7" t="s">
        <v>3934</v>
      </c>
      <c r="C1533" s="8">
        <v>7000000</v>
      </c>
      <c r="D1533" s="8">
        <v>0</v>
      </c>
      <c r="E1533" s="50">
        <f t="shared" si="30"/>
        <v>472316961.62999988</v>
      </c>
      <c r="F1533" s="83" t="s">
        <v>736</v>
      </c>
      <c r="G1533" s="14" t="s">
        <v>3994</v>
      </c>
      <c r="H1533" s="14"/>
    </row>
    <row r="1534" spans="1:12">
      <c r="A1534" s="3">
        <v>44537</v>
      </c>
      <c r="B1534" s="7" t="s">
        <v>3935</v>
      </c>
      <c r="C1534" s="8">
        <v>580000</v>
      </c>
      <c r="D1534" s="8">
        <v>0</v>
      </c>
      <c r="E1534" s="50">
        <f t="shared" si="30"/>
        <v>471736961.62999988</v>
      </c>
      <c r="F1534" s="83" t="s">
        <v>248</v>
      </c>
      <c r="G1534" s="14" t="s">
        <v>130</v>
      </c>
      <c r="H1534" t="s">
        <v>2083</v>
      </c>
    </row>
    <row r="1535" spans="1:12">
      <c r="A1535" s="3">
        <v>44537</v>
      </c>
      <c r="B1535" s="7" t="s">
        <v>3936</v>
      </c>
      <c r="C1535" s="8">
        <v>1080000</v>
      </c>
      <c r="D1535" s="8">
        <v>0</v>
      </c>
      <c r="E1535" s="50">
        <f t="shared" si="30"/>
        <v>470656961.62999988</v>
      </c>
      <c r="F1535" s="83" t="s">
        <v>248</v>
      </c>
      <c r="G1535" s="14" t="s">
        <v>130</v>
      </c>
      <c r="H1535" t="s">
        <v>625</v>
      </c>
    </row>
    <row r="1536" spans="1:12">
      <c r="A1536" s="3">
        <v>44537</v>
      </c>
      <c r="B1536" s="7" t="s">
        <v>4901</v>
      </c>
      <c r="C1536" s="54">
        <f>42837025-C1537</f>
        <v>38942750</v>
      </c>
      <c r="D1536" s="54">
        <v>0</v>
      </c>
      <c r="E1536" s="53">
        <f t="shared" si="30"/>
        <v>431714211.62999988</v>
      </c>
      <c r="F1536" s="80" t="s">
        <v>137</v>
      </c>
      <c r="G1536" s="14" t="s">
        <v>138</v>
      </c>
      <c r="H1536" s="14" t="s">
        <v>3046</v>
      </c>
    </row>
    <row r="1537" spans="1:8">
      <c r="A1537" s="3">
        <v>44537</v>
      </c>
      <c r="B1537" s="7" t="s">
        <v>4901</v>
      </c>
      <c r="C1537" s="54">
        <v>3894275</v>
      </c>
      <c r="D1537" s="54">
        <v>0</v>
      </c>
      <c r="E1537" s="53">
        <f t="shared" si="30"/>
        <v>427819936.62999988</v>
      </c>
      <c r="F1537" s="80" t="s">
        <v>110</v>
      </c>
      <c r="G1537" s="14" t="s">
        <v>616</v>
      </c>
      <c r="H1537" s="14" t="s">
        <v>4621</v>
      </c>
    </row>
    <row r="1538" spans="1:8">
      <c r="A1538" s="3">
        <v>44537</v>
      </c>
      <c r="B1538" s="7" t="s">
        <v>3937</v>
      </c>
      <c r="C1538" s="8">
        <v>7500000</v>
      </c>
      <c r="D1538" s="8">
        <v>0</v>
      </c>
      <c r="E1538" s="50">
        <f t="shared" si="30"/>
        <v>420319936.62999988</v>
      </c>
      <c r="F1538" s="83" t="s">
        <v>137</v>
      </c>
      <c r="G1538" s="14" t="s">
        <v>138</v>
      </c>
      <c r="H1538" s="14" t="s">
        <v>3021</v>
      </c>
    </row>
    <row r="1539" spans="1:8">
      <c r="A1539" s="3">
        <v>44537</v>
      </c>
      <c r="B1539" s="7" t="s">
        <v>3938</v>
      </c>
      <c r="C1539" s="8">
        <v>10923880</v>
      </c>
      <c r="D1539" s="8">
        <v>0</v>
      </c>
      <c r="E1539" s="50">
        <f t="shared" si="30"/>
        <v>409396056.62999988</v>
      </c>
      <c r="F1539" s="83" t="s">
        <v>137</v>
      </c>
      <c r="G1539" s="14" t="s">
        <v>138</v>
      </c>
      <c r="H1539" s="14" t="s">
        <v>2952</v>
      </c>
    </row>
    <row r="1540" spans="1:8">
      <c r="A1540" s="3">
        <v>44537</v>
      </c>
      <c r="B1540" s="7" t="s">
        <v>3939</v>
      </c>
      <c r="C1540" s="8">
        <v>4826829</v>
      </c>
      <c r="D1540" s="8">
        <v>0</v>
      </c>
      <c r="E1540" s="50">
        <f t="shared" si="30"/>
        <v>404569227.62999988</v>
      </c>
      <c r="F1540" s="83" t="s">
        <v>110</v>
      </c>
      <c r="G1540" s="14" t="s">
        <v>321</v>
      </c>
      <c r="H1540" s="14" t="s">
        <v>3394</v>
      </c>
    </row>
    <row r="1541" spans="1:8">
      <c r="A1541" s="3">
        <v>44537</v>
      </c>
      <c r="B1541" s="7" t="s">
        <v>3940</v>
      </c>
      <c r="C1541" s="8">
        <v>11960497</v>
      </c>
      <c r="D1541" s="8">
        <v>0</v>
      </c>
      <c r="E1541" s="50">
        <f t="shared" si="30"/>
        <v>392608730.62999988</v>
      </c>
      <c r="F1541" s="83" t="s">
        <v>137</v>
      </c>
      <c r="G1541" s="14" t="s">
        <v>138</v>
      </c>
      <c r="H1541" s="14" t="s">
        <v>2975</v>
      </c>
    </row>
    <row r="1542" spans="1:8">
      <c r="A1542" s="3">
        <v>44537</v>
      </c>
      <c r="B1542" s="7" t="s">
        <v>3941</v>
      </c>
      <c r="C1542" s="54">
        <v>3500000</v>
      </c>
      <c r="D1542" s="54">
        <v>0</v>
      </c>
      <c r="E1542" s="50">
        <f t="shared" si="30"/>
        <v>389108730.62999988</v>
      </c>
      <c r="F1542" s="80" t="s">
        <v>319</v>
      </c>
      <c r="G1542" s="14" t="s">
        <v>370</v>
      </c>
      <c r="H1542" s="14"/>
    </row>
    <row r="1543" spans="1:8" s="14" customFormat="1">
      <c r="A1543" s="138">
        <v>44537</v>
      </c>
      <c r="B1543" s="49" t="s">
        <v>3941</v>
      </c>
      <c r="C1543" s="53">
        <v>350000</v>
      </c>
      <c r="D1543" s="53">
        <v>0</v>
      </c>
      <c r="E1543" s="53">
        <f t="shared" si="30"/>
        <v>388758730.62999988</v>
      </c>
      <c r="F1543" s="80" t="s">
        <v>110</v>
      </c>
      <c r="G1543" s="14" t="s">
        <v>616</v>
      </c>
      <c r="H1543" s="14" t="s">
        <v>4621</v>
      </c>
    </row>
    <row r="1544" spans="1:8">
      <c r="A1544" s="3">
        <v>44537</v>
      </c>
      <c r="B1544" s="7" t="s">
        <v>3941</v>
      </c>
      <c r="C1544" s="54">
        <v>0</v>
      </c>
      <c r="D1544" s="54">
        <v>70000</v>
      </c>
      <c r="E1544" s="50">
        <f t="shared" si="30"/>
        <v>388828730.62999988</v>
      </c>
      <c r="F1544" s="82" t="s">
        <v>115</v>
      </c>
      <c r="G1544" t="s">
        <v>441</v>
      </c>
      <c r="H1544" t="s">
        <v>596</v>
      </c>
    </row>
    <row r="1545" spans="1:8">
      <c r="A1545" s="3">
        <v>44537</v>
      </c>
      <c r="B1545" s="7" t="s">
        <v>3942</v>
      </c>
      <c r="C1545" s="54">
        <v>5830000</v>
      </c>
      <c r="D1545" s="54">
        <v>0</v>
      </c>
      <c r="E1545" s="50">
        <f t="shared" si="30"/>
        <v>382998730.62999988</v>
      </c>
      <c r="F1545" s="80" t="s">
        <v>137</v>
      </c>
      <c r="G1545" s="14" t="s">
        <v>138</v>
      </c>
      <c r="H1545" s="14" t="s">
        <v>2994</v>
      </c>
    </row>
    <row r="1546" spans="1:8">
      <c r="A1546" s="3">
        <v>44537</v>
      </c>
      <c r="B1546" s="7" t="s">
        <v>3943</v>
      </c>
      <c r="C1546" s="8">
        <v>3000000</v>
      </c>
      <c r="D1546" s="8">
        <v>0</v>
      </c>
      <c r="E1546" s="50">
        <f t="shared" si="30"/>
        <v>379998730.62999988</v>
      </c>
      <c r="F1546" s="83" t="s">
        <v>137</v>
      </c>
      <c r="G1546" s="14" t="s">
        <v>138</v>
      </c>
      <c r="H1546" s="14" t="s">
        <v>2994</v>
      </c>
    </row>
    <row r="1547" spans="1:8">
      <c r="A1547" s="3">
        <v>44537</v>
      </c>
      <c r="B1547" s="7" t="s">
        <v>3944</v>
      </c>
      <c r="C1547" s="8">
        <v>372197</v>
      </c>
      <c r="D1547" s="8">
        <v>0</v>
      </c>
      <c r="E1547" s="50">
        <f t="shared" si="30"/>
        <v>379626533.62999988</v>
      </c>
      <c r="F1547" s="83" t="s">
        <v>115</v>
      </c>
      <c r="G1547" s="14" t="s">
        <v>122</v>
      </c>
      <c r="H1547" s="14" t="s">
        <v>123</v>
      </c>
    </row>
    <row r="1548" spans="1:8">
      <c r="A1548" s="3">
        <v>44537</v>
      </c>
      <c r="B1548" s="7" t="s">
        <v>3945</v>
      </c>
      <c r="C1548" s="8">
        <v>47500000</v>
      </c>
      <c r="D1548" s="8">
        <v>0</v>
      </c>
      <c r="E1548" s="50">
        <f t="shared" si="30"/>
        <v>332126533.62999988</v>
      </c>
      <c r="F1548" s="83" t="s">
        <v>115</v>
      </c>
      <c r="G1548" s="14" t="s">
        <v>122</v>
      </c>
      <c r="H1548" s="14" t="s">
        <v>123</v>
      </c>
    </row>
    <row r="1549" spans="1:8">
      <c r="A1549" s="3">
        <v>44537</v>
      </c>
      <c r="B1549" s="7" t="s">
        <v>3945</v>
      </c>
      <c r="C1549" s="8">
        <v>15500000</v>
      </c>
      <c r="D1549" s="8">
        <v>0</v>
      </c>
      <c r="E1549" s="50">
        <f t="shared" si="30"/>
        <v>316626533.62999988</v>
      </c>
      <c r="F1549" s="83" t="s">
        <v>115</v>
      </c>
      <c r="G1549" s="14" t="s">
        <v>122</v>
      </c>
      <c r="H1549" s="14" t="s">
        <v>123</v>
      </c>
    </row>
    <row r="1550" spans="1:8">
      <c r="A1550" s="3">
        <v>44537</v>
      </c>
      <c r="B1550" s="7" t="s">
        <v>3945</v>
      </c>
      <c r="C1550" s="8">
        <v>21895000</v>
      </c>
      <c r="D1550" s="8">
        <v>0</v>
      </c>
      <c r="E1550" s="50">
        <f t="shared" si="30"/>
        <v>294731533.62999988</v>
      </c>
      <c r="F1550" s="83" t="s">
        <v>115</v>
      </c>
      <c r="G1550" s="14" t="s">
        <v>122</v>
      </c>
      <c r="H1550" s="14" t="s">
        <v>123</v>
      </c>
    </row>
    <row r="1551" spans="1:8">
      <c r="A1551" s="3">
        <v>44537</v>
      </c>
      <c r="B1551" s="7" t="s">
        <v>3945</v>
      </c>
      <c r="C1551" s="8">
        <v>4962497</v>
      </c>
      <c r="D1551" s="8">
        <v>0</v>
      </c>
      <c r="E1551" s="50">
        <f t="shared" si="30"/>
        <v>289769036.62999988</v>
      </c>
      <c r="F1551" s="83" t="s">
        <v>115</v>
      </c>
      <c r="G1551" s="14" t="s">
        <v>122</v>
      </c>
      <c r="H1551" s="14" t="s">
        <v>123</v>
      </c>
    </row>
    <row r="1552" spans="1:8">
      <c r="A1552" s="3">
        <v>44537</v>
      </c>
      <c r="B1552" s="7" t="s">
        <v>3946</v>
      </c>
      <c r="C1552" s="8">
        <v>7000000</v>
      </c>
      <c r="D1552" s="8">
        <v>0</v>
      </c>
      <c r="E1552" s="50">
        <f t="shared" si="30"/>
        <v>282769036.62999988</v>
      </c>
      <c r="F1552" s="83" t="s">
        <v>115</v>
      </c>
      <c r="G1552" s="14" t="s">
        <v>122</v>
      </c>
      <c r="H1552" s="14" t="s">
        <v>123</v>
      </c>
    </row>
    <row r="1553" spans="1:12">
      <c r="A1553" s="3">
        <v>44537</v>
      </c>
      <c r="B1553" s="7" t="s">
        <v>1265</v>
      </c>
      <c r="C1553" s="8">
        <v>5511741</v>
      </c>
      <c r="D1553" s="8">
        <v>0</v>
      </c>
      <c r="E1553" s="50">
        <f t="shared" si="30"/>
        <v>277257295.62999988</v>
      </c>
      <c r="F1553" s="83" t="s">
        <v>107</v>
      </c>
      <c r="G1553" s="14" t="s">
        <v>109</v>
      </c>
      <c r="H1553" s="14"/>
    </row>
    <row r="1554" spans="1:12">
      <c r="A1554" s="3">
        <v>44537</v>
      </c>
      <c r="B1554" s="7" t="s">
        <v>1650</v>
      </c>
      <c r="C1554" s="8">
        <v>6500</v>
      </c>
      <c r="D1554" s="8">
        <v>0</v>
      </c>
      <c r="E1554" s="50">
        <f t="shared" si="30"/>
        <v>277250795.62999988</v>
      </c>
      <c r="F1554" s="83" t="s">
        <v>113</v>
      </c>
      <c r="G1554" s="14" t="s">
        <v>114</v>
      </c>
      <c r="H1554" s="14"/>
    </row>
    <row r="1555" spans="1:12">
      <c r="A1555" s="3">
        <v>44537</v>
      </c>
      <c r="B1555" s="7" t="s">
        <v>3947</v>
      </c>
      <c r="C1555" s="8">
        <v>55000000</v>
      </c>
      <c r="D1555" s="8">
        <v>0</v>
      </c>
      <c r="E1555" s="50">
        <f t="shared" si="30"/>
        <v>222250795.62999988</v>
      </c>
      <c r="F1555" s="83" t="s">
        <v>137</v>
      </c>
      <c r="G1555" s="14" t="s">
        <v>138</v>
      </c>
      <c r="H1555" s="14" t="s">
        <v>3046</v>
      </c>
    </row>
    <row r="1556" spans="1:12">
      <c r="A1556" s="3">
        <v>44537</v>
      </c>
      <c r="B1556" s="7" t="s">
        <v>3948</v>
      </c>
      <c r="C1556" s="8">
        <v>611000</v>
      </c>
      <c r="D1556" s="8">
        <v>0</v>
      </c>
      <c r="E1556" s="50">
        <f t="shared" si="30"/>
        <v>221639795.62999988</v>
      </c>
      <c r="F1556" s="83" t="s">
        <v>137</v>
      </c>
      <c r="G1556" s="14" t="s">
        <v>138</v>
      </c>
      <c r="H1556" s="168" t="s">
        <v>2994</v>
      </c>
    </row>
    <row r="1557" spans="1:12">
      <c r="A1557" s="3">
        <v>44540</v>
      </c>
      <c r="B1557" s="7" t="s">
        <v>3949</v>
      </c>
      <c r="C1557" s="8">
        <v>0</v>
      </c>
      <c r="D1557" s="8">
        <v>5000000</v>
      </c>
      <c r="E1557" s="50">
        <f t="shared" si="30"/>
        <v>226639795.62999988</v>
      </c>
      <c r="F1557" s="83" t="s">
        <v>110</v>
      </c>
      <c r="G1557" s="14" t="s">
        <v>321</v>
      </c>
      <c r="H1557" s="14" t="s">
        <v>3998</v>
      </c>
    </row>
    <row r="1558" spans="1:12">
      <c r="A1558" s="3">
        <v>44540</v>
      </c>
      <c r="B1558" s="7" t="s">
        <v>3950</v>
      </c>
      <c r="C1558" s="8">
        <v>0</v>
      </c>
      <c r="D1558" s="8">
        <v>2500000</v>
      </c>
      <c r="E1558" s="50">
        <f t="shared" si="30"/>
        <v>229139795.62999988</v>
      </c>
      <c r="F1558" s="83" t="s">
        <v>110</v>
      </c>
      <c r="G1558" s="14" t="s">
        <v>321</v>
      </c>
      <c r="H1558" s="14" t="s">
        <v>3998</v>
      </c>
    </row>
    <row r="1559" spans="1:12">
      <c r="A1559" s="3">
        <v>44540</v>
      </c>
      <c r="B1559" s="7" t="s">
        <v>3951</v>
      </c>
      <c r="C1559" s="8">
        <v>22500000</v>
      </c>
      <c r="D1559" s="8">
        <v>0</v>
      </c>
      <c r="E1559" s="50">
        <f t="shared" si="30"/>
        <v>206639795.62999988</v>
      </c>
      <c r="F1559" s="83" t="s">
        <v>137</v>
      </c>
      <c r="G1559" s="14" t="s">
        <v>138</v>
      </c>
      <c r="H1559" s="14" t="s">
        <v>3046</v>
      </c>
    </row>
    <row r="1560" spans="1:12">
      <c r="A1560" s="3">
        <v>44540</v>
      </c>
      <c r="B1560" s="7" t="s">
        <v>3952</v>
      </c>
      <c r="C1560" s="8">
        <v>2400000</v>
      </c>
      <c r="D1560" s="8">
        <v>0</v>
      </c>
      <c r="E1560" s="50">
        <f t="shared" si="30"/>
        <v>204239795.62999988</v>
      </c>
      <c r="F1560" s="83" t="s">
        <v>137</v>
      </c>
      <c r="G1560" s="14" t="s">
        <v>138</v>
      </c>
      <c r="H1560" s="14" t="s">
        <v>3046</v>
      </c>
    </row>
    <row r="1561" spans="1:12">
      <c r="A1561" s="3">
        <v>44540</v>
      </c>
      <c r="B1561" s="7" t="s">
        <v>3953</v>
      </c>
      <c r="C1561" s="8">
        <v>6500000</v>
      </c>
      <c r="D1561" s="8">
        <v>0</v>
      </c>
      <c r="E1561" s="50">
        <f t="shared" si="30"/>
        <v>197739795.62999988</v>
      </c>
      <c r="F1561" s="83" t="s">
        <v>137</v>
      </c>
      <c r="G1561" s="14" t="s">
        <v>138</v>
      </c>
      <c r="H1561" s="14" t="s">
        <v>3046</v>
      </c>
    </row>
    <row r="1562" spans="1:12">
      <c r="A1562" s="3">
        <v>44540</v>
      </c>
      <c r="B1562" s="7" t="s">
        <v>3954</v>
      </c>
      <c r="C1562" s="8">
        <v>5500000</v>
      </c>
      <c r="D1562" s="8">
        <v>0</v>
      </c>
      <c r="E1562" s="50">
        <f t="shared" si="30"/>
        <v>192239795.62999988</v>
      </c>
      <c r="F1562" s="83" t="s">
        <v>137</v>
      </c>
      <c r="G1562" s="14" t="s">
        <v>138</v>
      </c>
      <c r="H1562" s="14" t="s">
        <v>3046</v>
      </c>
    </row>
    <row r="1563" spans="1:12">
      <c r="A1563" s="3">
        <v>44540</v>
      </c>
      <c r="B1563" s="7" t="s">
        <v>3955</v>
      </c>
      <c r="C1563" s="8">
        <v>22800000</v>
      </c>
      <c r="D1563" s="8">
        <v>0</v>
      </c>
      <c r="E1563" s="50">
        <f t="shared" si="30"/>
        <v>169439795.62999988</v>
      </c>
      <c r="F1563" s="83" t="s">
        <v>137</v>
      </c>
      <c r="G1563" s="14" t="s">
        <v>138</v>
      </c>
      <c r="H1563" s="14" t="s">
        <v>2994</v>
      </c>
    </row>
    <row r="1564" spans="1:12">
      <c r="A1564" s="3">
        <v>44540</v>
      </c>
      <c r="B1564" s="7" t="s">
        <v>3956</v>
      </c>
      <c r="C1564" s="8">
        <v>5500000</v>
      </c>
      <c r="D1564" s="8">
        <v>0</v>
      </c>
      <c r="E1564" s="50">
        <f t="shared" si="30"/>
        <v>163939795.62999988</v>
      </c>
      <c r="F1564" s="83" t="s">
        <v>137</v>
      </c>
      <c r="G1564" s="14" t="s">
        <v>138</v>
      </c>
      <c r="H1564" s="14" t="s">
        <v>3391</v>
      </c>
    </row>
    <row r="1565" spans="1:12">
      <c r="A1565" s="3">
        <v>44540</v>
      </c>
      <c r="B1565" s="7" t="s">
        <v>3957</v>
      </c>
      <c r="C1565" s="8">
        <v>12250000</v>
      </c>
      <c r="D1565" s="8">
        <v>0</v>
      </c>
      <c r="E1565" s="50">
        <f t="shared" si="30"/>
        <v>151689795.62999988</v>
      </c>
      <c r="F1565" s="83" t="s">
        <v>137</v>
      </c>
      <c r="G1565" s="14" t="s">
        <v>138</v>
      </c>
      <c r="H1565" s="14" t="s">
        <v>2979</v>
      </c>
    </row>
    <row r="1566" spans="1:12">
      <c r="A1566" s="3">
        <v>44540</v>
      </c>
      <c r="B1566" s="7" t="s">
        <v>3958</v>
      </c>
      <c r="C1566" s="8">
        <v>1533554</v>
      </c>
      <c r="D1566" s="8">
        <v>0</v>
      </c>
      <c r="E1566" s="50">
        <f t="shared" si="30"/>
        <v>150156241.62999988</v>
      </c>
      <c r="F1566" s="83" t="s">
        <v>137</v>
      </c>
      <c r="G1566" s="14" t="s">
        <v>138</v>
      </c>
      <c r="H1566" s="14" t="s">
        <v>3042</v>
      </c>
    </row>
    <row r="1567" spans="1:12" s="14" customFormat="1">
      <c r="A1567" s="138">
        <v>44540</v>
      </c>
      <c r="B1567" s="49" t="s">
        <v>3959</v>
      </c>
      <c r="C1567" s="53">
        <v>9600000</v>
      </c>
      <c r="D1567" s="53">
        <v>0</v>
      </c>
      <c r="E1567" s="53">
        <f t="shared" si="30"/>
        <v>140556241.62999988</v>
      </c>
      <c r="F1567" s="80" t="s">
        <v>115</v>
      </c>
      <c r="G1567" s="14" t="s">
        <v>120</v>
      </c>
      <c r="H1567" s="14" t="s">
        <v>127</v>
      </c>
      <c r="I1567" s="14" t="s">
        <v>444</v>
      </c>
    </row>
    <row r="1568" spans="1:12">
      <c r="A1568" s="3">
        <v>44540</v>
      </c>
      <c r="B1568" s="7" t="s">
        <v>3960</v>
      </c>
      <c r="C1568" s="8">
        <v>1200000</v>
      </c>
      <c r="D1568" s="8">
        <v>0</v>
      </c>
      <c r="E1568" s="50">
        <f t="shared" si="30"/>
        <v>139356241.62999988</v>
      </c>
      <c r="F1568" s="83" t="s">
        <v>137</v>
      </c>
      <c r="G1568" s="14" t="s">
        <v>138</v>
      </c>
      <c r="H1568" s="14" t="s">
        <v>2976</v>
      </c>
      <c r="J1568" s="10" t="s">
        <v>4150</v>
      </c>
      <c r="K1568" t="s">
        <v>128</v>
      </c>
      <c r="L1568" s="10">
        <v>2021</v>
      </c>
    </row>
    <row r="1569" spans="1:12">
      <c r="A1569" s="3">
        <v>44540</v>
      </c>
      <c r="B1569" s="7" t="s">
        <v>3961</v>
      </c>
      <c r="C1569" s="8">
        <v>1200000</v>
      </c>
      <c r="D1569" s="8">
        <v>0</v>
      </c>
      <c r="E1569" s="50">
        <f t="shared" si="30"/>
        <v>138156241.62999988</v>
      </c>
      <c r="F1569" s="83" t="s">
        <v>137</v>
      </c>
      <c r="G1569" s="14" t="s">
        <v>138</v>
      </c>
      <c r="H1569" s="14" t="s">
        <v>2279</v>
      </c>
      <c r="J1569" s="10" t="s">
        <v>4150</v>
      </c>
      <c r="K1569" t="s">
        <v>128</v>
      </c>
      <c r="L1569" s="10">
        <v>2021</v>
      </c>
    </row>
    <row r="1570" spans="1:12">
      <c r="A1570" s="3">
        <v>44540</v>
      </c>
      <c r="B1570" s="7" t="s">
        <v>3962</v>
      </c>
      <c r="C1570" s="8">
        <v>400000</v>
      </c>
      <c r="D1570" s="8">
        <v>0</v>
      </c>
      <c r="E1570" s="50">
        <f t="shared" si="30"/>
        <v>137756241.62999988</v>
      </c>
      <c r="F1570" s="83" t="s">
        <v>137</v>
      </c>
      <c r="G1570" s="14" t="s">
        <v>138</v>
      </c>
      <c r="H1570" s="14" t="s">
        <v>3001</v>
      </c>
      <c r="J1570" s="10" t="s">
        <v>4150</v>
      </c>
      <c r="K1570" t="s">
        <v>128</v>
      </c>
      <c r="L1570" s="10">
        <v>2021</v>
      </c>
    </row>
    <row r="1571" spans="1:12">
      <c r="A1571" s="3">
        <v>44540</v>
      </c>
      <c r="B1571" s="7" t="s">
        <v>3963</v>
      </c>
      <c r="C1571" s="8">
        <v>800000</v>
      </c>
      <c r="D1571" s="8">
        <v>0</v>
      </c>
      <c r="E1571" s="50">
        <f t="shared" si="30"/>
        <v>136956241.62999988</v>
      </c>
      <c r="F1571" s="83" t="s">
        <v>137</v>
      </c>
      <c r="G1571" s="14" t="s">
        <v>138</v>
      </c>
      <c r="H1571" s="14" t="s">
        <v>2976</v>
      </c>
      <c r="J1571" s="10" t="s">
        <v>4150</v>
      </c>
      <c r="K1571" t="s">
        <v>128</v>
      </c>
      <c r="L1571" s="10">
        <v>2021</v>
      </c>
    </row>
    <row r="1572" spans="1:12">
      <c r="A1572" s="3">
        <v>44540</v>
      </c>
      <c r="B1572" s="7" t="s">
        <v>3964</v>
      </c>
      <c r="C1572" s="8">
        <v>3500000</v>
      </c>
      <c r="D1572" s="8">
        <v>0</v>
      </c>
      <c r="E1572" s="50">
        <f t="shared" si="30"/>
        <v>133456241.62999988</v>
      </c>
      <c r="F1572" s="83" t="s">
        <v>137</v>
      </c>
      <c r="G1572" s="14" t="s">
        <v>138</v>
      </c>
      <c r="H1572" s="14" t="s">
        <v>2984</v>
      </c>
      <c r="J1572" s="10" t="s">
        <v>4150</v>
      </c>
      <c r="K1572" t="s">
        <v>119</v>
      </c>
      <c r="L1572" s="10">
        <v>2021</v>
      </c>
    </row>
    <row r="1573" spans="1:12">
      <c r="A1573" s="3">
        <v>44540</v>
      </c>
      <c r="B1573" s="7" t="s">
        <v>3965</v>
      </c>
      <c r="C1573" s="8">
        <v>450000</v>
      </c>
      <c r="D1573" s="8">
        <v>0</v>
      </c>
      <c r="E1573" s="50">
        <f t="shared" si="30"/>
        <v>133006241.62999988</v>
      </c>
      <c r="F1573" s="83" t="s">
        <v>137</v>
      </c>
      <c r="G1573" s="14" t="s">
        <v>138</v>
      </c>
      <c r="H1573" s="14" t="s">
        <v>3390</v>
      </c>
      <c r="J1573" s="10" t="s">
        <v>4150</v>
      </c>
      <c r="K1573" t="s">
        <v>119</v>
      </c>
      <c r="L1573" s="10">
        <v>2021</v>
      </c>
    </row>
    <row r="1574" spans="1:12">
      <c r="A1574" s="3">
        <v>44540</v>
      </c>
      <c r="B1574" s="7" t="s">
        <v>3966</v>
      </c>
      <c r="C1574" s="8">
        <v>950000</v>
      </c>
      <c r="D1574" s="8">
        <v>0</v>
      </c>
      <c r="E1574" s="50">
        <f t="shared" si="30"/>
        <v>132056241.62999988</v>
      </c>
      <c r="F1574" s="83" t="s">
        <v>137</v>
      </c>
      <c r="G1574" s="14" t="s">
        <v>138</v>
      </c>
      <c r="H1574" s="14" t="s">
        <v>3390</v>
      </c>
      <c r="J1574" s="10" t="s">
        <v>4150</v>
      </c>
      <c r="K1574" t="s">
        <v>622</v>
      </c>
      <c r="L1574" s="10">
        <v>2021</v>
      </c>
    </row>
    <row r="1575" spans="1:12">
      <c r="A1575" s="3">
        <v>44540</v>
      </c>
      <c r="B1575" s="7" t="s">
        <v>3967</v>
      </c>
      <c r="C1575" s="8">
        <v>950000</v>
      </c>
      <c r="D1575" s="8">
        <v>0</v>
      </c>
      <c r="E1575" s="50">
        <f t="shared" si="30"/>
        <v>131106241.62999988</v>
      </c>
      <c r="F1575" s="83" t="s">
        <v>137</v>
      </c>
      <c r="G1575" s="14" t="s">
        <v>138</v>
      </c>
      <c r="H1575" s="14" t="s">
        <v>3390</v>
      </c>
      <c r="J1575" s="10" t="s">
        <v>4150</v>
      </c>
      <c r="K1575" t="s">
        <v>4152</v>
      </c>
      <c r="L1575" s="10">
        <v>2021</v>
      </c>
    </row>
    <row r="1576" spans="1:12">
      <c r="A1576" s="3">
        <v>44540</v>
      </c>
      <c r="B1576" s="7" t="s">
        <v>3968</v>
      </c>
      <c r="C1576" s="8">
        <v>500000</v>
      </c>
      <c r="D1576" s="8">
        <v>0</v>
      </c>
      <c r="E1576" s="50">
        <f t="shared" si="30"/>
        <v>130606241.62999988</v>
      </c>
      <c r="F1576" s="83" t="s">
        <v>137</v>
      </c>
      <c r="G1576" s="14" t="s">
        <v>138</v>
      </c>
      <c r="H1576" s="14" t="s">
        <v>3390</v>
      </c>
      <c r="J1576" s="10" t="s">
        <v>4150</v>
      </c>
      <c r="K1576" t="s">
        <v>459</v>
      </c>
      <c r="L1576" s="10">
        <v>2021</v>
      </c>
    </row>
    <row r="1577" spans="1:12">
      <c r="A1577" s="3">
        <v>44540</v>
      </c>
      <c r="B1577" s="7" t="s">
        <v>3969</v>
      </c>
      <c r="C1577" s="8">
        <v>450000</v>
      </c>
      <c r="D1577" s="8">
        <v>0</v>
      </c>
      <c r="E1577" s="50">
        <f t="shared" si="30"/>
        <v>130156241.62999988</v>
      </c>
      <c r="F1577" s="83" t="s">
        <v>137</v>
      </c>
      <c r="G1577" s="14" t="s">
        <v>138</v>
      </c>
      <c r="H1577" s="14" t="s">
        <v>3391</v>
      </c>
      <c r="J1577" s="10" t="s">
        <v>4150</v>
      </c>
      <c r="K1577" t="s">
        <v>480</v>
      </c>
      <c r="L1577" s="10">
        <v>2021</v>
      </c>
    </row>
    <row r="1578" spans="1:12">
      <c r="A1578" s="3">
        <v>44540</v>
      </c>
      <c r="B1578" s="7" t="s">
        <v>3970</v>
      </c>
      <c r="C1578" s="8">
        <v>450000</v>
      </c>
      <c r="D1578" s="8">
        <v>0</v>
      </c>
      <c r="E1578" s="50">
        <f t="shared" si="30"/>
        <v>129706241.62999988</v>
      </c>
      <c r="F1578" s="83" t="s">
        <v>137</v>
      </c>
      <c r="G1578" s="14" t="s">
        <v>138</v>
      </c>
      <c r="H1578" s="14" t="s">
        <v>3391</v>
      </c>
      <c r="J1578" s="10" t="s">
        <v>4150</v>
      </c>
      <c r="K1578" t="s">
        <v>622</v>
      </c>
      <c r="L1578" s="10">
        <v>2021</v>
      </c>
    </row>
    <row r="1579" spans="1:12">
      <c r="A1579" s="3">
        <v>44540</v>
      </c>
      <c r="B1579" s="7" t="s">
        <v>3971</v>
      </c>
      <c r="C1579" s="8">
        <v>450000</v>
      </c>
      <c r="D1579" s="8">
        <v>0</v>
      </c>
      <c r="E1579" s="50">
        <f t="shared" si="30"/>
        <v>129256241.62999988</v>
      </c>
      <c r="F1579" s="83" t="s">
        <v>137</v>
      </c>
      <c r="G1579" s="14" t="s">
        <v>138</v>
      </c>
      <c r="H1579" s="14" t="s">
        <v>3391</v>
      </c>
      <c r="J1579" s="10" t="s">
        <v>4150</v>
      </c>
      <c r="K1579" t="s">
        <v>459</v>
      </c>
      <c r="L1579" s="10">
        <v>2021</v>
      </c>
    </row>
    <row r="1580" spans="1:12">
      <c r="A1580" s="3">
        <v>44540</v>
      </c>
      <c r="B1580" s="7" t="s">
        <v>3972</v>
      </c>
      <c r="C1580" s="8">
        <v>450000</v>
      </c>
      <c r="D1580" s="8">
        <v>0</v>
      </c>
      <c r="E1580" s="50">
        <f t="shared" si="30"/>
        <v>128806241.62999988</v>
      </c>
      <c r="F1580" s="83" t="s">
        <v>137</v>
      </c>
      <c r="G1580" s="14" t="s">
        <v>138</v>
      </c>
      <c r="H1580" s="14" t="s">
        <v>3391</v>
      </c>
      <c r="J1580" s="10" t="s">
        <v>4150</v>
      </c>
      <c r="K1580" t="s">
        <v>119</v>
      </c>
      <c r="L1580" s="10">
        <v>2021</v>
      </c>
    </row>
    <row r="1581" spans="1:12">
      <c r="A1581" s="3">
        <v>44540</v>
      </c>
      <c r="B1581" s="7" t="s">
        <v>3973</v>
      </c>
      <c r="C1581" s="8">
        <v>450000</v>
      </c>
      <c r="D1581" s="8">
        <v>0</v>
      </c>
      <c r="E1581" s="50">
        <f t="shared" si="30"/>
        <v>128356241.62999988</v>
      </c>
      <c r="F1581" s="83" t="s">
        <v>137</v>
      </c>
      <c r="G1581" s="14" t="s">
        <v>138</v>
      </c>
      <c r="H1581" s="14" t="s">
        <v>3391</v>
      </c>
      <c r="J1581" s="10" t="s">
        <v>4150</v>
      </c>
      <c r="K1581" t="s">
        <v>4152</v>
      </c>
      <c r="L1581" s="10">
        <v>2021</v>
      </c>
    </row>
    <row r="1582" spans="1:12">
      <c r="A1582" s="3">
        <v>44540</v>
      </c>
      <c r="B1582" s="7" t="s">
        <v>3974</v>
      </c>
      <c r="C1582" s="8">
        <v>550000</v>
      </c>
      <c r="D1582" s="8">
        <v>0</v>
      </c>
      <c r="E1582" s="50">
        <f t="shared" si="30"/>
        <v>127806241.62999988</v>
      </c>
      <c r="F1582" s="83" t="s">
        <v>137</v>
      </c>
      <c r="G1582" s="14" t="s">
        <v>138</v>
      </c>
      <c r="H1582" s="14" t="s">
        <v>3391</v>
      </c>
      <c r="J1582" s="10" t="s">
        <v>4150</v>
      </c>
      <c r="K1582" t="s">
        <v>3990</v>
      </c>
      <c r="L1582" s="10">
        <v>2021</v>
      </c>
    </row>
    <row r="1583" spans="1:12">
      <c r="A1583" s="3">
        <v>44540</v>
      </c>
      <c r="B1583" s="7" t="s">
        <v>3975</v>
      </c>
      <c r="C1583" s="8">
        <v>450000</v>
      </c>
      <c r="D1583" s="8">
        <v>0</v>
      </c>
      <c r="E1583" s="50">
        <f t="shared" si="30"/>
        <v>127356241.62999988</v>
      </c>
      <c r="F1583" s="83" t="s">
        <v>137</v>
      </c>
      <c r="G1583" s="14" t="s">
        <v>138</v>
      </c>
      <c r="H1583" s="14" t="s">
        <v>3391</v>
      </c>
      <c r="J1583" s="10" t="s">
        <v>4150</v>
      </c>
      <c r="K1583" t="s">
        <v>4157</v>
      </c>
      <c r="L1583" s="10">
        <v>2021</v>
      </c>
    </row>
    <row r="1584" spans="1:12">
      <c r="A1584" s="3">
        <v>44540</v>
      </c>
      <c r="B1584" s="7" t="s">
        <v>3976</v>
      </c>
      <c r="C1584" s="8">
        <v>200000</v>
      </c>
      <c r="D1584" s="8">
        <v>0</v>
      </c>
      <c r="E1584" s="50">
        <f t="shared" si="30"/>
        <v>127156241.62999988</v>
      </c>
      <c r="F1584" s="83" t="s">
        <v>137</v>
      </c>
      <c r="G1584" s="14" t="s">
        <v>138</v>
      </c>
      <c r="H1584" s="14" t="s">
        <v>3391</v>
      </c>
      <c r="J1584" s="10" t="s">
        <v>4150</v>
      </c>
      <c r="K1584" t="s">
        <v>625</v>
      </c>
      <c r="L1584" s="10">
        <v>2021</v>
      </c>
    </row>
    <row r="1585" spans="1:12">
      <c r="A1585" s="3">
        <v>44540</v>
      </c>
      <c r="B1585" s="7" t="s">
        <v>3977</v>
      </c>
      <c r="C1585" s="8">
        <v>350000</v>
      </c>
      <c r="D1585" s="8">
        <v>0</v>
      </c>
      <c r="E1585" s="50">
        <f t="shared" si="30"/>
        <v>126806241.62999988</v>
      </c>
      <c r="F1585" s="83" t="s">
        <v>137</v>
      </c>
      <c r="G1585" s="14" t="s">
        <v>138</v>
      </c>
      <c r="H1585" s="14" t="s">
        <v>3391</v>
      </c>
      <c r="J1585" s="10" t="s">
        <v>4150</v>
      </c>
      <c r="K1585" t="s">
        <v>2083</v>
      </c>
      <c r="L1585" s="10">
        <v>2021</v>
      </c>
    </row>
    <row r="1586" spans="1:12">
      <c r="A1586" s="3">
        <v>44540</v>
      </c>
      <c r="B1586" s="7" t="s">
        <v>3978</v>
      </c>
      <c r="C1586" s="8">
        <v>2075000</v>
      </c>
      <c r="D1586" s="8">
        <v>0</v>
      </c>
      <c r="E1586" s="50">
        <f t="shared" si="30"/>
        <v>124731241.62999988</v>
      </c>
      <c r="F1586" s="83" t="s">
        <v>248</v>
      </c>
      <c r="G1586" s="14" t="s">
        <v>130</v>
      </c>
      <c r="H1586" t="s">
        <v>623</v>
      </c>
    </row>
    <row r="1587" spans="1:12">
      <c r="A1587" s="3">
        <v>44540</v>
      </c>
      <c r="B1587" s="7" t="s">
        <v>3979</v>
      </c>
      <c r="C1587" s="8">
        <v>2048770</v>
      </c>
      <c r="D1587" s="8">
        <v>0</v>
      </c>
      <c r="E1587" s="50">
        <f t="shared" si="30"/>
        <v>122682471.62999988</v>
      </c>
      <c r="F1587" s="83" t="s">
        <v>248</v>
      </c>
      <c r="G1587" s="14" t="s">
        <v>391</v>
      </c>
      <c r="H1587" s="14"/>
    </row>
    <row r="1588" spans="1:12">
      <c r="A1588" s="3">
        <v>44540</v>
      </c>
      <c r="B1588" s="7" t="s">
        <v>3980</v>
      </c>
      <c r="C1588" s="8">
        <v>1035246</v>
      </c>
      <c r="D1588" s="8">
        <v>0</v>
      </c>
      <c r="E1588" s="50">
        <f t="shared" si="30"/>
        <v>121647225.62999988</v>
      </c>
      <c r="F1588" s="83" t="s">
        <v>137</v>
      </c>
      <c r="G1588" s="14" t="s">
        <v>138</v>
      </c>
      <c r="H1588" s="14" t="s">
        <v>2982</v>
      </c>
    </row>
    <row r="1589" spans="1:12">
      <c r="A1589" s="3">
        <v>44540</v>
      </c>
      <c r="B1589" s="7" t="s">
        <v>3981</v>
      </c>
      <c r="C1589" s="8">
        <v>1530000</v>
      </c>
      <c r="D1589" s="8">
        <v>0</v>
      </c>
      <c r="E1589" s="50">
        <f t="shared" si="30"/>
        <v>120117225.62999988</v>
      </c>
      <c r="F1589" s="83" t="s">
        <v>137</v>
      </c>
      <c r="G1589" s="14" t="s">
        <v>138</v>
      </c>
      <c r="H1589" s="14" t="s">
        <v>3030</v>
      </c>
    </row>
    <row r="1590" spans="1:12">
      <c r="A1590" s="3">
        <v>44540</v>
      </c>
      <c r="B1590" s="7" t="s">
        <v>3982</v>
      </c>
      <c r="C1590" s="8">
        <v>1266069</v>
      </c>
      <c r="D1590" s="8">
        <v>0</v>
      </c>
      <c r="E1590" s="50">
        <f t="shared" si="30"/>
        <v>118851156.62999988</v>
      </c>
      <c r="F1590" s="83" t="s">
        <v>137</v>
      </c>
      <c r="G1590" s="14" t="s">
        <v>138</v>
      </c>
      <c r="H1590" s="14" t="s">
        <v>3030</v>
      </c>
    </row>
    <row r="1591" spans="1:12">
      <c r="A1591" s="3">
        <v>44540</v>
      </c>
      <c r="B1591" s="7" t="s">
        <v>3983</v>
      </c>
      <c r="C1591" s="8">
        <v>1400000</v>
      </c>
      <c r="D1591" s="8">
        <v>0</v>
      </c>
      <c r="E1591" s="50">
        <f t="shared" si="30"/>
        <v>117451156.62999988</v>
      </c>
      <c r="F1591" s="83" t="s">
        <v>137</v>
      </c>
      <c r="G1591" s="14" t="s">
        <v>138</v>
      </c>
      <c r="H1591" s="14" t="s">
        <v>2984</v>
      </c>
    </row>
    <row r="1592" spans="1:12">
      <c r="A1592" s="3">
        <v>44540</v>
      </c>
      <c r="B1592" s="7" t="s">
        <v>3984</v>
      </c>
      <c r="C1592" s="8">
        <v>747500</v>
      </c>
      <c r="D1592" s="8">
        <v>0</v>
      </c>
      <c r="E1592" s="50">
        <f t="shared" ref="E1592:E1655" si="31">E1591-C1592+D1592</f>
        <v>116703656.62999988</v>
      </c>
      <c r="F1592" s="83" t="s">
        <v>319</v>
      </c>
      <c r="G1592" s="14" t="s">
        <v>244</v>
      </c>
      <c r="H1592" s="14"/>
    </row>
    <row r="1593" spans="1:12">
      <c r="A1593" s="3">
        <v>44540</v>
      </c>
      <c r="B1593" s="7" t="s">
        <v>3985</v>
      </c>
      <c r="C1593" s="8">
        <v>13500000</v>
      </c>
      <c r="D1593" s="8">
        <v>0</v>
      </c>
      <c r="E1593" s="50">
        <f t="shared" si="31"/>
        <v>103203656.62999988</v>
      </c>
      <c r="F1593" s="83" t="s">
        <v>137</v>
      </c>
      <c r="G1593" s="14" t="s">
        <v>138</v>
      </c>
      <c r="H1593" s="14" t="s">
        <v>3025</v>
      </c>
    </row>
    <row r="1594" spans="1:12">
      <c r="A1594" s="3">
        <v>44540</v>
      </c>
      <c r="B1594" s="7" t="s">
        <v>3986</v>
      </c>
      <c r="C1594" s="8">
        <v>26972803</v>
      </c>
      <c r="D1594" s="8">
        <v>0</v>
      </c>
      <c r="E1594" s="50">
        <f t="shared" si="31"/>
        <v>76230853.629999876</v>
      </c>
      <c r="F1594" s="83" t="s">
        <v>137</v>
      </c>
      <c r="G1594" s="14" t="s">
        <v>138</v>
      </c>
      <c r="H1594" s="14" t="s">
        <v>2976</v>
      </c>
    </row>
    <row r="1595" spans="1:12">
      <c r="A1595" s="3">
        <v>44540</v>
      </c>
      <c r="B1595" s="7" t="s">
        <v>3987</v>
      </c>
      <c r="C1595" s="8">
        <v>2101000</v>
      </c>
      <c r="D1595" s="8">
        <v>0</v>
      </c>
      <c r="E1595" s="50">
        <f t="shared" si="31"/>
        <v>74129853.629999876</v>
      </c>
      <c r="F1595" s="83" t="s">
        <v>137</v>
      </c>
      <c r="G1595" s="14" t="s">
        <v>138</v>
      </c>
      <c r="H1595" s="14" t="s">
        <v>2953</v>
      </c>
    </row>
    <row r="1596" spans="1:12">
      <c r="A1596" s="3">
        <v>44540</v>
      </c>
      <c r="B1596" s="7" t="s">
        <v>3988</v>
      </c>
      <c r="C1596" s="8">
        <v>6952941</v>
      </c>
      <c r="D1596" s="8">
        <v>0</v>
      </c>
      <c r="E1596" s="50">
        <f t="shared" si="31"/>
        <v>67176912.629999876</v>
      </c>
      <c r="F1596" s="83" t="s">
        <v>137</v>
      </c>
      <c r="G1596" s="14" t="s">
        <v>138</v>
      </c>
      <c r="H1596" s="14" t="s">
        <v>2992</v>
      </c>
    </row>
    <row r="1597" spans="1:12">
      <c r="A1597" s="3">
        <v>44540</v>
      </c>
      <c r="B1597" s="7" t="s">
        <v>3989</v>
      </c>
      <c r="C1597" s="8">
        <v>12550000</v>
      </c>
      <c r="D1597" s="8">
        <v>0</v>
      </c>
      <c r="E1597" s="50">
        <f t="shared" si="31"/>
        <v>54626912.629999876</v>
      </c>
      <c r="F1597" s="83" t="s">
        <v>137</v>
      </c>
      <c r="G1597" s="14" t="s">
        <v>138</v>
      </c>
      <c r="H1597" s="14" t="s">
        <v>2976</v>
      </c>
    </row>
    <row r="1598" spans="1:12">
      <c r="A1598" s="3">
        <v>44543</v>
      </c>
      <c r="B1598" s="7" t="s">
        <v>4006</v>
      </c>
      <c r="C1598" s="8">
        <v>10750000</v>
      </c>
      <c r="D1598" s="8">
        <v>0</v>
      </c>
      <c r="E1598" s="50">
        <f t="shared" si="31"/>
        <v>43876912.629999876</v>
      </c>
      <c r="F1598" s="83" t="s">
        <v>248</v>
      </c>
      <c r="G1598" s="14" t="s">
        <v>727</v>
      </c>
      <c r="H1598" s="14"/>
    </row>
    <row r="1599" spans="1:12">
      <c r="A1599" s="3">
        <v>44543</v>
      </c>
      <c r="B1599" s="7" t="s">
        <v>4007</v>
      </c>
      <c r="C1599" s="8">
        <v>703912</v>
      </c>
      <c r="D1599" s="8">
        <v>0</v>
      </c>
      <c r="E1599" s="50">
        <f t="shared" si="31"/>
        <v>43173000.629999876</v>
      </c>
      <c r="F1599" s="83" t="s">
        <v>137</v>
      </c>
      <c r="G1599" s="14" t="s">
        <v>138</v>
      </c>
      <c r="H1599" s="14" t="s">
        <v>2953</v>
      </c>
    </row>
    <row r="1600" spans="1:12">
      <c r="A1600" s="3">
        <v>44543</v>
      </c>
      <c r="B1600" s="7" t="s">
        <v>4008</v>
      </c>
      <c r="C1600" s="8">
        <v>0</v>
      </c>
      <c r="D1600" s="8">
        <v>378567</v>
      </c>
      <c r="E1600" s="50">
        <f t="shared" si="31"/>
        <v>43551567.629999876</v>
      </c>
      <c r="F1600" s="83" t="s">
        <v>107</v>
      </c>
      <c r="G1600" s="14" t="s">
        <v>668</v>
      </c>
      <c r="H1600" s="14" t="s">
        <v>4073</v>
      </c>
    </row>
    <row r="1601" spans="1:12">
      <c r="A1601" s="3">
        <v>44544</v>
      </c>
      <c r="B1601" s="7" t="s">
        <v>4009</v>
      </c>
      <c r="C1601" s="8">
        <v>16500000</v>
      </c>
      <c r="D1601" s="8">
        <v>0</v>
      </c>
      <c r="E1601" s="50">
        <f t="shared" si="31"/>
        <v>27051567.629999876</v>
      </c>
      <c r="F1601" s="83" t="s">
        <v>137</v>
      </c>
      <c r="G1601" s="14" t="s">
        <v>138</v>
      </c>
      <c r="H1601" s="14" t="s">
        <v>3021</v>
      </c>
    </row>
    <row r="1602" spans="1:12">
      <c r="A1602" s="3">
        <v>44544</v>
      </c>
      <c r="B1602" s="7" t="s">
        <v>4010</v>
      </c>
      <c r="C1602" s="8">
        <v>21600000</v>
      </c>
      <c r="D1602" s="8">
        <v>0</v>
      </c>
      <c r="E1602" s="50">
        <f t="shared" si="31"/>
        <v>5451567.629999876</v>
      </c>
      <c r="F1602" s="83" t="s">
        <v>137</v>
      </c>
      <c r="G1602" s="14" t="s">
        <v>138</v>
      </c>
      <c r="H1602" s="14" t="s">
        <v>3010</v>
      </c>
    </row>
    <row r="1603" spans="1:12">
      <c r="A1603" s="3">
        <v>44544</v>
      </c>
      <c r="B1603" s="7" t="s">
        <v>4011</v>
      </c>
      <c r="C1603" s="8">
        <v>3500000</v>
      </c>
      <c r="D1603" s="8">
        <v>0</v>
      </c>
      <c r="E1603" s="50">
        <f t="shared" si="31"/>
        <v>1951567.629999876</v>
      </c>
      <c r="F1603" s="83" t="s">
        <v>137</v>
      </c>
      <c r="G1603" s="14" t="s">
        <v>138</v>
      </c>
      <c r="H1603" s="14" t="s">
        <v>3021</v>
      </c>
    </row>
    <row r="1604" spans="1:12">
      <c r="A1604" s="3">
        <v>44544</v>
      </c>
      <c r="B1604" s="7" t="s">
        <v>1583</v>
      </c>
      <c r="C1604" s="8">
        <v>0</v>
      </c>
      <c r="D1604" s="8">
        <v>50000000</v>
      </c>
      <c r="E1604" s="50">
        <f t="shared" si="31"/>
        <v>51951567.629999876</v>
      </c>
      <c r="F1604" s="83" t="s">
        <v>107</v>
      </c>
      <c r="G1604" s="14" t="s">
        <v>108</v>
      </c>
      <c r="H1604" s="14"/>
    </row>
    <row r="1605" spans="1:12">
      <c r="A1605" s="3">
        <v>44544</v>
      </c>
      <c r="B1605" s="7" t="s">
        <v>4012</v>
      </c>
      <c r="C1605" s="8">
        <v>10747000</v>
      </c>
      <c r="D1605" s="8">
        <v>0</v>
      </c>
      <c r="E1605" s="50">
        <f t="shared" si="31"/>
        <v>41204567.629999876</v>
      </c>
      <c r="F1605" s="83" t="s">
        <v>137</v>
      </c>
      <c r="G1605" s="14" t="s">
        <v>138</v>
      </c>
      <c r="H1605" s="14" t="s">
        <v>3021</v>
      </c>
    </row>
    <row r="1606" spans="1:12">
      <c r="A1606" s="3">
        <v>44544</v>
      </c>
      <c r="B1606" s="7" t="s">
        <v>4013</v>
      </c>
      <c r="C1606" s="8">
        <v>2500000</v>
      </c>
      <c r="D1606" s="8">
        <v>0</v>
      </c>
      <c r="E1606" s="50">
        <f t="shared" si="31"/>
        <v>38704567.629999876</v>
      </c>
      <c r="F1606" s="83" t="s">
        <v>137</v>
      </c>
      <c r="G1606" s="14" t="s">
        <v>138</v>
      </c>
      <c r="H1606" s="14" t="s">
        <v>3039</v>
      </c>
      <c r="J1606" s="10" t="s">
        <v>4150</v>
      </c>
      <c r="K1606" t="s">
        <v>480</v>
      </c>
      <c r="L1606" s="10">
        <v>2021</v>
      </c>
    </row>
    <row r="1607" spans="1:12">
      <c r="A1607" s="3">
        <v>44544</v>
      </c>
      <c r="B1607" s="7" t="s">
        <v>4014</v>
      </c>
      <c r="C1607" s="8">
        <v>21350000</v>
      </c>
      <c r="D1607" s="8">
        <v>0</v>
      </c>
      <c r="E1607" s="50">
        <f t="shared" si="31"/>
        <v>17354567.629999876</v>
      </c>
      <c r="F1607" s="83" t="s">
        <v>107</v>
      </c>
      <c r="G1607" s="14" t="s">
        <v>666</v>
      </c>
      <c r="H1607" s="14" t="s">
        <v>4432</v>
      </c>
      <c r="I1607" s="14" t="s">
        <v>4069</v>
      </c>
    </row>
    <row r="1608" spans="1:12" s="14" customFormat="1">
      <c r="A1608" s="138">
        <v>44544</v>
      </c>
      <c r="B1608" s="49" t="s">
        <v>12</v>
      </c>
      <c r="C1608" s="50">
        <v>0</v>
      </c>
      <c r="D1608" s="50">
        <v>19700000</v>
      </c>
      <c r="E1608" s="50">
        <f t="shared" si="31"/>
        <v>37054567.629999876</v>
      </c>
      <c r="F1608" s="83" t="s">
        <v>115</v>
      </c>
      <c r="G1608" s="14" t="s">
        <v>122</v>
      </c>
      <c r="H1608" s="14" t="s">
        <v>123</v>
      </c>
    </row>
    <row r="1609" spans="1:12">
      <c r="A1609" s="3">
        <v>44544</v>
      </c>
      <c r="B1609" s="7" t="s">
        <v>4015</v>
      </c>
      <c r="C1609" s="8">
        <v>36974347</v>
      </c>
      <c r="D1609" s="8">
        <v>0</v>
      </c>
      <c r="E1609" s="50">
        <f t="shared" si="31"/>
        <v>80220.629999876022</v>
      </c>
      <c r="F1609" s="83" t="s">
        <v>137</v>
      </c>
      <c r="G1609" s="14" t="s">
        <v>138</v>
      </c>
      <c r="H1609" s="14" t="s">
        <v>4143</v>
      </c>
    </row>
    <row r="1610" spans="1:12">
      <c r="A1610" s="3">
        <v>44545</v>
      </c>
      <c r="B1610" s="7" t="s">
        <v>4016</v>
      </c>
      <c r="C1610" s="8">
        <v>0</v>
      </c>
      <c r="D1610" s="8">
        <v>286000000</v>
      </c>
      <c r="E1610" s="50">
        <f t="shared" si="31"/>
        <v>286080220.62999988</v>
      </c>
      <c r="F1610" s="83" t="s">
        <v>581</v>
      </c>
      <c r="G1610" s="14" t="s">
        <v>582</v>
      </c>
      <c r="H1610" s="14" t="s">
        <v>2279</v>
      </c>
      <c r="I1610">
        <v>90</v>
      </c>
    </row>
    <row r="1611" spans="1:12">
      <c r="A1611" s="3">
        <v>44545</v>
      </c>
      <c r="B1611" s="7" t="s">
        <v>4017</v>
      </c>
      <c r="C1611" s="8">
        <v>0</v>
      </c>
      <c r="D1611" s="8">
        <v>467185</v>
      </c>
      <c r="E1611" s="50">
        <f t="shared" si="31"/>
        <v>286547405.62999988</v>
      </c>
      <c r="F1611" s="83" t="s">
        <v>107</v>
      </c>
      <c r="G1611" s="14" t="s">
        <v>668</v>
      </c>
      <c r="H1611" s="14" t="s">
        <v>3991</v>
      </c>
      <c r="I1611" s="14" t="s">
        <v>4385</v>
      </c>
    </row>
    <row r="1612" spans="1:12">
      <c r="A1612" s="3">
        <v>44545</v>
      </c>
      <c r="B1612" s="7" t="s">
        <v>4018</v>
      </c>
      <c r="C1612" s="8">
        <v>0</v>
      </c>
      <c r="D1612" s="8">
        <v>1326500</v>
      </c>
      <c r="E1612" s="50">
        <f t="shared" si="31"/>
        <v>287873905.62999988</v>
      </c>
      <c r="F1612" s="83" t="s">
        <v>107</v>
      </c>
      <c r="G1612" s="14" t="s">
        <v>668</v>
      </c>
      <c r="H1612" s="14" t="s">
        <v>3992</v>
      </c>
      <c r="I1612" s="14" t="s">
        <v>4070</v>
      </c>
    </row>
    <row r="1613" spans="1:12">
      <c r="A1613" s="3">
        <v>44547</v>
      </c>
      <c r="B1613" s="7" t="s">
        <v>1268</v>
      </c>
      <c r="C1613" s="8">
        <v>19000</v>
      </c>
      <c r="D1613" s="8">
        <v>0</v>
      </c>
      <c r="E1613" s="50">
        <f t="shared" si="31"/>
        <v>287854905.62999988</v>
      </c>
      <c r="F1613" s="83" t="s">
        <v>113</v>
      </c>
      <c r="G1613" s="14" t="s">
        <v>114</v>
      </c>
      <c r="H1613" s="14"/>
    </row>
    <row r="1614" spans="1:12">
      <c r="A1614" s="3">
        <v>44550</v>
      </c>
      <c r="B1614" s="7" t="s">
        <v>4019</v>
      </c>
      <c r="C1614" s="8">
        <v>17000000</v>
      </c>
      <c r="D1614" s="8">
        <v>0</v>
      </c>
      <c r="E1614" s="50">
        <f t="shared" si="31"/>
        <v>270854905.62999988</v>
      </c>
      <c r="F1614" s="83" t="s">
        <v>107</v>
      </c>
      <c r="G1614" s="14" t="s">
        <v>666</v>
      </c>
      <c r="H1614" s="14" t="s">
        <v>4434</v>
      </c>
      <c r="I1614" s="14" t="s">
        <v>4071</v>
      </c>
    </row>
    <row r="1615" spans="1:12">
      <c r="A1615" s="3">
        <v>44550</v>
      </c>
      <c r="B1615" s="7" t="s">
        <v>4020</v>
      </c>
      <c r="C1615" s="8">
        <v>843121</v>
      </c>
      <c r="D1615" s="8">
        <v>0</v>
      </c>
      <c r="E1615" s="50">
        <f t="shared" si="31"/>
        <v>270011784.62999988</v>
      </c>
      <c r="F1615" s="83" t="s">
        <v>319</v>
      </c>
      <c r="G1615" s="14" t="s">
        <v>1016</v>
      </c>
      <c r="H1615" s="14"/>
    </row>
    <row r="1616" spans="1:12">
      <c r="A1616" s="3">
        <v>44551</v>
      </c>
      <c r="B1616" s="7" t="s">
        <v>4021</v>
      </c>
      <c r="C1616" s="8">
        <v>225000000</v>
      </c>
      <c r="D1616" s="8">
        <v>0</v>
      </c>
      <c r="E1616" s="50">
        <f t="shared" si="31"/>
        <v>45011784.629999876</v>
      </c>
      <c r="F1616" s="83" t="s">
        <v>115</v>
      </c>
      <c r="G1616" s="14" t="s">
        <v>122</v>
      </c>
      <c r="H1616" s="14" t="s">
        <v>123</v>
      </c>
    </row>
    <row r="1617" spans="1:9">
      <c r="A1617" s="3">
        <v>44551</v>
      </c>
      <c r="B1617" s="7" t="s">
        <v>7</v>
      </c>
      <c r="C1617" s="8">
        <v>2900</v>
      </c>
      <c r="D1617" s="8">
        <v>0</v>
      </c>
      <c r="E1617" s="50">
        <f t="shared" si="31"/>
        <v>45008884.629999876</v>
      </c>
      <c r="F1617" s="83" t="s">
        <v>113</v>
      </c>
      <c r="G1617" s="14" t="s">
        <v>114</v>
      </c>
      <c r="H1617" s="14"/>
    </row>
    <row r="1618" spans="1:9">
      <c r="A1618" s="3">
        <v>44552</v>
      </c>
      <c r="B1618" s="7" t="s">
        <v>4022</v>
      </c>
      <c r="C1618" s="8">
        <v>0</v>
      </c>
      <c r="D1618" s="8">
        <v>79500</v>
      </c>
      <c r="E1618" s="50">
        <f t="shared" si="31"/>
        <v>45088384.629999876</v>
      </c>
      <c r="F1618" s="83" t="s">
        <v>107</v>
      </c>
      <c r="G1618" s="14" t="s">
        <v>668</v>
      </c>
      <c r="H1618" s="14" t="s">
        <v>4434</v>
      </c>
      <c r="I1618" s="14" t="s">
        <v>4071</v>
      </c>
    </row>
    <row r="1619" spans="1:9">
      <c r="A1619" s="3">
        <v>44552</v>
      </c>
      <c r="B1619" s="7" t="s">
        <v>24</v>
      </c>
      <c r="C1619" s="8">
        <v>2989600</v>
      </c>
      <c r="D1619" s="8">
        <v>0</v>
      </c>
      <c r="E1619" s="50">
        <f t="shared" si="31"/>
        <v>42098784.629999876</v>
      </c>
      <c r="F1619" s="83" t="s">
        <v>107</v>
      </c>
      <c r="G1619" s="14" t="s">
        <v>129</v>
      </c>
      <c r="H1619" s="14"/>
    </row>
    <row r="1620" spans="1:9">
      <c r="A1620" s="3">
        <v>44552</v>
      </c>
      <c r="B1620" s="7" t="s">
        <v>4023</v>
      </c>
      <c r="C1620" s="8">
        <v>10000000</v>
      </c>
      <c r="D1620" s="8">
        <v>0</v>
      </c>
      <c r="E1620" s="50">
        <f t="shared" si="31"/>
        <v>32098784.629999876</v>
      </c>
      <c r="F1620" s="83" t="s">
        <v>107</v>
      </c>
      <c r="G1620" s="14" t="s">
        <v>666</v>
      </c>
      <c r="H1620" s="14" t="s">
        <v>4441</v>
      </c>
      <c r="I1620" s="14" t="s">
        <v>4072</v>
      </c>
    </row>
    <row r="1621" spans="1:9">
      <c r="A1621" s="3">
        <v>44552</v>
      </c>
      <c r="B1621" s="7" t="s">
        <v>1583</v>
      </c>
      <c r="C1621" s="8">
        <v>0</v>
      </c>
      <c r="D1621" s="8">
        <v>50000000</v>
      </c>
      <c r="E1621" s="50">
        <f t="shared" si="31"/>
        <v>82098784.629999876</v>
      </c>
      <c r="F1621" s="83" t="s">
        <v>107</v>
      </c>
      <c r="G1621" s="14" t="s">
        <v>108</v>
      </c>
      <c r="H1621" s="14"/>
    </row>
    <row r="1622" spans="1:9">
      <c r="A1622" s="3">
        <v>44552</v>
      </c>
      <c r="B1622" s="7" t="s">
        <v>4024</v>
      </c>
      <c r="C1622" s="8">
        <v>38930000</v>
      </c>
      <c r="D1622" s="8">
        <v>0</v>
      </c>
      <c r="E1622" s="50">
        <f t="shared" si="31"/>
        <v>43168784.629999876</v>
      </c>
      <c r="F1622" s="83" t="s">
        <v>137</v>
      </c>
      <c r="G1622" s="14" t="s">
        <v>138</v>
      </c>
      <c r="H1622" s="14" t="s">
        <v>3045</v>
      </c>
    </row>
    <row r="1623" spans="1:9">
      <c r="A1623" s="3">
        <v>44552</v>
      </c>
      <c r="B1623" s="7" t="s">
        <v>4025</v>
      </c>
      <c r="C1623" s="8">
        <v>15000000</v>
      </c>
      <c r="D1623" s="8">
        <v>0</v>
      </c>
      <c r="E1623" s="50">
        <f t="shared" si="31"/>
        <v>28168784.629999876</v>
      </c>
      <c r="F1623" s="83" t="s">
        <v>137</v>
      </c>
      <c r="G1623" s="14" t="s">
        <v>138</v>
      </c>
      <c r="H1623" s="14" t="s">
        <v>3045</v>
      </c>
    </row>
    <row r="1624" spans="1:9">
      <c r="A1624" s="3">
        <v>44552</v>
      </c>
      <c r="B1624" s="7" t="s">
        <v>4026</v>
      </c>
      <c r="C1624" s="8">
        <v>18750000</v>
      </c>
      <c r="D1624" s="8">
        <v>0</v>
      </c>
      <c r="E1624" s="50">
        <f t="shared" si="31"/>
        <v>9418784.629999876</v>
      </c>
      <c r="F1624" s="83" t="s">
        <v>137</v>
      </c>
      <c r="G1624" s="14" t="s">
        <v>138</v>
      </c>
      <c r="H1624" s="14" t="s">
        <v>2982</v>
      </c>
    </row>
    <row r="1625" spans="1:9">
      <c r="A1625" s="3">
        <v>44552</v>
      </c>
      <c r="B1625" s="7" t="s">
        <v>4027</v>
      </c>
      <c r="C1625" s="8">
        <v>3500000</v>
      </c>
      <c r="D1625" s="8">
        <v>0</v>
      </c>
      <c r="E1625" s="50">
        <f t="shared" si="31"/>
        <v>5918784.629999876</v>
      </c>
      <c r="F1625" s="83" t="s">
        <v>137</v>
      </c>
      <c r="G1625" s="14" t="s">
        <v>138</v>
      </c>
      <c r="H1625" s="14" t="s">
        <v>3391</v>
      </c>
    </row>
    <row r="1626" spans="1:9">
      <c r="A1626" s="3">
        <v>44552</v>
      </c>
      <c r="B1626" s="7" t="s">
        <v>4028</v>
      </c>
      <c r="C1626" s="8">
        <v>3500000</v>
      </c>
      <c r="D1626" s="8">
        <v>0</v>
      </c>
      <c r="E1626" s="50">
        <f t="shared" si="31"/>
        <v>2418784.629999876</v>
      </c>
      <c r="F1626" s="83" t="s">
        <v>137</v>
      </c>
      <c r="G1626" s="14" t="s">
        <v>138</v>
      </c>
      <c r="H1626" s="14" t="s">
        <v>3047</v>
      </c>
    </row>
    <row r="1627" spans="1:9">
      <c r="A1627" s="3">
        <v>44552</v>
      </c>
      <c r="B1627" s="7" t="s">
        <v>4029</v>
      </c>
      <c r="C1627" s="8">
        <v>1848000</v>
      </c>
      <c r="D1627" s="8">
        <v>0</v>
      </c>
      <c r="E1627" s="50">
        <f t="shared" si="31"/>
        <v>570784.62999987602</v>
      </c>
      <c r="F1627" s="83" t="s">
        <v>137</v>
      </c>
      <c r="G1627" s="14" t="s">
        <v>138</v>
      </c>
      <c r="H1627" s="14" t="s">
        <v>2279</v>
      </c>
    </row>
    <row r="1628" spans="1:9">
      <c r="A1628" s="3">
        <v>44552</v>
      </c>
      <c r="B1628" s="7" t="s">
        <v>4030</v>
      </c>
      <c r="C1628" s="8">
        <v>200000</v>
      </c>
      <c r="D1628" s="8">
        <v>0</v>
      </c>
      <c r="E1628" s="50">
        <f t="shared" si="31"/>
        <v>370784.62999987602</v>
      </c>
      <c r="F1628" s="83" t="s">
        <v>110</v>
      </c>
      <c r="G1628" s="14" t="s">
        <v>620</v>
      </c>
      <c r="H1628" s="14" t="s">
        <v>625</v>
      </c>
    </row>
    <row r="1629" spans="1:9">
      <c r="A1629" s="3">
        <v>44553</v>
      </c>
      <c r="B1629" s="7" t="s">
        <v>4031</v>
      </c>
      <c r="C1629" s="8">
        <v>0</v>
      </c>
      <c r="D1629" s="8">
        <v>200000000</v>
      </c>
      <c r="E1629" s="50">
        <f t="shared" si="31"/>
        <v>200370784.62999988</v>
      </c>
      <c r="F1629" s="83" t="s">
        <v>107</v>
      </c>
      <c r="G1629" s="14" t="s">
        <v>254</v>
      </c>
      <c r="H1629" s="14"/>
    </row>
    <row r="1630" spans="1:9">
      <c r="A1630" s="3">
        <v>44553</v>
      </c>
      <c r="B1630" s="7" t="s">
        <v>4032</v>
      </c>
      <c r="C1630" s="8">
        <v>21600000</v>
      </c>
      <c r="D1630" s="8">
        <v>0</v>
      </c>
      <c r="E1630" s="50">
        <f t="shared" si="31"/>
        <v>178770784.62999988</v>
      </c>
      <c r="F1630" s="83" t="s">
        <v>137</v>
      </c>
      <c r="G1630" s="14" t="s">
        <v>138</v>
      </c>
      <c r="H1630" s="14" t="s">
        <v>3390</v>
      </c>
    </row>
    <row r="1631" spans="1:9">
      <c r="A1631" s="3">
        <v>44553</v>
      </c>
      <c r="B1631" s="7" t="s">
        <v>4033</v>
      </c>
      <c r="C1631" s="8">
        <v>2490000</v>
      </c>
      <c r="D1631" s="8">
        <v>0</v>
      </c>
      <c r="E1631" s="50">
        <f t="shared" si="31"/>
        <v>176280784.62999988</v>
      </c>
      <c r="F1631" s="83" t="s">
        <v>137</v>
      </c>
      <c r="G1631" s="14" t="s">
        <v>138</v>
      </c>
      <c r="H1631" s="14" t="s">
        <v>2279</v>
      </c>
    </row>
    <row r="1632" spans="1:9">
      <c r="A1632" s="3">
        <v>44553</v>
      </c>
      <c r="B1632" s="7" t="s">
        <v>4034</v>
      </c>
      <c r="C1632" s="8">
        <v>7817620</v>
      </c>
      <c r="D1632" s="8">
        <v>0</v>
      </c>
      <c r="E1632" s="50">
        <f t="shared" si="31"/>
        <v>168463164.62999988</v>
      </c>
      <c r="F1632" s="83" t="s">
        <v>137</v>
      </c>
      <c r="G1632" s="14" t="s">
        <v>138</v>
      </c>
      <c r="H1632" s="14" t="s">
        <v>2279</v>
      </c>
    </row>
    <row r="1633" spans="1:12">
      <c r="A1633" s="3">
        <v>44553</v>
      </c>
      <c r="B1633" s="7" t="s">
        <v>4035</v>
      </c>
      <c r="C1633" s="8">
        <v>1695000</v>
      </c>
      <c r="D1633" s="8">
        <v>0</v>
      </c>
      <c r="E1633" s="50">
        <f t="shared" si="31"/>
        <v>166768164.62999988</v>
      </c>
      <c r="F1633" s="83" t="s">
        <v>137</v>
      </c>
      <c r="G1633" s="14" t="s">
        <v>138</v>
      </c>
      <c r="H1633" s="14" t="s">
        <v>2279</v>
      </c>
    </row>
    <row r="1634" spans="1:12">
      <c r="A1634" s="3">
        <v>44553</v>
      </c>
      <c r="B1634" s="7" t="s">
        <v>4036</v>
      </c>
      <c r="C1634" s="8">
        <v>16000000</v>
      </c>
      <c r="D1634" s="8">
        <v>0</v>
      </c>
      <c r="E1634" s="50">
        <f t="shared" si="31"/>
        <v>150768164.62999988</v>
      </c>
      <c r="F1634" s="83" t="s">
        <v>137</v>
      </c>
      <c r="G1634" s="14" t="s">
        <v>138</v>
      </c>
      <c r="H1634" s="14" t="s">
        <v>3047</v>
      </c>
    </row>
    <row r="1635" spans="1:12">
      <c r="A1635" s="3">
        <v>44553</v>
      </c>
      <c r="B1635" s="7" t="s">
        <v>4037</v>
      </c>
      <c r="C1635" s="8">
        <v>1078000</v>
      </c>
      <c r="D1635" s="8">
        <v>0</v>
      </c>
      <c r="E1635" s="50">
        <f t="shared" si="31"/>
        <v>149690164.62999988</v>
      </c>
      <c r="F1635" s="83" t="s">
        <v>137</v>
      </c>
      <c r="G1635" s="14" t="s">
        <v>138</v>
      </c>
      <c r="H1635" s="14" t="s">
        <v>3390</v>
      </c>
      <c r="J1635" s="10" t="s">
        <v>4150</v>
      </c>
      <c r="K1635" t="s">
        <v>119</v>
      </c>
      <c r="L1635" s="10">
        <v>2021</v>
      </c>
    </row>
    <row r="1636" spans="1:12">
      <c r="A1636" s="3">
        <v>44553</v>
      </c>
      <c r="B1636" s="7" t="s">
        <v>4038</v>
      </c>
      <c r="C1636" s="8">
        <v>950000</v>
      </c>
      <c r="D1636" s="8">
        <v>0</v>
      </c>
      <c r="E1636" s="50">
        <f t="shared" si="31"/>
        <v>148740164.62999988</v>
      </c>
      <c r="F1636" s="83" t="s">
        <v>137</v>
      </c>
      <c r="G1636" s="14" t="s">
        <v>138</v>
      </c>
      <c r="H1636" s="14" t="s">
        <v>3390</v>
      </c>
      <c r="J1636" s="10" t="s">
        <v>4150</v>
      </c>
      <c r="K1636" t="s">
        <v>622</v>
      </c>
      <c r="L1636" s="10">
        <v>2021</v>
      </c>
    </row>
    <row r="1637" spans="1:12">
      <c r="A1637" s="3">
        <v>44553</v>
      </c>
      <c r="B1637" s="7" t="s">
        <v>4039</v>
      </c>
      <c r="C1637" s="8">
        <v>950000</v>
      </c>
      <c r="D1637" s="8">
        <v>0</v>
      </c>
      <c r="E1637" s="50">
        <f t="shared" si="31"/>
        <v>147790164.62999988</v>
      </c>
      <c r="F1637" s="83" t="s">
        <v>137</v>
      </c>
      <c r="G1637" s="14" t="s">
        <v>138</v>
      </c>
      <c r="H1637" s="14" t="s">
        <v>3390</v>
      </c>
      <c r="J1637" s="10" t="s">
        <v>4150</v>
      </c>
      <c r="K1637" t="s">
        <v>4152</v>
      </c>
      <c r="L1637" s="10">
        <v>2021</v>
      </c>
    </row>
    <row r="1638" spans="1:12">
      <c r="A1638" s="3">
        <v>44553</v>
      </c>
      <c r="B1638" s="7" t="s">
        <v>4040</v>
      </c>
      <c r="C1638" s="8">
        <v>150000</v>
      </c>
      <c r="D1638" s="8">
        <v>0</v>
      </c>
      <c r="E1638" s="50">
        <f t="shared" si="31"/>
        <v>147640164.62999988</v>
      </c>
      <c r="F1638" s="83" t="s">
        <v>137</v>
      </c>
      <c r="G1638" s="14" t="s">
        <v>138</v>
      </c>
      <c r="H1638" s="14" t="s">
        <v>3390</v>
      </c>
      <c r="J1638" s="10" t="s">
        <v>4150</v>
      </c>
      <c r="K1638" t="s">
        <v>2083</v>
      </c>
      <c r="L1638" s="10">
        <v>2021</v>
      </c>
    </row>
    <row r="1639" spans="1:12">
      <c r="A1639" s="3">
        <v>44553</v>
      </c>
      <c r="B1639" s="7" t="s">
        <v>4041</v>
      </c>
      <c r="C1639" s="8">
        <v>800000</v>
      </c>
      <c r="D1639" s="8">
        <v>0</v>
      </c>
      <c r="E1639" s="50">
        <f t="shared" si="31"/>
        <v>146840164.62999988</v>
      </c>
      <c r="F1639" s="83" t="s">
        <v>137</v>
      </c>
      <c r="G1639" s="14" t="s">
        <v>138</v>
      </c>
      <c r="H1639" s="14" t="s">
        <v>3046</v>
      </c>
      <c r="J1639" s="10" t="s">
        <v>4150</v>
      </c>
      <c r="K1639" t="s">
        <v>480</v>
      </c>
      <c r="L1639" s="10">
        <v>2021</v>
      </c>
    </row>
    <row r="1640" spans="1:12">
      <c r="A1640" s="3">
        <v>44553</v>
      </c>
      <c r="B1640" s="7" t="s">
        <v>4042</v>
      </c>
      <c r="C1640" s="8">
        <v>800000</v>
      </c>
      <c r="D1640" s="8">
        <v>0</v>
      </c>
      <c r="E1640" s="50">
        <f t="shared" si="31"/>
        <v>146040164.62999988</v>
      </c>
      <c r="F1640" s="83" t="s">
        <v>137</v>
      </c>
      <c r="G1640" s="14" t="s">
        <v>138</v>
      </c>
      <c r="H1640" s="14" t="s">
        <v>3046</v>
      </c>
      <c r="J1640" s="10" t="s">
        <v>4150</v>
      </c>
      <c r="K1640" t="s">
        <v>4152</v>
      </c>
      <c r="L1640" s="10">
        <v>2021</v>
      </c>
    </row>
    <row r="1641" spans="1:12">
      <c r="A1641" s="3">
        <v>44553</v>
      </c>
      <c r="B1641" s="7" t="s">
        <v>4043</v>
      </c>
      <c r="C1641" s="8">
        <v>800000</v>
      </c>
      <c r="D1641" s="8">
        <v>0</v>
      </c>
      <c r="E1641" s="50">
        <f t="shared" si="31"/>
        <v>145240164.62999988</v>
      </c>
      <c r="F1641" s="83" t="s">
        <v>137</v>
      </c>
      <c r="G1641" s="14" t="s">
        <v>138</v>
      </c>
      <c r="H1641" s="14" t="s">
        <v>3046</v>
      </c>
      <c r="J1641" s="10" t="s">
        <v>4150</v>
      </c>
      <c r="K1641" t="s">
        <v>622</v>
      </c>
      <c r="L1641" s="10">
        <v>2021</v>
      </c>
    </row>
    <row r="1642" spans="1:12">
      <c r="A1642" s="3">
        <v>44553</v>
      </c>
      <c r="B1642" s="7" t="s">
        <v>4044</v>
      </c>
      <c r="C1642" s="8">
        <v>800000</v>
      </c>
      <c r="D1642" s="8">
        <v>0</v>
      </c>
      <c r="E1642" s="50">
        <f t="shared" si="31"/>
        <v>144440164.62999988</v>
      </c>
      <c r="F1642" s="83" t="s">
        <v>137</v>
      </c>
      <c r="G1642" s="14" t="s">
        <v>138</v>
      </c>
      <c r="H1642" s="14" t="s">
        <v>3046</v>
      </c>
      <c r="J1642" s="10" t="s">
        <v>4150</v>
      </c>
      <c r="K1642" t="s">
        <v>4148</v>
      </c>
      <c r="L1642" s="10">
        <v>2021</v>
      </c>
    </row>
    <row r="1643" spans="1:12">
      <c r="A1643" s="3">
        <v>44553</v>
      </c>
      <c r="B1643" s="7" t="s">
        <v>4045</v>
      </c>
      <c r="C1643" s="8">
        <v>1000000</v>
      </c>
      <c r="D1643" s="8">
        <v>0</v>
      </c>
      <c r="E1643" s="50">
        <f t="shared" si="31"/>
        <v>143440164.62999988</v>
      </c>
      <c r="F1643" s="83" t="s">
        <v>137</v>
      </c>
      <c r="G1643" s="14" t="s">
        <v>138</v>
      </c>
      <c r="H1643" s="14" t="s">
        <v>3046</v>
      </c>
      <c r="J1643" s="10" t="s">
        <v>4150</v>
      </c>
      <c r="K1643" t="s">
        <v>3990</v>
      </c>
      <c r="L1643" s="10">
        <v>2021</v>
      </c>
    </row>
    <row r="1644" spans="1:12">
      <c r="A1644" s="3">
        <v>44553</v>
      </c>
      <c r="B1644" s="7" t="s">
        <v>4046</v>
      </c>
      <c r="C1644" s="8">
        <v>350000</v>
      </c>
      <c r="D1644" s="8">
        <v>0</v>
      </c>
      <c r="E1644" s="50">
        <f t="shared" si="31"/>
        <v>143090164.62999988</v>
      </c>
      <c r="F1644" s="83" t="s">
        <v>137</v>
      </c>
      <c r="G1644" s="14" t="s">
        <v>138</v>
      </c>
      <c r="H1644" s="14" t="s">
        <v>3046</v>
      </c>
      <c r="J1644" s="10" t="s">
        <v>4150</v>
      </c>
      <c r="K1644" t="s">
        <v>2083</v>
      </c>
      <c r="L1644" s="10">
        <v>2021</v>
      </c>
    </row>
    <row r="1645" spans="1:12">
      <c r="A1645" s="3">
        <v>44553</v>
      </c>
      <c r="B1645" s="7" t="s">
        <v>4047</v>
      </c>
      <c r="C1645" s="8">
        <v>350000</v>
      </c>
      <c r="D1645" s="8">
        <v>0</v>
      </c>
      <c r="E1645" s="50">
        <f t="shared" si="31"/>
        <v>142740164.62999988</v>
      </c>
      <c r="F1645" s="83" t="s">
        <v>137</v>
      </c>
      <c r="G1645" s="14" t="s">
        <v>138</v>
      </c>
      <c r="H1645" s="14" t="s">
        <v>3046</v>
      </c>
      <c r="J1645" s="10" t="s">
        <v>4150</v>
      </c>
      <c r="K1645" t="s">
        <v>625</v>
      </c>
      <c r="L1645" s="10">
        <v>2021</v>
      </c>
    </row>
    <row r="1646" spans="1:12">
      <c r="A1646" s="3">
        <v>44553</v>
      </c>
      <c r="B1646" s="7" t="s">
        <v>4048</v>
      </c>
      <c r="C1646" s="8">
        <v>1000000</v>
      </c>
      <c r="D1646" s="8">
        <v>0</v>
      </c>
      <c r="E1646" s="50">
        <f t="shared" si="31"/>
        <v>141740164.62999988</v>
      </c>
      <c r="F1646" s="83" t="s">
        <v>137</v>
      </c>
      <c r="G1646" s="14" t="s">
        <v>138</v>
      </c>
      <c r="H1646" s="14" t="s">
        <v>3390</v>
      </c>
    </row>
    <row r="1647" spans="1:12">
      <c r="A1647" s="3">
        <v>44553</v>
      </c>
      <c r="B1647" s="7" t="s">
        <v>4049</v>
      </c>
      <c r="C1647" s="8">
        <v>1000000</v>
      </c>
      <c r="D1647" s="8">
        <v>0</v>
      </c>
      <c r="E1647" s="50">
        <f t="shared" si="31"/>
        <v>140740164.62999988</v>
      </c>
      <c r="F1647" s="83" t="s">
        <v>137</v>
      </c>
      <c r="G1647" s="14" t="s">
        <v>138</v>
      </c>
      <c r="H1647" s="14" t="s">
        <v>3390</v>
      </c>
    </row>
    <row r="1648" spans="1:12">
      <c r="A1648" s="3">
        <v>44553</v>
      </c>
      <c r="B1648" s="7" t="s">
        <v>4050</v>
      </c>
      <c r="C1648" s="8">
        <v>2000000</v>
      </c>
      <c r="D1648" s="8">
        <v>0</v>
      </c>
      <c r="E1648" s="50">
        <f t="shared" si="31"/>
        <v>138740164.62999988</v>
      </c>
      <c r="F1648" s="83" t="s">
        <v>137</v>
      </c>
      <c r="G1648" s="14" t="s">
        <v>138</v>
      </c>
      <c r="H1648" s="14" t="s">
        <v>3390</v>
      </c>
    </row>
    <row r="1649" spans="1:12">
      <c r="A1649" s="3">
        <v>44553</v>
      </c>
      <c r="B1649" s="7" t="s">
        <v>4051</v>
      </c>
      <c r="C1649" s="8">
        <v>1000000</v>
      </c>
      <c r="D1649" s="8">
        <v>0</v>
      </c>
      <c r="E1649" s="50">
        <f t="shared" si="31"/>
        <v>137740164.62999988</v>
      </c>
      <c r="F1649" s="83" t="s">
        <v>137</v>
      </c>
      <c r="G1649" s="14" t="s">
        <v>138</v>
      </c>
      <c r="H1649" s="14" t="s">
        <v>3390</v>
      </c>
    </row>
    <row r="1650" spans="1:12">
      <c r="A1650" s="3">
        <v>44553</v>
      </c>
      <c r="B1650" s="7" t="s">
        <v>4052</v>
      </c>
      <c r="C1650" s="8">
        <v>4000000</v>
      </c>
      <c r="D1650" s="8">
        <v>0</v>
      </c>
      <c r="E1650" s="50">
        <f t="shared" si="31"/>
        <v>133740164.62999988</v>
      </c>
      <c r="F1650" s="83" t="s">
        <v>137</v>
      </c>
      <c r="G1650" s="14" t="s">
        <v>138</v>
      </c>
      <c r="H1650" s="14" t="s">
        <v>3391</v>
      </c>
    </row>
    <row r="1651" spans="1:12">
      <c r="A1651" s="3">
        <v>44553</v>
      </c>
      <c r="B1651" s="7" t="s">
        <v>4053</v>
      </c>
      <c r="C1651" s="8">
        <v>500000</v>
      </c>
      <c r="D1651" s="8">
        <v>0</v>
      </c>
      <c r="E1651" s="50">
        <f t="shared" si="31"/>
        <v>133240164.62999988</v>
      </c>
      <c r="F1651" s="83" t="s">
        <v>137</v>
      </c>
      <c r="G1651" s="14" t="s">
        <v>138</v>
      </c>
      <c r="H1651" s="14" t="s">
        <v>3391</v>
      </c>
    </row>
    <row r="1652" spans="1:12">
      <c r="A1652" s="3">
        <v>44553</v>
      </c>
      <c r="B1652" s="7" t="s">
        <v>4054</v>
      </c>
      <c r="C1652" s="8">
        <v>500000</v>
      </c>
      <c r="D1652" s="8">
        <v>0</v>
      </c>
      <c r="E1652" s="50">
        <f t="shared" si="31"/>
        <v>132740164.62999988</v>
      </c>
      <c r="F1652" s="83" t="s">
        <v>137</v>
      </c>
      <c r="G1652" s="14" t="s">
        <v>138</v>
      </c>
      <c r="H1652" s="14" t="s">
        <v>4137</v>
      </c>
      <c r="J1652" s="10" t="s">
        <v>4150</v>
      </c>
      <c r="K1652" t="s">
        <v>3990</v>
      </c>
      <c r="L1652" s="10">
        <v>2021</v>
      </c>
    </row>
    <row r="1653" spans="1:12">
      <c r="A1653" s="3">
        <v>44553</v>
      </c>
      <c r="B1653" s="7" t="s">
        <v>4055</v>
      </c>
      <c r="C1653" s="8">
        <v>400000</v>
      </c>
      <c r="D1653" s="8">
        <v>0</v>
      </c>
      <c r="E1653" s="50">
        <f t="shared" si="31"/>
        <v>132340164.62999988</v>
      </c>
      <c r="F1653" s="83" t="s">
        <v>137</v>
      </c>
      <c r="G1653" s="14" t="s">
        <v>138</v>
      </c>
      <c r="H1653" s="14" t="s">
        <v>4137</v>
      </c>
      <c r="J1653" s="10" t="s">
        <v>4150</v>
      </c>
      <c r="K1653" t="s">
        <v>128</v>
      </c>
      <c r="L1653" s="10">
        <v>2021</v>
      </c>
    </row>
    <row r="1654" spans="1:12">
      <c r="A1654" s="3">
        <v>44553</v>
      </c>
      <c r="B1654" s="7" t="s">
        <v>4056</v>
      </c>
      <c r="C1654" s="8">
        <v>400000</v>
      </c>
      <c r="D1654" s="8">
        <v>0</v>
      </c>
      <c r="E1654" s="50">
        <f t="shared" si="31"/>
        <v>131940164.62999988</v>
      </c>
      <c r="F1654" s="83" t="s">
        <v>137</v>
      </c>
      <c r="G1654" s="14" t="s">
        <v>138</v>
      </c>
      <c r="H1654" s="14" t="s">
        <v>3001</v>
      </c>
      <c r="J1654" s="10" t="s">
        <v>4150</v>
      </c>
      <c r="K1654" t="s">
        <v>128</v>
      </c>
      <c r="L1654" s="10">
        <v>2021</v>
      </c>
    </row>
    <row r="1655" spans="1:12">
      <c r="A1655" s="3">
        <v>44553</v>
      </c>
      <c r="B1655" s="7" t="s">
        <v>4057</v>
      </c>
      <c r="C1655" s="8">
        <v>18000000</v>
      </c>
      <c r="D1655" s="8">
        <v>0</v>
      </c>
      <c r="E1655" s="50">
        <f t="shared" si="31"/>
        <v>113940164.62999988</v>
      </c>
      <c r="F1655" s="83" t="s">
        <v>110</v>
      </c>
      <c r="G1655" s="14" t="s">
        <v>321</v>
      </c>
      <c r="H1655" s="14" t="s">
        <v>4384</v>
      </c>
    </row>
    <row r="1656" spans="1:12">
      <c r="A1656" s="3">
        <v>44553</v>
      </c>
      <c r="B1656" s="7" t="s">
        <v>4058</v>
      </c>
      <c r="C1656" s="8">
        <v>1950000</v>
      </c>
      <c r="D1656" s="8">
        <v>0</v>
      </c>
      <c r="E1656" s="50">
        <f t="shared" ref="E1656:E1690" si="32">E1655-C1656+D1656</f>
        <v>111990164.62999988</v>
      </c>
      <c r="F1656" s="83" t="s">
        <v>319</v>
      </c>
      <c r="G1656" s="14" t="s">
        <v>454</v>
      </c>
      <c r="H1656" s="229" t="s">
        <v>64</v>
      </c>
    </row>
    <row r="1657" spans="1:12">
      <c r="A1657" s="3">
        <v>44553</v>
      </c>
      <c r="B1657" s="7" t="s">
        <v>4059</v>
      </c>
      <c r="C1657" s="8">
        <v>855000</v>
      </c>
      <c r="D1657" s="8">
        <v>0</v>
      </c>
      <c r="E1657" s="50">
        <f t="shared" si="32"/>
        <v>111135164.62999988</v>
      </c>
      <c r="F1657" s="83" t="s">
        <v>137</v>
      </c>
      <c r="G1657" s="14" t="s">
        <v>138</v>
      </c>
      <c r="H1657" s="14" t="s">
        <v>2994</v>
      </c>
    </row>
    <row r="1658" spans="1:12">
      <c r="A1658" s="3">
        <v>44553</v>
      </c>
      <c r="B1658" s="7" t="s">
        <v>4060</v>
      </c>
      <c r="C1658" s="8">
        <v>329000</v>
      </c>
      <c r="D1658" s="8">
        <v>0</v>
      </c>
      <c r="E1658" s="50">
        <f t="shared" si="32"/>
        <v>110806164.62999988</v>
      </c>
      <c r="F1658" s="83" t="s">
        <v>137</v>
      </c>
      <c r="G1658" s="14" t="s">
        <v>138</v>
      </c>
      <c r="H1658" s="14" t="s">
        <v>3025</v>
      </c>
    </row>
    <row r="1659" spans="1:12">
      <c r="A1659" s="3">
        <v>44553</v>
      </c>
      <c r="B1659" s="7" t="s">
        <v>4061</v>
      </c>
      <c r="C1659" s="8">
        <v>1229500</v>
      </c>
      <c r="D1659" s="8">
        <v>0</v>
      </c>
      <c r="E1659" s="50">
        <f t="shared" si="32"/>
        <v>109576664.62999988</v>
      </c>
      <c r="F1659" s="83" t="s">
        <v>137</v>
      </c>
      <c r="G1659" s="14" t="s">
        <v>138</v>
      </c>
      <c r="H1659" s="14" t="s">
        <v>3021</v>
      </c>
    </row>
    <row r="1660" spans="1:12">
      <c r="A1660" s="3">
        <v>44553</v>
      </c>
      <c r="B1660" s="7" t="s">
        <v>4062</v>
      </c>
      <c r="C1660" s="8">
        <v>0</v>
      </c>
      <c r="D1660" s="8">
        <v>250050000</v>
      </c>
      <c r="E1660" s="50">
        <f t="shared" si="32"/>
        <v>359626664.62999988</v>
      </c>
      <c r="F1660" s="83" t="s">
        <v>581</v>
      </c>
      <c r="G1660" s="14" t="s">
        <v>582</v>
      </c>
      <c r="H1660" s="14" t="s">
        <v>3000</v>
      </c>
      <c r="I1660">
        <v>127</v>
      </c>
    </row>
    <row r="1661" spans="1:12">
      <c r="A1661" s="3">
        <v>44553</v>
      </c>
      <c r="B1661" s="7" t="s">
        <v>4063</v>
      </c>
      <c r="C1661" s="8">
        <v>2000000</v>
      </c>
      <c r="D1661" s="8">
        <v>0</v>
      </c>
      <c r="E1661" s="50">
        <f t="shared" si="32"/>
        <v>357626664.62999988</v>
      </c>
      <c r="F1661" s="83" t="s">
        <v>248</v>
      </c>
      <c r="G1661" s="14" t="s">
        <v>729</v>
      </c>
      <c r="H1661" s="14"/>
    </row>
    <row r="1662" spans="1:12">
      <c r="A1662" s="3">
        <v>44554</v>
      </c>
      <c r="B1662" s="7" t="s">
        <v>4064</v>
      </c>
      <c r="C1662" s="8">
        <v>0</v>
      </c>
      <c r="D1662" s="8">
        <v>400000000</v>
      </c>
      <c r="E1662" s="50">
        <f t="shared" si="32"/>
        <v>757626664.62999988</v>
      </c>
      <c r="F1662" s="83" t="s">
        <v>107</v>
      </c>
      <c r="G1662" s="14" t="s">
        <v>108</v>
      </c>
      <c r="H1662" s="14"/>
    </row>
    <row r="1663" spans="1:12">
      <c r="A1663" s="3">
        <v>44554</v>
      </c>
      <c r="B1663" s="7" t="s">
        <v>4065</v>
      </c>
      <c r="C1663" s="54">
        <v>0</v>
      </c>
      <c r="D1663" s="54">
        <v>7260000</v>
      </c>
      <c r="E1663" s="53">
        <f t="shared" si="32"/>
        <v>764886664.62999988</v>
      </c>
      <c r="F1663" s="80" t="s">
        <v>107</v>
      </c>
      <c r="G1663" s="14" t="s">
        <v>668</v>
      </c>
      <c r="H1663" s="14" t="s">
        <v>4455</v>
      </c>
      <c r="I1663" s="14" t="s">
        <v>4072</v>
      </c>
    </row>
    <row r="1664" spans="1:12">
      <c r="A1664" s="3">
        <v>44557</v>
      </c>
      <c r="B1664" s="7" t="s">
        <v>2768</v>
      </c>
      <c r="C1664" s="8">
        <v>5008500</v>
      </c>
      <c r="D1664" s="8">
        <v>0</v>
      </c>
      <c r="E1664" s="50">
        <f t="shared" si="32"/>
        <v>759878164.62999988</v>
      </c>
      <c r="F1664" s="83" t="s">
        <v>137</v>
      </c>
      <c r="G1664" s="14" t="s">
        <v>138</v>
      </c>
      <c r="H1664" s="14" t="s">
        <v>4143</v>
      </c>
    </row>
    <row r="1665" spans="1:9">
      <c r="A1665" s="3">
        <v>44557</v>
      </c>
      <c r="B1665" s="7" t="s">
        <v>4066</v>
      </c>
      <c r="C1665" s="8">
        <v>3359000</v>
      </c>
      <c r="D1665" s="8">
        <v>0</v>
      </c>
      <c r="E1665" s="50">
        <f t="shared" si="32"/>
        <v>756519164.62999988</v>
      </c>
      <c r="F1665" s="83" t="s">
        <v>137</v>
      </c>
      <c r="G1665" s="14" t="s">
        <v>138</v>
      </c>
      <c r="H1665" s="14" t="s">
        <v>4137</v>
      </c>
    </row>
    <row r="1666" spans="1:9">
      <c r="A1666" s="3">
        <v>44557</v>
      </c>
      <c r="B1666" s="7" t="s">
        <v>4067</v>
      </c>
      <c r="C1666" s="8">
        <v>6000000</v>
      </c>
      <c r="D1666" s="8">
        <v>0</v>
      </c>
      <c r="E1666" s="50">
        <f t="shared" si="32"/>
        <v>750519164.62999988</v>
      </c>
      <c r="F1666" s="83" t="s">
        <v>137</v>
      </c>
      <c r="G1666" s="14" t="s">
        <v>138</v>
      </c>
      <c r="H1666" s="14" t="s">
        <v>3045</v>
      </c>
    </row>
    <row r="1667" spans="1:9" s="14" customFormat="1">
      <c r="A1667" s="138">
        <v>44557</v>
      </c>
      <c r="B1667" s="49" t="s">
        <v>4068</v>
      </c>
      <c r="C1667" s="53">
        <v>49500720</v>
      </c>
      <c r="D1667" s="53">
        <v>0</v>
      </c>
      <c r="E1667" s="53">
        <f t="shared" si="32"/>
        <v>701018444.62999988</v>
      </c>
      <c r="F1667" s="80" t="s">
        <v>115</v>
      </c>
      <c r="G1667" s="14" t="s">
        <v>120</v>
      </c>
      <c r="H1667" s="14" t="s">
        <v>127</v>
      </c>
      <c r="I1667" s="14" t="s">
        <v>444</v>
      </c>
    </row>
    <row r="1668" spans="1:9">
      <c r="A1668" s="3">
        <v>44557</v>
      </c>
      <c r="B1668" s="7" t="s">
        <v>4160</v>
      </c>
      <c r="C1668" s="8">
        <v>400000000</v>
      </c>
      <c r="D1668" s="8">
        <v>0</v>
      </c>
      <c r="E1668" s="50">
        <f t="shared" si="32"/>
        <v>301018444.62999988</v>
      </c>
      <c r="F1668" s="83" t="s">
        <v>115</v>
      </c>
      <c r="G1668" s="14" t="s">
        <v>122</v>
      </c>
      <c r="H1668" s="14" t="s">
        <v>123</v>
      </c>
    </row>
    <row r="1669" spans="1:9">
      <c r="A1669" s="3">
        <v>44557</v>
      </c>
      <c r="B1669" s="7" t="s">
        <v>7</v>
      </c>
      <c r="C1669" s="8">
        <v>2900</v>
      </c>
      <c r="D1669" s="8">
        <v>0</v>
      </c>
      <c r="E1669" s="50">
        <f t="shared" si="32"/>
        <v>301015544.62999988</v>
      </c>
      <c r="F1669" s="83" t="s">
        <v>113</v>
      </c>
      <c r="G1669" s="14" t="s">
        <v>114</v>
      </c>
      <c r="H1669" s="14"/>
    </row>
    <row r="1670" spans="1:9">
      <c r="A1670" s="3">
        <v>44558</v>
      </c>
      <c r="B1670" s="7" t="s">
        <v>1649</v>
      </c>
      <c r="C1670" s="8">
        <v>40000000</v>
      </c>
      <c r="D1670" s="8">
        <v>0</v>
      </c>
      <c r="E1670" s="50">
        <f t="shared" si="32"/>
        <v>261015544.62999988</v>
      </c>
      <c r="F1670" s="83" t="s">
        <v>107</v>
      </c>
      <c r="G1670" s="14" t="s">
        <v>109</v>
      </c>
      <c r="H1670" s="14"/>
    </row>
    <row r="1671" spans="1:9">
      <c r="A1671" s="3">
        <v>44558</v>
      </c>
      <c r="B1671" s="7" t="s">
        <v>1649</v>
      </c>
      <c r="C1671" s="8">
        <v>6500</v>
      </c>
      <c r="D1671" s="8">
        <v>0</v>
      </c>
      <c r="E1671" s="50">
        <f t="shared" si="32"/>
        <v>261009044.62999988</v>
      </c>
      <c r="F1671" s="83" t="s">
        <v>113</v>
      </c>
      <c r="G1671" s="14" t="s">
        <v>114</v>
      </c>
      <c r="H1671" s="14"/>
    </row>
    <row r="1672" spans="1:9">
      <c r="A1672" s="3">
        <v>44558</v>
      </c>
      <c r="B1672" s="7" t="s">
        <v>4161</v>
      </c>
      <c r="C1672" s="8">
        <v>125675000</v>
      </c>
      <c r="E1672" s="50">
        <f t="shared" si="32"/>
        <v>135334044.62999988</v>
      </c>
      <c r="F1672" s="83" t="s">
        <v>248</v>
      </c>
      <c r="G1672" s="14" t="s">
        <v>249</v>
      </c>
      <c r="H1672" s="14"/>
    </row>
    <row r="1673" spans="1:9">
      <c r="A1673" s="3">
        <v>44558</v>
      </c>
      <c r="B1673" s="7" t="s">
        <v>4162</v>
      </c>
      <c r="C1673" s="8">
        <v>0</v>
      </c>
      <c r="D1673" s="8">
        <v>1000000</v>
      </c>
      <c r="E1673" s="50">
        <f t="shared" si="32"/>
        <v>136334044.62999988</v>
      </c>
      <c r="F1673" s="83" t="s">
        <v>110</v>
      </c>
      <c r="G1673" s="14" t="s">
        <v>620</v>
      </c>
      <c r="H1673" s="14" t="s">
        <v>623</v>
      </c>
    </row>
    <row r="1674" spans="1:9">
      <c r="A1674" s="3">
        <v>44559</v>
      </c>
      <c r="B1674" s="7" t="s">
        <v>4163</v>
      </c>
      <c r="C1674" s="8">
        <v>0</v>
      </c>
      <c r="D1674" s="8">
        <v>22388</v>
      </c>
      <c r="E1674" s="50">
        <f t="shared" si="32"/>
        <v>136356432.62999988</v>
      </c>
      <c r="F1674" s="83" t="s">
        <v>107</v>
      </c>
      <c r="G1674" s="14" t="s">
        <v>668</v>
      </c>
      <c r="H1674" s="14" t="s">
        <v>4432</v>
      </c>
      <c r="I1674" s="14" t="s">
        <v>4069</v>
      </c>
    </row>
    <row r="1675" spans="1:9">
      <c r="A1675" s="3">
        <v>44559</v>
      </c>
      <c r="B1675" s="7" t="s">
        <v>4164</v>
      </c>
      <c r="C1675" s="8">
        <v>10000000</v>
      </c>
      <c r="E1675" s="50">
        <f t="shared" si="32"/>
        <v>126356432.62999988</v>
      </c>
      <c r="F1675" s="81" t="s">
        <v>137</v>
      </c>
      <c r="G1675" s="14" t="s">
        <v>138</v>
      </c>
      <c r="H1675" s="14" t="s">
        <v>3000</v>
      </c>
    </row>
    <row r="1676" spans="1:9">
      <c r="A1676" s="3">
        <v>44559</v>
      </c>
      <c r="B1676" s="7" t="s">
        <v>4165</v>
      </c>
      <c r="C1676" s="8">
        <v>6500000</v>
      </c>
      <c r="E1676" s="50">
        <f t="shared" si="32"/>
        <v>119856432.62999988</v>
      </c>
      <c r="F1676" s="83" t="s">
        <v>248</v>
      </c>
      <c r="G1676" s="14" t="s">
        <v>728</v>
      </c>
      <c r="H1676" s="14"/>
    </row>
    <row r="1677" spans="1:9">
      <c r="A1677" s="3">
        <v>44559</v>
      </c>
      <c r="B1677" s="7" t="s">
        <v>4166</v>
      </c>
      <c r="C1677" s="8">
        <v>1000000</v>
      </c>
      <c r="E1677" s="50">
        <f t="shared" si="32"/>
        <v>118856432.62999988</v>
      </c>
      <c r="F1677" s="81" t="s">
        <v>137</v>
      </c>
      <c r="G1677" s="14" t="s">
        <v>138</v>
      </c>
      <c r="H1677" s="14" t="s">
        <v>3000</v>
      </c>
    </row>
    <row r="1678" spans="1:9" s="14" customFormat="1">
      <c r="A1678" s="138">
        <v>44559</v>
      </c>
      <c r="B1678" s="49" t="s">
        <v>4167</v>
      </c>
      <c r="C1678" s="53">
        <v>18500000</v>
      </c>
      <c r="D1678" s="53"/>
      <c r="E1678" s="50">
        <f t="shared" si="32"/>
        <v>100356432.62999988</v>
      </c>
      <c r="F1678" s="81" t="s">
        <v>110</v>
      </c>
      <c r="G1678" s="14" t="s">
        <v>321</v>
      </c>
      <c r="H1678" s="14" t="s">
        <v>4481</v>
      </c>
    </row>
    <row r="1679" spans="1:9">
      <c r="A1679" s="3">
        <v>44559</v>
      </c>
      <c r="B1679" s="7" t="s">
        <v>4902</v>
      </c>
      <c r="C1679" s="54">
        <f>39040925-C1680</f>
        <v>35491750</v>
      </c>
      <c r="D1679" s="54"/>
      <c r="E1679" s="53">
        <f t="shared" si="32"/>
        <v>64864682.629999876</v>
      </c>
      <c r="F1679" s="81" t="s">
        <v>137</v>
      </c>
      <c r="G1679" s="14" t="s">
        <v>138</v>
      </c>
      <c r="H1679" s="14" t="s">
        <v>3046</v>
      </c>
    </row>
    <row r="1680" spans="1:9">
      <c r="A1680" s="3">
        <v>44559</v>
      </c>
      <c r="B1680" s="7" t="s">
        <v>4902</v>
      </c>
      <c r="C1680" s="54">
        <v>3549175</v>
      </c>
      <c r="D1680" s="54"/>
      <c r="E1680" s="53">
        <f t="shared" si="32"/>
        <v>61315507.629999876</v>
      </c>
      <c r="F1680" s="81" t="s">
        <v>110</v>
      </c>
      <c r="G1680" s="14" t="s">
        <v>616</v>
      </c>
      <c r="H1680" s="14" t="s">
        <v>4621</v>
      </c>
    </row>
    <row r="1681" spans="1:9">
      <c r="A1681" s="3">
        <v>44559</v>
      </c>
      <c r="B1681" s="7" t="s">
        <v>4168</v>
      </c>
      <c r="C1681" s="8">
        <v>6000000</v>
      </c>
      <c r="E1681" s="50">
        <f t="shared" si="32"/>
        <v>55315507.629999876</v>
      </c>
      <c r="F1681" s="81" t="s">
        <v>137</v>
      </c>
      <c r="G1681" s="14" t="s">
        <v>138</v>
      </c>
      <c r="H1681" s="14" t="s">
        <v>3010</v>
      </c>
    </row>
    <row r="1682" spans="1:9">
      <c r="A1682" s="3">
        <v>44559</v>
      </c>
      <c r="B1682" s="7" t="s">
        <v>4169</v>
      </c>
      <c r="C1682" s="8">
        <v>32000000</v>
      </c>
      <c r="E1682" s="50">
        <f t="shared" si="32"/>
        <v>23315507.629999876</v>
      </c>
      <c r="F1682" s="81" t="s">
        <v>137</v>
      </c>
      <c r="G1682" s="14" t="s">
        <v>138</v>
      </c>
      <c r="H1682" s="14" t="s">
        <v>3021</v>
      </c>
    </row>
    <row r="1683" spans="1:9">
      <c r="A1683" s="3">
        <v>44559</v>
      </c>
      <c r="B1683" s="7" t="s">
        <v>4170</v>
      </c>
      <c r="C1683" s="8">
        <v>5040000</v>
      </c>
      <c r="E1683" s="50">
        <f t="shared" si="32"/>
        <v>18275507.629999876</v>
      </c>
      <c r="F1683" s="83" t="s">
        <v>107</v>
      </c>
      <c r="G1683" s="14" t="s">
        <v>666</v>
      </c>
      <c r="H1683" s="14" t="s">
        <v>4386</v>
      </c>
      <c r="I1683" s="14" t="s">
        <v>64</v>
      </c>
    </row>
    <row r="1684" spans="1:9">
      <c r="A1684" s="3">
        <v>44559</v>
      </c>
      <c r="B1684" s="7" t="s">
        <v>4171</v>
      </c>
      <c r="C1684" s="8">
        <v>10525000</v>
      </c>
      <c r="E1684" s="50">
        <f t="shared" si="32"/>
        <v>7750507.629999876</v>
      </c>
      <c r="F1684" s="81" t="s">
        <v>137</v>
      </c>
      <c r="G1684" s="14" t="s">
        <v>138</v>
      </c>
      <c r="H1684" s="14" t="s">
        <v>4137</v>
      </c>
    </row>
    <row r="1685" spans="1:9">
      <c r="A1685" s="3">
        <v>44559</v>
      </c>
      <c r="B1685" s="7" t="s">
        <v>1649</v>
      </c>
      <c r="C1685" s="8">
        <v>7694000</v>
      </c>
      <c r="E1685" s="50">
        <f t="shared" si="32"/>
        <v>56507.629999876022</v>
      </c>
      <c r="F1685" s="83" t="s">
        <v>107</v>
      </c>
      <c r="G1685" s="14" t="s">
        <v>109</v>
      </c>
      <c r="H1685" s="14"/>
    </row>
    <row r="1686" spans="1:9">
      <c r="A1686" s="3">
        <v>44559</v>
      </c>
      <c r="B1686" s="7" t="s">
        <v>1650</v>
      </c>
      <c r="C1686" s="8">
        <v>6500</v>
      </c>
      <c r="E1686" s="50">
        <f t="shared" si="32"/>
        <v>50007.629999876022</v>
      </c>
      <c r="F1686" s="83" t="s">
        <v>113</v>
      </c>
      <c r="G1686" s="14" t="s">
        <v>114</v>
      </c>
      <c r="H1686" s="14"/>
    </row>
    <row r="1687" spans="1:9">
      <c r="A1687" s="3">
        <v>44560</v>
      </c>
      <c r="B1687" s="7" t="s">
        <v>4172</v>
      </c>
      <c r="C1687" s="8">
        <v>0</v>
      </c>
      <c r="D1687" s="8">
        <v>300000000</v>
      </c>
      <c r="E1687" s="50">
        <f t="shared" si="32"/>
        <v>300050007.62999988</v>
      </c>
      <c r="F1687" s="83" t="s">
        <v>107</v>
      </c>
      <c r="G1687" s="14" t="s">
        <v>254</v>
      </c>
      <c r="H1687" s="14"/>
    </row>
    <row r="1688" spans="1:9">
      <c r="A1688" s="3">
        <v>44561</v>
      </c>
      <c r="B1688" s="7" t="s">
        <v>4159</v>
      </c>
      <c r="C1688" s="8">
        <v>50000000</v>
      </c>
      <c r="D1688" s="8">
        <v>0</v>
      </c>
      <c r="E1688" s="50">
        <f t="shared" si="32"/>
        <v>250050007.62999988</v>
      </c>
      <c r="F1688" s="81" t="s">
        <v>137</v>
      </c>
      <c r="G1688" s="14" t="s">
        <v>138</v>
      </c>
      <c r="H1688" s="14" t="s">
        <v>4137</v>
      </c>
    </row>
    <row r="1689" spans="1:9">
      <c r="A1689" s="3">
        <v>44561</v>
      </c>
      <c r="B1689" s="7" t="s">
        <v>240</v>
      </c>
      <c r="D1689" s="8">
        <v>3542.55</v>
      </c>
      <c r="E1689" s="50">
        <f t="shared" si="32"/>
        <v>250053550.17999989</v>
      </c>
      <c r="F1689" s="83" t="s">
        <v>252</v>
      </c>
      <c r="G1689" s="14" t="s">
        <v>253</v>
      </c>
      <c r="H1689" s="14"/>
    </row>
    <row r="1690" spans="1:9">
      <c r="A1690" s="3">
        <v>44561</v>
      </c>
      <c r="B1690" s="7" t="s">
        <v>241</v>
      </c>
      <c r="C1690" s="8">
        <v>708.51</v>
      </c>
      <c r="E1690" s="50">
        <f t="shared" si="32"/>
        <v>250052841.6699999</v>
      </c>
      <c r="F1690" s="83" t="s">
        <v>252</v>
      </c>
      <c r="G1690" s="14" t="s">
        <v>253</v>
      </c>
      <c r="H1690" s="14"/>
    </row>
    <row r="1692" spans="1:9">
      <c r="C1692" s="8">
        <f>SUBTOTAL(9,C5:C1691)</f>
        <v>17854730914.689999</v>
      </c>
      <c r="D1692" s="8">
        <f>SUBTOTAL(9,D5:D1691)</f>
        <v>18074476214.459999</v>
      </c>
    </row>
    <row r="1693" spans="1:9">
      <c r="D1693" s="8">
        <f>D1692-C1692</f>
        <v>219745299.77000046</v>
      </c>
    </row>
  </sheetData>
  <autoFilter ref="A4:L1690" xr:uid="{9B31709F-AE07-C64B-BCD0-BE1FA0F80FEF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2CE4-477B-5445-93EC-BB571A4CFB46}">
  <dimension ref="A1:I755"/>
  <sheetViews>
    <sheetView zoomScaleNormal="112" workbookViewId="0">
      <selection activeCell="C458" sqref="C458"/>
    </sheetView>
  </sheetViews>
  <sheetFormatPr baseColWidth="10" defaultRowHeight="16"/>
  <cols>
    <col min="1" max="1" width="10.83203125" style="3"/>
    <col min="2" max="2" width="70" customWidth="1"/>
    <col min="3" max="5" width="18.6640625" style="8" customWidth="1"/>
    <col min="6" max="6" width="17.83203125" customWidth="1"/>
    <col min="7" max="7" width="23.83203125" customWidth="1"/>
    <col min="8" max="8" width="49.5" customWidth="1"/>
  </cols>
  <sheetData>
    <row r="1" spans="1:8">
      <c r="A1" s="6" t="s">
        <v>61</v>
      </c>
      <c r="B1" s="1" t="s">
        <v>62</v>
      </c>
    </row>
    <row r="2" spans="1:8">
      <c r="A2" s="6" t="s">
        <v>63</v>
      </c>
    </row>
    <row r="4" spans="1:8">
      <c r="A4" s="4" t="s">
        <v>3</v>
      </c>
      <c r="B4" s="1" t="s">
        <v>4</v>
      </c>
      <c r="C4" s="9"/>
      <c r="D4" s="9"/>
      <c r="E4" s="9">
        <v>66810023.169999726</v>
      </c>
    </row>
    <row r="5" spans="1:8">
      <c r="A5" s="3">
        <v>44200</v>
      </c>
      <c r="B5" s="7" t="s">
        <v>67</v>
      </c>
      <c r="C5" s="8">
        <v>9704359</v>
      </c>
      <c r="D5" s="8">
        <v>0</v>
      </c>
      <c r="E5" s="8">
        <f>E4-C5+D5</f>
        <v>57105664.169999726</v>
      </c>
      <c r="F5" t="s">
        <v>115</v>
      </c>
      <c r="G5" t="s">
        <v>139</v>
      </c>
      <c r="H5" t="s">
        <v>140</v>
      </c>
    </row>
    <row r="6" spans="1:8">
      <c r="A6" s="3">
        <v>44200</v>
      </c>
      <c r="B6" t="s">
        <v>68</v>
      </c>
      <c r="C6" s="8">
        <v>6500</v>
      </c>
      <c r="D6" s="8">
        <v>0</v>
      </c>
      <c r="E6" s="8">
        <f t="shared" ref="E6:E71" si="0">E5-C6+D6</f>
        <v>57099164.169999726</v>
      </c>
      <c r="F6" t="s">
        <v>113</v>
      </c>
      <c r="G6" t="s">
        <v>114</v>
      </c>
    </row>
    <row r="7" spans="1:8">
      <c r="A7" s="3">
        <v>44200</v>
      </c>
      <c r="B7" t="s">
        <v>69</v>
      </c>
      <c r="C7" s="8">
        <v>8802522</v>
      </c>
      <c r="D7" s="8">
        <v>0</v>
      </c>
      <c r="E7" s="8">
        <f t="shared" si="0"/>
        <v>48296642.169999726</v>
      </c>
      <c r="F7" t="s">
        <v>115</v>
      </c>
      <c r="G7" t="s">
        <v>139</v>
      </c>
      <c r="H7" t="s">
        <v>141</v>
      </c>
    </row>
    <row r="8" spans="1:8">
      <c r="A8" s="3">
        <v>44200</v>
      </c>
      <c r="B8" t="s">
        <v>70</v>
      </c>
      <c r="C8" s="8">
        <v>6500</v>
      </c>
      <c r="D8" s="8">
        <v>0</v>
      </c>
      <c r="E8" s="8">
        <f t="shared" si="0"/>
        <v>48290142.169999726</v>
      </c>
      <c r="F8" t="s">
        <v>113</v>
      </c>
      <c r="G8" t="s">
        <v>114</v>
      </c>
    </row>
    <row r="9" spans="1:8">
      <c r="A9" s="3">
        <v>44200</v>
      </c>
      <c r="B9" t="s">
        <v>65</v>
      </c>
      <c r="C9" s="8">
        <v>0</v>
      </c>
      <c r="D9" s="8">
        <v>80000000</v>
      </c>
      <c r="E9" s="8">
        <f t="shared" si="0"/>
        <v>128290142.16999972</v>
      </c>
      <c r="F9" t="s">
        <v>107</v>
      </c>
      <c r="G9" t="s">
        <v>144</v>
      </c>
    </row>
    <row r="10" spans="1:8">
      <c r="A10" s="3">
        <v>44200</v>
      </c>
      <c r="B10" t="s">
        <v>66</v>
      </c>
      <c r="C10" s="8">
        <v>0</v>
      </c>
      <c r="D10" s="8">
        <v>40000000</v>
      </c>
      <c r="E10" s="8">
        <f t="shared" si="0"/>
        <v>168290142.16999972</v>
      </c>
      <c r="F10" t="s">
        <v>107</v>
      </c>
      <c r="G10" t="s">
        <v>109</v>
      </c>
    </row>
    <row r="11" spans="1:8">
      <c r="A11" s="3">
        <v>44201</v>
      </c>
      <c r="B11" t="s">
        <v>71</v>
      </c>
      <c r="C11" s="8">
        <v>165291802</v>
      </c>
      <c r="D11" s="8">
        <v>0</v>
      </c>
      <c r="E11" s="8">
        <f t="shared" si="0"/>
        <v>2998340.1699997187</v>
      </c>
      <c r="F11" s="10" t="s">
        <v>115</v>
      </c>
      <c r="G11" s="10" t="s">
        <v>139</v>
      </c>
      <c r="H11" s="10" t="s">
        <v>142</v>
      </c>
    </row>
    <row r="12" spans="1:8">
      <c r="A12" s="3">
        <v>44201</v>
      </c>
      <c r="B12" t="s">
        <v>72</v>
      </c>
      <c r="C12" s="8">
        <v>2900</v>
      </c>
      <c r="D12" s="8">
        <v>0</v>
      </c>
      <c r="E12" s="8">
        <f t="shared" si="0"/>
        <v>2995440.1699997187</v>
      </c>
      <c r="F12" t="s">
        <v>113</v>
      </c>
      <c r="G12" t="s">
        <v>114</v>
      </c>
    </row>
    <row r="13" spans="1:8">
      <c r="A13" s="3">
        <v>44201</v>
      </c>
      <c r="B13" t="s">
        <v>73</v>
      </c>
      <c r="C13" s="8">
        <v>2600000</v>
      </c>
      <c r="D13" s="8">
        <v>0</v>
      </c>
      <c r="E13" s="8">
        <f t="shared" si="0"/>
        <v>395440.16999971867</v>
      </c>
      <c r="F13" t="s">
        <v>107</v>
      </c>
      <c r="G13" t="s">
        <v>108</v>
      </c>
    </row>
    <row r="14" spans="1:8">
      <c r="A14" s="3">
        <v>44201</v>
      </c>
      <c r="B14" t="s">
        <v>74</v>
      </c>
      <c r="C14" s="8">
        <v>6500</v>
      </c>
      <c r="D14" s="8">
        <v>0</v>
      </c>
      <c r="E14" s="8">
        <f t="shared" si="0"/>
        <v>388940.16999971867</v>
      </c>
      <c r="F14" t="s">
        <v>113</v>
      </c>
      <c r="G14" t="s">
        <v>114</v>
      </c>
    </row>
    <row r="15" spans="1:8">
      <c r="A15" s="3">
        <v>44206</v>
      </c>
      <c r="B15" t="s">
        <v>75</v>
      </c>
      <c r="C15" s="8">
        <v>0</v>
      </c>
      <c r="D15" s="8">
        <v>20000000</v>
      </c>
      <c r="E15" s="8">
        <f t="shared" si="0"/>
        <v>20388940.169999719</v>
      </c>
      <c r="F15" t="s">
        <v>115</v>
      </c>
      <c r="G15" t="s">
        <v>122</v>
      </c>
      <c r="H15" t="s">
        <v>123</v>
      </c>
    </row>
    <row r="16" spans="1:8">
      <c r="A16" s="3">
        <v>44206</v>
      </c>
      <c r="B16" t="s">
        <v>147</v>
      </c>
      <c r="C16" s="8">
        <v>20000000</v>
      </c>
      <c r="D16" s="8">
        <v>0</v>
      </c>
      <c r="E16" s="8">
        <f t="shared" si="0"/>
        <v>388940.16999971867</v>
      </c>
      <c r="F16" t="s">
        <v>115</v>
      </c>
      <c r="G16" t="s">
        <v>120</v>
      </c>
      <c r="H16" t="s">
        <v>148</v>
      </c>
    </row>
    <row r="17" spans="1:8">
      <c r="A17" s="3">
        <v>44206</v>
      </c>
      <c r="B17" t="s">
        <v>76</v>
      </c>
      <c r="C17" s="8">
        <v>6500</v>
      </c>
      <c r="D17" s="8">
        <v>0</v>
      </c>
      <c r="E17" s="8">
        <f t="shared" si="0"/>
        <v>382440.16999971867</v>
      </c>
      <c r="F17" t="s">
        <v>113</v>
      </c>
      <c r="G17" t="s">
        <v>114</v>
      </c>
    </row>
    <row r="18" spans="1:8">
      <c r="A18" s="3">
        <v>44207</v>
      </c>
      <c r="B18" t="s">
        <v>77</v>
      </c>
      <c r="C18" s="8">
        <v>169857</v>
      </c>
      <c r="D18" s="8">
        <v>0</v>
      </c>
      <c r="E18" s="8">
        <f t="shared" si="0"/>
        <v>212583.16999971867</v>
      </c>
      <c r="F18" t="s">
        <v>115</v>
      </c>
      <c r="G18" t="s">
        <v>120</v>
      </c>
      <c r="H18" t="s">
        <v>125</v>
      </c>
    </row>
    <row r="19" spans="1:8">
      <c r="A19" s="3">
        <v>44207</v>
      </c>
      <c r="B19" t="s">
        <v>78</v>
      </c>
      <c r="C19" s="8">
        <v>2900</v>
      </c>
      <c r="D19" s="8">
        <v>0</v>
      </c>
      <c r="E19" s="8">
        <f t="shared" si="0"/>
        <v>209683.16999971867</v>
      </c>
      <c r="F19" t="s">
        <v>113</v>
      </c>
      <c r="G19" t="s">
        <v>114</v>
      </c>
    </row>
    <row r="20" spans="1:8">
      <c r="A20" s="3">
        <v>44209</v>
      </c>
      <c r="B20" t="s">
        <v>79</v>
      </c>
      <c r="C20" s="8">
        <v>0</v>
      </c>
      <c r="D20" s="8">
        <v>2200000000</v>
      </c>
      <c r="E20" s="8">
        <f t="shared" si="0"/>
        <v>2200209683.1699996</v>
      </c>
      <c r="F20" t="s">
        <v>115</v>
      </c>
      <c r="G20" t="s">
        <v>122</v>
      </c>
      <c r="H20" t="s">
        <v>149</v>
      </c>
    </row>
    <row r="21" spans="1:8">
      <c r="A21" s="3">
        <v>44209</v>
      </c>
      <c r="B21" t="s">
        <v>80</v>
      </c>
      <c r="C21" s="8">
        <v>500000000</v>
      </c>
      <c r="D21" s="8">
        <v>0</v>
      </c>
      <c r="E21" s="8">
        <f t="shared" si="0"/>
        <v>1700209683.1699996</v>
      </c>
      <c r="F21" t="s">
        <v>107</v>
      </c>
      <c r="G21" t="s">
        <v>108</v>
      </c>
    </row>
    <row r="22" spans="1:8">
      <c r="A22" s="3">
        <v>44209</v>
      </c>
      <c r="B22" t="s">
        <v>81</v>
      </c>
      <c r="C22" s="8">
        <v>2900</v>
      </c>
      <c r="D22" s="8">
        <v>0</v>
      </c>
      <c r="E22" s="8">
        <f t="shared" si="0"/>
        <v>1700206783.1699996</v>
      </c>
      <c r="F22" t="s">
        <v>113</v>
      </c>
      <c r="G22" t="s">
        <v>114</v>
      </c>
    </row>
    <row r="23" spans="1:8">
      <c r="A23" s="3">
        <v>44209</v>
      </c>
      <c r="B23" t="s">
        <v>82</v>
      </c>
      <c r="C23" s="8">
        <v>20000000</v>
      </c>
      <c r="D23" s="8">
        <v>0</v>
      </c>
      <c r="E23" s="8">
        <f t="shared" si="0"/>
        <v>1680206783.1699996</v>
      </c>
      <c r="F23" t="s">
        <v>115</v>
      </c>
      <c r="G23" t="s">
        <v>122</v>
      </c>
      <c r="H23" t="s">
        <v>123</v>
      </c>
    </row>
    <row r="24" spans="1:8" s="14" customFormat="1">
      <c r="A24" s="138">
        <v>44209</v>
      </c>
      <c r="B24" s="14" t="s">
        <v>4483</v>
      </c>
      <c r="C24" s="53">
        <v>10124310</v>
      </c>
      <c r="D24" s="53">
        <v>0</v>
      </c>
      <c r="E24" s="53">
        <f t="shared" si="0"/>
        <v>1670082473.1699996</v>
      </c>
      <c r="F24" t="s">
        <v>115</v>
      </c>
      <c r="G24" t="s">
        <v>120</v>
      </c>
      <c r="H24" t="s">
        <v>125</v>
      </c>
    </row>
    <row r="25" spans="1:8">
      <c r="A25" s="3">
        <v>44209</v>
      </c>
      <c r="B25" t="s">
        <v>84</v>
      </c>
      <c r="C25" s="8">
        <v>2900</v>
      </c>
      <c r="D25" s="8">
        <v>0</v>
      </c>
      <c r="E25" s="8">
        <f t="shared" si="0"/>
        <v>1670079573.1699996</v>
      </c>
      <c r="F25" t="s">
        <v>113</v>
      </c>
      <c r="G25" t="s">
        <v>114</v>
      </c>
    </row>
    <row r="26" spans="1:8">
      <c r="A26" s="3">
        <v>44209</v>
      </c>
      <c r="B26" t="s">
        <v>85</v>
      </c>
      <c r="C26" s="8">
        <v>1502450</v>
      </c>
      <c r="D26" s="8">
        <v>0</v>
      </c>
      <c r="E26" s="8">
        <f t="shared" si="0"/>
        <v>1668577123.1699996</v>
      </c>
      <c r="F26" t="s">
        <v>115</v>
      </c>
      <c r="G26" t="s">
        <v>120</v>
      </c>
      <c r="H26" t="s">
        <v>150</v>
      </c>
    </row>
    <row r="27" spans="1:8">
      <c r="A27" s="3">
        <v>44209</v>
      </c>
      <c r="B27" t="s">
        <v>86</v>
      </c>
      <c r="C27" s="8">
        <v>2900</v>
      </c>
      <c r="D27" s="8">
        <v>0</v>
      </c>
      <c r="E27" s="8">
        <f t="shared" si="0"/>
        <v>1668574223.1699996</v>
      </c>
      <c r="F27" t="s">
        <v>113</v>
      </c>
      <c r="G27" t="s">
        <v>114</v>
      </c>
    </row>
    <row r="28" spans="1:8">
      <c r="A28" s="3">
        <v>44209</v>
      </c>
      <c r="B28" t="s">
        <v>87</v>
      </c>
      <c r="C28" s="8">
        <v>750000</v>
      </c>
      <c r="D28" s="8">
        <v>0</v>
      </c>
      <c r="E28" s="8">
        <f t="shared" si="0"/>
        <v>1667824223.1699996</v>
      </c>
      <c r="F28" t="s">
        <v>115</v>
      </c>
      <c r="G28" t="s">
        <v>120</v>
      </c>
      <c r="H28" t="s">
        <v>150</v>
      </c>
    </row>
    <row r="29" spans="1:8">
      <c r="A29" s="3">
        <v>44209</v>
      </c>
      <c r="B29" t="s">
        <v>86</v>
      </c>
      <c r="C29" s="8">
        <v>2900</v>
      </c>
      <c r="D29" s="8">
        <v>0</v>
      </c>
      <c r="E29" s="8">
        <f t="shared" si="0"/>
        <v>1667821323.1699996</v>
      </c>
      <c r="F29" t="s">
        <v>113</v>
      </c>
      <c r="G29" t="s">
        <v>114</v>
      </c>
    </row>
    <row r="30" spans="1:8">
      <c r="A30" s="3">
        <v>44209</v>
      </c>
      <c r="B30" t="s">
        <v>88</v>
      </c>
      <c r="C30" s="8">
        <v>643750</v>
      </c>
      <c r="D30" s="8">
        <v>0</v>
      </c>
      <c r="E30" s="8">
        <f t="shared" si="0"/>
        <v>1667177573.1699996</v>
      </c>
      <c r="F30" t="s">
        <v>115</v>
      </c>
      <c r="G30" t="s">
        <v>120</v>
      </c>
      <c r="H30" t="s">
        <v>135</v>
      </c>
    </row>
    <row r="31" spans="1:8">
      <c r="A31" s="3">
        <v>44209</v>
      </c>
      <c r="B31" t="s">
        <v>89</v>
      </c>
      <c r="C31" s="8">
        <v>2900</v>
      </c>
      <c r="D31" s="8">
        <v>0</v>
      </c>
      <c r="E31" s="8">
        <f t="shared" si="0"/>
        <v>1667174673.1699996</v>
      </c>
      <c r="F31" t="s">
        <v>113</v>
      </c>
      <c r="G31" t="s">
        <v>114</v>
      </c>
    </row>
    <row r="32" spans="1:8">
      <c r="A32" s="3">
        <v>44210</v>
      </c>
      <c r="B32" t="s">
        <v>90</v>
      </c>
      <c r="C32" s="8">
        <v>1000000000</v>
      </c>
      <c r="D32" s="8">
        <v>0</v>
      </c>
      <c r="E32" s="8">
        <f t="shared" si="0"/>
        <v>667174673.1699996</v>
      </c>
      <c r="F32" t="s">
        <v>107</v>
      </c>
      <c r="G32" t="s">
        <v>145</v>
      </c>
    </row>
    <row r="33" spans="1:9">
      <c r="A33" s="3">
        <v>44210</v>
      </c>
      <c r="B33" t="s">
        <v>91</v>
      </c>
      <c r="C33" s="8">
        <v>30000</v>
      </c>
      <c r="D33" s="8">
        <v>0</v>
      </c>
      <c r="E33" s="8">
        <f t="shared" si="0"/>
        <v>667144673.1699996</v>
      </c>
      <c r="F33" t="s">
        <v>113</v>
      </c>
      <c r="G33" t="s">
        <v>114</v>
      </c>
    </row>
    <row r="34" spans="1:9">
      <c r="A34" s="3">
        <v>44210</v>
      </c>
      <c r="B34" t="s">
        <v>92</v>
      </c>
      <c r="C34" s="8">
        <v>6000</v>
      </c>
      <c r="D34" s="8">
        <v>0</v>
      </c>
      <c r="E34" s="8">
        <f t="shared" si="0"/>
        <v>667138673.1699996</v>
      </c>
      <c r="F34" t="s">
        <v>113</v>
      </c>
      <c r="G34" t="s">
        <v>114</v>
      </c>
    </row>
    <row r="35" spans="1:9">
      <c r="A35" s="3">
        <v>44210</v>
      </c>
      <c r="B35" t="s">
        <v>93</v>
      </c>
      <c r="C35" s="8">
        <v>49455055</v>
      </c>
      <c r="D35" s="8">
        <v>0</v>
      </c>
      <c r="E35" s="8">
        <f t="shared" si="0"/>
        <v>617683618.1699996</v>
      </c>
      <c r="F35" s="10" t="s">
        <v>115</v>
      </c>
      <c r="G35" s="10" t="s">
        <v>139</v>
      </c>
      <c r="H35" s="10" t="s">
        <v>143</v>
      </c>
    </row>
    <row r="36" spans="1:9">
      <c r="A36" s="3">
        <v>44211</v>
      </c>
      <c r="B36" t="s">
        <v>94</v>
      </c>
      <c r="C36" s="8">
        <v>1500000</v>
      </c>
      <c r="D36" s="8">
        <v>0</v>
      </c>
      <c r="E36" s="8">
        <f t="shared" si="0"/>
        <v>616183618.1699996</v>
      </c>
      <c r="F36" t="s">
        <v>115</v>
      </c>
      <c r="G36" t="s">
        <v>120</v>
      </c>
      <c r="H36" t="s">
        <v>131</v>
      </c>
    </row>
    <row r="37" spans="1:9">
      <c r="A37" s="3">
        <v>44211</v>
      </c>
      <c r="B37" t="s">
        <v>95</v>
      </c>
      <c r="C37" s="8">
        <v>2900</v>
      </c>
      <c r="D37" s="8">
        <v>0</v>
      </c>
      <c r="E37" s="8">
        <f t="shared" si="0"/>
        <v>616180718.1699996</v>
      </c>
      <c r="F37" t="s">
        <v>113</v>
      </c>
      <c r="G37" t="s">
        <v>114</v>
      </c>
    </row>
    <row r="38" spans="1:9" s="14" customFormat="1">
      <c r="A38" s="138">
        <v>44211</v>
      </c>
      <c r="B38" s="14" t="s">
        <v>994</v>
      </c>
      <c r="C38" s="50">
        <f>121000000-C39</f>
        <v>110000000</v>
      </c>
      <c r="D38" s="50">
        <v>0</v>
      </c>
      <c r="E38" s="50">
        <f t="shared" si="0"/>
        <v>506180718.1699996</v>
      </c>
      <c r="F38" s="14" t="s">
        <v>115</v>
      </c>
      <c r="G38" s="14" t="s">
        <v>120</v>
      </c>
      <c r="H38" s="14" t="s">
        <v>151</v>
      </c>
    </row>
    <row r="39" spans="1:9" s="14" customFormat="1">
      <c r="A39" s="138">
        <v>44211</v>
      </c>
      <c r="B39" s="14" t="s">
        <v>994</v>
      </c>
      <c r="C39" s="53">
        <v>11000000</v>
      </c>
      <c r="D39" s="53">
        <v>0</v>
      </c>
      <c r="E39" s="53">
        <f t="shared" si="0"/>
        <v>495180718.1699996</v>
      </c>
      <c r="F39" s="14" t="s">
        <v>115</v>
      </c>
      <c r="G39" s="14" t="s">
        <v>120</v>
      </c>
      <c r="H39" s="14" t="s">
        <v>151</v>
      </c>
    </row>
    <row r="40" spans="1:9">
      <c r="A40" s="3">
        <v>44211</v>
      </c>
      <c r="B40" t="s">
        <v>97</v>
      </c>
      <c r="C40" s="8">
        <v>40000000</v>
      </c>
      <c r="D40" s="8">
        <v>0</v>
      </c>
      <c r="E40" s="8">
        <f t="shared" si="0"/>
        <v>455180718.1699996</v>
      </c>
      <c r="F40" t="s">
        <v>115</v>
      </c>
      <c r="G40" t="s">
        <v>120</v>
      </c>
      <c r="H40" t="s">
        <v>131</v>
      </c>
    </row>
    <row r="41" spans="1:9">
      <c r="A41" s="3">
        <v>44215</v>
      </c>
      <c r="B41" t="s">
        <v>177</v>
      </c>
      <c r="C41" s="8">
        <v>25000000</v>
      </c>
      <c r="D41" s="8">
        <v>0</v>
      </c>
      <c r="E41" s="8">
        <f t="shared" si="0"/>
        <v>430180718.1699996</v>
      </c>
      <c r="F41" t="s">
        <v>107</v>
      </c>
      <c r="G41" t="s">
        <v>108</v>
      </c>
    </row>
    <row r="42" spans="1:9">
      <c r="A42" s="3">
        <v>44215</v>
      </c>
      <c r="B42" t="s">
        <v>178</v>
      </c>
      <c r="C42" s="8">
        <v>6500</v>
      </c>
      <c r="D42" s="8">
        <v>0</v>
      </c>
      <c r="E42" s="8">
        <f t="shared" si="0"/>
        <v>430174218.1699996</v>
      </c>
      <c r="F42" t="s">
        <v>113</v>
      </c>
      <c r="G42" t="s">
        <v>114</v>
      </c>
    </row>
    <row r="43" spans="1:9">
      <c r="A43" s="3">
        <v>44215</v>
      </c>
      <c r="B43" t="s">
        <v>179</v>
      </c>
      <c r="C43" s="8">
        <v>25000000</v>
      </c>
      <c r="D43" s="8">
        <v>0</v>
      </c>
      <c r="E43" s="8">
        <f t="shared" si="0"/>
        <v>405174218.1699996</v>
      </c>
      <c r="F43" t="s">
        <v>107</v>
      </c>
      <c r="G43" t="s">
        <v>108</v>
      </c>
    </row>
    <row r="44" spans="1:9">
      <c r="A44" s="3">
        <v>44215</v>
      </c>
      <c r="B44" t="s">
        <v>178</v>
      </c>
      <c r="C44" s="8">
        <v>6500</v>
      </c>
      <c r="D44" s="8">
        <v>0</v>
      </c>
      <c r="E44" s="8">
        <f t="shared" si="0"/>
        <v>405167718.1699996</v>
      </c>
      <c r="F44" t="s">
        <v>113</v>
      </c>
      <c r="G44" t="s">
        <v>114</v>
      </c>
    </row>
    <row r="45" spans="1:9">
      <c r="A45" s="3">
        <v>44216</v>
      </c>
      <c r="B45" t="s">
        <v>180</v>
      </c>
      <c r="C45" s="8">
        <v>250000000</v>
      </c>
      <c r="D45" s="8">
        <v>0</v>
      </c>
      <c r="E45" s="8">
        <f t="shared" si="0"/>
        <v>155167718.1699996</v>
      </c>
      <c r="F45" t="s">
        <v>107</v>
      </c>
      <c r="G45" t="s">
        <v>108</v>
      </c>
    </row>
    <row r="46" spans="1:9">
      <c r="A46" s="3">
        <v>44216</v>
      </c>
      <c r="B46" t="s">
        <v>181</v>
      </c>
      <c r="C46" s="8">
        <v>2900</v>
      </c>
      <c r="D46" s="8">
        <v>0</v>
      </c>
      <c r="E46" s="8">
        <f t="shared" si="0"/>
        <v>155164818.1699996</v>
      </c>
      <c r="F46" t="s">
        <v>113</v>
      </c>
      <c r="G46" t="s">
        <v>114</v>
      </c>
    </row>
    <row r="47" spans="1:9">
      <c r="A47" s="3">
        <v>44216</v>
      </c>
      <c r="B47" t="s">
        <v>663</v>
      </c>
      <c r="C47" s="8">
        <v>0</v>
      </c>
      <c r="D47" s="8">
        <v>88352880</v>
      </c>
      <c r="E47" s="8">
        <f t="shared" si="0"/>
        <v>243517698.1699996</v>
      </c>
      <c r="F47" t="s">
        <v>110</v>
      </c>
      <c r="G47" t="s">
        <v>188</v>
      </c>
      <c r="H47" t="s">
        <v>134</v>
      </c>
      <c r="I47">
        <v>51</v>
      </c>
    </row>
    <row r="48" spans="1:9">
      <c r="A48" s="3">
        <v>44216</v>
      </c>
      <c r="B48" t="s">
        <v>663</v>
      </c>
      <c r="C48" s="8">
        <v>0</v>
      </c>
      <c r="D48" s="8">
        <f>607773931-D47</f>
        <v>519421051</v>
      </c>
      <c r="E48" s="8">
        <f t="shared" si="0"/>
        <v>762938749.1699996</v>
      </c>
      <c r="F48" t="s">
        <v>110</v>
      </c>
      <c r="G48" t="s">
        <v>188</v>
      </c>
      <c r="H48" t="s">
        <v>576</v>
      </c>
      <c r="I48">
        <v>80</v>
      </c>
    </row>
    <row r="49" spans="1:9">
      <c r="A49" s="3">
        <v>44218</v>
      </c>
      <c r="B49" t="s">
        <v>182</v>
      </c>
      <c r="C49" s="8">
        <v>450000000</v>
      </c>
      <c r="D49" s="8">
        <v>0</v>
      </c>
      <c r="E49" s="8">
        <f t="shared" si="0"/>
        <v>312938749.1699996</v>
      </c>
      <c r="F49" t="s">
        <v>107</v>
      </c>
      <c r="G49" t="s">
        <v>108</v>
      </c>
    </row>
    <row r="50" spans="1:9">
      <c r="A50" s="3">
        <v>44218</v>
      </c>
      <c r="B50" t="s">
        <v>181</v>
      </c>
      <c r="C50" s="8">
        <v>2900</v>
      </c>
      <c r="D50" s="8">
        <v>0</v>
      </c>
      <c r="E50" s="8">
        <f t="shared" si="0"/>
        <v>312935849.1699996</v>
      </c>
      <c r="F50" t="s">
        <v>113</v>
      </c>
      <c r="G50" t="s">
        <v>114</v>
      </c>
    </row>
    <row r="51" spans="1:9">
      <c r="A51" s="3">
        <v>44218</v>
      </c>
      <c r="B51" t="s">
        <v>183</v>
      </c>
      <c r="C51" s="8">
        <v>10000000</v>
      </c>
      <c r="D51" s="8">
        <v>0</v>
      </c>
      <c r="E51" s="8">
        <f t="shared" si="0"/>
        <v>302935849.1699996</v>
      </c>
      <c r="F51" t="s">
        <v>115</v>
      </c>
      <c r="G51" t="s">
        <v>120</v>
      </c>
      <c r="H51" t="s">
        <v>125</v>
      </c>
      <c r="I51" t="s">
        <v>444</v>
      </c>
    </row>
    <row r="52" spans="1:9">
      <c r="A52" s="3">
        <v>44218</v>
      </c>
      <c r="B52" t="s">
        <v>78</v>
      </c>
      <c r="C52" s="8">
        <v>2900</v>
      </c>
      <c r="D52" s="8">
        <v>0</v>
      </c>
      <c r="E52" s="8">
        <f t="shared" si="0"/>
        <v>302932949.1699996</v>
      </c>
      <c r="F52" t="s">
        <v>113</v>
      </c>
      <c r="G52" t="s">
        <v>114</v>
      </c>
    </row>
    <row r="53" spans="1:9">
      <c r="A53" s="3">
        <v>44218</v>
      </c>
      <c r="B53" t="s">
        <v>184</v>
      </c>
      <c r="C53" s="8">
        <v>1100000</v>
      </c>
      <c r="D53" s="8">
        <v>0</v>
      </c>
      <c r="E53" s="8">
        <f t="shared" si="0"/>
        <v>301832949.1699996</v>
      </c>
      <c r="F53" t="s">
        <v>115</v>
      </c>
      <c r="G53" t="s">
        <v>120</v>
      </c>
      <c r="H53" t="s">
        <v>125</v>
      </c>
      <c r="I53" t="s">
        <v>444</v>
      </c>
    </row>
    <row r="54" spans="1:9">
      <c r="A54" s="3">
        <v>44218</v>
      </c>
      <c r="B54" t="s">
        <v>78</v>
      </c>
      <c r="C54" s="8">
        <v>2900</v>
      </c>
      <c r="D54" s="8">
        <v>0</v>
      </c>
      <c r="E54" s="8">
        <f t="shared" si="0"/>
        <v>301830049.1699996</v>
      </c>
      <c r="F54" t="s">
        <v>113</v>
      </c>
      <c r="G54" t="s">
        <v>114</v>
      </c>
    </row>
    <row r="55" spans="1:9">
      <c r="A55" s="3">
        <v>44218</v>
      </c>
      <c r="B55" t="s">
        <v>185</v>
      </c>
      <c r="C55" s="8">
        <v>14350000</v>
      </c>
      <c r="D55" s="8">
        <v>0</v>
      </c>
      <c r="E55" s="8">
        <f t="shared" si="0"/>
        <v>287480049.1699996</v>
      </c>
      <c r="F55" t="s">
        <v>137</v>
      </c>
      <c r="G55" t="s">
        <v>138</v>
      </c>
      <c r="H55" t="s">
        <v>173</v>
      </c>
    </row>
    <row r="56" spans="1:9">
      <c r="A56" s="3">
        <v>44218</v>
      </c>
      <c r="B56" t="s">
        <v>186</v>
      </c>
      <c r="C56" s="8">
        <v>4600000</v>
      </c>
      <c r="D56" s="8">
        <v>0</v>
      </c>
      <c r="E56" s="8">
        <f t="shared" si="0"/>
        <v>282880049.1699996</v>
      </c>
      <c r="F56" t="s">
        <v>137</v>
      </c>
      <c r="G56" t="s">
        <v>138</v>
      </c>
      <c r="H56" t="s">
        <v>882</v>
      </c>
    </row>
    <row r="57" spans="1:9">
      <c r="A57" s="3">
        <v>44218</v>
      </c>
      <c r="B57" t="s">
        <v>187</v>
      </c>
      <c r="C57" s="8">
        <v>2900</v>
      </c>
      <c r="D57" s="8">
        <v>0</v>
      </c>
      <c r="E57" s="8">
        <f t="shared" si="0"/>
        <v>282877149.1699996</v>
      </c>
      <c r="F57" t="s">
        <v>113</v>
      </c>
      <c r="G57" t="s">
        <v>114</v>
      </c>
    </row>
    <row r="58" spans="1:9">
      <c r="A58" s="3">
        <v>44224</v>
      </c>
      <c r="B58" t="s">
        <v>256</v>
      </c>
      <c r="C58" s="8">
        <v>72500000</v>
      </c>
      <c r="D58" s="8">
        <v>0</v>
      </c>
      <c r="E58" s="8">
        <f t="shared" si="0"/>
        <v>210377149.1699996</v>
      </c>
      <c r="F58" t="s">
        <v>248</v>
      </c>
      <c r="G58" t="s">
        <v>249</v>
      </c>
    </row>
    <row r="59" spans="1:9">
      <c r="A59" s="3">
        <v>44224</v>
      </c>
      <c r="B59" t="s">
        <v>257</v>
      </c>
      <c r="C59" s="8">
        <v>2900</v>
      </c>
      <c r="D59" s="8">
        <v>0</v>
      </c>
      <c r="E59" s="8">
        <f t="shared" si="0"/>
        <v>210374249.1699996</v>
      </c>
      <c r="F59" t="s">
        <v>113</v>
      </c>
      <c r="G59" t="s">
        <v>114</v>
      </c>
    </row>
    <row r="60" spans="1:9">
      <c r="A60" s="3">
        <v>44225</v>
      </c>
      <c r="B60" t="s">
        <v>258</v>
      </c>
      <c r="C60" s="8">
        <v>825000</v>
      </c>
      <c r="D60" s="8">
        <v>0</v>
      </c>
      <c r="E60" s="8">
        <f t="shared" si="0"/>
        <v>209549249.1699996</v>
      </c>
      <c r="F60" t="s">
        <v>137</v>
      </c>
      <c r="G60" t="s">
        <v>138</v>
      </c>
      <c r="H60" t="s">
        <v>251</v>
      </c>
    </row>
    <row r="61" spans="1:9">
      <c r="A61" s="3">
        <v>44225</v>
      </c>
      <c r="B61" t="s">
        <v>259</v>
      </c>
      <c r="C61" s="8">
        <v>2900</v>
      </c>
      <c r="D61" s="8">
        <v>0</v>
      </c>
      <c r="E61" s="8">
        <f t="shared" si="0"/>
        <v>209546349.1699996</v>
      </c>
      <c r="F61" t="s">
        <v>113</v>
      </c>
      <c r="G61" t="s">
        <v>114</v>
      </c>
    </row>
    <row r="62" spans="1:9">
      <c r="A62" s="3">
        <v>44225</v>
      </c>
      <c r="B62" t="s">
        <v>260</v>
      </c>
      <c r="C62" s="8">
        <v>450000</v>
      </c>
      <c r="D62" s="8">
        <v>0</v>
      </c>
      <c r="E62" s="8">
        <f t="shared" si="0"/>
        <v>209096349.1699996</v>
      </c>
      <c r="F62" t="s">
        <v>137</v>
      </c>
      <c r="G62" t="s">
        <v>138</v>
      </c>
      <c r="H62" t="s">
        <v>251</v>
      </c>
    </row>
    <row r="63" spans="1:9">
      <c r="A63" s="3">
        <v>44225</v>
      </c>
      <c r="B63" t="s">
        <v>261</v>
      </c>
      <c r="C63" s="8">
        <v>1100000</v>
      </c>
      <c r="D63" s="8">
        <v>0</v>
      </c>
      <c r="E63" s="8">
        <f t="shared" si="0"/>
        <v>207996349.1699996</v>
      </c>
      <c r="F63" t="s">
        <v>137</v>
      </c>
      <c r="G63" t="s">
        <v>138</v>
      </c>
      <c r="H63" t="s">
        <v>251</v>
      </c>
    </row>
    <row r="64" spans="1:9">
      <c r="A64" s="3">
        <v>44225</v>
      </c>
      <c r="B64" t="s">
        <v>259</v>
      </c>
      <c r="C64" s="8">
        <v>2900</v>
      </c>
      <c r="D64" s="8">
        <v>0</v>
      </c>
      <c r="E64" s="8">
        <f t="shared" si="0"/>
        <v>207993449.1699996</v>
      </c>
      <c r="F64" t="s">
        <v>113</v>
      </c>
      <c r="G64" t="s">
        <v>114</v>
      </c>
    </row>
    <row r="65" spans="1:9">
      <c r="A65" s="3">
        <v>44225</v>
      </c>
      <c r="B65" t="s">
        <v>259</v>
      </c>
      <c r="C65" s="8">
        <v>2900</v>
      </c>
      <c r="D65" s="8">
        <v>0</v>
      </c>
      <c r="E65" s="8">
        <f t="shared" si="0"/>
        <v>207990549.1699996</v>
      </c>
      <c r="F65" t="s">
        <v>113</v>
      </c>
      <c r="G65" t="s">
        <v>114</v>
      </c>
    </row>
    <row r="66" spans="1:9">
      <c r="A66" s="3">
        <v>44225</v>
      </c>
      <c r="B66" t="s">
        <v>262</v>
      </c>
      <c r="C66" s="8">
        <v>26652813</v>
      </c>
      <c r="D66" s="8">
        <v>0</v>
      </c>
      <c r="E66" s="8">
        <f t="shared" si="0"/>
        <v>181337736.1699996</v>
      </c>
      <c r="F66" t="s">
        <v>107</v>
      </c>
      <c r="G66" t="s">
        <v>274</v>
      </c>
      <c r="H66" t="s">
        <v>141</v>
      </c>
    </row>
    <row r="67" spans="1:9">
      <c r="A67" s="3">
        <v>44225</v>
      </c>
      <c r="B67" t="s">
        <v>263</v>
      </c>
      <c r="C67" s="8">
        <v>2900</v>
      </c>
      <c r="D67" s="8">
        <v>0</v>
      </c>
      <c r="E67" s="8">
        <f t="shared" si="0"/>
        <v>181334836.1699996</v>
      </c>
      <c r="F67" t="s">
        <v>113</v>
      </c>
      <c r="G67" t="s">
        <v>114</v>
      </c>
    </row>
    <row r="68" spans="1:9">
      <c r="A68" s="3">
        <v>44225</v>
      </c>
      <c r="B68" t="s">
        <v>264</v>
      </c>
      <c r="C68" s="8">
        <v>3585734</v>
      </c>
      <c r="D68" s="8">
        <v>0</v>
      </c>
      <c r="E68" s="8">
        <f t="shared" si="0"/>
        <v>177749102.1699996</v>
      </c>
      <c r="F68" t="s">
        <v>107</v>
      </c>
      <c r="G68" t="s">
        <v>274</v>
      </c>
      <c r="H68" t="s">
        <v>140</v>
      </c>
    </row>
    <row r="69" spans="1:9">
      <c r="A69" s="3">
        <v>44225</v>
      </c>
      <c r="B69" t="s">
        <v>265</v>
      </c>
      <c r="C69" s="8">
        <v>2900</v>
      </c>
      <c r="D69" s="8">
        <v>0</v>
      </c>
      <c r="E69" s="8">
        <f t="shared" si="0"/>
        <v>177746202.1699996</v>
      </c>
      <c r="F69" t="s">
        <v>113</v>
      </c>
      <c r="G69" t="s">
        <v>114</v>
      </c>
    </row>
    <row r="70" spans="1:9">
      <c r="A70" s="3">
        <v>44225</v>
      </c>
      <c r="B70" t="s">
        <v>266</v>
      </c>
      <c r="C70" s="8">
        <v>154576856</v>
      </c>
      <c r="D70" s="8">
        <v>0</v>
      </c>
      <c r="E70" s="8">
        <f t="shared" si="0"/>
        <v>23169346.169999599</v>
      </c>
      <c r="F70" t="s">
        <v>107</v>
      </c>
      <c r="G70" t="s">
        <v>274</v>
      </c>
      <c r="H70" t="s">
        <v>142</v>
      </c>
    </row>
    <row r="71" spans="1:9">
      <c r="A71" s="3">
        <v>44225</v>
      </c>
      <c r="B71" t="s">
        <v>267</v>
      </c>
      <c r="C71" s="8">
        <v>2900</v>
      </c>
      <c r="D71" s="8">
        <v>0</v>
      </c>
      <c r="E71" s="8">
        <f t="shared" si="0"/>
        <v>23166446.169999599</v>
      </c>
      <c r="F71" t="s">
        <v>113</v>
      </c>
      <c r="G71" t="s">
        <v>114</v>
      </c>
    </row>
    <row r="72" spans="1:9">
      <c r="A72" s="3">
        <v>44225</v>
      </c>
      <c r="B72" t="s">
        <v>268</v>
      </c>
      <c r="C72" s="8">
        <v>23000000</v>
      </c>
      <c r="D72" s="8">
        <v>0</v>
      </c>
      <c r="E72" s="8">
        <f t="shared" ref="E72:E136" si="1">E71-C72+D72</f>
        <v>166446.16999959946</v>
      </c>
      <c r="F72" t="s">
        <v>107</v>
      </c>
      <c r="G72" t="s">
        <v>108</v>
      </c>
    </row>
    <row r="73" spans="1:9">
      <c r="A73" s="3">
        <v>44225</v>
      </c>
      <c r="B73" t="s">
        <v>269</v>
      </c>
      <c r="C73" s="8">
        <v>6500</v>
      </c>
      <c r="D73" s="8">
        <v>0</v>
      </c>
      <c r="E73" s="8">
        <f t="shared" si="1"/>
        <v>159946.16999959946</v>
      </c>
      <c r="F73" t="s">
        <v>113</v>
      </c>
      <c r="G73" t="s">
        <v>114</v>
      </c>
    </row>
    <row r="74" spans="1:9">
      <c r="A74" s="3">
        <v>44227</v>
      </c>
      <c r="B74" t="s">
        <v>270</v>
      </c>
      <c r="C74" s="8">
        <v>25000</v>
      </c>
      <c r="D74" s="8">
        <v>0</v>
      </c>
      <c r="E74" s="8">
        <f t="shared" si="1"/>
        <v>134946.16999959946</v>
      </c>
      <c r="F74" t="s">
        <v>113</v>
      </c>
      <c r="G74" t="s">
        <v>114</v>
      </c>
    </row>
    <row r="75" spans="1:9">
      <c r="A75" s="3">
        <v>44227</v>
      </c>
      <c r="B75" t="s">
        <v>271</v>
      </c>
      <c r="C75" s="8">
        <v>25000</v>
      </c>
      <c r="D75" s="8">
        <v>0</v>
      </c>
      <c r="E75" s="8">
        <f t="shared" si="1"/>
        <v>109946.16999959946</v>
      </c>
      <c r="F75" t="s">
        <v>113</v>
      </c>
      <c r="G75" t="s">
        <v>114</v>
      </c>
    </row>
    <row r="76" spans="1:9">
      <c r="A76" s="3">
        <v>44227</v>
      </c>
      <c r="B76" t="s">
        <v>272</v>
      </c>
      <c r="C76" s="8">
        <v>0</v>
      </c>
      <c r="D76" s="8">
        <v>279424.90000000002</v>
      </c>
      <c r="E76" s="8">
        <f t="shared" si="1"/>
        <v>389371.06999959948</v>
      </c>
      <c r="F76" t="s">
        <v>252</v>
      </c>
      <c r="G76" t="s">
        <v>253</v>
      </c>
    </row>
    <row r="77" spans="1:9">
      <c r="A77" s="3">
        <v>44227</v>
      </c>
      <c r="B77" t="s">
        <v>273</v>
      </c>
      <c r="C77" s="8">
        <v>55884.98</v>
      </c>
      <c r="D77" s="8">
        <v>0</v>
      </c>
      <c r="E77" s="8">
        <f t="shared" si="1"/>
        <v>333486.0899995995</v>
      </c>
      <c r="F77" t="s">
        <v>252</v>
      </c>
      <c r="G77" t="s">
        <v>253</v>
      </c>
    </row>
    <row r="78" spans="1:9">
      <c r="A78" s="3">
        <v>44228</v>
      </c>
      <c r="B78" t="s">
        <v>279</v>
      </c>
      <c r="C78" s="8">
        <v>0</v>
      </c>
      <c r="D78" s="8">
        <v>113619000</v>
      </c>
      <c r="E78" s="8">
        <f t="shared" si="1"/>
        <v>113952486.0899996</v>
      </c>
      <c r="F78" t="s">
        <v>110</v>
      </c>
      <c r="G78" t="s">
        <v>188</v>
      </c>
      <c r="H78" s="13" t="s">
        <v>282</v>
      </c>
      <c r="I78">
        <v>64</v>
      </c>
    </row>
    <row r="79" spans="1:9">
      <c r="A79" s="3">
        <v>44228</v>
      </c>
      <c r="B79" t="s">
        <v>280</v>
      </c>
      <c r="C79" s="8">
        <v>113500000</v>
      </c>
      <c r="D79" s="8">
        <v>0</v>
      </c>
      <c r="E79" s="8">
        <f t="shared" si="1"/>
        <v>452486.08999960124</v>
      </c>
      <c r="F79" t="s">
        <v>107</v>
      </c>
      <c r="G79" t="s">
        <v>108</v>
      </c>
    </row>
    <row r="80" spans="1:9">
      <c r="A80" s="3">
        <v>44228</v>
      </c>
      <c r="B80" t="s">
        <v>281</v>
      </c>
      <c r="C80" s="8">
        <v>2900</v>
      </c>
      <c r="D80" s="8">
        <v>0</v>
      </c>
      <c r="E80" s="8">
        <f t="shared" si="1"/>
        <v>449586.08999960124</v>
      </c>
      <c r="F80" t="s">
        <v>113</v>
      </c>
      <c r="G80" t="s">
        <v>114</v>
      </c>
    </row>
    <row r="81" spans="1:9">
      <c r="A81" s="3">
        <v>44237</v>
      </c>
      <c r="B81" t="s">
        <v>325</v>
      </c>
      <c r="C81" s="8">
        <v>0</v>
      </c>
      <c r="D81" s="8">
        <v>250000000</v>
      </c>
      <c r="E81" s="8">
        <f t="shared" si="1"/>
        <v>250449586.08999962</v>
      </c>
      <c r="F81" t="s">
        <v>107</v>
      </c>
      <c r="G81" t="s">
        <v>144</v>
      </c>
    </row>
    <row r="82" spans="1:9">
      <c r="A82" s="3">
        <v>44237</v>
      </c>
      <c r="B82" t="s">
        <v>326</v>
      </c>
      <c r="C82" s="8">
        <v>85000000</v>
      </c>
      <c r="D82" s="8">
        <v>0</v>
      </c>
      <c r="E82" s="8">
        <f t="shared" si="1"/>
        <v>165449586.08999962</v>
      </c>
      <c r="F82" t="s">
        <v>115</v>
      </c>
      <c r="G82" t="s">
        <v>120</v>
      </c>
      <c r="H82" t="s">
        <v>125</v>
      </c>
      <c r="I82" t="s">
        <v>444</v>
      </c>
    </row>
    <row r="83" spans="1:9">
      <c r="A83" s="3">
        <v>44237</v>
      </c>
      <c r="B83" t="s">
        <v>328</v>
      </c>
      <c r="C83" s="8">
        <v>2900</v>
      </c>
      <c r="D83" s="8">
        <v>0</v>
      </c>
      <c r="E83" s="8">
        <f t="shared" si="1"/>
        <v>165446686.08999962</v>
      </c>
      <c r="F83" t="s">
        <v>113</v>
      </c>
      <c r="G83" t="s">
        <v>114</v>
      </c>
    </row>
    <row r="84" spans="1:9">
      <c r="A84" s="3">
        <v>44237</v>
      </c>
      <c r="B84" t="s">
        <v>327</v>
      </c>
      <c r="C84" s="8">
        <v>1600000</v>
      </c>
      <c r="D84" s="8">
        <v>0</v>
      </c>
      <c r="E84" s="8">
        <f t="shared" si="1"/>
        <v>163846686.08999962</v>
      </c>
      <c r="F84" t="s">
        <v>137</v>
      </c>
      <c r="G84" t="s">
        <v>138</v>
      </c>
      <c r="H84" t="s">
        <v>175</v>
      </c>
    </row>
    <row r="85" spans="1:9">
      <c r="A85" s="3">
        <v>44237</v>
      </c>
      <c r="B85" t="s">
        <v>329</v>
      </c>
      <c r="C85" s="8">
        <v>2900</v>
      </c>
      <c r="D85" s="8">
        <v>0</v>
      </c>
      <c r="E85" s="8">
        <f t="shared" si="1"/>
        <v>163843786.08999962</v>
      </c>
      <c r="F85" t="s">
        <v>113</v>
      </c>
      <c r="G85" t="s">
        <v>114</v>
      </c>
    </row>
    <row r="86" spans="1:9" s="14" customFormat="1">
      <c r="A86" s="138">
        <v>44237</v>
      </c>
      <c r="B86" s="14" t="s">
        <v>995</v>
      </c>
      <c r="C86" s="50">
        <f>33000000-C87</f>
        <v>30000000</v>
      </c>
      <c r="D86" s="50">
        <v>0</v>
      </c>
      <c r="E86" s="8">
        <f t="shared" si="1"/>
        <v>133843786.08999962</v>
      </c>
      <c r="F86" s="14" t="s">
        <v>115</v>
      </c>
      <c r="G86" s="14" t="s">
        <v>120</v>
      </c>
      <c r="H86" s="14" t="s">
        <v>151</v>
      </c>
    </row>
    <row r="87" spans="1:9" s="14" customFormat="1">
      <c r="A87" s="138">
        <v>44237</v>
      </c>
      <c r="B87" s="14" t="s">
        <v>995</v>
      </c>
      <c r="C87" s="53">
        <v>3000000</v>
      </c>
      <c r="D87" s="53">
        <v>0</v>
      </c>
      <c r="E87" s="8">
        <f t="shared" si="1"/>
        <v>130843786.08999962</v>
      </c>
      <c r="F87" s="14" t="s">
        <v>115</v>
      </c>
      <c r="G87" s="14" t="s">
        <v>120</v>
      </c>
      <c r="H87" s="14" t="s">
        <v>151</v>
      </c>
    </row>
    <row r="88" spans="1:9">
      <c r="A88" s="3">
        <v>44237</v>
      </c>
      <c r="B88" t="s">
        <v>330</v>
      </c>
      <c r="C88" s="8">
        <v>2900</v>
      </c>
      <c r="D88" s="8">
        <v>0</v>
      </c>
      <c r="E88" s="8">
        <f t="shared" si="1"/>
        <v>130840886.08999962</v>
      </c>
      <c r="F88" t="s">
        <v>113</v>
      </c>
      <c r="G88" t="s">
        <v>114</v>
      </c>
    </row>
    <row r="89" spans="1:9">
      <c r="A89" s="3">
        <v>44237</v>
      </c>
      <c r="B89" t="s">
        <v>331</v>
      </c>
      <c r="C89" s="8">
        <v>2199000</v>
      </c>
      <c r="D89" s="8">
        <v>0</v>
      </c>
      <c r="E89" s="8">
        <f t="shared" si="1"/>
        <v>128641886.08999962</v>
      </c>
      <c r="F89" t="s">
        <v>137</v>
      </c>
      <c r="G89" t="s">
        <v>138</v>
      </c>
      <c r="H89" t="s">
        <v>251</v>
      </c>
    </row>
    <row r="90" spans="1:9">
      <c r="A90" s="3">
        <v>44238</v>
      </c>
      <c r="B90" t="s">
        <v>774</v>
      </c>
      <c r="C90" s="8">
        <f>13200000-C91</f>
        <v>12000000</v>
      </c>
      <c r="D90" s="8">
        <v>0</v>
      </c>
      <c r="E90" s="8">
        <f t="shared" si="1"/>
        <v>116641886.08999962</v>
      </c>
      <c r="F90" t="s">
        <v>137</v>
      </c>
      <c r="G90" t="s">
        <v>138</v>
      </c>
      <c r="H90" t="s">
        <v>882</v>
      </c>
    </row>
    <row r="91" spans="1:9">
      <c r="A91" s="3">
        <v>44238</v>
      </c>
      <c r="B91" t="s">
        <v>774</v>
      </c>
      <c r="C91" s="8">
        <v>1200000</v>
      </c>
      <c r="D91" s="8">
        <v>0</v>
      </c>
      <c r="E91" s="8">
        <f t="shared" si="1"/>
        <v>115441886.08999962</v>
      </c>
      <c r="F91" t="s">
        <v>110</v>
      </c>
      <c r="G91" t="s">
        <v>616</v>
      </c>
      <c r="H91" t="s">
        <v>4621</v>
      </c>
    </row>
    <row r="92" spans="1:9">
      <c r="A92" s="3">
        <v>44238</v>
      </c>
      <c r="B92" t="s">
        <v>775</v>
      </c>
      <c r="C92" s="8">
        <v>2900</v>
      </c>
      <c r="D92" s="8">
        <v>0</v>
      </c>
      <c r="E92" s="8">
        <f t="shared" si="1"/>
        <v>115438986.08999962</v>
      </c>
      <c r="F92" t="s">
        <v>113</v>
      </c>
      <c r="G92" t="s">
        <v>114</v>
      </c>
    </row>
    <row r="93" spans="1:9">
      <c r="A93" s="3">
        <v>44239</v>
      </c>
      <c r="B93" t="s">
        <v>776</v>
      </c>
      <c r="C93" s="8">
        <v>73933050</v>
      </c>
      <c r="D93" s="8">
        <v>0</v>
      </c>
      <c r="E93" s="8">
        <f t="shared" si="1"/>
        <v>41505936.089999616</v>
      </c>
      <c r="F93" t="s">
        <v>137</v>
      </c>
      <c r="G93" t="s">
        <v>138</v>
      </c>
      <c r="H93" t="s">
        <v>173</v>
      </c>
    </row>
    <row r="94" spans="1:9">
      <c r="A94" s="3">
        <v>44239</v>
      </c>
      <c r="B94" t="s">
        <v>777</v>
      </c>
      <c r="C94" s="8">
        <v>30000000</v>
      </c>
      <c r="D94" s="8">
        <v>0</v>
      </c>
      <c r="E94" s="8">
        <f t="shared" si="1"/>
        <v>11505936.089999616</v>
      </c>
      <c r="F94" t="s">
        <v>137</v>
      </c>
      <c r="G94" t="s">
        <v>138</v>
      </c>
      <c r="H94" t="s">
        <v>245</v>
      </c>
    </row>
    <row r="95" spans="1:9">
      <c r="A95" s="3">
        <v>44240</v>
      </c>
      <c r="B95" t="s">
        <v>778</v>
      </c>
      <c r="C95" s="8">
        <v>11000000</v>
      </c>
      <c r="D95" s="8">
        <v>0</v>
      </c>
      <c r="E95" s="8">
        <f t="shared" si="1"/>
        <v>505936.08999961615</v>
      </c>
      <c r="F95" t="s">
        <v>107</v>
      </c>
      <c r="G95" t="s">
        <v>108</v>
      </c>
    </row>
    <row r="96" spans="1:9">
      <c r="A96" s="3">
        <v>44240</v>
      </c>
      <c r="B96" t="s">
        <v>779</v>
      </c>
      <c r="C96" s="8">
        <v>6500</v>
      </c>
      <c r="D96" s="8">
        <v>0</v>
      </c>
      <c r="E96" s="8">
        <f t="shared" si="1"/>
        <v>499436.08999961615</v>
      </c>
      <c r="F96" t="s">
        <v>113</v>
      </c>
      <c r="G96" t="s">
        <v>114</v>
      </c>
    </row>
    <row r="97" spans="1:9">
      <c r="A97" s="3">
        <v>44242</v>
      </c>
      <c r="B97" t="s">
        <v>780</v>
      </c>
      <c r="C97" s="8">
        <v>0</v>
      </c>
      <c r="D97" s="8">
        <v>500000000</v>
      </c>
      <c r="E97" s="8">
        <f t="shared" si="1"/>
        <v>500499436.08999962</v>
      </c>
      <c r="F97" t="s">
        <v>107</v>
      </c>
      <c r="G97" t="s">
        <v>144</v>
      </c>
    </row>
    <row r="98" spans="1:9">
      <c r="A98" s="3">
        <v>44242</v>
      </c>
      <c r="B98" t="s">
        <v>781</v>
      </c>
      <c r="C98" s="8">
        <v>115500000</v>
      </c>
      <c r="D98" s="8">
        <v>0</v>
      </c>
      <c r="E98" s="8">
        <f t="shared" si="1"/>
        <v>384999436.08999962</v>
      </c>
      <c r="F98" t="s">
        <v>115</v>
      </c>
      <c r="G98" t="s">
        <v>120</v>
      </c>
      <c r="H98" t="s">
        <v>576</v>
      </c>
    </row>
    <row r="99" spans="1:9">
      <c r="A99" s="3">
        <v>44242</v>
      </c>
      <c r="B99" t="s">
        <v>782</v>
      </c>
      <c r="C99" s="8">
        <v>23700000</v>
      </c>
      <c r="D99" s="8">
        <v>0</v>
      </c>
      <c r="E99" s="8">
        <f t="shared" si="1"/>
        <v>361299436.08999962</v>
      </c>
      <c r="F99" t="s">
        <v>107</v>
      </c>
      <c r="G99" t="s">
        <v>108</v>
      </c>
    </row>
    <row r="100" spans="1:9">
      <c r="A100" s="3">
        <v>44242</v>
      </c>
      <c r="B100" t="s">
        <v>783</v>
      </c>
      <c r="C100" s="8">
        <v>6500</v>
      </c>
      <c r="D100" s="8">
        <v>0</v>
      </c>
      <c r="E100" s="8">
        <f t="shared" si="1"/>
        <v>361292936.08999962</v>
      </c>
      <c r="F100" t="s">
        <v>113</v>
      </c>
      <c r="G100" t="s">
        <v>114</v>
      </c>
    </row>
    <row r="101" spans="1:9">
      <c r="A101" s="3">
        <v>44242</v>
      </c>
      <c r="B101" t="s">
        <v>784</v>
      </c>
      <c r="C101" s="54">
        <v>20100000</v>
      </c>
      <c r="D101" s="54">
        <v>0</v>
      </c>
      <c r="E101" s="8">
        <f t="shared" si="1"/>
        <v>341192936.08999962</v>
      </c>
      <c r="F101" t="s">
        <v>787</v>
      </c>
      <c r="G101" t="s">
        <v>788</v>
      </c>
      <c r="H101" t="s">
        <v>789</v>
      </c>
    </row>
    <row r="102" spans="1:9">
      <c r="A102" s="3">
        <v>44242</v>
      </c>
      <c r="B102" t="s">
        <v>785</v>
      </c>
      <c r="C102" s="8">
        <v>140789811</v>
      </c>
      <c r="D102" s="8">
        <v>0</v>
      </c>
      <c r="E102" s="8">
        <f t="shared" si="1"/>
        <v>200403125.08999962</v>
      </c>
      <c r="F102" t="s">
        <v>107</v>
      </c>
      <c r="G102" t="s">
        <v>274</v>
      </c>
      <c r="H102" t="s">
        <v>143</v>
      </c>
    </row>
    <row r="103" spans="1:9">
      <c r="A103" s="3">
        <v>44243</v>
      </c>
      <c r="B103" t="s">
        <v>786</v>
      </c>
      <c r="C103" s="8">
        <v>200000000</v>
      </c>
      <c r="D103" s="8">
        <v>0</v>
      </c>
      <c r="E103" s="8">
        <f t="shared" si="1"/>
        <v>403125.08999961615</v>
      </c>
      <c r="F103" t="s">
        <v>115</v>
      </c>
      <c r="G103" t="s">
        <v>122</v>
      </c>
      <c r="H103" t="s">
        <v>149</v>
      </c>
    </row>
    <row r="104" spans="1:9">
      <c r="A104" s="3">
        <v>44243</v>
      </c>
      <c r="B104" t="s">
        <v>786</v>
      </c>
      <c r="C104" s="8">
        <v>2900</v>
      </c>
      <c r="D104" s="8">
        <v>0</v>
      </c>
      <c r="E104" s="8">
        <f t="shared" si="1"/>
        <v>400225.08999961615</v>
      </c>
      <c r="F104" t="s">
        <v>113</v>
      </c>
      <c r="G104" t="s">
        <v>114</v>
      </c>
    </row>
    <row r="105" spans="1:9">
      <c r="A105" s="3">
        <v>44245</v>
      </c>
      <c r="B105" t="s">
        <v>927</v>
      </c>
      <c r="C105" s="8">
        <v>0</v>
      </c>
      <c r="D105" s="8">
        <v>86240000</v>
      </c>
      <c r="E105" s="8">
        <f t="shared" si="1"/>
        <v>86640225.089999616</v>
      </c>
      <c r="F105" t="s">
        <v>581</v>
      </c>
      <c r="G105" t="s">
        <v>582</v>
      </c>
      <c r="H105" t="s">
        <v>602</v>
      </c>
      <c r="I105">
        <v>1</v>
      </c>
    </row>
    <row r="106" spans="1:9">
      <c r="A106" s="3">
        <v>44245</v>
      </c>
      <c r="B106" t="s">
        <v>927</v>
      </c>
      <c r="C106" s="8">
        <v>0</v>
      </c>
      <c r="D106" s="8">
        <v>321966260</v>
      </c>
      <c r="E106" s="8">
        <f t="shared" si="1"/>
        <v>408606485.08999962</v>
      </c>
      <c r="F106" t="s">
        <v>581</v>
      </c>
      <c r="G106" t="s">
        <v>582</v>
      </c>
      <c r="H106" t="s">
        <v>603</v>
      </c>
      <c r="I106">
        <v>2</v>
      </c>
    </row>
    <row r="107" spans="1:9">
      <c r="A107" s="3">
        <v>44250</v>
      </c>
      <c r="B107" t="s">
        <v>967</v>
      </c>
      <c r="C107" s="8">
        <v>0</v>
      </c>
      <c r="D107" s="8">
        <v>163804800</v>
      </c>
      <c r="E107" s="8">
        <f t="shared" si="1"/>
        <v>572411285.08999968</v>
      </c>
      <c r="F107" t="s">
        <v>581</v>
      </c>
      <c r="G107" t="s">
        <v>582</v>
      </c>
      <c r="H107" t="s">
        <v>175</v>
      </c>
      <c r="I107">
        <v>5</v>
      </c>
    </row>
    <row r="108" spans="1:9">
      <c r="A108" s="3">
        <v>44250</v>
      </c>
      <c r="B108" t="s">
        <v>968</v>
      </c>
      <c r="C108" s="8">
        <v>2776901</v>
      </c>
      <c r="D108" s="8">
        <v>0</v>
      </c>
      <c r="E108" s="8">
        <f t="shared" si="1"/>
        <v>569634384.08999968</v>
      </c>
      <c r="F108" t="s">
        <v>319</v>
      </c>
      <c r="G108" t="s">
        <v>467</v>
      </c>
    </row>
    <row r="109" spans="1:9">
      <c r="A109" s="3">
        <v>44250</v>
      </c>
      <c r="B109" t="s">
        <v>969</v>
      </c>
      <c r="C109" s="8">
        <v>1126000</v>
      </c>
      <c r="D109" s="8">
        <v>0</v>
      </c>
      <c r="E109" s="8">
        <f t="shared" si="1"/>
        <v>568508384.08999968</v>
      </c>
      <c r="F109" t="s">
        <v>115</v>
      </c>
      <c r="G109" t="s">
        <v>120</v>
      </c>
      <c r="H109" t="s">
        <v>125</v>
      </c>
      <c r="I109" t="s">
        <v>444</v>
      </c>
    </row>
    <row r="110" spans="1:9">
      <c r="A110" s="3">
        <v>44250</v>
      </c>
      <c r="B110" t="s">
        <v>970</v>
      </c>
      <c r="C110" s="8">
        <v>1309046</v>
      </c>
      <c r="D110" s="8">
        <v>0</v>
      </c>
      <c r="E110" s="8">
        <f t="shared" si="1"/>
        <v>567199338.08999968</v>
      </c>
      <c r="F110" t="s">
        <v>137</v>
      </c>
      <c r="G110" t="s">
        <v>138</v>
      </c>
      <c r="H110" t="s">
        <v>251</v>
      </c>
    </row>
    <row r="111" spans="1:9">
      <c r="A111" s="3">
        <v>44250</v>
      </c>
      <c r="B111" t="s">
        <v>971</v>
      </c>
      <c r="C111" s="8">
        <v>2900</v>
      </c>
      <c r="D111" s="8">
        <v>0</v>
      </c>
      <c r="E111" s="8">
        <f t="shared" si="1"/>
        <v>567196438.08999968</v>
      </c>
      <c r="F111" t="s">
        <v>113</v>
      </c>
      <c r="G111" t="s">
        <v>114</v>
      </c>
    </row>
    <row r="112" spans="1:9">
      <c r="A112" s="3">
        <v>44250</v>
      </c>
      <c r="B112" t="s">
        <v>972</v>
      </c>
      <c r="C112" s="8">
        <v>2900</v>
      </c>
      <c r="D112" s="8">
        <v>0</v>
      </c>
      <c r="E112" s="8">
        <f t="shared" si="1"/>
        <v>567193538.08999968</v>
      </c>
      <c r="F112" t="s">
        <v>113</v>
      </c>
      <c r="G112" t="s">
        <v>114</v>
      </c>
    </row>
    <row r="113" spans="1:8">
      <c r="A113" s="3">
        <v>44250</v>
      </c>
      <c r="B113" t="s">
        <v>973</v>
      </c>
      <c r="C113" s="8">
        <v>2986500</v>
      </c>
      <c r="D113" s="8">
        <v>0</v>
      </c>
      <c r="E113" s="8">
        <f t="shared" si="1"/>
        <v>564207038.08999968</v>
      </c>
      <c r="F113" t="s">
        <v>319</v>
      </c>
      <c r="G113" t="s">
        <v>467</v>
      </c>
    </row>
    <row r="114" spans="1:8">
      <c r="A114" s="3">
        <v>44253</v>
      </c>
      <c r="B114" t="s">
        <v>974</v>
      </c>
      <c r="C114" s="8">
        <v>30430000</v>
      </c>
      <c r="D114" s="8">
        <v>0</v>
      </c>
      <c r="E114" s="8">
        <f t="shared" si="1"/>
        <v>533777038.08999968</v>
      </c>
      <c r="F114" t="s">
        <v>115</v>
      </c>
      <c r="G114" t="s">
        <v>120</v>
      </c>
      <c r="H114" t="s">
        <v>135</v>
      </c>
    </row>
    <row r="115" spans="1:8">
      <c r="A115" s="3">
        <v>44253</v>
      </c>
      <c r="B115" t="s">
        <v>998</v>
      </c>
      <c r="C115" s="8">
        <v>250000000</v>
      </c>
      <c r="D115" s="8">
        <v>0</v>
      </c>
      <c r="E115" s="8">
        <f t="shared" si="1"/>
        <v>283777038.08999968</v>
      </c>
      <c r="F115" t="s">
        <v>107</v>
      </c>
      <c r="G115" t="s">
        <v>108</v>
      </c>
    </row>
    <row r="116" spans="1:8">
      <c r="A116" s="3">
        <v>44253</v>
      </c>
      <c r="B116" t="s">
        <v>999</v>
      </c>
      <c r="C116" s="8">
        <v>2900</v>
      </c>
      <c r="D116" s="8">
        <v>0</v>
      </c>
      <c r="E116" s="8">
        <f t="shared" si="1"/>
        <v>283774138.08999968</v>
      </c>
      <c r="F116" t="s">
        <v>113</v>
      </c>
      <c r="G116" t="s">
        <v>114</v>
      </c>
    </row>
    <row r="117" spans="1:8">
      <c r="A117" s="3">
        <v>44253</v>
      </c>
      <c r="B117" t="s">
        <v>992</v>
      </c>
      <c r="C117" s="8">
        <v>72500000</v>
      </c>
      <c r="D117" s="8">
        <v>0</v>
      </c>
      <c r="E117" s="8">
        <f t="shared" si="1"/>
        <v>211274138.08999968</v>
      </c>
      <c r="F117" t="s">
        <v>248</v>
      </c>
      <c r="G117" t="s">
        <v>249</v>
      </c>
    </row>
    <row r="118" spans="1:8">
      <c r="A118" s="3">
        <v>44253</v>
      </c>
      <c r="B118" t="s">
        <v>993</v>
      </c>
      <c r="C118" s="8">
        <v>2900</v>
      </c>
      <c r="D118" s="8">
        <v>0</v>
      </c>
      <c r="E118" s="8">
        <f t="shared" si="1"/>
        <v>211271238.08999968</v>
      </c>
      <c r="F118" t="s">
        <v>113</v>
      </c>
      <c r="G118" t="s">
        <v>114</v>
      </c>
    </row>
    <row r="119" spans="1:8">
      <c r="A119" s="3">
        <v>44255</v>
      </c>
      <c r="B119" t="s">
        <v>270</v>
      </c>
      <c r="C119" s="8">
        <v>25000</v>
      </c>
      <c r="D119" s="8">
        <v>0</v>
      </c>
      <c r="E119" s="8">
        <f t="shared" si="1"/>
        <v>211246238.08999968</v>
      </c>
      <c r="F119" t="s">
        <v>113</v>
      </c>
      <c r="G119" t="s">
        <v>114</v>
      </c>
    </row>
    <row r="120" spans="1:8">
      <c r="A120" s="3">
        <v>44255</v>
      </c>
      <c r="B120" t="s">
        <v>1000</v>
      </c>
      <c r="C120" s="8">
        <v>0</v>
      </c>
      <c r="D120" s="8">
        <v>143560.49</v>
      </c>
      <c r="E120" s="8">
        <f t="shared" si="1"/>
        <v>211389798.57999969</v>
      </c>
      <c r="F120" t="s">
        <v>252</v>
      </c>
      <c r="G120" t="s">
        <v>253</v>
      </c>
    </row>
    <row r="121" spans="1:8">
      <c r="A121" s="3">
        <v>44255</v>
      </c>
      <c r="B121" t="s">
        <v>273</v>
      </c>
      <c r="C121" s="8">
        <v>28712.1</v>
      </c>
      <c r="D121" s="8">
        <v>0</v>
      </c>
      <c r="E121" s="8">
        <f t="shared" si="1"/>
        <v>211361086.47999969</v>
      </c>
      <c r="F121" t="s">
        <v>252</v>
      </c>
      <c r="G121" t="s">
        <v>253</v>
      </c>
    </row>
    <row r="122" spans="1:8">
      <c r="A122" s="3">
        <v>44258</v>
      </c>
      <c r="B122" t="s">
        <v>1001</v>
      </c>
      <c r="C122" s="8">
        <v>65436201</v>
      </c>
      <c r="D122" s="8">
        <v>0</v>
      </c>
      <c r="E122" s="8">
        <f t="shared" si="1"/>
        <v>145924885.47999969</v>
      </c>
      <c r="F122" t="s">
        <v>107</v>
      </c>
      <c r="G122" t="s">
        <v>274</v>
      </c>
      <c r="H122" t="s">
        <v>142</v>
      </c>
    </row>
    <row r="123" spans="1:8">
      <c r="A123" s="3">
        <v>44258</v>
      </c>
      <c r="B123" t="s">
        <v>1002</v>
      </c>
      <c r="C123" s="8">
        <v>2900</v>
      </c>
      <c r="D123" s="8">
        <v>0</v>
      </c>
      <c r="E123" s="8">
        <f t="shared" si="1"/>
        <v>145921985.47999969</v>
      </c>
      <c r="F123" t="s">
        <v>113</v>
      </c>
      <c r="G123" t="s">
        <v>114</v>
      </c>
    </row>
    <row r="124" spans="1:8">
      <c r="A124" s="3">
        <v>44258</v>
      </c>
      <c r="B124" t="s">
        <v>1003</v>
      </c>
      <c r="C124" s="8">
        <v>1463501</v>
      </c>
      <c r="D124" s="8">
        <v>0</v>
      </c>
      <c r="E124" s="8">
        <f t="shared" si="1"/>
        <v>144458484.47999969</v>
      </c>
      <c r="F124" t="s">
        <v>107</v>
      </c>
      <c r="G124" t="s">
        <v>274</v>
      </c>
      <c r="H124" t="s">
        <v>141</v>
      </c>
    </row>
    <row r="125" spans="1:8">
      <c r="A125" s="3">
        <v>44258</v>
      </c>
      <c r="B125" t="s">
        <v>1004</v>
      </c>
      <c r="C125" s="8">
        <v>2900</v>
      </c>
      <c r="D125" s="8">
        <v>0</v>
      </c>
      <c r="E125" s="8">
        <f t="shared" si="1"/>
        <v>144455584.47999969</v>
      </c>
      <c r="F125" t="s">
        <v>113</v>
      </c>
      <c r="G125" t="s">
        <v>114</v>
      </c>
    </row>
    <row r="126" spans="1:8">
      <c r="A126" s="3">
        <v>44258</v>
      </c>
      <c r="B126" t="s">
        <v>1005</v>
      </c>
      <c r="C126" s="8">
        <v>14952530</v>
      </c>
      <c r="D126" s="8">
        <v>0</v>
      </c>
      <c r="E126" s="8">
        <f t="shared" si="1"/>
        <v>129503054.47999969</v>
      </c>
      <c r="F126" t="s">
        <v>107</v>
      </c>
      <c r="G126" t="s">
        <v>274</v>
      </c>
      <c r="H126" t="s">
        <v>140</v>
      </c>
    </row>
    <row r="127" spans="1:8">
      <c r="A127" s="3">
        <v>44258</v>
      </c>
      <c r="B127" t="s">
        <v>1006</v>
      </c>
      <c r="C127" s="8">
        <v>2900</v>
      </c>
      <c r="D127" s="8">
        <v>0</v>
      </c>
      <c r="E127" s="8">
        <f t="shared" si="1"/>
        <v>129500154.47999969</v>
      </c>
      <c r="F127" t="s">
        <v>113</v>
      </c>
      <c r="G127" t="s">
        <v>114</v>
      </c>
    </row>
    <row r="128" spans="1:8">
      <c r="A128" s="3">
        <v>44258</v>
      </c>
      <c r="B128" t="s">
        <v>1007</v>
      </c>
      <c r="C128" s="8">
        <v>13769345</v>
      </c>
      <c r="D128" s="8">
        <v>0</v>
      </c>
      <c r="E128" s="8">
        <f t="shared" si="1"/>
        <v>115730809.47999969</v>
      </c>
      <c r="F128" t="s">
        <v>107</v>
      </c>
      <c r="G128" t="s">
        <v>274</v>
      </c>
      <c r="H128" t="s">
        <v>143</v>
      </c>
    </row>
    <row r="129" spans="1:9">
      <c r="A129" s="3">
        <v>44260</v>
      </c>
      <c r="B129" t="s">
        <v>1008</v>
      </c>
      <c r="C129" s="8">
        <v>10000000</v>
      </c>
      <c r="D129" s="8">
        <v>0</v>
      </c>
      <c r="E129" s="8">
        <f t="shared" si="1"/>
        <v>105730809.47999969</v>
      </c>
      <c r="F129" t="s">
        <v>137</v>
      </c>
      <c r="G129" t="s">
        <v>138</v>
      </c>
      <c r="H129" t="s">
        <v>602</v>
      </c>
    </row>
    <row r="130" spans="1:9">
      <c r="A130" s="3">
        <v>44260</v>
      </c>
      <c r="B130" t="s">
        <v>1009</v>
      </c>
      <c r="C130" s="8">
        <v>2900</v>
      </c>
      <c r="D130" s="8">
        <v>0</v>
      </c>
      <c r="E130" s="8">
        <f t="shared" si="1"/>
        <v>105727909.47999969</v>
      </c>
      <c r="F130" t="s">
        <v>113</v>
      </c>
      <c r="G130" t="s">
        <v>114</v>
      </c>
    </row>
    <row r="131" spans="1:9">
      <c r="A131" s="3">
        <v>44260</v>
      </c>
      <c r="B131" t="s">
        <v>1010</v>
      </c>
      <c r="C131" s="8">
        <v>4850000</v>
      </c>
      <c r="D131" s="8">
        <v>0</v>
      </c>
      <c r="E131" s="8">
        <f t="shared" si="1"/>
        <v>100877909.47999969</v>
      </c>
      <c r="F131" t="s">
        <v>137</v>
      </c>
      <c r="G131" t="s">
        <v>138</v>
      </c>
      <c r="H131" t="s">
        <v>1015</v>
      </c>
    </row>
    <row r="132" spans="1:9">
      <c r="A132" s="3">
        <v>44260</v>
      </c>
      <c r="B132" t="s">
        <v>1011</v>
      </c>
      <c r="C132" s="8">
        <v>939000</v>
      </c>
      <c r="D132" s="8">
        <v>0</v>
      </c>
      <c r="E132" s="8">
        <f t="shared" si="1"/>
        <v>99938909.479999691</v>
      </c>
      <c r="F132" t="s">
        <v>115</v>
      </c>
      <c r="G132" t="s">
        <v>120</v>
      </c>
      <c r="H132" t="s">
        <v>282</v>
      </c>
    </row>
    <row r="133" spans="1:9">
      <c r="A133" s="3">
        <v>44260</v>
      </c>
      <c r="B133" t="s">
        <v>1012</v>
      </c>
      <c r="C133" s="8">
        <v>2900</v>
      </c>
      <c r="D133" s="8">
        <v>0</v>
      </c>
      <c r="E133" s="8">
        <f t="shared" si="1"/>
        <v>99936009.479999691</v>
      </c>
      <c r="F133" t="s">
        <v>113</v>
      </c>
      <c r="G133" t="s">
        <v>114</v>
      </c>
    </row>
    <row r="134" spans="1:9">
      <c r="A134" s="3">
        <v>44260</v>
      </c>
      <c r="B134" t="s">
        <v>1013</v>
      </c>
      <c r="C134" s="8">
        <v>1000000</v>
      </c>
      <c r="D134" s="8">
        <v>0</v>
      </c>
      <c r="E134" s="8">
        <f t="shared" si="1"/>
        <v>98936009.479999691</v>
      </c>
      <c r="F134" t="s">
        <v>319</v>
      </c>
      <c r="G134" t="s">
        <v>1016</v>
      </c>
    </row>
    <row r="135" spans="1:9">
      <c r="A135" s="3">
        <v>44260</v>
      </c>
      <c r="B135" t="s">
        <v>1014</v>
      </c>
      <c r="C135" s="8">
        <v>2900</v>
      </c>
      <c r="D135" s="8">
        <v>0</v>
      </c>
      <c r="E135" s="8">
        <f t="shared" si="1"/>
        <v>98933109.479999691</v>
      </c>
      <c r="F135" t="s">
        <v>113</v>
      </c>
      <c r="G135" t="s">
        <v>114</v>
      </c>
    </row>
    <row r="136" spans="1:9">
      <c r="A136" s="3">
        <v>44263</v>
      </c>
      <c r="B136" t="s">
        <v>1108</v>
      </c>
      <c r="C136" s="8">
        <v>0</v>
      </c>
      <c r="D136" s="8">
        <f>1126477660-D137</f>
        <v>852369210</v>
      </c>
      <c r="E136" s="8">
        <f t="shared" si="1"/>
        <v>951302319.47999966</v>
      </c>
      <c r="F136" t="s">
        <v>110</v>
      </c>
      <c r="G136" t="s">
        <v>188</v>
      </c>
      <c r="H136" s="13" t="s">
        <v>127</v>
      </c>
      <c r="I136">
        <v>77</v>
      </c>
    </row>
    <row r="137" spans="1:9">
      <c r="A137" s="3">
        <v>44263</v>
      </c>
      <c r="B137" t="s">
        <v>1108</v>
      </c>
      <c r="C137" s="8">
        <v>0</v>
      </c>
      <c r="D137" s="8">
        <v>274108450</v>
      </c>
      <c r="E137" s="8">
        <f t="shared" ref="E137:E145" si="2">E136-C137+D137</f>
        <v>1225410769.4799995</v>
      </c>
      <c r="F137" t="s">
        <v>581</v>
      </c>
      <c r="G137" t="s">
        <v>582</v>
      </c>
      <c r="H137" t="s">
        <v>251</v>
      </c>
      <c r="I137">
        <v>3</v>
      </c>
    </row>
    <row r="138" spans="1:9">
      <c r="A138" s="3">
        <v>44264</v>
      </c>
      <c r="B138" t="s">
        <v>1096</v>
      </c>
      <c r="C138" s="8">
        <v>6100471</v>
      </c>
      <c r="D138" s="8">
        <v>0</v>
      </c>
      <c r="E138" s="8">
        <f t="shared" si="2"/>
        <v>1219310298.4799995</v>
      </c>
      <c r="F138" t="s">
        <v>115</v>
      </c>
      <c r="G138" t="s">
        <v>116</v>
      </c>
      <c r="H138" t="s">
        <v>249</v>
      </c>
    </row>
    <row r="139" spans="1:9">
      <c r="A139" s="3">
        <v>44264</v>
      </c>
      <c r="B139" t="s">
        <v>1099</v>
      </c>
      <c r="C139" s="8">
        <v>6100471</v>
      </c>
      <c r="D139" s="8">
        <v>0</v>
      </c>
      <c r="E139" s="8">
        <f t="shared" si="2"/>
        <v>1213209827.4799995</v>
      </c>
      <c r="F139" t="s">
        <v>248</v>
      </c>
      <c r="G139" t="s">
        <v>249</v>
      </c>
    </row>
    <row r="140" spans="1:9">
      <c r="A140" s="3">
        <v>44264</v>
      </c>
      <c r="B140" t="s">
        <v>1098</v>
      </c>
      <c r="C140" s="8">
        <v>6100471</v>
      </c>
      <c r="D140" s="8">
        <v>0</v>
      </c>
      <c r="E140" s="8">
        <f t="shared" si="2"/>
        <v>1207109356.4799995</v>
      </c>
      <c r="F140" t="s">
        <v>115</v>
      </c>
      <c r="G140" t="s">
        <v>116</v>
      </c>
      <c r="H140" t="s">
        <v>249</v>
      </c>
    </row>
    <row r="141" spans="1:9">
      <c r="A141" s="3">
        <v>44264</v>
      </c>
      <c r="B141" t="s">
        <v>1097</v>
      </c>
      <c r="C141" s="8">
        <v>6100471</v>
      </c>
      <c r="D141" s="8">
        <v>0</v>
      </c>
      <c r="E141" s="8">
        <f t="shared" si="2"/>
        <v>1201008885.4799995</v>
      </c>
      <c r="F141" t="s">
        <v>115</v>
      </c>
      <c r="G141" t="s">
        <v>116</v>
      </c>
      <c r="H141" t="s">
        <v>249</v>
      </c>
    </row>
    <row r="142" spans="1:9">
      <c r="A142" s="3">
        <v>44264</v>
      </c>
      <c r="B142" t="s">
        <v>1095</v>
      </c>
      <c r="C142" s="8">
        <v>6100471</v>
      </c>
      <c r="D142" s="8">
        <v>0</v>
      </c>
      <c r="E142" s="8">
        <f t="shared" si="2"/>
        <v>1194908414.4799995</v>
      </c>
      <c r="F142" t="s">
        <v>115</v>
      </c>
      <c r="G142" t="s">
        <v>116</v>
      </c>
      <c r="H142" t="s">
        <v>249</v>
      </c>
    </row>
    <row r="143" spans="1:9">
      <c r="A143" s="3">
        <v>44264</v>
      </c>
      <c r="B143" t="s">
        <v>1094</v>
      </c>
      <c r="C143" s="8">
        <v>6100471</v>
      </c>
      <c r="D143" s="8">
        <v>0</v>
      </c>
      <c r="E143" s="8">
        <f t="shared" si="2"/>
        <v>1188807943.4799995</v>
      </c>
      <c r="F143" t="s">
        <v>115</v>
      </c>
      <c r="G143" t="s">
        <v>116</v>
      </c>
      <c r="H143" t="s">
        <v>249</v>
      </c>
    </row>
    <row r="144" spans="1:9">
      <c r="A144" s="3">
        <v>44264</v>
      </c>
      <c r="B144" t="s">
        <v>1100</v>
      </c>
      <c r="C144" s="8">
        <v>6100471</v>
      </c>
      <c r="D144" s="8">
        <v>0</v>
      </c>
      <c r="E144" s="8">
        <f t="shared" si="2"/>
        <v>1182707472.4799995</v>
      </c>
      <c r="F144" t="s">
        <v>248</v>
      </c>
      <c r="G144" t="s">
        <v>249</v>
      </c>
    </row>
    <row r="145" spans="1:8">
      <c r="A145" s="3">
        <v>44264</v>
      </c>
      <c r="B145" t="s">
        <v>1091</v>
      </c>
      <c r="C145" s="8">
        <v>35000000</v>
      </c>
      <c r="D145" s="8">
        <v>0</v>
      </c>
      <c r="E145" s="8">
        <f t="shared" si="2"/>
        <v>1147707472.4799995</v>
      </c>
      <c r="F145" t="s">
        <v>137</v>
      </c>
      <c r="G145" t="s">
        <v>138</v>
      </c>
      <c r="H145" t="s">
        <v>1015</v>
      </c>
    </row>
    <row r="146" spans="1:8">
      <c r="A146" s="3">
        <v>44264</v>
      </c>
      <c r="B146" t="s">
        <v>1092</v>
      </c>
      <c r="C146" s="8">
        <v>700000000</v>
      </c>
      <c r="D146" s="8">
        <v>0</v>
      </c>
      <c r="E146" s="8">
        <f t="shared" ref="E146:E147" si="3">E145-C146+D146</f>
        <v>447707472.47999954</v>
      </c>
      <c r="F146" t="s">
        <v>115</v>
      </c>
      <c r="G146" t="s">
        <v>122</v>
      </c>
      <c r="H146" t="s">
        <v>149</v>
      </c>
    </row>
    <row r="147" spans="1:8">
      <c r="A147" s="3">
        <v>44264</v>
      </c>
      <c r="B147" t="s">
        <v>1093</v>
      </c>
      <c r="C147" s="8">
        <v>2900</v>
      </c>
      <c r="D147" s="8">
        <v>0</v>
      </c>
      <c r="E147" s="8">
        <f t="shared" si="3"/>
        <v>447704572.47999954</v>
      </c>
      <c r="F147" t="s">
        <v>113</v>
      </c>
      <c r="G147" t="s">
        <v>114</v>
      </c>
    </row>
    <row r="148" spans="1:8">
      <c r="A148" s="3">
        <v>44264</v>
      </c>
      <c r="B148" t="s">
        <v>1533</v>
      </c>
      <c r="C148" s="8">
        <v>100000</v>
      </c>
      <c r="D148" s="8">
        <v>0</v>
      </c>
      <c r="E148" s="8">
        <f t="shared" ref="E148:E212" si="4">E147-C148+D148</f>
        <v>447604572.47999954</v>
      </c>
      <c r="F148" t="s">
        <v>252</v>
      </c>
      <c r="G148" t="s">
        <v>665</v>
      </c>
      <c r="H148" t="s">
        <v>64</v>
      </c>
    </row>
    <row r="149" spans="1:8">
      <c r="A149" s="3">
        <v>44264</v>
      </c>
      <c r="B149" t="s">
        <v>1532</v>
      </c>
      <c r="C149" s="8">
        <v>100000</v>
      </c>
      <c r="D149" s="8">
        <v>0</v>
      </c>
      <c r="E149" s="8">
        <f t="shared" si="4"/>
        <v>447504572.47999954</v>
      </c>
      <c r="F149" t="s">
        <v>252</v>
      </c>
      <c r="G149" t="s">
        <v>665</v>
      </c>
      <c r="H149" t="s">
        <v>64</v>
      </c>
    </row>
    <row r="150" spans="1:8">
      <c r="A150" s="3">
        <v>44264</v>
      </c>
      <c r="B150" t="s">
        <v>1534</v>
      </c>
      <c r="C150" s="8">
        <v>100000</v>
      </c>
      <c r="D150" s="8">
        <v>0</v>
      </c>
      <c r="E150" s="8">
        <f t="shared" si="4"/>
        <v>447404572.47999954</v>
      </c>
      <c r="F150" t="s">
        <v>252</v>
      </c>
      <c r="G150" t="s">
        <v>665</v>
      </c>
      <c r="H150" t="s">
        <v>64</v>
      </c>
    </row>
    <row r="151" spans="1:8">
      <c r="A151" s="3">
        <v>44264</v>
      </c>
      <c r="B151" t="s">
        <v>1535</v>
      </c>
      <c r="C151" s="8">
        <v>100000</v>
      </c>
      <c r="D151" s="8">
        <v>0</v>
      </c>
      <c r="E151" s="8">
        <f t="shared" si="4"/>
        <v>447304572.47999954</v>
      </c>
      <c r="F151" t="s">
        <v>252</v>
      </c>
      <c r="G151" t="s">
        <v>665</v>
      </c>
      <c r="H151" t="s">
        <v>64</v>
      </c>
    </row>
    <row r="152" spans="1:8">
      <c r="A152" s="3">
        <v>44264</v>
      </c>
      <c r="B152" t="s">
        <v>1536</v>
      </c>
      <c r="C152" s="8">
        <v>100000</v>
      </c>
      <c r="D152" s="8">
        <v>0</v>
      </c>
      <c r="E152" s="8">
        <f t="shared" si="4"/>
        <v>447204572.47999954</v>
      </c>
      <c r="F152" t="s">
        <v>252</v>
      </c>
      <c r="G152" t="s">
        <v>665</v>
      </c>
      <c r="H152" t="s">
        <v>64</v>
      </c>
    </row>
    <row r="153" spans="1:8">
      <c r="A153" s="3">
        <v>44264</v>
      </c>
      <c r="B153" t="s">
        <v>1531</v>
      </c>
      <c r="C153" s="8">
        <v>190200</v>
      </c>
      <c r="D153" s="8">
        <v>0</v>
      </c>
      <c r="E153" s="8">
        <f t="shared" si="4"/>
        <v>447014372.47999954</v>
      </c>
      <c r="F153" t="s">
        <v>252</v>
      </c>
      <c r="G153" t="s">
        <v>665</v>
      </c>
      <c r="H153" t="s">
        <v>64</v>
      </c>
    </row>
    <row r="154" spans="1:8">
      <c r="A154" s="3">
        <v>44264</v>
      </c>
      <c r="B154" t="s">
        <v>1101</v>
      </c>
      <c r="C154" s="8">
        <v>100000</v>
      </c>
      <c r="D154" s="8">
        <v>0</v>
      </c>
      <c r="E154" s="8">
        <f t="shared" si="4"/>
        <v>446914372.47999954</v>
      </c>
      <c r="F154" t="s">
        <v>115</v>
      </c>
      <c r="G154" t="s">
        <v>441</v>
      </c>
      <c r="H154" t="s">
        <v>442</v>
      </c>
    </row>
    <row r="155" spans="1:8">
      <c r="A155" s="3">
        <v>44264</v>
      </c>
      <c r="B155" t="s">
        <v>1102</v>
      </c>
      <c r="C155" s="8">
        <v>100000</v>
      </c>
      <c r="D155" s="8">
        <v>0</v>
      </c>
      <c r="E155" s="8">
        <f t="shared" si="4"/>
        <v>446814372.47999954</v>
      </c>
      <c r="F155" t="s">
        <v>115</v>
      </c>
      <c r="G155" t="s">
        <v>441</v>
      </c>
      <c r="H155" t="s">
        <v>442</v>
      </c>
    </row>
    <row r="156" spans="1:8">
      <c r="A156" s="3">
        <v>44264</v>
      </c>
      <c r="B156" t="s">
        <v>1103</v>
      </c>
      <c r="C156" s="8">
        <v>100000</v>
      </c>
      <c r="D156" s="8">
        <v>0</v>
      </c>
      <c r="E156" s="8">
        <f t="shared" si="4"/>
        <v>446714372.47999954</v>
      </c>
      <c r="F156" t="s">
        <v>115</v>
      </c>
      <c r="G156" t="s">
        <v>441</v>
      </c>
      <c r="H156" t="s">
        <v>442</v>
      </c>
    </row>
    <row r="157" spans="1:8">
      <c r="A157" s="3">
        <v>44264</v>
      </c>
      <c r="B157" t="s">
        <v>1537</v>
      </c>
      <c r="C157" s="8">
        <v>100000</v>
      </c>
      <c r="D157" s="8">
        <v>0</v>
      </c>
      <c r="E157" s="8">
        <f t="shared" si="4"/>
        <v>446614372.47999954</v>
      </c>
      <c r="F157" t="s">
        <v>252</v>
      </c>
      <c r="G157" t="s">
        <v>665</v>
      </c>
      <c r="H157" t="s">
        <v>64</v>
      </c>
    </row>
    <row r="158" spans="1:8">
      <c r="A158" s="3">
        <v>44264</v>
      </c>
      <c r="B158" t="s">
        <v>1104</v>
      </c>
      <c r="C158" s="8">
        <v>100000</v>
      </c>
      <c r="D158" s="8">
        <v>0</v>
      </c>
      <c r="E158" s="8">
        <f t="shared" si="4"/>
        <v>446514372.47999954</v>
      </c>
      <c r="F158" t="s">
        <v>115</v>
      </c>
      <c r="G158" t="s">
        <v>441</v>
      </c>
      <c r="H158" t="s">
        <v>442</v>
      </c>
    </row>
    <row r="159" spans="1:8" s="14" customFormat="1">
      <c r="A159" s="138">
        <v>44264</v>
      </c>
      <c r="B159" s="14" t="s">
        <v>1107</v>
      </c>
      <c r="C159" s="53">
        <v>49677</v>
      </c>
      <c r="D159" s="53">
        <v>0</v>
      </c>
      <c r="E159" s="53">
        <f t="shared" si="4"/>
        <v>446464695.47999954</v>
      </c>
      <c r="F159" s="14" t="s">
        <v>115</v>
      </c>
      <c r="G159" s="14" t="s">
        <v>441</v>
      </c>
      <c r="H159" t="s">
        <v>715</v>
      </c>
    </row>
    <row r="160" spans="1:8">
      <c r="A160" s="3">
        <v>44264</v>
      </c>
      <c r="B160" t="s">
        <v>1105</v>
      </c>
      <c r="C160" s="8">
        <v>100000</v>
      </c>
      <c r="D160" s="8">
        <v>0</v>
      </c>
      <c r="E160" s="8">
        <f t="shared" si="4"/>
        <v>446364695.47999954</v>
      </c>
      <c r="F160" t="s">
        <v>115</v>
      </c>
      <c r="G160" t="s">
        <v>441</v>
      </c>
      <c r="H160" t="s">
        <v>442</v>
      </c>
    </row>
    <row r="161" spans="1:8" s="14" customFormat="1">
      <c r="A161" s="138">
        <v>44264</v>
      </c>
      <c r="B161" s="14" t="s">
        <v>1106</v>
      </c>
      <c r="C161" s="53">
        <v>100000</v>
      </c>
      <c r="D161" s="53">
        <v>0</v>
      </c>
      <c r="E161" s="53">
        <f t="shared" si="4"/>
        <v>446264695.47999954</v>
      </c>
      <c r="F161" s="14" t="s">
        <v>115</v>
      </c>
      <c r="G161" s="14" t="s">
        <v>441</v>
      </c>
      <c r="H161" t="s">
        <v>715</v>
      </c>
    </row>
    <row r="162" spans="1:8">
      <c r="A162" s="3">
        <v>44265</v>
      </c>
      <c r="B162" t="s">
        <v>1309</v>
      </c>
      <c r="C162" s="8">
        <v>2682489</v>
      </c>
      <c r="D162" s="8">
        <v>0</v>
      </c>
      <c r="E162" s="8">
        <f t="shared" si="4"/>
        <v>443582206.47999954</v>
      </c>
      <c r="F162" t="s">
        <v>115</v>
      </c>
      <c r="G162" t="s">
        <v>116</v>
      </c>
      <c r="H162" t="s">
        <v>478</v>
      </c>
    </row>
    <row r="163" spans="1:8">
      <c r="A163" s="3">
        <v>44265</v>
      </c>
      <c r="B163" t="s">
        <v>1310</v>
      </c>
      <c r="C163" s="8">
        <v>2900</v>
      </c>
      <c r="D163" s="8">
        <v>0</v>
      </c>
      <c r="E163" s="8">
        <f t="shared" si="4"/>
        <v>443579306.47999954</v>
      </c>
      <c r="F163" t="s">
        <v>113</v>
      </c>
      <c r="G163" t="s">
        <v>114</v>
      </c>
    </row>
    <row r="164" spans="1:8">
      <c r="A164" s="3">
        <v>44265</v>
      </c>
      <c r="B164" t="s">
        <v>1311</v>
      </c>
      <c r="C164" s="8">
        <v>9418679</v>
      </c>
      <c r="D164" s="8">
        <v>0</v>
      </c>
      <c r="E164" s="8">
        <f t="shared" si="4"/>
        <v>434160627.47999954</v>
      </c>
      <c r="F164" t="s">
        <v>115</v>
      </c>
      <c r="G164" t="s">
        <v>116</v>
      </c>
      <c r="H164" t="s">
        <v>478</v>
      </c>
    </row>
    <row r="165" spans="1:8">
      <c r="A165" s="3">
        <v>44265</v>
      </c>
      <c r="B165" t="s">
        <v>1312</v>
      </c>
      <c r="C165" s="8">
        <v>2900</v>
      </c>
      <c r="D165" s="8">
        <v>0</v>
      </c>
      <c r="E165" s="8">
        <f t="shared" si="4"/>
        <v>434157727.47999954</v>
      </c>
      <c r="F165" t="s">
        <v>113</v>
      </c>
      <c r="G165" t="s">
        <v>114</v>
      </c>
    </row>
    <row r="166" spans="1:8">
      <c r="A166" s="3">
        <v>44265</v>
      </c>
      <c r="B166" t="s">
        <v>1313</v>
      </c>
      <c r="C166" s="8">
        <v>8540145</v>
      </c>
      <c r="D166" s="8">
        <v>0</v>
      </c>
      <c r="E166" s="8">
        <f t="shared" si="4"/>
        <v>425617582.47999954</v>
      </c>
      <c r="F166" t="s">
        <v>113</v>
      </c>
      <c r="G166" t="s">
        <v>478</v>
      </c>
    </row>
    <row r="167" spans="1:8">
      <c r="A167" s="3">
        <v>44265</v>
      </c>
      <c r="B167" t="s">
        <v>1314</v>
      </c>
      <c r="C167" s="8">
        <v>2900</v>
      </c>
      <c r="D167" s="8">
        <v>0</v>
      </c>
      <c r="E167" s="8">
        <f t="shared" si="4"/>
        <v>425614682.47999954</v>
      </c>
      <c r="F167" t="s">
        <v>113</v>
      </c>
      <c r="G167" t="s">
        <v>114</v>
      </c>
    </row>
    <row r="168" spans="1:8" s="14" customFormat="1" ht="17">
      <c r="A168" s="138">
        <v>44275</v>
      </c>
      <c r="B168" s="199" t="s">
        <v>4863</v>
      </c>
      <c r="C168" s="53">
        <v>13240742</v>
      </c>
      <c r="D168" s="53">
        <v>0</v>
      </c>
      <c r="E168" s="53">
        <f t="shared" si="4"/>
        <v>412373940.47999954</v>
      </c>
      <c r="F168" s="14" t="s">
        <v>115</v>
      </c>
      <c r="G168" s="14" t="s">
        <v>116</v>
      </c>
    </row>
    <row r="169" spans="1:8">
      <c r="A169" s="3">
        <v>44275</v>
      </c>
      <c r="B169" t="s">
        <v>1315</v>
      </c>
      <c r="C169" s="8">
        <v>3500000</v>
      </c>
      <c r="D169" s="8">
        <v>0</v>
      </c>
      <c r="E169" s="8">
        <f t="shared" si="4"/>
        <v>408873940.47999954</v>
      </c>
      <c r="F169" t="s">
        <v>115</v>
      </c>
      <c r="G169" t="s">
        <v>116</v>
      </c>
      <c r="H169" t="s">
        <v>467</v>
      </c>
    </row>
    <row r="170" spans="1:8">
      <c r="A170" s="3">
        <v>44275</v>
      </c>
      <c r="B170" t="s">
        <v>1316</v>
      </c>
      <c r="C170" s="8">
        <v>3500000</v>
      </c>
      <c r="D170" s="8">
        <v>0</v>
      </c>
      <c r="E170" s="8">
        <f t="shared" si="4"/>
        <v>405373940.47999954</v>
      </c>
      <c r="F170" t="s">
        <v>115</v>
      </c>
      <c r="G170" t="s">
        <v>116</v>
      </c>
      <c r="H170" t="s">
        <v>467</v>
      </c>
    </row>
    <row r="171" spans="1:8">
      <c r="A171" s="3">
        <v>44275</v>
      </c>
      <c r="B171" t="s">
        <v>1317</v>
      </c>
      <c r="C171" s="8">
        <v>3500000</v>
      </c>
      <c r="D171" s="8">
        <v>0</v>
      </c>
      <c r="E171" s="8">
        <f t="shared" si="4"/>
        <v>401873940.47999954</v>
      </c>
      <c r="F171" t="s">
        <v>319</v>
      </c>
      <c r="G171" t="s">
        <v>467</v>
      </c>
    </row>
    <row r="172" spans="1:8">
      <c r="A172" s="3">
        <v>44275</v>
      </c>
      <c r="B172" t="s">
        <v>1318</v>
      </c>
      <c r="C172" s="8">
        <v>3500000</v>
      </c>
      <c r="D172" s="8">
        <v>0</v>
      </c>
      <c r="E172" s="8">
        <f t="shared" si="4"/>
        <v>398373940.47999954</v>
      </c>
      <c r="F172" t="s">
        <v>319</v>
      </c>
      <c r="G172" t="s">
        <v>467</v>
      </c>
    </row>
    <row r="173" spans="1:8">
      <c r="A173" s="3">
        <v>44275</v>
      </c>
      <c r="B173" t="s">
        <v>1319</v>
      </c>
      <c r="C173" s="8">
        <v>3500000</v>
      </c>
      <c r="D173" s="8">
        <v>0</v>
      </c>
      <c r="E173" s="8">
        <f t="shared" si="4"/>
        <v>394873940.47999954</v>
      </c>
      <c r="F173" t="s">
        <v>319</v>
      </c>
      <c r="G173" t="s">
        <v>467</v>
      </c>
    </row>
    <row r="174" spans="1:8">
      <c r="A174" s="3">
        <v>44275</v>
      </c>
      <c r="B174" t="s">
        <v>1320</v>
      </c>
      <c r="C174" s="8">
        <v>53750000</v>
      </c>
      <c r="D174" s="8">
        <v>0</v>
      </c>
      <c r="E174" s="8">
        <f t="shared" si="4"/>
        <v>341123940.47999954</v>
      </c>
      <c r="F174" t="s">
        <v>137</v>
      </c>
      <c r="G174" t="s">
        <v>138</v>
      </c>
      <c r="H174" t="s">
        <v>883</v>
      </c>
    </row>
    <row r="175" spans="1:8">
      <c r="A175" s="3">
        <v>44275</v>
      </c>
      <c r="B175" t="s">
        <v>1321</v>
      </c>
      <c r="C175" s="8">
        <v>10500000</v>
      </c>
      <c r="D175" s="8">
        <v>0</v>
      </c>
      <c r="E175" s="8">
        <f t="shared" si="4"/>
        <v>330623940.47999954</v>
      </c>
      <c r="F175" t="s">
        <v>137</v>
      </c>
      <c r="G175" t="s">
        <v>138</v>
      </c>
      <c r="H175" t="s">
        <v>1015</v>
      </c>
    </row>
    <row r="176" spans="1:8">
      <c r="A176" s="3">
        <v>44275</v>
      </c>
      <c r="B176" t="s">
        <v>1322</v>
      </c>
      <c r="C176" s="8">
        <v>942000</v>
      </c>
      <c r="D176" s="8">
        <v>0</v>
      </c>
      <c r="E176" s="8">
        <f t="shared" si="4"/>
        <v>329681940.47999954</v>
      </c>
      <c r="F176" t="s">
        <v>736</v>
      </c>
      <c r="G176" t="s">
        <v>3994</v>
      </c>
    </row>
    <row r="177" spans="1:8">
      <c r="A177" s="3">
        <v>44275</v>
      </c>
      <c r="B177" t="s">
        <v>1323</v>
      </c>
      <c r="C177" s="8">
        <v>2458800</v>
      </c>
      <c r="D177" s="8">
        <v>0</v>
      </c>
      <c r="E177" s="8">
        <f t="shared" si="4"/>
        <v>327223140.47999954</v>
      </c>
      <c r="F177" t="s">
        <v>319</v>
      </c>
      <c r="G177" t="s">
        <v>467</v>
      </c>
    </row>
    <row r="178" spans="1:8">
      <c r="A178" s="3">
        <v>44275</v>
      </c>
      <c r="B178" t="s">
        <v>1324</v>
      </c>
      <c r="C178" s="8">
        <v>1294700</v>
      </c>
      <c r="D178" s="8">
        <v>0</v>
      </c>
      <c r="E178" s="8">
        <f t="shared" si="4"/>
        <v>325928440.47999954</v>
      </c>
      <c r="F178" t="s">
        <v>137</v>
      </c>
      <c r="G178" t="s">
        <v>138</v>
      </c>
      <c r="H178" t="s">
        <v>251</v>
      </c>
    </row>
    <row r="179" spans="1:8">
      <c r="A179" s="3">
        <v>44278</v>
      </c>
      <c r="B179" t="s">
        <v>1325</v>
      </c>
      <c r="C179" s="8">
        <v>1670000</v>
      </c>
      <c r="D179" s="8">
        <v>0</v>
      </c>
      <c r="E179" s="8">
        <f t="shared" si="4"/>
        <v>324258440.47999954</v>
      </c>
      <c r="F179" t="s">
        <v>137</v>
      </c>
      <c r="G179" t="s">
        <v>138</v>
      </c>
      <c r="H179" t="s">
        <v>251</v>
      </c>
    </row>
    <row r="180" spans="1:8">
      <c r="A180" s="3">
        <v>44278</v>
      </c>
      <c r="B180" t="s">
        <v>1326</v>
      </c>
      <c r="C180" s="8">
        <v>2900</v>
      </c>
      <c r="D180" s="8">
        <v>0</v>
      </c>
      <c r="E180" s="8">
        <f t="shared" si="4"/>
        <v>324255540.47999954</v>
      </c>
      <c r="F180" t="s">
        <v>113</v>
      </c>
      <c r="G180" t="s">
        <v>114</v>
      </c>
    </row>
    <row r="181" spans="1:8" ht="17">
      <c r="A181" s="3">
        <v>44278</v>
      </c>
      <c r="B181" s="164" t="s">
        <v>3403</v>
      </c>
      <c r="C181" s="8">
        <v>303906</v>
      </c>
      <c r="D181" s="8">
        <v>0</v>
      </c>
      <c r="E181" s="8">
        <f t="shared" si="4"/>
        <v>323951634.47999954</v>
      </c>
      <c r="F181" t="s">
        <v>115</v>
      </c>
      <c r="G181" t="s">
        <v>441</v>
      </c>
      <c r="H181" t="s">
        <v>3404</v>
      </c>
    </row>
    <row r="182" spans="1:8">
      <c r="A182" s="3">
        <v>44278</v>
      </c>
      <c r="B182" t="s">
        <v>1327</v>
      </c>
      <c r="C182" s="8">
        <v>827000</v>
      </c>
      <c r="D182" s="8">
        <v>0</v>
      </c>
      <c r="E182" s="8">
        <f t="shared" si="4"/>
        <v>323124634.47999954</v>
      </c>
      <c r="F182" t="s">
        <v>137</v>
      </c>
      <c r="G182" t="s">
        <v>138</v>
      </c>
      <c r="H182" t="s">
        <v>251</v>
      </c>
    </row>
    <row r="183" spans="1:8">
      <c r="A183" s="3">
        <v>44278</v>
      </c>
      <c r="B183" t="s">
        <v>1326</v>
      </c>
      <c r="C183" s="8">
        <v>2900</v>
      </c>
      <c r="D183" s="8">
        <v>0</v>
      </c>
      <c r="E183" s="8">
        <f t="shared" si="4"/>
        <v>323121734.47999954</v>
      </c>
      <c r="F183" t="s">
        <v>113</v>
      </c>
      <c r="G183" t="s">
        <v>114</v>
      </c>
    </row>
    <row r="184" spans="1:8">
      <c r="A184" s="3">
        <v>44278</v>
      </c>
      <c r="B184" t="s">
        <v>1328</v>
      </c>
      <c r="C184" s="8">
        <v>1050000</v>
      </c>
      <c r="D184" s="8">
        <v>0</v>
      </c>
      <c r="E184" s="8">
        <f t="shared" si="4"/>
        <v>322071734.47999954</v>
      </c>
      <c r="F184" t="s">
        <v>137</v>
      </c>
      <c r="G184" t="s">
        <v>138</v>
      </c>
      <c r="H184" s="14" t="s">
        <v>1126</v>
      </c>
    </row>
    <row r="185" spans="1:8">
      <c r="A185" s="3">
        <v>44278</v>
      </c>
      <c r="B185" t="s">
        <v>1329</v>
      </c>
      <c r="C185" s="8">
        <v>2900</v>
      </c>
      <c r="D185" s="8">
        <v>0</v>
      </c>
      <c r="E185" s="8">
        <f t="shared" si="4"/>
        <v>322068834.47999954</v>
      </c>
      <c r="F185" t="s">
        <v>113</v>
      </c>
      <c r="G185" t="s">
        <v>114</v>
      </c>
    </row>
    <row r="186" spans="1:8">
      <c r="A186" s="3">
        <v>44278</v>
      </c>
      <c r="B186" t="s">
        <v>1330</v>
      </c>
      <c r="C186" s="8">
        <v>10000000</v>
      </c>
      <c r="D186" s="8">
        <v>0</v>
      </c>
      <c r="E186" s="8">
        <f t="shared" si="4"/>
        <v>312068834.47999954</v>
      </c>
      <c r="F186" t="s">
        <v>137</v>
      </c>
      <c r="G186" t="s">
        <v>138</v>
      </c>
      <c r="H186" t="s">
        <v>251</v>
      </c>
    </row>
    <row r="187" spans="1:8">
      <c r="A187" s="3">
        <v>44278</v>
      </c>
      <c r="B187" t="s">
        <v>1331</v>
      </c>
      <c r="C187" s="8">
        <v>2900</v>
      </c>
      <c r="D187" s="8">
        <v>0</v>
      </c>
      <c r="E187" s="8">
        <f t="shared" si="4"/>
        <v>312065934.47999954</v>
      </c>
      <c r="F187" t="s">
        <v>113</v>
      </c>
      <c r="G187" t="s">
        <v>114</v>
      </c>
    </row>
    <row r="188" spans="1:8">
      <c r="A188" s="3">
        <v>44285</v>
      </c>
      <c r="B188" t="s">
        <v>1530</v>
      </c>
      <c r="C188" s="8">
        <v>275000000</v>
      </c>
      <c r="D188" s="8">
        <v>0</v>
      </c>
      <c r="E188" s="8">
        <f t="shared" si="4"/>
        <v>37065934.479999542</v>
      </c>
      <c r="F188" t="s">
        <v>115</v>
      </c>
      <c r="G188" t="s">
        <v>120</v>
      </c>
      <c r="H188" t="s">
        <v>124</v>
      </c>
    </row>
    <row r="189" spans="1:8">
      <c r="A189" s="3">
        <v>44285</v>
      </c>
      <c r="B189" t="s">
        <v>1529</v>
      </c>
      <c r="C189" s="8">
        <f>300000000-C188</f>
        <v>25000000</v>
      </c>
      <c r="D189" s="8">
        <v>0</v>
      </c>
      <c r="E189" s="8">
        <f t="shared" si="4"/>
        <v>12065934.479999542</v>
      </c>
      <c r="F189" t="s">
        <v>115</v>
      </c>
      <c r="G189" t="s">
        <v>120</v>
      </c>
      <c r="H189" t="s">
        <v>131</v>
      </c>
    </row>
    <row r="190" spans="1:8">
      <c r="A190" s="3">
        <v>44285</v>
      </c>
      <c r="B190" t="s">
        <v>1332</v>
      </c>
      <c r="C190" s="8">
        <v>2900</v>
      </c>
      <c r="D190" s="8">
        <v>0</v>
      </c>
      <c r="E190" s="8">
        <f t="shared" si="4"/>
        <v>12063034.479999542</v>
      </c>
      <c r="F190" t="s">
        <v>113</v>
      </c>
      <c r="G190" t="s">
        <v>114</v>
      </c>
    </row>
    <row r="191" spans="1:8">
      <c r="A191" s="3">
        <v>44286</v>
      </c>
      <c r="B191" t="s">
        <v>65</v>
      </c>
      <c r="C191" s="8">
        <v>0</v>
      </c>
      <c r="D191" s="8">
        <v>300000000</v>
      </c>
      <c r="E191" s="8">
        <f t="shared" si="4"/>
        <v>312063034.47999954</v>
      </c>
      <c r="F191" t="s">
        <v>107</v>
      </c>
      <c r="G191" t="s">
        <v>144</v>
      </c>
    </row>
    <row r="192" spans="1:8">
      <c r="A192" s="3">
        <v>44286</v>
      </c>
      <c r="B192" t="s">
        <v>1333</v>
      </c>
      <c r="C192" s="8">
        <v>72500000</v>
      </c>
      <c r="D192" s="8">
        <v>0</v>
      </c>
      <c r="E192" s="8">
        <f t="shared" si="4"/>
        <v>239563034.47999954</v>
      </c>
      <c r="F192" t="s">
        <v>248</v>
      </c>
      <c r="G192" t="s">
        <v>249</v>
      </c>
    </row>
    <row r="193" spans="1:8">
      <c r="A193" s="3">
        <v>44286</v>
      </c>
      <c r="B193" t="s">
        <v>1334</v>
      </c>
      <c r="C193" s="8">
        <v>2900</v>
      </c>
      <c r="D193" s="8">
        <v>0</v>
      </c>
      <c r="E193" s="8">
        <f t="shared" si="4"/>
        <v>239560134.47999954</v>
      </c>
      <c r="F193" t="s">
        <v>113</v>
      </c>
      <c r="G193" t="s">
        <v>114</v>
      </c>
    </row>
    <row r="194" spans="1:8">
      <c r="A194" s="3">
        <v>44286</v>
      </c>
      <c r="B194" t="s">
        <v>270</v>
      </c>
      <c r="C194" s="8">
        <v>25000</v>
      </c>
      <c r="D194" s="8">
        <v>0</v>
      </c>
      <c r="E194" s="8">
        <f t="shared" si="4"/>
        <v>239535134.47999954</v>
      </c>
      <c r="F194" t="s">
        <v>113</v>
      </c>
      <c r="G194" t="s">
        <v>114</v>
      </c>
    </row>
    <row r="195" spans="1:8">
      <c r="A195" s="3">
        <v>44286</v>
      </c>
      <c r="B195" t="s">
        <v>1000</v>
      </c>
      <c r="C195" s="8">
        <v>0</v>
      </c>
      <c r="D195" s="8">
        <v>305859.53999999998</v>
      </c>
      <c r="E195" s="8">
        <f t="shared" si="4"/>
        <v>239840994.01999953</v>
      </c>
      <c r="F195" t="s">
        <v>252</v>
      </c>
      <c r="G195" t="s">
        <v>253</v>
      </c>
    </row>
    <row r="196" spans="1:8">
      <c r="A196" s="3">
        <v>44286</v>
      </c>
      <c r="B196" t="s">
        <v>273</v>
      </c>
      <c r="C196" s="8">
        <v>61171.91</v>
      </c>
      <c r="D196" s="8">
        <v>0</v>
      </c>
      <c r="E196" s="8">
        <f t="shared" si="4"/>
        <v>239779822.10999954</v>
      </c>
      <c r="F196" t="s">
        <v>252</v>
      </c>
      <c r="G196" t="s">
        <v>253</v>
      </c>
    </row>
    <row r="197" spans="1:8">
      <c r="A197" s="3">
        <v>44287</v>
      </c>
      <c r="B197" t="s">
        <v>1335</v>
      </c>
      <c r="C197" s="8">
        <v>7649000</v>
      </c>
      <c r="D197" s="8">
        <v>0</v>
      </c>
      <c r="E197" s="8">
        <f t="shared" si="4"/>
        <v>232130822.10999954</v>
      </c>
      <c r="F197" t="s">
        <v>137</v>
      </c>
      <c r="G197" t="s">
        <v>138</v>
      </c>
      <c r="H197" t="s">
        <v>603</v>
      </c>
    </row>
    <row r="198" spans="1:8">
      <c r="A198" s="3">
        <v>44287</v>
      </c>
      <c r="B198" t="s">
        <v>1336</v>
      </c>
      <c r="C198" s="8">
        <v>2900</v>
      </c>
      <c r="D198" s="8">
        <v>0</v>
      </c>
      <c r="E198" s="8">
        <f t="shared" si="4"/>
        <v>232127922.10999954</v>
      </c>
      <c r="F198" t="s">
        <v>113</v>
      </c>
      <c r="G198" t="s">
        <v>114</v>
      </c>
    </row>
    <row r="199" spans="1:8">
      <c r="A199" s="3">
        <v>44287</v>
      </c>
      <c r="B199" t="s">
        <v>1337</v>
      </c>
      <c r="C199" s="8">
        <v>1356000</v>
      </c>
      <c r="D199" s="8">
        <v>0</v>
      </c>
      <c r="E199" s="8">
        <f t="shared" si="4"/>
        <v>230771922.10999954</v>
      </c>
      <c r="F199" t="s">
        <v>137</v>
      </c>
      <c r="G199" t="s">
        <v>138</v>
      </c>
      <c r="H199" t="s">
        <v>175</v>
      </c>
    </row>
    <row r="200" spans="1:8">
      <c r="A200" s="3">
        <v>44287</v>
      </c>
      <c r="B200" t="s">
        <v>1338</v>
      </c>
      <c r="C200" s="8">
        <v>2900</v>
      </c>
      <c r="D200" s="8">
        <v>0</v>
      </c>
      <c r="E200" s="8">
        <f t="shared" si="4"/>
        <v>230769022.10999954</v>
      </c>
      <c r="F200" t="s">
        <v>113</v>
      </c>
      <c r="G200" t="s">
        <v>114</v>
      </c>
    </row>
    <row r="201" spans="1:8">
      <c r="A201" s="3">
        <v>44287</v>
      </c>
      <c r="B201" t="s">
        <v>1339</v>
      </c>
      <c r="C201" s="8">
        <v>3700000</v>
      </c>
      <c r="D201" s="8">
        <v>0</v>
      </c>
      <c r="E201" s="8">
        <f t="shared" si="4"/>
        <v>227069022.10999954</v>
      </c>
      <c r="F201" t="s">
        <v>107</v>
      </c>
      <c r="G201" t="s">
        <v>1522</v>
      </c>
    </row>
    <row r="202" spans="1:8">
      <c r="A202" s="3">
        <v>44287</v>
      </c>
      <c r="B202" t="s">
        <v>1340</v>
      </c>
      <c r="C202" s="8">
        <v>2900</v>
      </c>
      <c r="D202" s="8">
        <v>0</v>
      </c>
      <c r="E202" s="8">
        <f t="shared" si="4"/>
        <v>227066122.10999954</v>
      </c>
      <c r="F202" t="s">
        <v>113</v>
      </c>
      <c r="G202" t="s">
        <v>114</v>
      </c>
    </row>
    <row r="203" spans="1:8">
      <c r="A203" s="3">
        <v>44287</v>
      </c>
      <c r="B203" t="s">
        <v>1341</v>
      </c>
      <c r="C203" s="8">
        <v>25321978</v>
      </c>
      <c r="D203" s="8">
        <v>0</v>
      </c>
      <c r="E203" s="8">
        <f t="shared" si="4"/>
        <v>201744144.10999954</v>
      </c>
      <c r="F203" t="s">
        <v>107</v>
      </c>
      <c r="G203" t="s">
        <v>274</v>
      </c>
      <c r="H203" t="s">
        <v>141</v>
      </c>
    </row>
    <row r="204" spans="1:8">
      <c r="A204" s="3">
        <v>44287</v>
      </c>
      <c r="B204" t="s">
        <v>1342</v>
      </c>
      <c r="C204" s="8">
        <v>2900</v>
      </c>
      <c r="D204" s="8">
        <v>0</v>
      </c>
      <c r="E204" s="8">
        <f t="shared" si="4"/>
        <v>201741244.10999954</v>
      </c>
      <c r="F204" t="s">
        <v>113</v>
      </c>
      <c r="G204" t="s">
        <v>114</v>
      </c>
    </row>
    <row r="205" spans="1:8">
      <c r="A205" s="3">
        <v>44287</v>
      </c>
      <c r="B205" t="s">
        <v>1343</v>
      </c>
      <c r="C205" s="8">
        <v>6055138</v>
      </c>
      <c r="D205" s="8">
        <v>0</v>
      </c>
      <c r="E205" s="8">
        <f t="shared" si="4"/>
        <v>195686106.10999954</v>
      </c>
      <c r="F205" t="s">
        <v>107</v>
      </c>
      <c r="G205" t="s">
        <v>274</v>
      </c>
      <c r="H205" t="s">
        <v>140</v>
      </c>
    </row>
    <row r="206" spans="1:8">
      <c r="A206" s="3">
        <v>44287</v>
      </c>
      <c r="B206" t="s">
        <v>1344</v>
      </c>
      <c r="C206" s="8">
        <v>2900</v>
      </c>
      <c r="D206" s="8">
        <v>0</v>
      </c>
      <c r="E206" s="8">
        <f t="shared" si="4"/>
        <v>195683206.10999954</v>
      </c>
      <c r="F206" t="s">
        <v>113</v>
      </c>
      <c r="G206" t="s">
        <v>114</v>
      </c>
    </row>
    <row r="207" spans="1:8">
      <c r="A207" s="3">
        <v>44287</v>
      </c>
      <c r="B207" t="s">
        <v>1345</v>
      </c>
      <c r="C207" s="8">
        <v>59415241</v>
      </c>
      <c r="D207" s="8">
        <v>0</v>
      </c>
      <c r="E207" s="8">
        <f t="shared" si="4"/>
        <v>136267965.10999954</v>
      </c>
      <c r="F207" t="s">
        <v>107</v>
      </c>
      <c r="G207" t="s">
        <v>274</v>
      </c>
      <c r="H207" t="s">
        <v>142</v>
      </c>
    </row>
    <row r="208" spans="1:8">
      <c r="A208" s="3">
        <v>44287</v>
      </c>
      <c r="B208" t="s">
        <v>1346</v>
      </c>
      <c r="C208" s="8">
        <v>2900</v>
      </c>
      <c r="D208" s="8">
        <v>0</v>
      </c>
      <c r="E208" s="8">
        <f t="shared" si="4"/>
        <v>136265065.10999954</v>
      </c>
      <c r="F208" t="s">
        <v>113</v>
      </c>
      <c r="G208" t="s">
        <v>114</v>
      </c>
    </row>
    <row r="209" spans="1:8">
      <c r="A209" s="3">
        <v>44291</v>
      </c>
      <c r="B209" t="s">
        <v>1347</v>
      </c>
      <c r="C209" s="8">
        <v>0</v>
      </c>
      <c r="D209" s="8">
        <v>3700000</v>
      </c>
      <c r="E209" s="8">
        <f t="shared" si="4"/>
        <v>139965065.10999954</v>
      </c>
      <c r="F209" t="s">
        <v>107</v>
      </c>
      <c r="G209" t="s">
        <v>1522</v>
      </c>
    </row>
    <row r="210" spans="1:8">
      <c r="A210" s="3">
        <v>44291</v>
      </c>
      <c r="B210" t="s">
        <v>1348</v>
      </c>
      <c r="C210" s="8">
        <v>1000000</v>
      </c>
      <c r="D210" s="8">
        <v>0</v>
      </c>
      <c r="E210" s="8">
        <f t="shared" si="4"/>
        <v>138965065.10999954</v>
      </c>
      <c r="F210" t="s">
        <v>319</v>
      </c>
      <c r="G210" t="s">
        <v>1016</v>
      </c>
    </row>
    <row r="211" spans="1:8">
      <c r="A211" s="3">
        <v>44291</v>
      </c>
      <c r="B211" t="s">
        <v>1349</v>
      </c>
      <c r="C211" s="8">
        <v>2900</v>
      </c>
      <c r="D211" s="8">
        <v>0</v>
      </c>
      <c r="E211" s="8">
        <f t="shared" si="4"/>
        <v>138962165.10999954</v>
      </c>
      <c r="F211" t="s">
        <v>113</v>
      </c>
      <c r="G211" t="s">
        <v>114</v>
      </c>
    </row>
    <row r="212" spans="1:8">
      <c r="A212" s="3">
        <v>44293</v>
      </c>
      <c r="B212" t="s">
        <v>1350</v>
      </c>
      <c r="C212" s="8">
        <v>10000000</v>
      </c>
      <c r="D212" s="8">
        <v>0</v>
      </c>
      <c r="E212" s="8">
        <f t="shared" si="4"/>
        <v>128962165.10999954</v>
      </c>
      <c r="F212" t="s">
        <v>137</v>
      </c>
      <c r="G212" t="s">
        <v>138</v>
      </c>
      <c r="H212" t="s">
        <v>603</v>
      </c>
    </row>
    <row r="213" spans="1:8">
      <c r="A213" s="3">
        <v>44293</v>
      </c>
      <c r="B213" t="s">
        <v>1351</v>
      </c>
      <c r="C213" s="8">
        <v>14152499</v>
      </c>
      <c r="D213" s="8">
        <v>0</v>
      </c>
      <c r="E213" s="8">
        <f t="shared" ref="E213:E276" si="5">E212-C213+D213</f>
        <v>114809666.10999954</v>
      </c>
      <c r="F213" t="s">
        <v>137</v>
      </c>
      <c r="G213" t="s">
        <v>138</v>
      </c>
      <c r="H213" t="s">
        <v>251</v>
      </c>
    </row>
    <row r="214" spans="1:8">
      <c r="A214" s="3">
        <v>44293</v>
      </c>
      <c r="B214" t="s">
        <v>1352</v>
      </c>
      <c r="C214" s="8">
        <v>2900</v>
      </c>
      <c r="D214" s="8">
        <v>0</v>
      </c>
      <c r="E214" s="8">
        <f t="shared" si="5"/>
        <v>114806766.10999954</v>
      </c>
      <c r="F214" t="s">
        <v>113</v>
      </c>
      <c r="G214" t="s">
        <v>114</v>
      </c>
    </row>
    <row r="215" spans="1:8">
      <c r="A215" s="3">
        <v>44293</v>
      </c>
      <c r="B215" t="s">
        <v>1353</v>
      </c>
      <c r="C215" s="8">
        <v>3851070</v>
      </c>
      <c r="D215" s="8">
        <v>0</v>
      </c>
      <c r="E215" s="8">
        <f t="shared" si="5"/>
        <v>110955696.10999954</v>
      </c>
      <c r="F215" t="s">
        <v>137</v>
      </c>
      <c r="G215" t="s">
        <v>138</v>
      </c>
      <c r="H215" s="14" t="s">
        <v>1128</v>
      </c>
    </row>
    <row r="216" spans="1:8">
      <c r="A216" s="3">
        <v>44293</v>
      </c>
      <c r="B216" t="s">
        <v>1354</v>
      </c>
      <c r="C216" s="8">
        <v>2900</v>
      </c>
      <c r="D216" s="8">
        <v>0</v>
      </c>
      <c r="E216" s="8">
        <f t="shared" si="5"/>
        <v>110952796.10999954</v>
      </c>
      <c r="F216" t="s">
        <v>113</v>
      </c>
      <c r="G216" t="s">
        <v>114</v>
      </c>
    </row>
    <row r="217" spans="1:8">
      <c r="A217" s="3">
        <v>44293</v>
      </c>
      <c r="B217" t="s">
        <v>1355</v>
      </c>
      <c r="C217" s="8">
        <v>76058626</v>
      </c>
      <c r="D217" s="8">
        <v>0</v>
      </c>
      <c r="E217" s="8">
        <f t="shared" si="5"/>
        <v>34894170.109999537</v>
      </c>
      <c r="F217" t="s">
        <v>115</v>
      </c>
      <c r="G217" t="s">
        <v>120</v>
      </c>
      <c r="H217" t="s">
        <v>443</v>
      </c>
    </row>
    <row r="218" spans="1:8">
      <c r="A218" s="3">
        <v>44293</v>
      </c>
      <c r="B218" t="s">
        <v>1356</v>
      </c>
      <c r="C218" s="8">
        <v>2900</v>
      </c>
      <c r="D218" s="8">
        <v>0</v>
      </c>
      <c r="E218" s="8">
        <f t="shared" si="5"/>
        <v>34891270.109999537</v>
      </c>
      <c r="F218" t="s">
        <v>113</v>
      </c>
      <c r="G218" t="s">
        <v>114</v>
      </c>
    </row>
    <row r="219" spans="1:8" s="14" customFormat="1">
      <c r="A219" s="138">
        <v>44299</v>
      </c>
      <c r="B219" s="14" t="s">
        <v>3400</v>
      </c>
      <c r="C219" s="53">
        <v>11622654</v>
      </c>
      <c r="D219" s="53">
        <v>0</v>
      </c>
      <c r="E219" s="53">
        <f t="shared" si="5"/>
        <v>23268616.109999537</v>
      </c>
      <c r="F219" s="14" t="s">
        <v>107</v>
      </c>
      <c r="G219" s="14" t="s">
        <v>274</v>
      </c>
      <c r="H219" s="14" t="s">
        <v>64</v>
      </c>
    </row>
    <row r="220" spans="1:8">
      <c r="A220" s="3">
        <v>44300</v>
      </c>
      <c r="B220" t="s">
        <v>1357</v>
      </c>
      <c r="C220" s="8">
        <v>1400000</v>
      </c>
      <c r="D220" s="8">
        <v>0</v>
      </c>
      <c r="E220" s="8">
        <f t="shared" si="5"/>
        <v>21868616.109999537</v>
      </c>
      <c r="F220" t="s">
        <v>248</v>
      </c>
      <c r="G220" t="s">
        <v>729</v>
      </c>
    </row>
    <row r="221" spans="1:8">
      <c r="A221" s="3">
        <v>44301</v>
      </c>
      <c r="B221" t="s">
        <v>1358</v>
      </c>
      <c r="C221" s="8">
        <v>2963791</v>
      </c>
      <c r="D221" s="8">
        <v>0</v>
      </c>
      <c r="E221" s="8">
        <f t="shared" si="5"/>
        <v>18904825.109999537</v>
      </c>
      <c r="F221" t="s">
        <v>137</v>
      </c>
      <c r="G221" t="s">
        <v>138</v>
      </c>
      <c r="H221" t="s">
        <v>251</v>
      </c>
    </row>
    <row r="222" spans="1:8">
      <c r="A222" s="3">
        <v>44301</v>
      </c>
      <c r="B222" t="s">
        <v>1359</v>
      </c>
      <c r="C222" s="8">
        <v>2900</v>
      </c>
      <c r="D222" s="8">
        <v>0</v>
      </c>
      <c r="E222" s="8">
        <f t="shared" si="5"/>
        <v>18901925.109999537</v>
      </c>
      <c r="F222" t="s">
        <v>113</v>
      </c>
      <c r="G222" t="s">
        <v>114</v>
      </c>
    </row>
    <row r="223" spans="1:8">
      <c r="A223" s="3">
        <v>44301</v>
      </c>
      <c r="B223" t="s">
        <v>1360</v>
      </c>
      <c r="C223" s="8">
        <v>13920000</v>
      </c>
      <c r="D223" s="8">
        <v>0</v>
      </c>
      <c r="E223" s="8">
        <f t="shared" si="5"/>
        <v>4981925.1099995375</v>
      </c>
      <c r="F223" t="s">
        <v>137</v>
      </c>
      <c r="G223" t="s">
        <v>138</v>
      </c>
      <c r="H223" t="s">
        <v>251</v>
      </c>
    </row>
    <row r="224" spans="1:8">
      <c r="A224" s="3">
        <v>44301</v>
      </c>
      <c r="B224" t="s">
        <v>1359</v>
      </c>
      <c r="C224" s="8">
        <v>2900</v>
      </c>
      <c r="D224" s="8">
        <v>0</v>
      </c>
      <c r="E224" s="8">
        <f t="shared" si="5"/>
        <v>4979025.1099995375</v>
      </c>
      <c r="F224" t="s">
        <v>113</v>
      </c>
      <c r="G224" t="s">
        <v>114</v>
      </c>
    </row>
    <row r="225" spans="1:8">
      <c r="A225" s="3">
        <v>44301</v>
      </c>
      <c r="B225" t="s">
        <v>1361</v>
      </c>
      <c r="C225" s="8">
        <v>0</v>
      </c>
      <c r="D225" s="8">
        <v>50000000</v>
      </c>
      <c r="E225" s="8">
        <f t="shared" si="5"/>
        <v>54979025.109999537</v>
      </c>
      <c r="F225" t="s">
        <v>107</v>
      </c>
      <c r="G225" t="s">
        <v>109</v>
      </c>
    </row>
    <row r="226" spans="1:8">
      <c r="A226" s="3">
        <v>44301</v>
      </c>
      <c r="B226" t="s">
        <v>1361</v>
      </c>
      <c r="C226" s="8">
        <v>0</v>
      </c>
      <c r="D226" s="8">
        <v>50000000</v>
      </c>
      <c r="E226" s="8">
        <f t="shared" si="5"/>
        <v>104979025.10999954</v>
      </c>
      <c r="F226" t="s">
        <v>107</v>
      </c>
      <c r="G226" t="s">
        <v>109</v>
      </c>
    </row>
    <row r="227" spans="1:8">
      <c r="A227" s="3">
        <v>44301</v>
      </c>
      <c r="B227" t="s">
        <v>1362</v>
      </c>
      <c r="C227" s="8">
        <v>3754000</v>
      </c>
      <c r="D227" s="8">
        <v>0</v>
      </c>
      <c r="E227" s="8">
        <f t="shared" si="5"/>
        <v>101225025.10999954</v>
      </c>
      <c r="F227" t="s">
        <v>137</v>
      </c>
      <c r="G227" t="s">
        <v>138</v>
      </c>
      <c r="H227" s="14" t="s">
        <v>1128</v>
      </c>
    </row>
    <row r="228" spans="1:8">
      <c r="A228" s="3">
        <v>44301</v>
      </c>
      <c r="B228" t="s">
        <v>1363</v>
      </c>
      <c r="C228" s="8">
        <v>2900</v>
      </c>
      <c r="D228" s="8">
        <v>0</v>
      </c>
      <c r="E228" s="8">
        <f t="shared" si="5"/>
        <v>101222125.10999954</v>
      </c>
      <c r="F228" t="s">
        <v>113</v>
      </c>
      <c r="G228" t="s">
        <v>114</v>
      </c>
    </row>
    <row r="229" spans="1:8">
      <c r="A229" s="3">
        <v>44301</v>
      </c>
      <c r="B229" t="s">
        <v>1364</v>
      </c>
      <c r="C229" s="8">
        <v>14624799</v>
      </c>
      <c r="D229" s="8">
        <v>0</v>
      </c>
      <c r="E229" s="8">
        <f t="shared" si="5"/>
        <v>86597326.109999537</v>
      </c>
      <c r="F229" t="s">
        <v>137</v>
      </c>
      <c r="G229" t="s">
        <v>138</v>
      </c>
      <c r="H229" s="14" t="s">
        <v>1128</v>
      </c>
    </row>
    <row r="230" spans="1:8">
      <c r="A230" s="3">
        <v>44301</v>
      </c>
      <c r="B230" t="s">
        <v>1363</v>
      </c>
      <c r="C230" s="8">
        <v>2900</v>
      </c>
      <c r="D230" s="8">
        <v>0</v>
      </c>
      <c r="E230" s="8">
        <f t="shared" si="5"/>
        <v>86594426.109999537</v>
      </c>
      <c r="F230" t="s">
        <v>113</v>
      </c>
      <c r="G230" t="s">
        <v>114</v>
      </c>
    </row>
    <row r="231" spans="1:8">
      <c r="A231" s="3">
        <v>44301</v>
      </c>
      <c r="B231" t="s">
        <v>1365</v>
      </c>
      <c r="C231" s="8">
        <v>2500000</v>
      </c>
      <c r="D231" s="8">
        <v>0</v>
      </c>
      <c r="E231" s="8">
        <f t="shared" si="5"/>
        <v>84094426.109999537</v>
      </c>
      <c r="F231" t="s">
        <v>137</v>
      </c>
      <c r="G231" t="s">
        <v>138</v>
      </c>
      <c r="H231" s="14" t="s">
        <v>1128</v>
      </c>
    </row>
    <row r="232" spans="1:8">
      <c r="A232" s="3">
        <v>44301</v>
      </c>
      <c r="B232" t="s">
        <v>1366</v>
      </c>
      <c r="C232" s="8">
        <v>2900</v>
      </c>
      <c r="D232" s="8">
        <v>0</v>
      </c>
      <c r="E232" s="8">
        <f t="shared" si="5"/>
        <v>84091526.109999537</v>
      </c>
      <c r="F232" t="s">
        <v>113</v>
      </c>
      <c r="G232" t="s">
        <v>114</v>
      </c>
    </row>
    <row r="233" spans="1:8">
      <c r="A233" s="3">
        <v>44301</v>
      </c>
      <c r="B233" t="s">
        <v>1367</v>
      </c>
      <c r="C233" s="8">
        <v>4753000</v>
      </c>
      <c r="D233" s="8">
        <v>0</v>
      </c>
      <c r="E233" s="8">
        <f t="shared" si="5"/>
        <v>79338526.109999537</v>
      </c>
      <c r="F233" t="s">
        <v>137</v>
      </c>
      <c r="G233" t="s">
        <v>138</v>
      </c>
      <c r="H233" s="14" t="s">
        <v>1128</v>
      </c>
    </row>
    <row r="234" spans="1:8">
      <c r="A234" s="3">
        <v>44301</v>
      </c>
      <c r="B234" t="s">
        <v>1363</v>
      </c>
      <c r="C234" s="8">
        <v>2900</v>
      </c>
      <c r="D234" s="8">
        <v>0</v>
      </c>
      <c r="E234" s="8">
        <f t="shared" si="5"/>
        <v>79335626.109999537</v>
      </c>
      <c r="F234" t="s">
        <v>113</v>
      </c>
      <c r="G234" t="s">
        <v>114</v>
      </c>
    </row>
    <row r="235" spans="1:8">
      <c r="A235" s="3">
        <v>44301</v>
      </c>
      <c r="B235" t="s">
        <v>1368</v>
      </c>
      <c r="C235" s="8">
        <v>4500000</v>
      </c>
      <c r="D235" s="8">
        <v>0</v>
      </c>
      <c r="E235" s="8">
        <f t="shared" si="5"/>
        <v>74835626.109999537</v>
      </c>
      <c r="F235" t="s">
        <v>137</v>
      </c>
      <c r="G235" t="s">
        <v>138</v>
      </c>
      <c r="H235" s="14" t="s">
        <v>1128</v>
      </c>
    </row>
    <row r="236" spans="1:8">
      <c r="A236" s="3">
        <v>44301</v>
      </c>
      <c r="B236" t="s">
        <v>1369</v>
      </c>
      <c r="C236" s="8">
        <v>2900</v>
      </c>
      <c r="D236" s="8">
        <v>0</v>
      </c>
      <c r="E236" s="8">
        <f t="shared" si="5"/>
        <v>74832726.109999537</v>
      </c>
      <c r="F236" t="s">
        <v>113</v>
      </c>
      <c r="G236" t="s">
        <v>114</v>
      </c>
    </row>
    <row r="237" spans="1:8">
      <c r="A237" s="3">
        <v>44301</v>
      </c>
      <c r="B237" t="s">
        <v>1370</v>
      </c>
      <c r="C237" s="8">
        <v>4694900</v>
      </c>
      <c r="D237" s="8">
        <v>0</v>
      </c>
      <c r="E237" s="8">
        <f t="shared" si="5"/>
        <v>70137826.109999537</v>
      </c>
      <c r="F237" t="s">
        <v>137</v>
      </c>
      <c r="G237" t="s">
        <v>138</v>
      </c>
      <c r="H237" s="14" t="s">
        <v>1128</v>
      </c>
    </row>
    <row r="238" spans="1:8">
      <c r="A238" s="3">
        <v>44301</v>
      </c>
      <c r="B238" t="s">
        <v>1369</v>
      </c>
      <c r="C238" s="8">
        <v>2900</v>
      </c>
      <c r="D238" s="8">
        <v>0</v>
      </c>
      <c r="E238" s="8">
        <f t="shared" si="5"/>
        <v>70134926.109999537</v>
      </c>
      <c r="F238" t="s">
        <v>113</v>
      </c>
      <c r="G238" t="s">
        <v>114</v>
      </c>
    </row>
    <row r="239" spans="1:8">
      <c r="A239" s="3">
        <v>44301</v>
      </c>
      <c r="B239" t="s">
        <v>1371</v>
      </c>
      <c r="C239" s="8">
        <v>18000000</v>
      </c>
      <c r="D239" s="8">
        <v>0</v>
      </c>
      <c r="E239" s="8">
        <f t="shared" si="5"/>
        <v>52134926.109999537</v>
      </c>
      <c r="F239" t="s">
        <v>137</v>
      </c>
      <c r="G239" t="s">
        <v>138</v>
      </c>
      <c r="H239" s="14" t="s">
        <v>1128</v>
      </c>
    </row>
    <row r="240" spans="1:8">
      <c r="A240" s="3">
        <v>44301</v>
      </c>
      <c r="B240" t="s">
        <v>1363</v>
      </c>
      <c r="C240" s="8">
        <v>2900</v>
      </c>
      <c r="D240" s="8">
        <v>0</v>
      </c>
      <c r="E240" s="8">
        <f t="shared" si="5"/>
        <v>52132026.109999537</v>
      </c>
      <c r="F240" t="s">
        <v>113</v>
      </c>
      <c r="G240" t="s">
        <v>114</v>
      </c>
    </row>
    <row r="241" spans="1:8">
      <c r="A241" s="3">
        <v>44301</v>
      </c>
      <c r="B241" t="s">
        <v>1372</v>
      </c>
      <c r="C241" s="8">
        <v>1808307</v>
      </c>
      <c r="D241" s="8">
        <v>0</v>
      </c>
      <c r="E241" s="8">
        <f t="shared" si="5"/>
        <v>50323719.109999537</v>
      </c>
      <c r="F241" t="s">
        <v>137</v>
      </c>
      <c r="G241" t="s">
        <v>138</v>
      </c>
      <c r="H241" s="14" t="s">
        <v>1128</v>
      </c>
    </row>
    <row r="242" spans="1:8">
      <c r="A242" s="3">
        <v>44301</v>
      </c>
      <c r="B242" t="s">
        <v>1373</v>
      </c>
      <c r="C242" s="8">
        <v>15000000</v>
      </c>
      <c r="D242" s="8">
        <v>0</v>
      </c>
      <c r="E242" s="8">
        <f t="shared" si="5"/>
        <v>35323719.109999537</v>
      </c>
      <c r="F242" t="s">
        <v>137</v>
      </c>
      <c r="G242" t="s">
        <v>138</v>
      </c>
      <c r="H242" s="14" t="s">
        <v>1128</v>
      </c>
    </row>
    <row r="243" spans="1:8">
      <c r="A243" s="3">
        <v>44301</v>
      </c>
      <c r="B243" t="s">
        <v>1363</v>
      </c>
      <c r="C243" s="8">
        <v>2900</v>
      </c>
      <c r="D243" s="8">
        <v>0</v>
      </c>
      <c r="E243" s="8">
        <f t="shared" si="5"/>
        <v>35320819.109999537</v>
      </c>
      <c r="F243" t="s">
        <v>113</v>
      </c>
      <c r="G243" t="s">
        <v>114</v>
      </c>
    </row>
    <row r="244" spans="1:8">
      <c r="A244" s="3">
        <v>44301</v>
      </c>
      <c r="B244" t="s">
        <v>1363</v>
      </c>
      <c r="C244" s="8">
        <v>2900</v>
      </c>
      <c r="D244" s="8">
        <v>0</v>
      </c>
      <c r="E244" s="8">
        <f t="shared" si="5"/>
        <v>35317919.109999537</v>
      </c>
      <c r="F244" t="s">
        <v>113</v>
      </c>
      <c r="G244" t="s">
        <v>114</v>
      </c>
    </row>
    <row r="245" spans="1:8">
      <c r="A245" s="3">
        <v>44301</v>
      </c>
      <c r="B245" t="s">
        <v>1374</v>
      </c>
      <c r="C245" s="8">
        <v>3700000</v>
      </c>
      <c r="D245" s="8">
        <v>0</v>
      </c>
      <c r="E245" s="8">
        <f t="shared" si="5"/>
        <v>31617919.109999537</v>
      </c>
      <c r="F245" t="s">
        <v>107</v>
      </c>
      <c r="G245" t="s">
        <v>1522</v>
      </c>
    </row>
    <row r="246" spans="1:8">
      <c r="A246" s="3">
        <v>44301</v>
      </c>
      <c r="B246" t="s">
        <v>1375</v>
      </c>
      <c r="C246" s="8">
        <v>2900</v>
      </c>
      <c r="D246" s="8">
        <v>0</v>
      </c>
      <c r="E246" s="8">
        <f t="shared" si="5"/>
        <v>31615019.109999537</v>
      </c>
      <c r="F246" t="s">
        <v>113</v>
      </c>
      <c r="G246" t="s">
        <v>114</v>
      </c>
    </row>
    <row r="247" spans="1:8">
      <c r="A247" s="3">
        <v>44302</v>
      </c>
      <c r="B247" t="s">
        <v>1376</v>
      </c>
      <c r="C247" s="8">
        <v>0</v>
      </c>
      <c r="D247" s="8">
        <v>3700000</v>
      </c>
      <c r="E247" s="8">
        <f t="shared" si="5"/>
        <v>35315019.109999537</v>
      </c>
      <c r="F247" t="s">
        <v>107</v>
      </c>
      <c r="G247" t="s">
        <v>1522</v>
      </c>
    </row>
    <row r="248" spans="1:8">
      <c r="A248" s="3">
        <v>44303</v>
      </c>
      <c r="B248" t="s">
        <v>1377</v>
      </c>
      <c r="C248" s="8">
        <v>3700000</v>
      </c>
      <c r="D248" s="8">
        <v>0</v>
      </c>
      <c r="E248" s="8">
        <f t="shared" si="5"/>
        <v>31615019.109999537</v>
      </c>
      <c r="F248" t="s">
        <v>137</v>
      </c>
      <c r="G248" t="s">
        <v>138</v>
      </c>
      <c r="H248" s="14" t="s">
        <v>1126</v>
      </c>
    </row>
    <row r="249" spans="1:8">
      <c r="A249" s="3">
        <v>44303</v>
      </c>
      <c r="B249" t="s">
        <v>1378</v>
      </c>
      <c r="C249" s="8">
        <v>6500</v>
      </c>
      <c r="D249" s="8">
        <v>0</v>
      </c>
      <c r="E249" s="8">
        <f t="shared" si="5"/>
        <v>31608519.109999537</v>
      </c>
      <c r="F249" t="s">
        <v>113</v>
      </c>
      <c r="G249" t="s">
        <v>114</v>
      </c>
    </row>
    <row r="250" spans="1:8">
      <c r="A250" s="3">
        <v>44304</v>
      </c>
      <c r="B250" t="s">
        <v>1361</v>
      </c>
      <c r="C250" s="8">
        <v>0</v>
      </c>
      <c r="D250" s="8">
        <v>25000000</v>
      </c>
      <c r="E250" s="8">
        <f t="shared" si="5"/>
        <v>56608519.109999537</v>
      </c>
      <c r="F250" t="s">
        <v>107</v>
      </c>
      <c r="G250" t="s">
        <v>109</v>
      </c>
    </row>
    <row r="251" spans="1:8">
      <c r="A251" s="3">
        <v>44305</v>
      </c>
      <c r="B251" t="s">
        <v>65</v>
      </c>
      <c r="C251" s="8">
        <v>0</v>
      </c>
      <c r="D251" s="8">
        <v>400000000</v>
      </c>
      <c r="E251" s="8">
        <f t="shared" si="5"/>
        <v>456608519.10999954</v>
      </c>
      <c r="F251" t="s">
        <v>107</v>
      </c>
      <c r="G251" t="s">
        <v>144</v>
      </c>
    </row>
    <row r="252" spans="1:8">
      <c r="A252" s="3">
        <v>44305</v>
      </c>
      <c r="B252" t="s">
        <v>1379</v>
      </c>
      <c r="C252" s="8">
        <v>141638023</v>
      </c>
      <c r="D252" s="8">
        <v>0</v>
      </c>
      <c r="E252" s="8">
        <f t="shared" si="5"/>
        <v>314970496.10999954</v>
      </c>
      <c r="F252" t="s">
        <v>107</v>
      </c>
      <c r="G252" t="s">
        <v>274</v>
      </c>
      <c r="H252" t="s">
        <v>143</v>
      </c>
    </row>
    <row r="253" spans="1:8">
      <c r="A253" s="3">
        <v>44307</v>
      </c>
      <c r="B253" t="s">
        <v>1380</v>
      </c>
      <c r="C253" s="8">
        <v>4194800</v>
      </c>
      <c r="D253" s="8">
        <v>0</v>
      </c>
      <c r="E253" s="8">
        <f t="shared" si="5"/>
        <v>310775696.10999954</v>
      </c>
      <c r="F253" t="s">
        <v>137</v>
      </c>
      <c r="G253" t="s">
        <v>138</v>
      </c>
      <c r="H253" s="14" t="s">
        <v>1128</v>
      </c>
    </row>
    <row r="254" spans="1:8">
      <c r="A254" s="3">
        <v>44307</v>
      </c>
      <c r="B254" t="s">
        <v>1327</v>
      </c>
      <c r="C254" s="8">
        <v>1701140</v>
      </c>
      <c r="D254" s="8">
        <v>0</v>
      </c>
      <c r="E254" s="8">
        <f t="shared" si="5"/>
        <v>309074556.10999954</v>
      </c>
      <c r="F254" t="s">
        <v>137</v>
      </c>
      <c r="G254" t="s">
        <v>138</v>
      </c>
      <c r="H254" t="s">
        <v>251</v>
      </c>
    </row>
    <row r="255" spans="1:8">
      <c r="A255" s="3">
        <v>44307</v>
      </c>
      <c r="B255" t="s">
        <v>1381</v>
      </c>
      <c r="C255" s="8">
        <v>2900</v>
      </c>
      <c r="D255" s="8">
        <v>0</v>
      </c>
      <c r="E255" s="8">
        <f t="shared" si="5"/>
        <v>309071656.10999954</v>
      </c>
      <c r="F255" t="s">
        <v>113</v>
      </c>
      <c r="G255" t="s">
        <v>114</v>
      </c>
    </row>
    <row r="256" spans="1:8">
      <c r="A256" s="3">
        <v>44307</v>
      </c>
      <c r="B256" t="s">
        <v>1367</v>
      </c>
      <c r="C256" s="8">
        <v>5019900</v>
      </c>
      <c r="D256" s="8">
        <v>0</v>
      </c>
      <c r="E256" s="8">
        <f t="shared" si="5"/>
        <v>304051756.10999954</v>
      </c>
      <c r="F256" t="s">
        <v>137</v>
      </c>
      <c r="G256" t="s">
        <v>138</v>
      </c>
      <c r="H256" s="14" t="s">
        <v>1128</v>
      </c>
    </row>
    <row r="257" spans="1:9">
      <c r="A257" s="3">
        <v>44307</v>
      </c>
      <c r="B257" t="s">
        <v>1369</v>
      </c>
      <c r="C257" s="8">
        <v>2900</v>
      </c>
      <c r="D257" s="8">
        <v>0</v>
      </c>
      <c r="E257" s="8">
        <f t="shared" si="5"/>
        <v>304048856.10999954</v>
      </c>
      <c r="F257" t="s">
        <v>113</v>
      </c>
      <c r="G257" t="s">
        <v>114</v>
      </c>
    </row>
    <row r="258" spans="1:9">
      <c r="A258" s="3">
        <v>44307</v>
      </c>
      <c r="B258" t="s">
        <v>1382</v>
      </c>
      <c r="C258" s="8">
        <v>2115000</v>
      </c>
      <c r="D258" s="8">
        <v>0</v>
      </c>
      <c r="E258" s="8">
        <f t="shared" si="5"/>
        <v>301933856.10999954</v>
      </c>
      <c r="F258" t="s">
        <v>137</v>
      </c>
      <c r="G258" t="s">
        <v>138</v>
      </c>
      <c r="H258" s="14" t="s">
        <v>1128</v>
      </c>
    </row>
    <row r="259" spans="1:9">
      <c r="A259" s="3">
        <v>44307</v>
      </c>
      <c r="B259" t="s">
        <v>1371</v>
      </c>
      <c r="C259" s="8">
        <v>3493960</v>
      </c>
      <c r="D259" s="8">
        <v>0</v>
      </c>
      <c r="E259" s="8">
        <f t="shared" si="5"/>
        <v>298439896.10999954</v>
      </c>
      <c r="F259" t="s">
        <v>137</v>
      </c>
      <c r="G259" t="s">
        <v>138</v>
      </c>
      <c r="H259" s="14" t="s">
        <v>1128</v>
      </c>
    </row>
    <row r="260" spans="1:9">
      <c r="A260" s="3">
        <v>44307</v>
      </c>
      <c r="B260" t="s">
        <v>1369</v>
      </c>
      <c r="C260" s="8">
        <v>2900</v>
      </c>
      <c r="D260" s="8">
        <v>0</v>
      </c>
      <c r="E260" s="8">
        <f t="shared" si="5"/>
        <v>298436996.10999954</v>
      </c>
      <c r="F260" t="s">
        <v>113</v>
      </c>
      <c r="G260" t="s">
        <v>114</v>
      </c>
    </row>
    <row r="261" spans="1:9">
      <c r="A261" s="3">
        <v>44307</v>
      </c>
      <c r="B261" t="s">
        <v>1369</v>
      </c>
      <c r="C261" s="8">
        <v>2900</v>
      </c>
      <c r="D261" s="8">
        <v>0</v>
      </c>
      <c r="E261" s="8">
        <f t="shared" si="5"/>
        <v>298434096.10999954</v>
      </c>
      <c r="F261" t="s">
        <v>113</v>
      </c>
      <c r="G261" t="s">
        <v>114</v>
      </c>
    </row>
    <row r="262" spans="1:9">
      <c r="A262" s="3">
        <v>44307</v>
      </c>
      <c r="B262" t="s">
        <v>1383</v>
      </c>
      <c r="C262" s="8">
        <v>3316606</v>
      </c>
      <c r="D262" s="8">
        <v>0</v>
      </c>
      <c r="E262" s="8">
        <f t="shared" si="5"/>
        <v>295117490.10999954</v>
      </c>
      <c r="F262" t="s">
        <v>319</v>
      </c>
      <c r="G262" t="s">
        <v>467</v>
      </c>
    </row>
    <row r="263" spans="1:9">
      <c r="A263" s="3">
        <v>44307</v>
      </c>
      <c r="B263" t="s">
        <v>1384</v>
      </c>
      <c r="C263" s="8">
        <v>3500000</v>
      </c>
      <c r="D263" s="8">
        <v>0</v>
      </c>
      <c r="E263" s="8">
        <f t="shared" si="5"/>
        <v>291617490.10999954</v>
      </c>
      <c r="F263" t="s">
        <v>319</v>
      </c>
      <c r="G263" t="s">
        <v>467</v>
      </c>
    </row>
    <row r="264" spans="1:9">
      <c r="A264" s="3">
        <v>44307</v>
      </c>
      <c r="B264" t="s">
        <v>1385</v>
      </c>
      <c r="C264" s="8">
        <v>1500000</v>
      </c>
      <c r="D264" s="8">
        <v>0</v>
      </c>
      <c r="E264" s="8">
        <f t="shared" si="5"/>
        <v>290117490.10999954</v>
      </c>
      <c r="F264" t="s">
        <v>107</v>
      </c>
      <c r="G264" t="s">
        <v>1523</v>
      </c>
    </row>
    <row r="265" spans="1:9">
      <c r="A265" s="3">
        <v>44307</v>
      </c>
      <c r="B265" t="s">
        <v>1386</v>
      </c>
      <c r="C265" s="8">
        <v>2900</v>
      </c>
      <c r="D265" s="8">
        <v>0</v>
      </c>
      <c r="E265" s="8">
        <f t="shared" si="5"/>
        <v>290114590.10999954</v>
      </c>
      <c r="F265" t="s">
        <v>113</v>
      </c>
      <c r="G265" t="s">
        <v>114</v>
      </c>
    </row>
    <row r="266" spans="1:9">
      <c r="A266" s="3">
        <v>44307</v>
      </c>
      <c r="B266" t="s">
        <v>1387</v>
      </c>
      <c r="C266" s="8">
        <v>2500000</v>
      </c>
      <c r="D266" s="8">
        <v>0</v>
      </c>
      <c r="E266" s="8">
        <f t="shared" si="5"/>
        <v>287614590.10999954</v>
      </c>
      <c r="F266" t="s">
        <v>137</v>
      </c>
      <c r="G266" t="s">
        <v>138</v>
      </c>
      <c r="H266" s="14" t="s">
        <v>1128</v>
      </c>
    </row>
    <row r="267" spans="1:9">
      <c r="A267" s="3">
        <v>44307</v>
      </c>
      <c r="B267" t="s">
        <v>1369</v>
      </c>
      <c r="C267" s="8">
        <v>2900</v>
      </c>
      <c r="D267" s="8">
        <v>0</v>
      </c>
      <c r="E267" s="8">
        <f t="shared" si="5"/>
        <v>287611690.10999954</v>
      </c>
      <c r="F267" t="s">
        <v>113</v>
      </c>
      <c r="G267" t="s">
        <v>114</v>
      </c>
    </row>
    <row r="268" spans="1:9">
      <c r="A268" s="3">
        <v>44307</v>
      </c>
      <c r="B268" t="s">
        <v>1388</v>
      </c>
      <c r="C268" s="8">
        <v>3047900</v>
      </c>
      <c r="D268" s="8">
        <v>0</v>
      </c>
      <c r="E268" s="8">
        <f t="shared" si="5"/>
        <v>284563790.10999954</v>
      </c>
      <c r="F268" t="s">
        <v>137</v>
      </c>
      <c r="G268" t="s">
        <v>138</v>
      </c>
      <c r="H268" s="14" t="s">
        <v>2953</v>
      </c>
    </row>
    <row r="269" spans="1:9" s="14" customFormat="1">
      <c r="A269" s="138">
        <v>44309</v>
      </c>
      <c r="B269" s="14" t="s">
        <v>1308</v>
      </c>
      <c r="C269" s="50">
        <v>0</v>
      </c>
      <c r="D269" s="50">
        <v>20745898</v>
      </c>
      <c r="E269" s="50">
        <f t="shared" si="5"/>
        <v>305309688.10999954</v>
      </c>
      <c r="F269" s="14" t="s">
        <v>581</v>
      </c>
      <c r="G269" s="14" t="s">
        <v>582</v>
      </c>
      <c r="H269" s="168" t="s">
        <v>4862</v>
      </c>
      <c r="I269" s="14">
        <v>38</v>
      </c>
    </row>
    <row r="270" spans="1:9">
      <c r="A270" s="3">
        <v>44316</v>
      </c>
      <c r="B270" t="s">
        <v>1389</v>
      </c>
      <c r="C270" s="8">
        <v>72500000</v>
      </c>
      <c r="D270" s="8">
        <v>0</v>
      </c>
      <c r="E270" s="8">
        <f t="shared" si="5"/>
        <v>232809688.10999954</v>
      </c>
      <c r="F270" t="s">
        <v>248</v>
      </c>
      <c r="G270" t="s">
        <v>249</v>
      </c>
    </row>
    <row r="271" spans="1:9">
      <c r="A271" s="3">
        <v>44316</v>
      </c>
      <c r="B271" t="s">
        <v>1390</v>
      </c>
      <c r="C271" s="8">
        <v>2900</v>
      </c>
      <c r="D271" s="8">
        <v>0</v>
      </c>
      <c r="E271" s="8">
        <f t="shared" si="5"/>
        <v>232806788.10999954</v>
      </c>
      <c r="F271" t="s">
        <v>113</v>
      </c>
      <c r="G271" t="s">
        <v>114</v>
      </c>
    </row>
    <row r="272" spans="1:9">
      <c r="A272" s="3">
        <v>44316</v>
      </c>
      <c r="B272" t="s">
        <v>1391</v>
      </c>
      <c r="C272" s="8">
        <v>200000000</v>
      </c>
      <c r="D272" s="8">
        <v>0</v>
      </c>
      <c r="E272" s="8">
        <f t="shared" si="5"/>
        <v>32806788.109999537</v>
      </c>
      <c r="F272" t="s">
        <v>107</v>
      </c>
      <c r="G272" t="s">
        <v>108</v>
      </c>
    </row>
    <row r="273" spans="1:8">
      <c r="A273" s="3">
        <v>44316</v>
      </c>
      <c r="B273" t="s">
        <v>181</v>
      </c>
      <c r="C273" s="8">
        <v>2900</v>
      </c>
      <c r="D273" s="8">
        <v>0</v>
      </c>
      <c r="E273" s="8">
        <f t="shared" si="5"/>
        <v>32803888.109999537</v>
      </c>
      <c r="F273" t="s">
        <v>113</v>
      </c>
      <c r="G273" t="s">
        <v>114</v>
      </c>
    </row>
    <row r="274" spans="1:8">
      <c r="A274" s="3">
        <v>44316</v>
      </c>
      <c r="B274" t="s">
        <v>1335</v>
      </c>
      <c r="C274" s="8">
        <v>10000000</v>
      </c>
      <c r="D274" s="8">
        <v>0</v>
      </c>
      <c r="E274" s="8">
        <f t="shared" si="5"/>
        <v>22803888.109999537</v>
      </c>
      <c r="F274" t="s">
        <v>137</v>
      </c>
      <c r="G274" t="s">
        <v>138</v>
      </c>
      <c r="H274" t="s">
        <v>603</v>
      </c>
    </row>
    <row r="275" spans="1:8">
      <c r="A275" s="3">
        <v>44316</v>
      </c>
      <c r="B275" t="s">
        <v>1392</v>
      </c>
      <c r="C275" s="8">
        <v>2900</v>
      </c>
      <c r="D275" s="8">
        <v>0</v>
      </c>
      <c r="E275" s="8">
        <f t="shared" si="5"/>
        <v>22800988.109999537</v>
      </c>
      <c r="F275" t="s">
        <v>113</v>
      </c>
      <c r="G275" t="s">
        <v>114</v>
      </c>
    </row>
    <row r="276" spans="1:8">
      <c r="A276" s="3">
        <v>44316</v>
      </c>
      <c r="B276" t="s">
        <v>1393</v>
      </c>
      <c r="C276" s="8">
        <v>1927305</v>
      </c>
      <c r="D276" s="8">
        <v>0</v>
      </c>
      <c r="E276" s="8">
        <f t="shared" si="5"/>
        <v>20873683.109999537</v>
      </c>
      <c r="F276" t="s">
        <v>137</v>
      </c>
      <c r="G276" t="s">
        <v>138</v>
      </c>
      <c r="H276" t="s">
        <v>603</v>
      </c>
    </row>
    <row r="277" spans="1:8">
      <c r="A277" s="3">
        <v>44316</v>
      </c>
      <c r="B277" t="s">
        <v>1392</v>
      </c>
      <c r="C277" s="8">
        <v>2900</v>
      </c>
      <c r="D277" s="8">
        <v>0</v>
      </c>
      <c r="E277" s="8">
        <f t="shared" ref="E277:E340" si="6">E276-C277+D277</f>
        <v>20870783.109999537</v>
      </c>
      <c r="F277" t="s">
        <v>113</v>
      </c>
      <c r="G277" t="s">
        <v>114</v>
      </c>
    </row>
    <row r="278" spans="1:8">
      <c r="A278" s="3">
        <v>44316</v>
      </c>
      <c r="B278" t="s">
        <v>1394</v>
      </c>
      <c r="C278" s="8">
        <v>2560400</v>
      </c>
      <c r="D278" s="8">
        <v>0</v>
      </c>
      <c r="E278" s="8">
        <f t="shared" si="6"/>
        <v>18310383.109999537</v>
      </c>
      <c r="F278" t="s">
        <v>137</v>
      </c>
      <c r="G278" t="s">
        <v>138</v>
      </c>
      <c r="H278" s="14" t="s">
        <v>1128</v>
      </c>
    </row>
    <row r="279" spans="1:8">
      <c r="A279" s="3">
        <v>44316</v>
      </c>
      <c r="B279" t="s">
        <v>1395</v>
      </c>
      <c r="C279" s="8">
        <v>2900</v>
      </c>
      <c r="D279" s="8">
        <v>0</v>
      </c>
      <c r="E279" s="8">
        <f t="shared" si="6"/>
        <v>18307483.109999537</v>
      </c>
      <c r="F279" t="s">
        <v>113</v>
      </c>
      <c r="G279" t="s">
        <v>114</v>
      </c>
    </row>
    <row r="280" spans="1:8">
      <c r="A280" s="3">
        <v>44316</v>
      </c>
      <c r="B280" t="s">
        <v>1396</v>
      </c>
      <c r="C280" s="8">
        <v>928000</v>
      </c>
      <c r="D280" s="8">
        <v>0</v>
      </c>
      <c r="E280" s="8">
        <f t="shared" si="6"/>
        <v>17379483.109999537</v>
      </c>
      <c r="F280" t="s">
        <v>137</v>
      </c>
      <c r="G280" t="s">
        <v>138</v>
      </c>
      <c r="H280" s="14" t="s">
        <v>3030</v>
      </c>
    </row>
    <row r="281" spans="1:8">
      <c r="A281" s="3">
        <v>44316</v>
      </c>
      <c r="B281" t="s">
        <v>1397</v>
      </c>
      <c r="C281" s="8">
        <v>2900</v>
      </c>
      <c r="D281" s="8">
        <v>0</v>
      </c>
      <c r="E281" s="8">
        <f t="shared" si="6"/>
        <v>17376583.109999537</v>
      </c>
      <c r="F281" t="s">
        <v>113</v>
      </c>
      <c r="G281" t="s">
        <v>114</v>
      </c>
    </row>
    <row r="282" spans="1:8">
      <c r="A282" s="3">
        <v>44316</v>
      </c>
      <c r="B282" t="s">
        <v>270</v>
      </c>
      <c r="C282" s="8">
        <v>25000</v>
      </c>
      <c r="D282" s="8">
        <v>0</v>
      </c>
      <c r="E282" s="8">
        <f t="shared" si="6"/>
        <v>17351583.109999537</v>
      </c>
      <c r="F282" t="s">
        <v>113</v>
      </c>
      <c r="G282" t="s">
        <v>114</v>
      </c>
    </row>
    <row r="283" spans="1:8">
      <c r="A283" s="3">
        <v>44316</v>
      </c>
      <c r="B283" t="s">
        <v>1000</v>
      </c>
      <c r="C283" s="8">
        <v>0</v>
      </c>
      <c r="D283" s="8">
        <v>116875.8</v>
      </c>
      <c r="E283" s="8">
        <f t="shared" si="6"/>
        <v>17468458.909999538</v>
      </c>
      <c r="F283" t="s">
        <v>252</v>
      </c>
      <c r="G283" t="s">
        <v>253</v>
      </c>
    </row>
    <row r="284" spans="1:8">
      <c r="A284" s="3">
        <v>44316</v>
      </c>
      <c r="B284" t="s">
        <v>273</v>
      </c>
      <c r="C284" s="8">
        <v>23375.16</v>
      </c>
      <c r="D284" s="8">
        <v>0</v>
      </c>
      <c r="E284" s="8">
        <f t="shared" si="6"/>
        <v>17445083.749999538</v>
      </c>
      <c r="F284" t="s">
        <v>252</v>
      </c>
      <c r="G284" t="s">
        <v>253</v>
      </c>
    </row>
    <row r="285" spans="1:8">
      <c r="A285" s="3">
        <v>44321</v>
      </c>
      <c r="B285" t="s">
        <v>2076</v>
      </c>
      <c r="C285" s="54">
        <v>0</v>
      </c>
      <c r="D285" s="54">
        <v>18199000</v>
      </c>
      <c r="E285" s="54">
        <f t="shared" si="6"/>
        <v>35644083.749999538</v>
      </c>
      <c r="F285" t="s">
        <v>110</v>
      </c>
      <c r="G285" t="s">
        <v>629</v>
      </c>
      <c r="H285" t="s">
        <v>4488</v>
      </c>
    </row>
    <row r="286" spans="1:8">
      <c r="A286" s="3">
        <v>44322</v>
      </c>
      <c r="B286" t="s">
        <v>1786</v>
      </c>
      <c r="C286" s="8">
        <v>18400000</v>
      </c>
      <c r="D286" s="8">
        <v>0</v>
      </c>
      <c r="E286" s="8">
        <f t="shared" si="6"/>
        <v>17244083.749999538</v>
      </c>
      <c r="F286" t="s">
        <v>137</v>
      </c>
      <c r="G286" t="s">
        <v>138</v>
      </c>
      <c r="H286" s="14" t="s">
        <v>1126</v>
      </c>
    </row>
    <row r="287" spans="1:8">
      <c r="A287" s="3">
        <v>44322</v>
      </c>
      <c r="B287" t="s">
        <v>1787</v>
      </c>
      <c r="C287" s="8">
        <v>2900</v>
      </c>
      <c r="D287" s="8">
        <v>0</v>
      </c>
      <c r="E287" s="8">
        <f t="shared" si="6"/>
        <v>17241183.749999538</v>
      </c>
      <c r="F287" t="s">
        <v>137</v>
      </c>
      <c r="G287" t="s">
        <v>138</v>
      </c>
      <c r="H287" s="14" t="s">
        <v>1126</v>
      </c>
    </row>
    <row r="288" spans="1:8">
      <c r="A288" s="3">
        <v>44322</v>
      </c>
      <c r="B288" t="s">
        <v>2075</v>
      </c>
      <c r="C288" s="8">
        <v>17000000</v>
      </c>
      <c r="D288" s="8">
        <v>0</v>
      </c>
      <c r="E288" s="8">
        <f t="shared" si="6"/>
        <v>241183.74999953806</v>
      </c>
      <c r="F288" t="s">
        <v>107</v>
      </c>
      <c r="G288" t="s">
        <v>108</v>
      </c>
    </row>
    <row r="289" spans="1:8">
      <c r="A289" s="3">
        <v>44322</v>
      </c>
      <c r="B289" t="s">
        <v>1788</v>
      </c>
      <c r="C289" s="8">
        <v>6500</v>
      </c>
      <c r="D289" s="8">
        <v>0</v>
      </c>
      <c r="E289" s="8">
        <f t="shared" si="6"/>
        <v>234683.74999953806</v>
      </c>
      <c r="F289" t="s">
        <v>113</v>
      </c>
      <c r="G289" t="s">
        <v>114</v>
      </c>
    </row>
    <row r="290" spans="1:8">
      <c r="A290" s="3">
        <v>44326</v>
      </c>
      <c r="B290" t="s">
        <v>1792</v>
      </c>
      <c r="C290" s="8">
        <v>0</v>
      </c>
      <c r="D290" s="8">
        <v>400000000</v>
      </c>
      <c r="E290" s="8">
        <f t="shared" si="6"/>
        <v>400234683.74999952</v>
      </c>
      <c r="F290" t="s">
        <v>107</v>
      </c>
      <c r="G290" t="s">
        <v>2082</v>
      </c>
    </row>
    <row r="291" spans="1:8">
      <c r="A291" s="3">
        <v>44326</v>
      </c>
      <c r="B291" t="s">
        <v>1793</v>
      </c>
      <c r="C291" s="8">
        <v>72500000</v>
      </c>
      <c r="D291" s="8">
        <v>0</v>
      </c>
      <c r="E291" s="8">
        <f t="shared" si="6"/>
        <v>327734683.74999952</v>
      </c>
      <c r="F291" t="s">
        <v>248</v>
      </c>
      <c r="G291" t="s">
        <v>249</v>
      </c>
    </row>
    <row r="292" spans="1:8">
      <c r="A292" s="3">
        <v>44326</v>
      </c>
      <c r="B292" t="s">
        <v>1794</v>
      </c>
      <c r="C292" s="8">
        <v>2900</v>
      </c>
      <c r="D292" s="8">
        <v>0</v>
      </c>
      <c r="E292" s="8">
        <f t="shared" si="6"/>
        <v>327731783.74999952</v>
      </c>
      <c r="F292" t="s">
        <v>113</v>
      </c>
      <c r="G292" t="s">
        <v>114</v>
      </c>
    </row>
    <row r="293" spans="1:8">
      <c r="A293" s="3">
        <v>44327</v>
      </c>
      <c r="B293" t="s">
        <v>1795</v>
      </c>
      <c r="C293" s="8">
        <v>52267534</v>
      </c>
      <c r="D293" s="8">
        <v>0</v>
      </c>
      <c r="E293" s="8">
        <f t="shared" si="6"/>
        <v>275464249.74999952</v>
      </c>
      <c r="F293" t="s">
        <v>137</v>
      </c>
      <c r="G293" t="s">
        <v>138</v>
      </c>
      <c r="H293" s="14" t="s">
        <v>1128</v>
      </c>
    </row>
    <row r="294" spans="1:8">
      <c r="A294" s="3">
        <v>44327</v>
      </c>
      <c r="B294" t="s">
        <v>1369</v>
      </c>
      <c r="C294" s="8">
        <v>2900</v>
      </c>
      <c r="D294" s="8">
        <v>0</v>
      </c>
      <c r="E294" s="8">
        <f t="shared" si="6"/>
        <v>275461349.74999952</v>
      </c>
      <c r="F294" t="s">
        <v>113</v>
      </c>
      <c r="G294" t="s">
        <v>114</v>
      </c>
    </row>
    <row r="295" spans="1:8">
      <c r="A295" s="3">
        <v>44327</v>
      </c>
      <c r="B295" t="s">
        <v>1796</v>
      </c>
      <c r="C295" s="8">
        <v>19976320</v>
      </c>
      <c r="D295" s="8">
        <v>0</v>
      </c>
      <c r="E295" s="8">
        <f t="shared" si="6"/>
        <v>255485029.74999952</v>
      </c>
      <c r="F295" t="s">
        <v>137</v>
      </c>
      <c r="G295" t="s">
        <v>138</v>
      </c>
      <c r="H295" s="14" t="s">
        <v>2959</v>
      </c>
    </row>
    <row r="296" spans="1:8">
      <c r="A296" s="3">
        <v>44327</v>
      </c>
      <c r="B296" t="s">
        <v>1797</v>
      </c>
      <c r="C296" s="8">
        <v>2900</v>
      </c>
      <c r="D296" s="8">
        <v>0</v>
      </c>
      <c r="E296" s="8">
        <f t="shared" si="6"/>
        <v>255482129.74999952</v>
      </c>
      <c r="F296" t="s">
        <v>113</v>
      </c>
      <c r="G296" t="s">
        <v>114</v>
      </c>
    </row>
    <row r="297" spans="1:8">
      <c r="A297" s="3">
        <v>44327</v>
      </c>
      <c r="B297" t="s">
        <v>1798</v>
      </c>
      <c r="C297" s="8">
        <v>5164579</v>
      </c>
      <c r="D297" s="8">
        <v>0</v>
      </c>
      <c r="E297" s="8">
        <f t="shared" si="6"/>
        <v>250317550.74999952</v>
      </c>
      <c r="F297" t="s">
        <v>137</v>
      </c>
      <c r="G297" t="s">
        <v>138</v>
      </c>
      <c r="H297" s="14" t="s">
        <v>1127</v>
      </c>
    </row>
    <row r="298" spans="1:8">
      <c r="A298" s="3">
        <v>44327</v>
      </c>
      <c r="B298" t="s">
        <v>1799</v>
      </c>
      <c r="C298" s="8">
        <v>2900</v>
      </c>
      <c r="D298" s="8">
        <v>0</v>
      </c>
      <c r="E298" s="8">
        <f t="shared" si="6"/>
        <v>250314650.74999952</v>
      </c>
      <c r="F298" t="s">
        <v>113</v>
      </c>
      <c r="G298" t="s">
        <v>114</v>
      </c>
    </row>
    <row r="299" spans="1:8">
      <c r="A299" s="3">
        <v>44327</v>
      </c>
      <c r="B299" t="s">
        <v>1800</v>
      </c>
      <c r="C299" s="8">
        <v>1302184</v>
      </c>
      <c r="D299" s="8">
        <v>0</v>
      </c>
      <c r="E299" s="8">
        <f t="shared" si="6"/>
        <v>249012466.74999952</v>
      </c>
      <c r="F299" t="s">
        <v>137</v>
      </c>
      <c r="G299" t="s">
        <v>138</v>
      </c>
      <c r="H299" s="14" t="s">
        <v>1128</v>
      </c>
    </row>
    <row r="300" spans="1:8">
      <c r="A300" s="3">
        <v>44327</v>
      </c>
      <c r="B300" t="s">
        <v>1369</v>
      </c>
      <c r="C300" s="8">
        <v>2900</v>
      </c>
      <c r="D300" s="8">
        <v>0</v>
      </c>
      <c r="E300" s="8">
        <f t="shared" si="6"/>
        <v>249009566.74999952</v>
      </c>
      <c r="F300" t="s">
        <v>113</v>
      </c>
      <c r="G300" t="s">
        <v>114</v>
      </c>
    </row>
    <row r="301" spans="1:8">
      <c r="A301" s="3">
        <v>44327</v>
      </c>
      <c r="B301" t="s">
        <v>1801</v>
      </c>
      <c r="C301" s="8">
        <v>33717000</v>
      </c>
      <c r="D301" s="8">
        <v>0</v>
      </c>
      <c r="E301" s="8">
        <f t="shared" si="6"/>
        <v>215292566.74999952</v>
      </c>
      <c r="F301" t="s">
        <v>137</v>
      </c>
      <c r="G301" t="s">
        <v>138</v>
      </c>
      <c r="H301" t="s">
        <v>1015</v>
      </c>
    </row>
    <row r="302" spans="1:8">
      <c r="A302" s="3">
        <v>44327</v>
      </c>
      <c r="B302" t="s">
        <v>1802</v>
      </c>
      <c r="C302" s="8">
        <v>10950000</v>
      </c>
      <c r="D302" s="8">
        <v>0</v>
      </c>
      <c r="E302" s="8">
        <f t="shared" si="6"/>
        <v>204342566.74999952</v>
      </c>
      <c r="F302" t="s">
        <v>137</v>
      </c>
      <c r="G302" t="s">
        <v>138</v>
      </c>
      <c r="H302" t="s">
        <v>1015</v>
      </c>
    </row>
    <row r="303" spans="1:8">
      <c r="A303" s="3">
        <v>44327</v>
      </c>
      <c r="B303" t="s">
        <v>1803</v>
      </c>
      <c r="C303" s="8">
        <v>2900</v>
      </c>
      <c r="D303" s="8">
        <v>0</v>
      </c>
      <c r="E303" s="8">
        <f t="shared" si="6"/>
        <v>204339666.74999952</v>
      </c>
      <c r="F303" t="s">
        <v>113</v>
      </c>
      <c r="G303" t="s">
        <v>114</v>
      </c>
    </row>
    <row r="304" spans="1:8">
      <c r="A304" s="3">
        <v>44327</v>
      </c>
      <c r="B304" t="s">
        <v>1804</v>
      </c>
      <c r="C304" s="8">
        <v>17600000</v>
      </c>
      <c r="D304" s="8">
        <v>0</v>
      </c>
      <c r="E304" s="8">
        <f t="shared" si="6"/>
        <v>186739666.74999952</v>
      </c>
      <c r="F304" t="s">
        <v>137</v>
      </c>
      <c r="G304" t="s">
        <v>138</v>
      </c>
      <c r="H304" s="14" t="s">
        <v>3020</v>
      </c>
    </row>
    <row r="305" spans="1:8">
      <c r="A305" s="3">
        <v>44327</v>
      </c>
      <c r="B305" t="s">
        <v>1805</v>
      </c>
      <c r="C305" s="8">
        <v>2900</v>
      </c>
      <c r="D305" s="8">
        <v>0</v>
      </c>
      <c r="E305" s="8">
        <f t="shared" si="6"/>
        <v>186736766.74999952</v>
      </c>
      <c r="F305" t="s">
        <v>113</v>
      </c>
      <c r="G305" t="s">
        <v>114</v>
      </c>
    </row>
    <row r="306" spans="1:8">
      <c r="A306" s="3">
        <v>44327</v>
      </c>
      <c r="B306" t="s">
        <v>1806</v>
      </c>
      <c r="C306" s="8">
        <v>2000000</v>
      </c>
      <c r="D306" s="8">
        <v>0</v>
      </c>
      <c r="E306" s="8">
        <f t="shared" si="6"/>
        <v>184736766.74999952</v>
      </c>
      <c r="F306" t="s">
        <v>137</v>
      </c>
      <c r="G306" t="s">
        <v>138</v>
      </c>
      <c r="H306" s="14" t="s">
        <v>3033</v>
      </c>
    </row>
    <row r="307" spans="1:8">
      <c r="A307" s="3">
        <v>44327</v>
      </c>
      <c r="B307" t="s">
        <v>1807</v>
      </c>
      <c r="C307" s="8">
        <v>14284500</v>
      </c>
      <c r="D307" s="8">
        <v>0</v>
      </c>
      <c r="E307" s="8">
        <f t="shared" si="6"/>
        <v>170452266.74999952</v>
      </c>
      <c r="F307" s="10" t="s">
        <v>137</v>
      </c>
      <c r="G307" s="10" t="s">
        <v>138</v>
      </c>
      <c r="H307" t="s">
        <v>1127</v>
      </c>
    </row>
    <row r="308" spans="1:8">
      <c r="A308" s="3">
        <v>44327</v>
      </c>
      <c r="B308" t="s">
        <v>1799</v>
      </c>
      <c r="C308" s="8">
        <v>2900</v>
      </c>
      <c r="D308" s="8">
        <v>0</v>
      </c>
      <c r="E308" s="8">
        <f t="shared" si="6"/>
        <v>170449366.74999952</v>
      </c>
      <c r="F308" t="s">
        <v>113</v>
      </c>
      <c r="G308" t="s">
        <v>114</v>
      </c>
    </row>
    <row r="309" spans="1:8">
      <c r="A309" s="3">
        <v>44327</v>
      </c>
      <c r="B309" t="s">
        <v>1808</v>
      </c>
      <c r="C309" s="8">
        <v>2900</v>
      </c>
      <c r="D309" s="8">
        <v>0</v>
      </c>
      <c r="E309" s="8">
        <f t="shared" si="6"/>
        <v>170446466.74999952</v>
      </c>
      <c r="F309" t="s">
        <v>113</v>
      </c>
      <c r="G309" t="s">
        <v>114</v>
      </c>
    </row>
    <row r="310" spans="1:8">
      <c r="A310" s="3">
        <v>44327</v>
      </c>
      <c r="B310" t="s">
        <v>1809</v>
      </c>
      <c r="C310" s="8">
        <v>540100</v>
      </c>
      <c r="D310" s="8">
        <v>0</v>
      </c>
      <c r="E310" s="8">
        <f t="shared" si="6"/>
        <v>169906366.74999952</v>
      </c>
      <c r="F310" s="10" t="s">
        <v>137</v>
      </c>
      <c r="G310" s="10" t="s">
        <v>138</v>
      </c>
      <c r="H310" s="14" t="s">
        <v>3033</v>
      </c>
    </row>
    <row r="311" spans="1:8">
      <c r="A311" s="3">
        <v>44327</v>
      </c>
      <c r="B311" t="s">
        <v>1810</v>
      </c>
      <c r="C311" s="8">
        <v>2900</v>
      </c>
      <c r="D311" s="8">
        <v>0</v>
      </c>
      <c r="E311" s="8">
        <f t="shared" si="6"/>
        <v>169903466.74999952</v>
      </c>
      <c r="F311" t="s">
        <v>113</v>
      </c>
      <c r="G311" t="s">
        <v>114</v>
      </c>
    </row>
    <row r="312" spans="1:8">
      <c r="A312" s="3">
        <v>44328</v>
      </c>
      <c r="B312" t="s">
        <v>1811</v>
      </c>
      <c r="C312" s="8">
        <v>1030800</v>
      </c>
      <c r="D312" s="8">
        <v>0</v>
      </c>
      <c r="E312" s="8">
        <f t="shared" si="6"/>
        <v>168872666.74999952</v>
      </c>
      <c r="F312" s="10" t="s">
        <v>137</v>
      </c>
      <c r="G312" s="10" t="s">
        <v>138</v>
      </c>
      <c r="H312" s="14" t="s">
        <v>3011</v>
      </c>
    </row>
    <row r="313" spans="1:8">
      <c r="A313" s="3">
        <v>44328</v>
      </c>
      <c r="B313" t="s">
        <v>1812</v>
      </c>
      <c r="C313" s="8">
        <v>6500</v>
      </c>
      <c r="D313" s="8">
        <v>0</v>
      </c>
      <c r="E313" s="8">
        <f t="shared" si="6"/>
        <v>168866166.74999952</v>
      </c>
      <c r="F313" t="s">
        <v>113</v>
      </c>
      <c r="G313" t="s">
        <v>114</v>
      </c>
    </row>
    <row r="314" spans="1:8">
      <c r="A314" s="3">
        <v>44333</v>
      </c>
      <c r="B314" t="s">
        <v>1813</v>
      </c>
      <c r="C314" s="8">
        <v>1700000</v>
      </c>
      <c r="D314" s="8">
        <v>0</v>
      </c>
      <c r="E314" s="8">
        <f t="shared" si="6"/>
        <v>167166166.74999952</v>
      </c>
      <c r="F314" s="10" t="s">
        <v>137</v>
      </c>
      <c r="G314" s="10" t="s">
        <v>138</v>
      </c>
      <c r="H314" s="14" t="s">
        <v>1128</v>
      </c>
    </row>
    <row r="315" spans="1:8">
      <c r="A315" s="3">
        <v>44333</v>
      </c>
      <c r="B315" t="s">
        <v>1369</v>
      </c>
      <c r="C315" s="8">
        <v>2900</v>
      </c>
      <c r="D315" s="8">
        <v>0</v>
      </c>
      <c r="E315" s="8">
        <f t="shared" si="6"/>
        <v>167163266.74999952</v>
      </c>
      <c r="F315" t="s">
        <v>113</v>
      </c>
      <c r="G315" t="s">
        <v>114</v>
      </c>
    </row>
    <row r="316" spans="1:8">
      <c r="A316" s="3">
        <v>44333</v>
      </c>
      <c r="B316" t="s">
        <v>1814</v>
      </c>
      <c r="C316" s="8">
        <v>100000</v>
      </c>
      <c r="D316" s="8">
        <v>0</v>
      </c>
      <c r="E316" s="8">
        <f t="shared" si="6"/>
        <v>167063266.74999952</v>
      </c>
      <c r="F316" t="s">
        <v>113</v>
      </c>
      <c r="G316" t="s">
        <v>114</v>
      </c>
    </row>
    <row r="317" spans="1:8">
      <c r="A317" s="3">
        <v>44334</v>
      </c>
      <c r="B317" t="s">
        <v>1815</v>
      </c>
      <c r="C317" s="8">
        <v>3500004</v>
      </c>
      <c r="D317" s="8">
        <v>0</v>
      </c>
      <c r="E317" s="8">
        <f t="shared" si="6"/>
        <v>163563262.74999952</v>
      </c>
      <c r="F317" t="s">
        <v>319</v>
      </c>
      <c r="G317" t="s">
        <v>467</v>
      </c>
    </row>
    <row r="318" spans="1:8">
      <c r="A318" s="3">
        <v>44334</v>
      </c>
      <c r="B318" t="s">
        <v>1816</v>
      </c>
      <c r="C318" s="8">
        <v>3500000</v>
      </c>
      <c r="D318" s="8">
        <v>0</v>
      </c>
      <c r="E318" s="8">
        <f t="shared" si="6"/>
        <v>160063262.74999952</v>
      </c>
      <c r="F318" t="s">
        <v>319</v>
      </c>
      <c r="G318" t="s">
        <v>467</v>
      </c>
    </row>
    <row r="319" spans="1:8">
      <c r="A319" s="3">
        <v>44334</v>
      </c>
      <c r="B319" t="s">
        <v>1817</v>
      </c>
      <c r="C319" s="8">
        <v>3118500</v>
      </c>
      <c r="D319" s="8">
        <v>0</v>
      </c>
      <c r="E319" s="8">
        <f t="shared" si="6"/>
        <v>156944762.74999952</v>
      </c>
      <c r="F319" s="10" t="s">
        <v>137</v>
      </c>
      <c r="G319" s="10" t="s">
        <v>138</v>
      </c>
      <c r="H319" s="14" t="s">
        <v>1128</v>
      </c>
    </row>
    <row r="320" spans="1:8">
      <c r="A320" s="3">
        <v>44334</v>
      </c>
      <c r="B320" t="s">
        <v>1369</v>
      </c>
      <c r="C320" s="8">
        <v>2900</v>
      </c>
      <c r="D320" s="8">
        <v>0</v>
      </c>
      <c r="E320" s="8">
        <f t="shared" si="6"/>
        <v>156941862.74999952</v>
      </c>
      <c r="F320" t="s">
        <v>113</v>
      </c>
      <c r="G320" t="s">
        <v>114</v>
      </c>
    </row>
    <row r="321" spans="1:8">
      <c r="A321" s="3">
        <v>44338</v>
      </c>
      <c r="B321" t="s">
        <v>1818</v>
      </c>
      <c r="C321" s="8">
        <v>25000000</v>
      </c>
      <c r="D321" s="8">
        <v>0</v>
      </c>
      <c r="E321" s="8">
        <f t="shared" si="6"/>
        <v>131941862.74999952</v>
      </c>
      <c r="F321" t="s">
        <v>107</v>
      </c>
      <c r="G321" t="s">
        <v>108</v>
      </c>
    </row>
    <row r="322" spans="1:8">
      <c r="A322" s="3">
        <v>44338</v>
      </c>
      <c r="B322" t="s">
        <v>1819</v>
      </c>
      <c r="C322" s="8">
        <v>6500</v>
      </c>
      <c r="D322" s="8">
        <v>0</v>
      </c>
      <c r="E322" s="8">
        <f t="shared" si="6"/>
        <v>131935362.74999952</v>
      </c>
      <c r="F322" t="s">
        <v>113</v>
      </c>
      <c r="G322" t="s">
        <v>114</v>
      </c>
    </row>
    <row r="323" spans="1:8">
      <c r="A323" s="3">
        <v>44338</v>
      </c>
      <c r="B323" t="s">
        <v>1820</v>
      </c>
      <c r="C323" s="8">
        <v>25000000</v>
      </c>
      <c r="D323" s="8">
        <v>0</v>
      </c>
      <c r="E323" s="8">
        <f t="shared" si="6"/>
        <v>106935362.74999952</v>
      </c>
      <c r="F323" t="s">
        <v>107</v>
      </c>
      <c r="G323" t="s">
        <v>108</v>
      </c>
    </row>
    <row r="324" spans="1:8">
      <c r="A324" s="3">
        <v>44338</v>
      </c>
      <c r="B324" t="s">
        <v>1821</v>
      </c>
      <c r="C324" s="8">
        <v>6500</v>
      </c>
      <c r="D324" s="8">
        <v>0</v>
      </c>
      <c r="E324" s="8">
        <f t="shared" si="6"/>
        <v>106928862.74999952</v>
      </c>
      <c r="F324" t="s">
        <v>113</v>
      </c>
      <c r="G324" t="s">
        <v>114</v>
      </c>
    </row>
    <row r="325" spans="1:8">
      <c r="A325" s="3">
        <v>44341</v>
      </c>
      <c r="B325" t="s">
        <v>1822</v>
      </c>
      <c r="C325" s="8">
        <v>676250</v>
      </c>
      <c r="D325" s="8">
        <v>0</v>
      </c>
      <c r="E325" s="8">
        <f t="shared" si="6"/>
        <v>106252612.74999952</v>
      </c>
      <c r="F325" s="10" t="s">
        <v>137</v>
      </c>
      <c r="G325" s="10" t="s">
        <v>138</v>
      </c>
      <c r="H325" s="14" t="s">
        <v>1128</v>
      </c>
    </row>
    <row r="326" spans="1:8">
      <c r="A326" s="3">
        <v>44341</v>
      </c>
      <c r="B326" t="s">
        <v>1369</v>
      </c>
      <c r="C326" s="8">
        <v>2900</v>
      </c>
      <c r="D326" s="8">
        <v>0</v>
      </c>
      <c r="E326" s="8">
        <f t="shared" si="6"/>
        <v>106249712.74999952</v>
      </c>
      <c r="F326" t="s">
        <v>113</v>
      </c>
      <c r="G326" t="s">
        <v>114</v>
      </c>
    </row>
    <row r="327" spans="1:8">
      <c r="A327" s="3">
        <v>44341</v>
      </c>
      <c r="B327" t="s">
        <v>1823</v>
      </c>
      <c r="C327" s="8">
        <v>15605000</v>
      </c>
      <c r="D327" s="8">
        <v>0</v>
      </c>
      <c r="E327" s="8">
        <f t="shared" si="6"/>
        <v>90644712.749999523</v>
      </c>
      <c r="F327" s="10" t="s">
        <v>137</v>
      </c>
      <c r="G327" s="10" t="s">
        <v>138</v>
      </c>
      <c r="H327" s="14" t="s">
        <v>1126</v>
      </c>
    </row>
    <row r="328" spans="1:8">
      <c r="A328" s="3">
        <v>44341</v>
      </c>
      <c r="B328" t="s">
        <v>1371</v>
      </c>
      <c r="C328" s="8">
        <v>24770396</v>
      </c>
      <c r="D328" s="8">
        <v>0</v>
      </c>
      <c r="E328" s="8">
        <f t="shared" si="6"/>
        <v>65874316.749999523</v>
      </c>
      <c r="F328" s="10" t="s">
        <v>137</v>
      </c>
      <c r="G328" s="10" t="s">
        <v>138</v>
      </c>
      <c r="H328" s="14" t="s">
        <v>1128</v>
      </c>
    </row>
    <row r="329" spans="1:8">
      <c r="A329" s="3">
        <v>44341</v>
      </c>
      <c r="B329" t="s">
        <v>1369</v>
      </c>
      <c r="C329" s="8">
        <v>2900</v>
      </c>
      <c r="D329" s="8">
        <v>0</v>
      </c>
      <c r="E329" s="8">
        <f t="shared" si="6"/>
        <v>65871416.749999523</v>
      </c>
      <c r="F329" t="s">
        <v>113</v>
      </c>
      <c r="G329" t="s">
        <v>114</v>
      </c>
    </row>
    <row r="330" spans="1:8">
      <c r="A330" s="3">
        <v>44341</v>
      </c>
      <c r="B330" t="s">
        <v>1824</v>
      </c>
      <c r="C330" s="8">
        <v>2900</v>
      </c>
      <c r="D330" s="8">
        <v>0</v>
      </c>
      <c r="E330" s="8">
        <f t="shared" si="6"/>
        <v>65868516.749999523</v>
      </c>
      <c r="F330" t="s">
        <v>113</v>
      </c>
      <c r="G330" t="s">
        <v>114</v>
      </c>
    </row>
    <row r="331" spans="1:8">
      <c r="A331" s="3">
        <v>44341</v>
      </c>
      <c r="B331" t="s">
        <v>1825</v>
      </c>
      <c r="C331" s="8">
        <v>17500000</v>
      </c>
      <c r="D331" s="8">
        <v>0</v>
      </c>
      <c r="E331" s="8">
        <f t="shared" si="6"/>
        <v>48368516.749999523</v>
      </c>
      <c r="F331" s="10" t="s">
        <v>137</v>
      </c>
      <c r="G331" s="10" t="s">
        <v>138</v>
      </c>
      <c r="H331" s="14" t="s">
        <v>2953</v>
      </c>
    </row>
    <row r="332" spans="1:8">
      <c r="A332" s="3">
        <v>44341</v>
      </c>
      <c r="B332" t="s">
        <v>1826</v>
      </c>
      <c r="C332" s="8">
        <v>2900</v>
      </c>
      <c r="D332" s="8">
        <v>0</v>
      </c>
      <c r="E332" s="8">
        <f t="shared" si="6"/>
        <v>48365616.749999523</v>
      </c>
      <c r="F332" t="s">
        <v>113</v>
      </c>
      <c r="G332" t="s">
        <v>114</v>
      </c>
    </row>
    <row r="333" spans="1:8">
      <c r="A333" s="3">
        <v>44341</v>
      </c>
      <c r="B333" t="s">
        <v>1827</v>
      </c>
      <c r="C333" s="8">
        <v>20000000</v>
      </c>
      <c r="D333" s="8">
        <v>0</v>
      </c>
      <c r="E333" s="8">
        <f t="shared" si="6"/>
        <v>28365616.749999523</v>
      </c>
      <c r="F333" s="10" t="s">
        <v>137</v>
      </c>
      <c r="G333" s="10" t="s">
        <v>138</v>
      </c>
      <c r="H333" s="14" t="s">
        <v>2953</v>
      </c>
    </row>
    <row r="334" spans="1:8">
      <c r="A334" s="3">
        <v>44341</v>
      </c>
      <c r="B334" t="s">
        <v>1826</v>
      </c>
      <c r="C334" s="8">
        <v>2900</v>
      </c>
      <c r="D334" s="8">
        <v>0</v>
      </c>
      <c r="E334" s="8">
        <f t="shared" si="6"/>
        <v>28362716.749999523</v>
      </c>
      <c r="F334" t="s">
        <v>113</v>
      </c>
      <c r="G334" t="s">
        <v>114</v>
      </c>
    </row>
    <row r="335" spans="1:8">
      <c r="A335" s="3">
        <v>44341</v>
      </c>
      <c r="B335" t="s">
        <v>1828</v>
      </c>
      <c r="C335" s="8">
        <v>0</v>
      </c>
      <c r="D335" s="8">
        <v>500000000</v>
      </c>
      <c r="E335" s="8">
        <f t="shared" si="6"/>
        <v>528362716.74999952</v>
      </c>
      <c r="F335" t="s">
        <v>107</v>
      </c>
      <c r="G335" t="s">
        <v>144</v>
      </c>
    </row>
    <row r="336" spans="1:8">
      <c r="A336" s="3">
        <v>44342</v>
      </c>
      <c r="B336" t="s">
        <v>1829</v>
      </c>
      <c r="C336" s="8">
        <v>96088846</v>
      </c>
      <c r="D336" s="8">
        <v>0</v>
      </c>
      <c r="E336" s="8">
        <f t="shared" si="6"/>
        <v>432273870.74999952</v>
      </c>
      <c r="F336" t="s">
        <v>107</v>
      </c>
      <c r="G336" t="s">
        <v>274</v>
      </c>
      <c r="H336" t="s">
        <v>143</v>
      </c>
    </row>
    <row r="337" spans="1:8">
      <c r="A337" s="3">
        <v>44344</v>
      </c>
      <c r="B337" t="s">
        <v>1830</v>
      </c>
      <c r="C337" s="8">
        <v>72500000</v>
      </c>
      <c r="D337" s="8">
        <v>0</v>
      </c>
      <c r="E337" s="8">
        <f t="shared" si="6"/>
        <v>359773870.74999952</v>
      </c>
      <c r="F337" t="s">
        <v>248</v>
      </c>
      <c r="G337" t="s">
        <v>249</v>
      </c>
    </row>
    <row r="338" spans="1:8">
      <c r="A338" s="3">
        <v>44344</v>
      </c>
      <c r="B338" t="s">
        <v>1831</v>
      </c>
      <c r="C338" s="8">
        <v>2900</v>
      </c>
      <c r="D338" s="8">
        <v>0</v>
      </c>
      <c r="E338" s="8">
        <f t="shared" si="6"/>
        <v>359770970.74999952</v>
      </c>
      <c r="F338" t="s">
        <v>113</v>
      </c>
      <c r="G338" t="s">
        <v>114</v>
      </c>
    </row>
    <row r="339" spans="1:8">
      <c r="A339" s="3">
        <v>44344</v>
      </c>
      <c r="B339" t="s">
        <v>1832</v>
      </c>
      <c r="C339" s="8">
        <v>22015000</v>
      </c>
      <c r="D339" s="8">
        <v>0</v>
      </c>
      <c r="E339" s="8">
        <f t="shared" si="6"/>
        <v>337755970.74999952</v>
      </c>
      <c r="F339" s="10" t="s">
        <v>137</v>
      </c>
      <c r="G339" s="10" t="s">
        <v>138</v>
      </c>
      <c r="H339" s="14" t="s">
        <v>3012</v>
      </c>
    </row>
    <row r="340" spans="1:8">
      <c r="A340" s="3">
        <v>44344</v>
      </c>
      <c r="B340" t="s">
        <v>1832</v>
      </c>
      <c r="C340" s="8">
        <v>1295000</v>
      </c>
      <c r="D340" s="8">
        <v>0</v>
      </c>
      <c r="E340" s="8">
        <f t="shared" si="6"/>
        <v>336460970.74999952</v>
      </c>
      <c r="F340" s="10" t="s">
        <v>137</v>
      </c>
      <c r="G340" s="10" t="s">
        <v>138</v>
      </c>
      <c r="H340" s="14" t="s">
        <v>3012</v>
      </c>
    </row>
    <row r="341" spans="1:8">
      <c r="A341" s="3">
        <v>44344</v>
      </c>
      <c r="B341" t="s">
        <v>1833</v>
      </c>
      <c r="C341" s="8">
        <v>2300000</v>
      </c>
      <c r="D341" s="8">
        <v>0</v>
      </c>
      <c r="E341" s="8">
        <f t="shared" ref="E341:E407" si="7">E340-C341+D341</f>
        <v>334160970.74999952</v>
      </c>
      <c r="F341" s="10" t="s">
        <v>137</v>
      </c>
      <c r="G341" s="10" t="s">
        <v>138</v>
      </c>
      <c r="H341" s="14" t="s">
        <v>3031</v>
      </c>
    </row>
    <row r="342" spans="1:8">
      <c r="A342" s="3">
        <v>44344</v>
      </c>
      <c r="B342" t="s">
        <v>1834</v>
      </c>
      <c r="C342" s="8">
        <v>2900</v>
      </c>
      <c r="D342" s="8">
        <v>0</v>
      </c>
      <c r="E342" s="8">
        <f t="shared" si="7"/>
        <v>334158070.74999952</v>
      </c>
      <c r="F342" t="s">
        <v>113</v>
      </c>
      <c r="G342" t="s">
        <v>114</v>
      </c>
    </row>
    <row r="343" spans="1:8">
      <c r="A343" s="3">
        <v>44344</v>
      </c>
      <c r="B343" t="s">
        <v>1835</v>
      </c>
      <c r="C343" s="8">
        <v>3350000</v>
      </c>
      <c r="D343" s="8">
        <v>0</v>
      </c>
      <c r="E343" s="8">
        <f t="shared" si="7"/>
        <v>330808070.74999952</v>
      </c>
      <c r="F343" s="10" t="s">
        <v>137</v>
      </c>
      <c r="G343" s="10" t="s">
        <v>138</v>
      </c>
      <c r="H343" t="s">
        <v>1127</v>
      </c>
    </row>
    <row r="344" spans="1:8">
      <c r="A344" s="3">
        <v>44344</v>
      </c>
      <c r="B344" t="s">
        <v>1799</v>
      </c>
      <c r="C344" s="8">
        <v>2900</v>
      </c>
      <c r="D344" s="8">
        <v>0</v>
      </c>
      <c r="E344" s="8">
        <f t="shared" si="7"/>
        <v>330805170.74999952</v>
      </c>
      <c r="F344" t="s">
        <v>113</v>
      </c>
      <c r="G344" t="s">
        <v>114</v>
      </c>
    </row>
    <row r="345" spans="1:8">
      <c r="A345" s="3">
        <v>44344</v>
      </c>
      <c r="B345" t="s">
        <v>1836</v>
      </c>
      <c r="C345" s="8">
        <v>45000000</v>
      </c>
      <c r="D345" s="8">
        <v>0</v>
      </c>
      <c r="E345" s="8">
        <f t="shared" si="7"/>
        <v>285805170.74999952</v>
      </c>
      <c r="F345" t="s">
        <v>137</v>
      </c>
      <c r="G345" t="s">
        <v>138</v>
      </c>
      <c r="H345" t="s">
        <v>3027</v>
      </c>
    </row>
    <row r="346" spans="1:8">
      <c r="A346" s="3">
        <v>44344</v>
      </c>
      <c r="B346" t="s">
        <v>1837</v>
      </c>
      <c r="C346" s="8">
        <v>2900</v>
      </c>
      <c r="D346" s="8">
        <v>0</v>
      </c>
      <c r="E346" s="8">
        <f t="shared" si="7"/>
        <v>285802270.74999952</v>
      </c>
      <c r="F346" t="s">
        <v>113</v>
      </c>
      <c r="G346" t="s">
        <v>114</v>
      </c>
    </row>
    <row r="347" spans="1:8">
      <c r="A347" s="3">
        <v>44344</v>
      </c>
      <c r="B347" t="s">
        <v>1838</v>
      </c>
      <c r="C347" s="8">
        <v>45000000</v>
      </c>
      <c r="D347" s="8">
        <v>0</v>
      </c>
      <c r="E347" s="8">
        <f t="shared" si="7"/>
        <v>240802270.74999952</v>
      </c>
      <c r="F347" t="s">
        <v>137</v>
      </c>
      <c r="G347" t="s">
        <v>138</v>
      </c>
      <c r="H347" t="s">
        <v>3027</v>
      </c>
    </row>
    <row r="348" spans="1:8">
      <c r="A348" s="3">
        <v>44344</v>
      </c>
      <c r="B348" t="s">
        <v>1839</v>
      </c>
      <c r="C348" s="8">
        <v>2900</v>
      </c>
      <c r="D348" s="8">
        <v>0</v>
      </c>
      <c r="E348" s="8">
        <f t="shared" si="7"/>
        <v>240799370.74999952</v>
      </c>
      <c r="F348" t="s">
        <v>113</v>
      </c>
      <c r="G348" t="s">
        <v>114</v>
      </c>
    </row>
    <row r="349" spans="1:8">
      <c r="A349" s="3">
        <v>44344</v>
      </c>
      <c r="B349" t="s">
        <v>1840</v>
      </c>
      <c r="C349" s="8">
        <v>45000000</v>
      </c>
      <c r="D349" s="8">
        <v>0</v>
      </c>
      <c r="E349" s="8">
        <f t="shared" si="7"/>
        <v>195799370.74999952</v>
      </c>
      <c r="F349" t="s">
        <v>137</v>
      </c>
      <c r="G349" t="s">
        <v>138</v>
      </c>
      <c r="H349" t="s">
        <v>3027</v>
      </c>
    </row>
    <row r="350" spans="1:8">
      <c r="A350" s="3">
        <v>44344</v>
      </c>
      <c r="B350" t="s">
        <v>1841</v>
      </c>
      <c r="C350" s="8">
        <v>45000000</v>
      </c>
      <c r="D350" s="8">
        <v>0</v>
      </c>
      <c r="E350" s="8">
        <f t="shared" si="7"/>
        <v>150799370.74999952</v>
      </c>
      <c r="F350" t="s">
        <v>137</v>
      </c>
      <c r="G350" t="s">
        <v>138</v>
      </c>
      <c r="H350" t="s">
        <v>3027</v>
      </c>
    </row>
    <row r="351" spans="1:8">
      <c r="A351" s="3">
        <v>44344</v>
      </c>
      <c r="B351" t="s">
        <v>1842</v>
      </c>
      <c r="C351" s="8">
        <v>2900</v>
      </c>
      <c r="D351" s="8">
        <v>0</v>
      </c>
      <c r="E351" s="8">
        <f t="shared" si="7"/>
        <v>150796470.74999952</v>
      </c>
      <c r="F351" t="s">
        <v>113</v>
      </c>
      <c r="G351" t="s">
        <v>114</v>
      </c>
    </row>
    <row r="352" spans="1:8">
      <c r="A352" s="3">
        <v>44344</v>
      </c>
      <c r="B352" t="s">
        <v>1843</v>
      </c>
      <c r="C352" s="8">
        <v>45000000</v>
      </c>
      <c r="D352" s="8">
        <v>0</v>
      </c>
      <c r="E352" s="8">
        <f t="shared" si="7"/>
        <v>105796470.74999952</v>
      </c>
      <c r="F352" t="s">
        <v>137</v>
      </c>
      <c r="G352" t="s">
        <v>138</v>
      </c>
      <c r="H352" t="s">
        <v>3027</v>
      </c>
    </row>
    <row r="353" spans="1:8">
      <c r="A353" s="3">
        <v>44344</v>
      </c>
      <c r="B353" t="s">
        <v>1844</v>
      </c>
      <c r="C353" s="8">
        <v>2900</v>
      </c>
      <c r="D353" s="8">
        <v>0</v>
      </c>
      <c r="E353" s="8">
        <f t="shared" si="7"/>
        <v>105793570.74999952</v>
      </c>
      <c r="F353" t="s">
        <v>113</v>
      </c>
      <c r="G353" t="s">
        <v>114</v>
      </c>
    </row>
    <row r="354" spans="1:8">
      <c r="A354" s="3">
        <v>44344</v>
      </c>
      <c r="B354" t="s">
        <v>1845</v>
      </c>
      <c r="C354" s="8">
        <v>45000000</v>
      </c>
      <c r="D354" s="8">
        <v>0</v>
      </c>
      <c r="E354" s="8">
        <f t="shared" si="7"/>
        <v>60793570.749999523</v>
      </c>
      <c r="F354" t="s">
        <v>137</v>
      </c>
      <c r="G354" t="s">
        <v>138</v>
      </c>
      <c r="H354" t="s">
        <v>3027</v>
      </c>
    </row>
    <row r="355" spans="1:8">
      <c r="A355" s="3">
        <v>44344</v>
      </c>
      <c r="B355" t="s">
        <v>1846</v>
      </c>
      <c r="C355" s="8">
        <v>1714595</v>
      </c>
      <c r="D355" s="8">
        <v>0</v>
      </c>
      <c r="E355" s="8">
        <f t="shared" si="7"/>
        <v>59078975.749999523</v>
      </c>
      <c r="F355" s="10" t="s">
        <v>137</v>
      </c>
      <c r="G355" s="10" t="s">
        <v>138</v>
      </c>
      <c r="H355" t="s">
        <v>1127</v>
      </c>
    </row>
    <row r="356" spans="1:8">
      <c r="A356" s="3">
        <v>44344</v>
      </c>
      <c r="B356" t="s">
        <v>1799</v>
      </c>
      <c r="C356" s="8">
        <v>2900</v>
      </c>
      <c r="D356" s="8">
        <v>0</v>
      </c>
      <c r="E356" s="8">
        <f t="shared" si="7"/>
        <v>59076075.749999523</v>
      </c>
      <c r="F356" t="s">
        <v>113</v>
      </c>
      <c r="G356" t="s">
        <v>114</v>
      </c>
    </row>
    <row r="357" spans="1:8">
      <c r="A357" s="3">
        <v>44346</v>
      </c>
      <c r="B357" t="s">
        <v>1847</v>
      </c>
      <c r="C357" s="8">
        <v>25000000</v>
      </c>
      <c r="D357" s="8">
        <v>0</v>
      </c>
      <c r="E357" s="8">
        <f t="shared" si="7"/>
        <v>34076075.749999523</v>
      </c>
      <c r="F357" t="s">
        <v>107</v>
      </c>
      <c r="G357" t="s">
        <v>108</v>
      </c>
    </row>
    <row r="358" spans="1:8">
      <c r="A358" s="3">
        <v>44346</v>
      </c>
      <c r="B358" t="s">
        <v>1819</v>
      </c>
      <c r="C358" s="8">
        <v>6500</v>
      </c>
      <c r="D358" s="8">
        <v>0</v>
      </c>
      <c r="E358" s="8">
        <f t="shared" si="7"/>
        <v>34069575.749999523</v>
      </c>
      <c r="F358" t="s">
        <v>113</v>
      </c>
      <c r="G358" t="s">
        <v>114</v>
      </c>
    </row>
    <row r="359" spans="1:8">
      <c r="A359" s="3">
        <v>44347</v>
      </c>
      <c r="B359" t="s">
        <v>270</v>
      </c>
      <c r="C359" s="8">
        <v>25000</v>
      </c>
      <c r="D359" s="8">
        <v>0</v>
      </c>
      <c r="E359" s="8">
        <f t="shared" si="7"/>
        <v>34044575.749999523</v>
      </c>
      <c r="F359" t="s">
        <v>113</v>
      </c>
      <c r="G359" t="s">
        <v>114</v>
      </c>
    </row>
    <row r="360" spans="1:8">
      <c r="A360" s="3">
        <v>44347</v>
      </c>
      <c r="B360" t="s">
        <v>1000</v>
      </c>
      <c r="C360" s="8">
        <v>0</v>
      </c>
      <c r="D360" s="8">
        <v>111109.79</v>
      </c>
      <c r="E360" s="8">
        <f t="shared" si="7"/>
        <v>34155685.539999522</v>
      </c>
      <c r="F360" t="s">
        <v>252</v>
      </c>
      <c r="G360" t="s">
        <v>253</v>
      </c>
    </row>
    <row r="361" spans="1:8">
      <c r="A361" s="3">
        <v>44347</v>
      </c>
      <c r="B361" t="s">
        <v>273</v>
      </c>
      <c r="C361" s="8">
        <v>22221.96</v>
      </c>
      <c r="D361" s="8">
        <v>0</v>
      </c>
      <c r="E361" s="8">
        <f t="shared" si="7"/>
        <v>34133463.579999521</v>
      </c>
      <c r="F361" t="s">
        <v>252</v>
      </c>
      <c r="G361" t="s">
        <v>253</v>
      </c>
    </row>
    <row r="362" spans="1:8">
      <c r="A362" s="3">
        <v>44349</v>
      </c>
      <c r="B362" t="s">
        <v>1848</v>
      </c>
      <c r="C362" s="8">
        <v>29879167</v>
      </c>
      <c r="D362" s="8">
        <v>0</v>
      </c>
      <c r="E362" s="8">
        <f t="shared" si="7"/>
        <v>4254296.5799995214</v>
      </c>
      <c r="F362" t="s">
        <v>107</v>
      </c>
      <c r="G362" t="s">
        <v>274</v>
      </c>
      <c r="H362" t="s">
        <v>140</v>
      </c>
    </row>
    <row r="363" spans="1:8">
      <c r="A363" s="3">
        <v>44349</v>
      </c>
      <c r="B363" t="s">
        <v>1849</v>
      </c>
      <c r="C363" s="8">
        <v>2900</v>
      </c>
      <c r="D363" s="8">
        <v>0</v>
      </c>
      <c r="E363" s="8">
        <f t="shared" si="7"/>
        <v>4251396.5799995214</v>
      </c>
      <c r="F363" t="s">
        <v>113</v>
      </c>
      <c r="G363" t="s">
        <v>114</v>
      </c>
    </row>
    <row r="364" spans="1:8">
      <c r="A364" s="3">
        <v>44349</v>
      </c>
      <c r="B364" t="s">
        <v>1850</v>
      </c>
      <c r="C364" s="8">
        <v>2393915</v>
      </c>
      <c r="D364" s="8">
        <v>0</v>
      </c>
      <c r="E364" s="8">
        <f t="shared" si="7"/>
        <v>1857481.5799995214</v>
      </c>
      <c r="F364" t="s">
        <v>107</v>
      </c>
      <c r="G364" t="s">
        <v>274</v>
      </c>
      <c r="H364" t="s">
        <v>141</v>
      </c>
    </row>
    <row r="365" spans="1:8">
      <c r="A365" s="3">
        <v>44349</v>
      </c>
      <c r="B365" t="s">
        <v>1851</v>
      </c>
      <c r="C365" s="8">
        <v>2900</v>
      </c>
      <c r="D365" s="8">
        <v>0</v>
      </c>
      <c r="E365" s="8">
        <f t="shared" si="7"/>
        <v>1854581.5799995214</v>
      </c>
      <c r="F365" t="s">
        <v>113</v>
      </c>
      <c r="G365" t="s">
        <v>114</v>
      </c>
    </row>
    <row r="366" spans="1:8">
      <c r="A366" s="3">
        <v>44351</v>
      </c>
      <c r="B366" t="s">
        <v>1852</v>
      </c>
      <c r="C366" s="8">
        <v>1500000</v>
      </c>
      <c r="D366" s="8">
        <v>0</v>
      </c>
      <c r="E366" s="8">
        <f t="shared" si="7"/>
        <v>354581.57999952137</v>
      </c>
      <c r="F366" t="s">
        <v>107</v>
      </c>
      <c r="G366" t="s">
        <v>108</v>
      </c>
    </row>
    <row r="367" spans="1:8">
      <c r="A367" s="3">
        <v>44351</v>
      </c>
      <c r="B367" t="s">
        <v>178</v>
      </c>
      <c r="C367" s="8">
        <v>6500</v>
      </c>
      <c r="D367" s="8">
        <v>0</v>
      </c>
      <c r="E367" s="8">
        <f t="shared" si="7"/>
        <v>348081.57999952137</v>
      </c>
      <c r="F367" t="s">
        <v>113</v>
      </c>
      <c r="G367" t="s">
        <v>114</v>
      </c>
    </row>
    <row r="368" spans="1:8">
      <c r="A368" s="3">
        <v>44354</v>
      </c>
      <c r="B368" t="s">
        <v>1853</v>
      </c>
      <c r="C368" s="8">
        <v>100000</v>
      </c>
      <c r="D368" s="8">
        <v>0</v>
      </c>
      <c r="E368" s="8">
        <f t="shared" si="7"/>
        <v>248081.57999952137</v>
      </c>
      <c r="F368" t="s">
        <v>113</v>
      </c>
      <c r="G368" t="s">
        <v>114</v>
      </c>
    </row>
    <row r="369" spans="1:9">
      <c r="A369" s="3">
        <v>44363</v>
      </c>
      <c r="B369" t="s">
        <v>1361</v>
      </c>
      <c r="C369" s="8">
        <v>0</v>
      </c>
      <c r="D369" s="8">
        <v>25000000</v>
      </c>
      <c r="E369" s="8">
        <f t="shared" si="7"/>
        <v>25248081.579999521</v>
      </c>
      <c r="F369" t="s">
        <v>107</v>
      </c>
      <c r="G369" t="s">
        <v>109</v>
      </c>
    </row>
    <row r="370" spans="1:9">
      <c r="A370" s="3">
        <v>44363</v>
      </c>
      <c r="B370" t="s">
        <v>1361</v>
      </c>
      <c r="C370" s="8">
        <v>0</v>
      </c>
      <c r="D370" s="8">
        <v>25000000</v>
      </c>
      <c r="E370" s="8">
        <f t="shared" si="7"/>
        <v>50248081.579999521</v>
      </c>
      <c r="F370" t="s">
        <v>107</v>
      </c>
      <c r="G370" t="s">
        <v>109</v>
      </c>
    </row>
    <row r="371" spans="1:9">
      <c r="A371" s="3">
        <v>44363</v>
      </c>
      <c r="B371" t="s">
        <v>1854</v>
      </c>
      <c r="C371" s="8">
        <v>3000000</v>
      </c>
      <c r="D371" s="8">
        <v>0</v>
      </c>
      <c r="E371" s="8">
        <f t="shared" si="7"/>
        <v>47248081.579999521</v>
      </c>
      <c r="F371" s="10" t="s">
        <v>137</v>
      </c>
      <c r="G371" s="10" t="s">
        <v>138</v>
      </c>
      <c r="H371" s="14" t="s">
        <v>3033</v>
      </c>
    </row>
    <row r="372" spans="1:9">
      <c r="A372" s="3">
        <v>44363</v>
      </c>
      <c r="B372" t="s">
        <v>1832</v>
      </c>
      <c r="C372" s="8">
        <v>25300000</v>
      </c>
      <c r="D372" s="8">
        <v>0</v>
      </c>
      <c r="E372" s="8">
        <f t="shared" si="7"/>
        <v>21948081.579999521</v>
      </c>
      <c r="F372" s="10" t="s">
        <v>137</v>
      </c>
      <c r="G372" s="10" t="s">
        <v>138</v>
      </c>
      <c r="H372" s="14" t="s">
        <v>3012</v>
      </c>
    </row>
    <row r="373" spans="1:9">
      <c r="A373" s="3">
        <v>44363</v>
      </c>
      <c r="B373" t="s">
        <v>1855</v>
      </c>
      <c r="C373" s="8">
        <v>2900</v>
      </c>
      <c r="D373" s="8">
        <v>0</v>
      </c>
      <c r="E373" s="8">
        <f t="shared" si="7"/>
        <v>21945181.579999521</v>
      </c>
      <c r="F373" t="s">
        <v>113</v>
      </c>
      <c r="G373" t="s">
        <v>114</v>
      </c>
    </row>
    <row r="374" spans="1:9">
      <c r="A374" s="3">
        <v>44363</v>
      </c>
      <c r="B374" t="s">
        <v>1856</v>
      </c>
      <c r="C374" s="8">
        <v>802000</v>
      </c>
      <c r="D374" s="8">
        <v>0</v>
      </c>
      <c r="E374" s="8">
        <f t="shared" si="7"/>
        <v>21143181.579999521</v>
      </c>
      <c r="F374" s="10" t="s">
        <v>137</v>
      </c>
      <c r="G374" s="10" t="s">
        <v>138</v>
      </c>
      <c r="H374" t="s">
        <v>1127</v>
      </c>
    </row>
    <row r="375" spans="1:9">
      <c r="A375" s="3">
        <v>44363</v>
      </c>
      <c r="B375" t="s">
        <v>1799</v>
      </c>
      <c r="C375" s="8">
        <v>2900</v>
      </c>
      <c r="D375" s="8">
        <v>0</v>
      </c>
      <c r="E375" s="8">
        <f t="shared" si="7"/>
        <v>21140281.579999521</v>
      </c>
      <c r="F375" t="s">
        <v>113</v>
      </c>
      <c r="G375" t="s">
        <v>114</v>
      </c>
    </row>
    <row r="376" spans="1:9">
      <c r="A376" s="3">
        <v>44365</v>
      </c>
      <c r="B376" t="s">
        <v>1361</v>
      </c>
      <c r="C376" s="8">
        <v>0</v>
      </c>
      <c r="D376" s="8">
        <v>25000000</v>
      </c>
      <c r="E376" s="8">
        <f t="shared" si="7"/>
        <v>46140281.579999521</v>
      </c>
      <c r="F376" t="s">
        <v>107</v>
      </c>
      <c r="G376" t="s">
        <v>109</v>
      </c>
    </row>
    <row r="377" spans="1:9">
      <c r="A377" s="3">
        <v>44365</v>
      </c>
      <c r="B377" t="s">
        <v>1857</v>
      </c>
      <c r="C377" s="8">
        <v>10000000</v>
      </c>
      <c r="D377" s="8">
        <v>0</v>
      </c>
      <c r="E377" s="8">
        <f t="shared" si="7"/>
        <v>36140281.579999521</v>
      </c>
      <c r="F377" s="10" t="s">
        <v>137</v>
      </c>
      <c r="G377" s="10" t="s">
        <v>138</v>
      </c>
      <c r="H377" t="s">
        <v>603</v>
      </c>
    </row>
    <row r="378" spans="1:9">
      <c r="A378" s="3">
        <v>44365</v>
      </c>
      <c r="B378" t="s">
        <v>1858</v>
      </c>
      <c r="C378" s="8">
        <v>2500000</v>
      </c>
      <c r="D378" s="8">
        <v>0</v>
      </c>
      <c r="E378" s="8">
        <f t="shared" si="7"/>
        <v>33640281.579999521</v>
      </c>
      <c r="F378" s="10" t="s">
        <v>137</v>
      </c>
      <c r="G378" s="10" t="s">
        <v>138</v>
      </c>
      <c r="H378" s="14" t="s">
        <v>3013</v>
      </c>
    </row>
    <row r="379" spans="1:9">
      <c r="A379" s="3">
        <v>44365</v>
      </c>
      <c r="B379" t="s">
        <v>1859</v>
      </c>
      <c r="C379" s="8">
        <v>5900000</v>
      </c>
      <c r="D379" s="8">
        <v>0</v>
      </c>
      <c r="E379" s="8">
        <f t="shared" si="7"/>
        <v>27740281.579999521</v>
      </c>
      <c r="F379" t="s">
        <v>115</v>
      </c>
      <c r="G379" t="s">
        <v>120</v>
      </c>
      <c r="H379" t="s">
        <v>127</v>
      </c>
      <c r="I379" t="s">
        <v>444</v>
      </c>
    </row>
    <row r="380" spans="1:9">
      <c r="A380" s="3">
        <v>44365</v>
      </c>
      <c r="B380" t="s">
        <v>1860</v>
      </c>
      <c r="C380" s="8">
        <v>512460</v>
      </c>
      <c r="D380" s="8">
        <v>0</v>
      </c>
      <c r="E380" s="8">
        <f t="shared" si="7"/>
        <v>27227821.579999521</v>
      </c>
      <c r="F380" t="s">
        <v>736</v>
      </c>
      <c r="G380" t="s">
        <v>3994</v>
      </c>
    </row>
    <row r="381" spans="1:9">
      <c r="A381" s="3">
        <v>44365</v>
      </c>
      <c r="B381" t="s">
        <v>1861</v>
      </c>
      <c r="C381" s="8">
        <v>3441450</v>
      </c>
      <c r="D381" s="8">
        <v>0</v>
      </c>
      <c r="E381" s="8">
        <f t="shared" si="7"/>
        <v>23786371.579999521</v>
      </c>
      <c r="F381" t="s">
        <v>319</v>
      </c>
      <c r="G381" t="s">
        <v>467</v>
      </c>
    </row>
    <row r="382" spans="1:9">
      <c r="A382" s="3">
        <v>44365</v>
      </c>
      <c r="B382" t="s">
        <v>1862</v>
      </c>
      <c r="C382" s="8">
        <v>3500000</v>
      </c>
      <c r="D382" s="8">
        <v>0</v>
      </c>
      <c r="E382" s="8">
        <f t="shared" si="7"/>
        <v>20286371.579999521</v>
      </c>
      <c r="F382" t="s">
        <v>319</v>
      </c>
      <c r="G382" t="s">
        <v>467</v>
      </c>
    </row>
    <row r="383" spans="1:9">
      <c r="A383" s="3">
        <v>44365</v>
      </c>
      <c r="B383" t="s">
        <v>1863</v>
      </c>
      <c r="C383" s="8">
        <v>1250000</v>
      </c>
      <c r="D383" s="8">
        <v>0</v>
      </c>
      <c r="E383" s="8">
        <f t="shared" si="7"/>
        <v>19036371.579999521</v>
      </c>
      <c r="F383" s="10" t="s">
        <v>137</v>
      </c>
      <c r="G383" s="10" t="s">
        <v>138</v>
      </c>
      <c r="H383" t="s">
        <v>1127</v>
      </c>
    </row>
    <row r="384" spans="1:9">
      <c r="A384" s="3">
        <v>44365</v>
      </c>
      <c r="B384" t="s">
        <v>1864</v>
      </c>
      <c r="C384" s="8">
        <v>2344650</v>
      </c>
      <c r="D384" s="8">
        <v>0</v>
      </c>
      <c r="E384" s="8">
        <f t="shared" si="7"/>
        <v>16691721.579999521</v>
      </c>
      <c r="F384" s="10" t="s">
        <v>137</v>
      </c>
      <c r="G384" s="10" t="s">
        <v>138</v>
      </c>
      <c r="H384" t="s">
        <v>1127</v>
      </c>
    </row>
    <row r="385" spans="1:9">
      <c r="A385" s="3">
        <v>44365</v>
      </c>
      <c r="B385" t="s">
        <v>1799</v>
      </c>
      <c r="C385" s="8">
        <v>2900</v>
      </c>
      <c r="D385" s="8">
        <v>0</v>
      </c>
      <c r="E385" s="8">
        <f t="shared" si="7"/>
        <v>16688821.579999521</v>
      </c>
      <c r="F385" t="s">
        <v>113</v>
      </c>
      <c r="G385" t="s">
        <v>114</v>
      </c>
    </row>
    <row r="386" spans="1:9">
      <c r="A386" s="3">
        <v>44365</v>
      </c>
      <c r="B386" t="s">
        <v>1866</v>
      </c>
      <c r="C386" s="8">
        <v>2900</v>
      </c>
      <c r="D386" s="8">
        <v>0</v>
      </c>
      <c r="E386" s="8">
        <f t="shared" si="7"/>
        <v>16685921.579999521</v>
      </c>
      <c r="F386" t="s">
        <v>113</v>
      </c>
      <c r="G386" t="s">
        <v>114</v>
      </c>
    </row>
    <row r="387" spans="1:9">
      <c r="A387" s="3">
        <v>44365</v>
      </c>
      <c r="B387" t="s">
        <v>1867</v>
      </c>
      <c r="C387" s="8">
        <v>4164047</v>
      </c>
      <c r="D387" s="8">
        <v>0</v>
      </c>
      <c r="E387" s="8">
        <f t="shared" si="7"/>
        <v>12521874.579999521</v>
      </c>
      <c r="F387" s="10" t="s">
        <v>137</v>
      </c>
      <c r="G387" s="10" t="s">
        <v>138</v>
      </c>
      <c r="H387" t="s">
        <v>1127</v>
      </c>
    </row>
    <row r="388" spans="1:9">
      <c r="A388" s="3">
        <v>44365</v>
      </c>
      <c r="B388" t="s">
        <v>1866</v>
      </c>
      <c r="C388" s="8">
        <v>2900</v>
      </c>
      <c r="D388" s="8">
        <v>0</v>
      </c>
      <c r="E388" s="8">
        <f t="shared" si="7"/>
        <v>12518974.579999521</v>
      </c>
      <c r="F388" t="s">
        <v>113</v>
      </c>
      <c r="G388" t="s">
        <v>114</v>
      </c>
    </row>
    <row r="389" spans="1:9">
      <c r="A389" s="3">
        <v>44365</v>
      </c>
      <c r="B389" t="s">
        <v>1868</v>
      </c>
      <c r="C389" s="8">
        <v>1500000</v>
      </c>
      <c r="D389" s="8">
        <v>0</v>
      </c>
      <c r="E389" s="8">
        <f t="shared" si="7"/>
        <v>11018974.579999521</v>
      </c>
      <c r="F389" s="10" t="s">
        <v>137</v>
      </c>
      <c r="G389" s="10" t="s">
        <v>138</v>
      </c>
      <c r="H389" t="s">
        <v>1127</v>
      </c>
    </row>
    <row r="390" spans="1:9">
      <c r="A390" s="3">
        <v>44365</v>
      </c>
      <c r="B390" t="s">
        <v>1866</v>
      </c>
      <c r="C390" s="8">
        <v>2900</v>
      </c>
      <c r="D390" s="8">
        <v>0</v>
      </c>
      <c r="E390" s="8">
        <f t="shared" si="7"/>
        <v>11016074.579999521</v>
      </c>
      <c r="F390" t="s">
        <v>113</v>
      </c>
      <c r="G390" t="s">
        <v>114</v>
      </c>
    </row>
    <row r="391" spans="1:9">
      <c r="A391" s="3">
        <v>44365</v>
      </c>
      <c r="B391" t="s">
        <v>1869</v>
      </c>
      <c r="C391" s="8">
        <v>600000</v>
      </c>
      <c r="D391" s="8">
        <v>0</v>
      </c>
      <c r="E391" s="8">
        <f t="shared" si="7"/>
        <v>10416074.579999521</v>
      </c>
      <c r="F391" t="s">
        <v>115</v>
      </c>
      <c r="G391" t="s">
        <v>120</v>
      </c>
      <c r="H391" t="s">
        <v>127</v>
      </c>
      <c r="I391" t="s">
        <v>444</v>
      </c>
    </row>
    <row r="392" spans="1:9">
      <c r="A392" s="3">
        <v>44365</v>
      </c>
      <c r="B392" t="s">
        <v>1870</v>
      </c>
      <c r="C392" s="8">
        <v>2900</v>
      </c>
      <c r="D392" s="8">
        <v>0</v>
      </c>
      <c r="E392" s="8">
        <f t="shared" si="7"/>
        <v>10413174.579999521</v>
      </c>
      <c r="F392" t="s">
        <v>113</v>
      </c>
      <c r="G392" t="s">
        <v>114</v>
      </c>
    </row>
    <row r="393" spans="1:9">
      <c r="A393" s="3">
        <v>44368</v>
      </c>
      <c r="B393" t="s">
        <v>4486</v>
      </c>
      <c r="C393" s="54">
        <v>0</v>
      </c>
      <c r="D393" s="54">
        <f>521918334-D394</f>
        <v>367862334</v>
      </c>
      <c r="E393" s="8">
        <f t="shared" si="7"/>
        <v>378275508.57999951</v>
      </c>
      <c r="F393" t="s">
        <v>581</v>
      </c>
      <c r="G393" t="s">
        <v>582</v>
      </c>
      <c r="H393" s="14" t="s">
        <v>1128</v>
      </c>
      <c r="I393">
        <v>17</v>
      </c>
    </row>
    <row r="394" spans="1:9" s="14" customFormat="1">
      <c r="A394" s="138">
        <v>44368</v>
      </c>
      <c r="B394" s="14" t="s">
        <v>4486</v>
      </c>
      <c r="C394" s="53">
        <v>0</v>
      </c>
      <c r="D394" s="53">
        <v>154056000</v>
      </c>
      <c r="E394" s="8">
        <f t="shared" si="7"/>
        <v>532331508.57999951</v>
      </c>
      <c r="F394" t="s">
        <v>581</v>
      </c>
      <c r="G394" t="s">
        <v>582</v>
      </c>
      <c r="H394" s="168" t="s">
        <v>4917</v>
      </c>
      <c r="I394" s="14">
        <v>33</v>
      </c>
    </row>
    <row r="395" spans="1:9" s="14" customFormat="1">
      <c r="A395" s="138">
        <v>44369</v>
      </c>
      <c r="B395" s="14" t="s">
        <v>1865</v>
      </c>
      <c r="C395" s="53">
        <v>18000000</v>
      </c>
      <c r="D395" s="53">
        <v>0</v>
      </c>
      <c r="E395" s="53">
        <f t="shared" si="7"/>
        <v>514331508.57999951</v>
      </c>
      <c r="F395" s="14" t="s">
        <v>137</v>
      </c>
      <c r="G395" s="14" t="s">
        <v>138</v>
      </c>
      <c r="H395" s="14" t="s">
        <v>3027</v>
      </c>
    </row>
    <row r="396" spans="1:9" s="14" customFormat="1">
      <c r="A396" s="138">
        <v>44369</v>
      </c>
      <c r="B396" s="14" t="s">
        <v>1865</v>
      </c>
      <c r="C396" s="53">
        <v>1800000</v>
      </c>
      <c r="D396" s="53">
        <v>0</v>
      </c>
      <c r="E396" s="53">
        <f t="shared" si="7"/>
        <v>512531508.57999951</v>
      </c>
      <c r="F396" s="14" t="s">
        <v>110</v>
      </c>
      <c r="G396" s="14" t="s">
        <v>616</v>
      </c>
      <c r="H396" s="14" t="s">
        <v>4621</v>
      </c>
    </row>
    <row r="397" spans="1:9" s="14" customFormat="1">
      <c r="A397" s="138">
        <v>44369</v>
      </c>
      <c r="B397" s="14" t="s">
        <v>1865</v>
      </c>
      <c r="C397" s="53">
        <v>0</v>
      </c>
      <c r="D397" s="53">
        <f>C395*2%</f>
        <v>360000</v>
      </c>
      <c r="E397" s="53">
        <f t="shared" si="7"/>
        <v>512891508.57999951</v>
      </c>
      <c r="F397" s="14" t="s">
        <v>115</v>
      </c>
      <c r="G397" s="14" t="s">
        <v>441</v>
      </c>
      <c r="H397" s="14" t="s">
        <v>715</v>
      </c>
    </row>
    <row r="398" spans="1:9">
      <c r="A398" s="3">
        <v>44369</v>
      </c>
      <c r="B398" t="s">
        <v>1871</v>
      </c>
      <c r="C398" s="8">
        <v>1900000</v>
      </c>
      <c r="D398" s="8">
        <v>0</v>
      </c>
      <c r="E398" s="8">
        <f t="shared" si="7"/>
        <v>510991508.57999951</v>
      </c>
      <c r="F398" s="10" t="s">
        <v>137</v>
      </c>
      <c r="G398" s="10" t="s">
        <v>138</v>
      </c>
      <c r="H398" s="14" t="s">
        <v>3032</v>
      </c>
    </row>
    <row r="399" spans="1:9">
      <c r="A399" s="3">
        <v>44369</v>
      </c>
      <c r="B399" t="s">
        <v>1872</v>
      </c>
      <c r="C399" s="8">
        <v>2900</v>
      </c>
      <c r="D399" s="8">
        <v>0</v>
      </c>
      <c r="E399" s="8">
        <f t="shared" si="7"/>
        <v>510988608.57999951</v>
      </c>
      <c r="F399" t="s">
        <v>113</v>
      </c>
      <c r="G399" t="s">
        <v>114</v>
      </c>
    </row>
    <row r="400" spans="1:9">
      <c r="A400" s="3">
        <v>44369</v>
      </c>
      <c r="B400" t="s">
        <v>1873</v>
      </c>
      <c r="C400" s="8">
        <v>15000000</v>
      </c>
      <c r="D400" s="8">
        <v>0</v>
      </c>
      <c r="E400" s="8">
        <f t="shared" si="7"/>
        <v>495988608.57999951</v>
      </c>
      <c r="F400" s="10" t="s">
        <v>137</v>
      </c>
      <c r="G400" s="10" t="s">
        <v>138</v>
      </c>
      <c r="H400" t="s">
        <v>1127</v>
      </c>
    </row>
    <row r="401" spans="1:9">
      <c r="A401" s="3">
        <v>44369</v>
      </c>
      <c r="B401" t="s">
        <v>1866</v>
      </c>
      <c r="C401" s="8">
        <v>2900</v>
      </c>
      <c r="D401" s="8">
        <v>0</v>
      </c>
      <c r="E401" s="8">
        <f t="shared" si="7"/>
        <v>495985708.57999951</v>
      </c>
      <c r="F401" t="s">
        <v>113</v>
      </c>
      <c r="G401" t="s">
        <v>114</v>
      </c>
    </row>
    <row r="402" spans="1:9">
      <c r="A402" s="3">
        <v>44369</v>
      </c>
      <c r="B402" t="s">
        <v>3402</v>
      </c>
      <c r="C402" s="8">
        <v>1505000</v>
      </c>
      <c r="D402" s="8">
        <v>0</v>
      </c>
      <c r="E402" s="8">
        <f t="shared" si="7"/>
        <v>494480708.57999951</v>
      </c>
      <c r="F402" t="s">
        <v>319</v>
      </c>
      <c r="G402" t="s">
        <v>392</v>
      </c>
    </row>
    <row r="403" spans="1:9" ht="17">
      <c r="A403" s="3">
        <v>44375</v>
      </c>
      <c r="B403" s="164" t="s">
        <v>1874</v>
      </c>
      <c r="C403" s="8">
        <v>72500000</v>
      </c>
      <c r="D403" s="8">
        <v>0</v>
      </c>
      <c r="E403" s="8">
        <f t="shared" si="7"/>
        <v>421980708.57999951</v>
      </c>
      <c r="F403" t="s">
        <v>248</v>
      </c>
      <c r="G403" t="s">
        <v>249</v>
      </c>
    </row>
    <row r="404" spans="1:9">
      <c r="A404" s="3">
        <v>44375</v>
      </c>
      <c r="B404" t="s">
        <v>1875</v>
      </c>
      <c r="C404" s="8">
        <v>2900</v>
      </c>
      <c r="D404" s="8">
        <v>0</v>
      </c>
      <c r="E404" s="8">
        <f t="shared" si="7"/>
        <v>421977808.57999951</v>
      </c>
      <c r="F404" t="s">
        <v>113</v>
      </c>
      <c r="G404" t="s">
        <v>114</v>
      </c>
    </row>
    <row r="405" spans="1:9">
      <c r="A405" s="3">
        <v>44376</v>
      </c>
      <c r="B405" t="s">
        <v>1876</v>
      </c>
      <c r="C405" s="8">
        <v>250000000</v>
      </c>
      <c r="D405" s="8">
        <v>0</v>
      </c>
      <c r="E405" s="8">
        <f t="shared" si="7"/>
        <v>171977808.57999951</v>
      </c>
      <c r="F405" t="s">
        <v>115</v>
      </c>
      <c r="G405" t="s">
        <v>122</v>
      </c>
      <c r="H405" t="s">
        <v>149</v>
      </c>
    </row>
    <row r="406" spans="1:9">
      <c r="A406" s="3">
        <v>44376</v>
      </c>
      <c r="B406" t="s">
        <v>1877</v>
      </c>
      <c r="C406" s="8">
        <v>2900</v>
      </c>
      <c r="D406" s="8">
        <v>0</v>
      </c>
      <c r="E406" s="8">
        <f t="shared" si="7"/>
        <v>171974908.57999951</v>
      </c>
      <c r="F406" t="s">
        <v>113</v>
      </c>
      <c r="G406" t="s">
        <v>114</v>
      </c>
    </row>
    <row r="407" spans="1:9">
      <c r="A407" s="3">
        <v>44377</v>
      </c>
      <c r="B407" t="s">
        <v>270</v>
      </c>
      <c r="C407" s="8">
        <v>25000</v>
      </c>
      <c r="D407" s="8">
        <v>0</v>
      </c>
      <c r="E407" s="8">
        <f t="shared" si="7"/>
        <v>171949908.57999951</v>
      </c>
      <c r="F407" t="s">
        <v>113</v>
      </c>
      <c r="G407" t="s">
        <v>114</v>
      </c>
    </row>
    <row r="408" spans="1:9">
      <c r="A408" s="3">
        <v>44377</v>
      </c>
      <c r="B408" t="s">
        <v>1000</v>
      </c>
      <c r="C408" s="8">
        <v>0</v>
      </c>
      <c r="D408" s="8">
        <v>121236.02</v>
      </c>
      <c r="E408" s="8">
        <f t="shared" ref="E408:E478" si="8">E407-C408+D408</f>
        <v>172071144.59999952</v>
      </c>
      <c r="F408" t="s">
        <v>252</v>
      </c>
      <c r="G408" t="s">
        <v>253</v>
      </c>
    </row>
    <row r="409" spans="1:9">
      <c r="A409" s="3">
        <v>44377</v>
      </c>
      <c r="B409" t="s">
        <v>273</v>
      </c>
      <c r="C409" s="8">
        <v>24247.200000000001</v>
      </c>
      <c r="D409" s="8">
        <v>0</v>
      </c>
      <c r="E409" s="8">
        <f t="shared" si="8"/>
        <v>172046897.39999953</v>
      </c>
      <c r="F409" t="s">
        <v>252</v>
      </c>
      <c r="G409" t="s">
        <v>253</v>
      </c>
    </row>
    <row r="410" spans="1:9">
      <c r="A410" s="3">
        <v>44379</v>
      </c>
      <c r="B410" t="s">
        <v>1878</v>
      </c>
      <c r="C410" s="8">
        <v>37601358</v>
      </c>
      <c r="D410" s="8">
        <v>0</v>
      </c>
      <c r="E410" s="8">
        <f t="shared" si="8"/>
        <v>134445539.39999953</v>
      </c>
      <c r="F410" t="s">
        <v>107</v>
      </c>
      <c r="G410" t="s">
        <v>274</v>
      </c>
      <c r="H410" t="s">
        <v>140</v>
      </c>
    </row>
    <row r="411" spans="1:9">
      <c r="A411" s="3">
        <v>44379</v>
      </c>
      <c r="B411" t="s">
        <v>1879</v>
      </c>
      <c r="C411" s="8">
        <v>6500</v>
      </c>
      <c r="D411" s="8">
        <v>0</v>
      </c>
      <c r="E411" s="8">
        <f t="shared" si="8"/>
        <v>134439039.39999953</v>
      </c>
      <c r="F411" t="s">
        <v>113</v>
      </c>
      <c r="G411" t="s">
        <v>114</v>
      </c>
    </row>
    <row r="412" spans="1:9">
      <c r="A412" s="3">
        <v>44379</v>
      </c>
      <c r="B412" t="s">
        <v>1880</v>
      </c>
      <c r="C412" s="8">
        <v>5259867</v>
      </c>
      <c r="D412" s="8">
        <v>0</v>
      </c>
      <c r="E412" s="8">
        <f t="shared" si="8"/>
        <v>129179172.39999953</v>
      </c>
      <c r="F412" t="s">
        <v>107</v>
      </c>
      <c r="G412" t="s">
        <v>274</v>
      </c>
      <c r="H412" t="s">
        <v>141</v>
      </c>
    </row>
    <row r="413" spans="1:9">
      <c r="A413" s="3">
        <v>44379</v>
      </c>
      <c r="B413" t="s">
        <v>1881</v>
      </c>
      <c r="C413" s="8">
        <v>6500</v>
      </c>
      <c r="D413" s="8">
        <v>0</v>
      </c>
      <c r="E413" s="8">
        <f t="shared" si="8"/>
        <v>129172672.39999953</v>
      </c>
      <c r="F413" t="s">
        <v>113</v>
      </c>
      <c r="G413" t="s">
        <v>114</v>
      </c>
    </row>
    <row r="414" spans="1:9">
      <c r="A414" s="3">
        <v>44379</v>
      </c>
      <c r="B414" t="s">
        <v>1882</v>
      </c>
      <c r="C414" s="8">
        <v>99362173</v>
      </c>
      <c r="D414" s="8">
        <v>0</v>
      </c>
      <c r="E414" s="8">
        <f t="shared" si="8"/>
        <v>29810499.399999529</v>
      </c>
      <c r="F414" t="s">
        <v>107</v>
      </c>
      <c r="G414" t="s">
        <v>274</v>
      </c>
      <c r="H414" t="s">
        <v>142</v>
      </c>
    </row>
    <row r="415" spans="1:9">
      <c r="A415" s="3">
        <v>44379</v>
      </c>
      <c r="B415" t="s">
        <v>1883</v>
      </c>
      <c r="C415" s="8">
        <v>2900</v>
      </c>
      <c r="D415" s="8">
        <v>0</v>
      </c>
      <c r="E415" s="8">
        <f t="shared" si="8"/>
        <v>29807599.399999529</v>
      </c>
      <c r="F415" t="s">
        <v>113</v>
      </c>
      <c r="G415" t="s">
        <v>114</v>
      </c>
    </row>
    <row r="416" spans="1:9">
      <c r="A416" s="3">
        <v>44384</v>
      </c>
      <c r="B416" t="s">
        <v>1790</v>
      </c>
      <c r="C416" s="8">
        <v>0</v>
      </c>
      <c r="D416" s="8">
        <v>21436630</v>
      </c>
      <c r="E416" s="8">
        <f t="shared" si="8"/>
        <v>51244229.399999529</v>
      </c>
      <c r="F416" t="s">
        <v>581</v>
      </c>
      <c r="G416" t="s">
        <v>582</v>
      </c>
      <c r="H416" s="14" t="s">
        <v>2959</v>
      </c>
      <c r="I416">
        <v>35</v>
      </c>
    </row>
    <row r="417" spans="1:9">
      <c r="A417" s="3">
        <v>44385</v>
      </c>
      <c r="B417" t="s">
        <v>1884</v>
      </c>
      <c r="C417" s="8">
        <v>3000000</v>
      </c>
      <c r="D417" s="8">
        <v>0</v>
      </c>
      <c r="E417" s="8">
        <f t="shared" si="8"/>
        <v>48244229.399999529</v>
      </c>
      <c r="F417" s="10" t="s">
        <v>137</v>
      </c>
      <c r="G417" s="10" t="s">
        <v>138</v>
      </c>
      <c r="H417" t="s">
        <v>1127</v>
      </c>
    </row>
    <row r="418" spans="1:9">
      <c r="A418" s="3">
        <v>44385</v>
      </c>
      <c r="B418" t="s">
        <v>1885</v>
      </c>
      <c r="C418" s="8">
        <v>2900</v>
      </c>
      <c r="D418" s="8">
        <v>0</v>
      </c>
      <c r="E418" s="8">
        <f t="shared" si="8"/>
        <v>48241329.399999529</v>
      </c>
      <c r="F418" t="s">
        <v>113</v>
      </c>
      <c r="G418" t="s">
        <v>114</v>
      </c>
    </row>
    <row r="419" spans="1:9">
      <c r="A419" s="3">
        <v>44390</v>
      </c>
      <c r="B419" t="s">
        <v>1886</v>
      </c>
      <c r="C419" s="8">
        <v>2392000</v>
      </c>
      <c r="D419" s="8">
        <v>0</v>
      </c>
      <c r="E419" s="8">
        <f t="shared" si="8"/>
        <v>45849329.399999529</v>
      </c>
      <c r="F419" t="s">
        <v>137</v>
      </c>
      <c r="G419" t="s">
        <v>138</v>
      </c>
      <c r="H419" t="s">
        <v>3027</v>
      </c>
    </row>
    <row r="420" spans="1:9">
      <c r="A420" s="3">
        <v>44390</v>
      </c>
      <c r="B420" t="s">
        <v>1887</v>
      </c>
      <c r="C420" s="8">
        <v>2900</v>
      </c>
      <c r="D420" s="8">
        <v>0</v>
      </c>
      <c r="E420" s="8">
        <f t="shared" si="8"/>
        <v>45846429.399999529</v>
      </c>
      <c r="F420" t="s">
        <v>113</v>
      </c>
      <c r="G420" t="s">
        <v>114</v>
      </c>
    </row>
    <row r="421" spans="1:9">
      <c r="A421" s="3">
        <v>44390</v>
      </c>
      <c r="B421" t="s">
        <v>1888</v>
      </c>
      <c r="C421" s="8">
        <v>12500000</v>
      </c>
      <c r="D421" s="8">
        <v>0</v>
      </c>
      <c r="E421" s="8">
        <f t="shared" si="8"/>
        <v>33346429.399999529</v>
      </c>
      <c r="F421" s="10" t="s">
        <v>137</v>
      </c>
      <c r="G421" s="10" t="s">
        <v>138</v>
      </c>
      <c r="H421" t="s">
        <v>1127</v>
      </c>
    </row>
    <row r="422" spans="1:9">
      <c r="A422" s="3">
        <v>44390</v>
      </c>
      <c r="B422" t="s">
        <v>1789</v>
      </c>
      <c r="C422" s="8">
        <v>2900</v>
      </c>
      <c r="D422" s="8">
        <v>0</v>
      </c>
      <c r="E422" s="8">
        <f t="shared" si="8"/>
        <v>33343529.399999529</v>
      </c>
      <c r="F422" t="s">
        <v>113</v>
      </c>
      <c r="G422" t="s">
        <v>114</v>
      </c>
    </row>
    <row r="423" spans="1:9">
      <c r="A423" s="3">
        <v>44391</v>
      </c>
      <c r="B423" t="s">
        <v>1889</v>
      </c>
      <c r="C423" s="8">
        <v>2000000</v>
      </c>
      <c r="D423" s="8">
        <v>0</v>
      </c>
      <c r="E423" s="8">
        <f t="shared" si="8"/>
        <v>31343529.399999529</v>
      </c>
      <c r="F423" s="10" t="s">
        <v>137</v>
      </c>
      <c r="G423" s="10" t="s">
        <v>138</v>
      </c>
      <c r="H423" s="168" t="s">
        <v>3052</v>
      </c>
    </row>
    <row r="424" spans="1:9">
      <c r="A424" s="3">
        <v>44391</v>
      </c>
      <c r="B424" t="s">
        <v>1890</v>
      </c>
      <c r="C424" s="8">
        <v>2900</v>
      </c>
      <c r="D424" s="8">
        <v>0</v>
      </c>
      <c r="E424" s="8">
        <f t="shared" si="8"/>
        <v>31340629.399999529</v>
      </c>
      <c r="F424" t="s">
        <v>113</v>
      </c>
      <c r="G424" t="s">
        <v>114</v>
      </c>
    </row>
    <row r="425" spans="1:9">
      <c r="A425" s="3">
        <v>44393</v>
      </c>
      <c r="B425" t="s">
        <v>1891</v>
      </c>
      <c r="C425" s="8">
        <v>942000</v>
      </c>
      <c r="D425" s="8">
        <v>0</v>
      </c>
      <c r="E425" s="8">
        <f t="shared" si="8"/>
        <v>30398629.399999529</v>
      </c>
      <c r="F425" t="s">
        <v>736</v>
      </c>
      <c r="G425" t="s">
        <v>3994</v>
      </c>
    </row>
    <row r="426" spans="1:9">
      <c r="A426" s="3">
        <v>44393</v>
      </c>
      <c r="B426" t="s">
        <v>1892</v>
      </c>
      <c r="C426" s="8">
        <v>10000000</v>
      </c>
      <c r="D426" s="8">
        <v>0</v>
      </c>
      <c r="E426" s="8">
        <f t="shared" si="8"/>
        <v>20398629.399999529</v>
      </c>
      <c r="F426" s="10" t="s">
        <v>137</v>
      </c>
      <c r="G426" s="10" t="s">
        <v>138</v>
      </c>
      <c r="H426" t="s">
        <v>603</v>
      </c>
    </row>
    <row r="427" spans="1:9">
      <c r="A427" s="3">
        <v>44396</v>
      </c>
      <c r="B427" t="s">
        <v>1790</v>
      </c>
      <c r="C427" s="8">
        <v>0</v>
      </c>
      <c r="D427" s="8">
        <v>83143200</v>
      </c>
      <c r="E427" s="8">
        <f t="shared" si="8"/>
        <v>103541829.39999953</v>
      </c>
      <c r="F427" t="s">
        <v>581</v>
      </c>
      <c r="G427" t="s">
        <v>582</v>
      </c>
      <c r="H427" s="14" t="s">
        <v>1126</v>
      </c>
      <c r="I427">
        <v>15</v>
      </c>
    </row>
    <row r="428" spans="1:9">
      <c r="A428" s="3">
        <v>44396</v>
      </c>
      <c r="B428" t="s">
        <v>1790</v>
      </c>
      <c r="C428" s="8">
        <v>0</v>
      </c>
      <c r="D428" s="8">
        <v>186143650</v>
      </c>
      <c r="E428" s="8">
        <f t="shared" si="8"/>
        <v>289685479.3999995</v>
      </c>
      <c r="F428" t="s">
        <v>581</v>
      </c>
      <c r="G428" t="s">
        <v>582</v>
      </c>
      <c r="H428" s="14" t="s">
        <v>2952</v>
      </c>
      <c r="I428">
        <v>22</v>
      </c>
    </row>
    <row r="429" spans="1:9">
      <c r="A429" s="3">
        <v>44397</v>
      </c>
      <c r="B429" t="s">
        <v>1893</v>
      </c>
      <c r="C429" s="8">
        <v>3075653</v>
      </c>
      <c r="D429" s="8">
        <v>0</v>
      </c>
      <c r="E429" s="8">
        <f t="shared" si="8"/>
        <v>286609826.3999995</v>
      </c>
      <c r="F429" t="s">
        <v>319</v>
      </c>
      <c r="G429" t="s">
        <v>467</v>
      </c>
    </row>
    <row r="430" spans="1:9">
      <c r="A430" s="3">
        <v>44397</v>
      </c>
      <c r="B430" t="s">
        <v>1894</v>
      </c>
      <c r="C430" s="8">
        <v>3500000</v>
      </c>
      <c r="D430" s="8">
        <v>0</v>
      </c>
      <c r="E430" s="8">
        <f t="shared" si="8"/>
        <v>283109826.3999995</v>
      </c>
      <c r="F430" t="s">
        <v>319</v>
      </c>
      <c r="G430" t="s">
        <v>467</v>
      </c>
    </row>
    <row r="431" spans="1:9">
      <c r="A431" s="3">
        <v>44398</v>
      </c>
      <c r="B431" t="s">
        <v>65</v>
      </c>
      <c r="C431" s="8">
        <v>0</v>
      </c>
      <c r="D431" s="8">
        <v>175000000</v>
      </c>
      <c r="E431" s="8">
        <f t="shared" si="8"/>
        <v>458109826.3999995</v>
      </c>
      <c r="F431" t="s">
        <v>107</v>
      </c>
      <c r="G431" t="s">
        <v>144</v>
      </c>
    </row>
    <row r="432" spans="1:9">
      <c r="A432" s="3">
        <v>44399</v>
      </c>
      <c r="B432" t="s">
        <v>1895</v>
      </c>
      <c r="C432" s="8">
        <v>0</v>
      </c>
      <c r="D432" s="8">
        <v>27000000</v>
      </c>
      <c r="E432" s="8">
        <f t="shared" si="8"/>
        <v>485109826.3999995</v>
      </c>
      <c r="F432" t="s">
        <v>115</v>
      </c>
      <c r="G432" t="s">
        <v>122</v>
      </c>
      <c r="H432" t="s">
        <v>123</v>
      </c>
    </row>
    <row r="433" spans="1:9">
      <c r="A433" s="3">
        <v>44400</v>
      </c>
      <c r="B433" t="s">
        <v>1896</v>
      </c>
      <c r="C433" s="8">
        <v>485000000</v>
      </c>
      <c r="D433" s="8">
        <v>0</v>
      </c>
      <c r="E433" s="8">
        <f t="shared" si="8"/>
        <v>109826.39999949932</v>
      </c>
      <c r="F433" t="s">
        <v>107</v>
      </c>
      <c r="G433" t="s">
        <v>1522</v>
      </c>
    </row>
    <row r="434" spans="1:9">
      <c r="A434" s="3">
        <v>44400</v>
      </c>
      <c r="B434" t="s">
        <v>1897</v>
      </c>
      <c r="C434" s="8">
        <v>2900</v>
      </c>
      <c r="D434" s="8">
        <v>0</v>
      </c>
      <c r="E434" s="8">
        <f t="shared" si="8"/>
        <v>106926.39999949932</v>
      </c>
      <c r="F434" t="s">
        <v>113</v>
      </c>
      <c r="G434" t="s">
        <v>114</v>
      </c>
    </row>
    <row r="435" spans="1:9">
      <c r="A435" s="3">
        <v>44400</v>
      </c>
      <c r="B435" t="s">
        <v>1791</v>
      </c>
      <c r="C435" s="54">
        <v>0</v>
      </c>
      <c r="D435" s="54">
        <v>485000000</v>
      </c>
      <c r="E435" s="54">
        <f t="shared" si="8"/>
        <v>485106926.3999995</v>
      </c>
      <c r="F435" t="s">
        <v>107</v>
      </c>
      <c r="G435" t="s">
        <v>1522</v>
      </c>
    </row>
    <row r="436" spans="1:9">
      <c r="A436" s="3">
        <v>44403</v>
      </c>
      <c r="B436" t="s">
        <v>1790</v>
      </c>
      <c r="C436" s="8">
        <v>0</v>
      </c>
      <c r="D436" s="8">
        <v>145870452</v>
      </c>
      <c r="E436" s="8">
        <f t="shared" si="8"/>
        <v>630977378.3999995</v>
      </c>
      <c r="F436" t="s">
        <v>581</v>
      </c>
      <c r="G436" t="s">
        <v>582</v>
      </c>
      <c r="H436" s="14" t="s">
        <v>1127</v>
      </c>
      <c r="I436">
        <v>16</v>
      </c>
    </row>
    <row r="437" spans="1:9">
      <c r="A437" s="3">
        <v>44403</v>
      </c>
      <c r="B437" t="s">
        <v>1898</v>
      </c>
      <c r="C437" s="8">
        <v>27000000</v>
      </c>
      <c r="D437" s="8">
        <v>0</v>
      </c>
      <c r="E437" s="8">
        <f t="shared" si="8"/>
        <v>603977378.3999995</v>
      </c>
      <c r="F437" t="s">
        <v>115</v>
      </c>
      <c r="G437" t="s">
        <v>122</v>
      </c>
      <c r="H437" t="s">
        <v>123</v>
      </c>
    </row>
    <row r="438" spans="1:9">
      <c r="A438" s="3">
        <v>44403</v>
      </c>
      <c r="B438" t="s">
        <v>1899</v>
      </c>
      <c r="C438" s="8">
        <v>52321821</v>
      </c>
      <c r="D438" s="8">
        <v>0</v>
      </c>
      <c r="E438" s="8">
        <f t="shared" si="8"/>
        <v>551655557.3999995</v>
      </c>
      <c r="F438" t="s">
        <v>107</v>
      </c>
      <c r="G438" t="s">
        <v>274</v>
      </c>
      <c r="H438" t="s">
        <v>143</v>
      </c>
    </row>
    <row r="439" spans="1:9">
      <c r="A439" s="3">
        <v>44404</v>
      </c>
      <c r="B439" t="s">
        <v>1900</v>
      </c>
      <c r="C439" s="8">
        <v>72500000</v>
      </c>
      <c r="D439" s="8">
        <v>0</v>
      </c>
      <c r="E439" s="8">
        <f t="shared" si="8"/>
        <v>479155557.3999995</v>
      </c>
      <c r="F439" t="s">
        <v>248</v>
      </c>
      <c r="G439" t="s">
        <v>249</v>
      </c>
    </row>
    <row r="440" spans="1:9">
      <c r="A440" s="3">
        <v>44404</v>
      </c>
      <c r="B440" t="s">
        <v>1901</v>
      </c>
      <c r="C440" s="8">
        <v>2900</v>
      </c>
      <c r="D440" s="8">
        <v>0</v>
      </c>
      <c r="E440" s="8">
        <f t="shared" si="8"/>
        <v>479152657.3999995</v>
      </c>
      <c r="F440" t="s">
        <v>113</v>
      </c>
      <c r="G440" t="s">
        <v>114</v>
      </c>
    </row>
    <row r="441" spans="1:9">
      <c r="A441" s="3">
        <v>44405</v>
      </c>
      <c r="B441" t="s">
        <v>1902</v>
      </c>
      <c r="C441" s="8">
        <v>0</v>
      </c>
      <c r="D441" s="8">
        <v>3000000</v>
      </c>
      <c r="E441" s="8">
        <f t="shared" si="8"/>
        <v>482152657.3999995</v>
      </c>
      <c r="F441" t="s">
        <v>115</v>
      </c>
      <c r="G441" t="s">
        <v>122</v>
      </c>
      <c r="H441" t="s">
        <v>123</v>
      </c>
    </row>
    <row r="442" spans="1:9">
      <c r="A442" s="3">
        <v>44405</v>
      </c>
      <c r="B442" t="s">
        <v>1903</v>
      </c>
      <c r="C442" s="8">
        <v>482000000</v>
      </c>
      <c r="D442" s="8">
        <v>0</v>
      </c>
      <c r="E442" s="8">
        <f t="shared" si="8"/>
        <v>152657.39999949932</v>
      </c>
      <c r="F442" t="s">
        <v>107</v>
      </c>
      <c r="G442" t="s">
        <v>145</v>
      </c>
    </row>
    <row r="443" spans="1:9">
      <c r="A443" s="3">
        <v>44405</v>
      </c>
      <c r="B443" t="s">
        <v>1904</v>
      </c>
      <c r="C443" s="8">
        <v>2900</v>
      </c>
      <c r="D443" s="8">
        <v>0</v>
      </c>
      <c r="E443" s="8">
        <f t="shared" si="8"/>
        <v>149757.39999949932</v>
      </c>
      <c r="F443" t="s">
        <v>113</v>
      </c>
      <c r="G443" t="s">
        <v>114</v>
      </c>
    </row>
    <row r="444" spans="1:9">
      <c r="A444" s="3">
        <v>44408</v>
      </c>
      <c r="B444" t="s">
        <v>270</v>
      </c>
      <c r="C444" s="8">
        <v>25000</v>
      </c>
      <c r="D444" s="8">
        <v>0</v>
      </c>
      <c r="E444" s="8">
        <f t="shared" si="8"/>
        <v>124757.39999949932</v>
      </c>
      <c r="F444" t="s">
        <v>113</v>
      </c>
      <c r="G444" t="s">
        <v>114</v>
      </c>
    </row>
    <row r="445" spans="1:9">
      <c r="A445" s="3">
        <v>44408</v>
      </c>
      <c r="B445" t="s">
        <v>1905</v>
      </c>
      <c r="C445" s="8">
        <v>25000</v>
      </c>
      <c r="D445" s="8">
        <v>0</v>
      </c>
      <c r="E445" s="8">
        <f t="shared" si="8"/>
        <v>99757.399999499321</v>
      </c>
      <c r="F445" t="s">
        <v>113</v>
      </c>
      <c r="G445" t="s">
        <v>114</v>
      </c>
    </row>
    <row r="446" spans="1:9">
      <c r="A446" s="3">
        <v>44408</v>
      </c>
      <c r="B446" t="s">
        <v>1000</v>
      </c>
      <c r="C446" s="8">
        <v>0</v>
      </c>
      <c r="D446" s="8">
        <v>122240.61</v>
      </c>
      <c r="E446" s="8">
        <f t="shared" si="8"/>
        <v>221998.00999949931</v>
      </c>
      <c r="F446" t="s">
        <v>252</v>
      </c>
      <c r="G446" t="s">
        <v>253</v>
      </c>
    </row>
    <row r="447" spans="1:9">
      <c r="A447" s="3">
        <v>44408</v>
      </c>
      <c r="B447" t="s">
        <v>273</v>
      </c>
      <c r="C447" s="8">
        <v>24448.12</v>
      </c>
      <c r="D447" s="8">
        <v>0</v>
      </c>
      <c r="E447" s="8">
        <f t="shared" si="8"/>
        <v>197549.88999949931</v>
      </c>
      <c r="F447" t="s">
        <v>252</v>
      </c>
      <c r="G447" t="s">
        <v>253</v>
      </c>
    </row>
    <row r="448" spans="1:9" s="14" customFormat="1">
      <c r="A448" s="138">
        <v>44413</v>
      </c>
      <c r="B448" s="14" t="s">
        <v>3396</v>
      </c>
      <c r="C448" s="50">
        <v>0</v>
      </c>
      <c r="D448" s="50">
        <v>2800000</v>
      </c>
      <c r="E448" s="50">
        <f t="shared" si="8"/>
        <v>2997549.8899994995</v>
      </c>
      <c r="F448" s="14" t="s">
        <v>107</v>
      </c>
      <c r="G448" s="14" t="s">
        <v>109</v>
      </c>
    </row>
    <row r="449" spans="1:9" s="14" customFormat="1">
      <c r="A449" s="138">
        <v>44413</v>
      </c>
      <c r="B449" s="14" t="s">
        <v>3397</v>
      </c>
      <c r="C449" s="50">
        <v>2980246</v>
      </c>
      <c r="D449" s="50">
        <v>0</v>
      </c>
      <c r="E449" s="50">
        <f t="shared" si="8"/>
        <v>17303.889999499545</v>
      </c>
      <c r="F449" s="14" t="s">
        <v>115</v>
      </c>
      <c r="G449" s="14" t="s">
        <v>441</v>
      </c>
      <c r="H449" s="14" t="s">
        <v>3399</v>
      </c>
    </row>
    <row r="450" spans="1:9" s="14" customFormat="1">
      <c r="A450" s="138">
        <v>44414</v>
      </c>
      <c r="B450" s="14" t="s">
        <v>3396</v>
      </c>
      <c r="C450" s="50">
        <v>0</v>
      </c>
      <c r="D450" s="50">
        <v>2000000</v>
      </c>
      <c r="E450" s="50">
        <f t="shared" si="8"/>
        <v>2017303.8899994995</v>
      </c>
      <c r="F450" s="14" t="s">
        <v>107</v>
      </c>
      <c r="G450" s="14" t="s">
        <v>109</v>
      </c>
    </row>
    <row r="451" spans="1:9" s="14" customFormat="1">
      <c r="A451" s="138">
        <v>44414</v>
      </c>
      <c r="B451" s="14" t="s">
        <v>3398</v>
      </c>
      <c r="C451" s="50">
        <v>2005000</v>
      </c>
      <c r="D451" s="50">
        <v>0</v>
      </c>
      <c r="E451" s="50">
        <f t="shared" si="8"/>
        <v>12303.889999499545</v>
      </c>
      <c r="F451" s="14" t="s">
        <v>319</v>
      </c>
      <c r="G451" s="14" t="s">
        <v>392</v>
      </c>
    </row>
    <row r="452" spans="1:9">
      <c r="A452" s="3">
        <v>44421</v>
      </c>
      <c r="B452" t="s">
        <v>1790</v>
      </c>
      <c r="C452" s="8">
        <v>0</v>
      </c>
      <c r="D452" s="8">
        <v>101902360</v>
      </c>
      <c r="E452" s="8">
        <f t="shared" si="8"/>
        <v>101914663.88999949</v>
      </c>
      <c r="F452" s="84" t="s">
        <v>581</v>
      </c>
      <c r="G452" t="s">
        <v>582</v>
      </c>
      <c r="H452" s="14" t="s">
        <v>3033</v>
      </c>
      <c r="I452">
        <v>34</v>
      </c>
    </row>
    <row r="453" spans="1:9">
      <c r="A453" s="3">
        <v>44424</v>
      </c>
      <c r="B453" t="s">
        <v>2775</v>
      </c>
      <c r="C453" s="8">
        <v>3437200</v>
      </c>
      <c r="D453" s="8">
        <v>0</v>
      </c>
      <c r="E453" s="8">
        <f t="shared" si="8"/>
        <v>98477463.889999494</v>
      </c>
      <c r="F453" t="s">
        <v>137</v>
      </c>
      <c r="G453" t="s">
        <v>138</v>
      </c>
      <c r="H453" s="14" t="s">
        <v>3030</v>
      </c>
    </row>
    <row r="454" spans="1:9">
      <c r="A454" s="3">
        <v>44424</v>
      </c>
      <c r="B454" t="s">
        <v>1391</v>
      </c>
      <c r="C454" s="8">
        <v>75000000</v>
      </c>
      <c r="D454" s="8">
        <v>0</v>
      </c>
      <c r="E454" s="8">
        <f t="shared" si="8"/>
        <v>23477463.889999494</v>
      </c>
      <c r="F454" t="s">
        <v>107</v>
      </c>
      <c r="G454" t="s">
        <v>108</v>
      </c>
    </row>
    <row r="455" spans="1:9">
      <c r="A455" s="3">
        <v>44424</v>
      </c>
      <c r="B455" t="s">
        <v>2776</v>
      </c>
      <c r="C455" s="8">
        <v>2900</v>
      </c>
      <c r="D455" s="8">
        <v>0</v>
      </c>
      <c r="E455" s="8">
        <f t="shared" si="8"/>
        <v>23474563.889999494</v>
      </c>
      <c r="F455" t="s">
        <v>113</v>
      </c>
      <c r="G455" t="s">
        <v>114</v>
      </c>
    </row>
    <row r="456" spans="1:9">
      <c r="A456" s="3">
        <v>44424</v>
      </c>
      <c r="B456" t="s">
        <v>2777</v>
      </c>
      <c r="C456" s="8">
        <v>22000000</v>
      </c>
      <c r="D456" s="8">
        <v>0</v>
      </c>
      <c r="E456" s="8">
        <f t="shared" si="8"/>
        <v>1474563.889999494</v>
      </c>
      <c r="F456" t="s">
        <v>137</v>
      </c>
      <c r="G456" t="s">
        <v>138</v>
      </c>
      <c r="H456" s="168" t="s">
        <v>3052</v>
      </c>
    </row>
    <row r="457" spans="1:9">
      <c r="A457" s="3">
        <v>44426</v>
      </c>
      <c r="B457" t="s">
        <v>1361</v>
      </c>
      <c r="C457" s="8">
        <v>0</v>
      </c>
      <c r="D457" s="8">
        <v>21000000</v>
      </c>
      <c r="E457" s="8">
        <f t="shared" si="8"/>
        <v>22474563.889999494</v>
      </c>
      <c r="F457" s="83" t="s">
        <v>107</v>
      </c>
      <c r="G457" s="14" t="s">
        <v>109</v>
      </c>
    </row>
    <row r="458" spans="1:9">
      <c r="A458" s="3">
        <v>44426</v>
      </c>
      <c r="B458" t="s">
        <v>2778</v>
      </c>
      <c r="C458" s="8">
        <v>22344512</v>
      </c>
      <c r="D458" s="8">
        <v>0</v>
      </c>
      <c r="E458" s="8">
        <f t="shared" si="8"/>
        <v>130051.88999949396</v>
      </c>
      <c r="F458" t="s">
        <v>107</v>
      </c>
      <c r="G458" t="s">
        <v>274</v>
      </c>
      <c r="H458" t="s">
        <v>143</v>
      </c>
    </row>
    <row r="459" spans="1:9">
      <c r="A459" s="3">
        <v>44431</v>
      </c>
      <c r="B459" t="s">
        <v>3055</v>
      </c>
      <c r="C459" s="54">
        <v>0</v>
      </c>
      <c r="D459" s="54">
        <v>124768896</v>
      </c>
      <c r="E459" s="54">
        <f t="shared" si="8"/>
        <v>124898947.88999949</v>
      </c>
      <c r="F459" t="s">
        <v>581</v>
      </c>
      <c r="G459" t="s">
        <v>582</v>
      </c>
      <c r="H459" t="s">
        <v>2953</v>
      </c>
      <c r="I459">
        <v>24</v>
      </c>
    </row>
    <row r="460" spans="1:9">
      <c r="A460" s="3">
        <v>44431</v>
      </c>
      <c r="B460" t="s">
        <v>3055</v>
      </c>
      <c r="C460" s="54">
        <v>0</v>
      </c>
      <c r="D460" s="54">
        <v>165864999.60799998</v>
      </c>
      <c r="E460" s="54">
        <f t="shared" si="8"/>
        <v>290763947.49799949</v>
      </c>
      <c r="F460" t="s">
        <v>581</v>
      </c>
      <c r="G460" t="s">
        <v>582</v>
      </c>
      <c r="H460" t="s">
        <v>3030</v>
      </c>
      <c r="I460">
        <v>28</v>
      </c>
    </row>
    <row r="461" spans="1:9">
      <c r="A461" s="3">
        <v>44431</v>
      </c>
      <c r="B461" t="s">
        <v>3055</v>
      </c>
      <c r="C461" s="54">
        <v>0</v>
      </c>
      <c r="D461" s="54">
        <v>133515200</v>
      </c>
      <c r="E461" s="54">
        <f t="shared" si="8"/>
        <v>424279147.49799949</v>
      </c>
      <c r="F461" t="s">
        <v>581</v>
      </c>
      <c r="G461" t="s">
        <v>582</v>
      </c>
      <c r="H461" t="s">
        <v>3042</v>
      </c>
      <c r="I461">
        <v>32</v>
      </c>
    </row>
    <row r="462" spans="1:9">
      <c r="A462" s="3">
        <v>44431</v>
      </c>
      <c r="B462" t="s">
        <v>3057</v>
      </c>
      <c r="C462" s="54">
        <v>0</v>
      </c>
      <c r="D462" s="54">
        <f>427231096-D459-D460-D461</f>
        <v>3082000.3920000196</v>
      </c>
      <c r="E462" s="54">
        <f t="shared" si="8"/>
        <v>427361147.88999951</v>
      </c>
      <c r="F462" t="s">
        <v>252</v>
      </c>
      <c r="G462" t="s">
        <v>3056</v>
      </c>
      <c r="H462" s="14" t="s">
        <v>64</v>
      </c>
      <c r="I462" t="s">
        <v>64</v>
      </c>
    </row>
    <row r="463" spans="1:9">
      <c r="A463" s="12">
        <v>44426</v>
      </c>
      <c r="B463" t="s">
        <v>2779</v>
      </c>
      <c r="C463" s="8">
        <v>50000000</v>
      </c>
      <c r="D463" s="8">
        <v>0</v>
      </c>
      <c r="E463" s="8">
        <f t="shared" si="8"/>
        <v>377361147.88999951</v>
      </c>
      <c r="F463" t="s">
        <v>107</v>
      </c>
      <c r="G463" t="s">
        <v>108</v>
      </c>
    </row>
    <row r="464" spans="1:9">
      <c r="A464" s="12">
        <v>44426</v>
      </c>
      <c r="B464" t="s">
        <v>1819</v>
      </c>
      <c r="C464" s="8">
        <v>6500</v>
      </c>
      <c r="D464" s="8">
        <v>0</v>
      </c>
      <c r="E464" s="8">
        <f t="shared" si="8"/>
        <v>377354647.88999951</v>
      </c>
      <c r="F464" t="s">
        <v>113</v>
      </c>
      <c r="G464" t="s">
        <v>114</v>
      </c>
    </row>
    <row r="465" spans="1:9">
      <c r="A465" s="3">
        <v>44432</v>
      </c>
      <c r="B465" t="s">
        <v>2780</v>
      </c>
      <c r="C465" s="8">
        <v>300000000</v>
      </c>
      <c r="D465" s="8">
        <v>0</v>
      </c>
      <c r="E465" s="8">
        <f t="shared" si="8"/>
        <v>77354647.889999509</v>
      </c>
      <c r="F465" t="s">
        <v>107</v>
      </c>
      <c r="G465" t="s">
        <v>108</v>
      </c>
    </row>
    <row r="466" spans="1:9">
      <c r="A466" s="3">
        <v>44432</v>
      </c>
      <c r="B466" t="s">
        <v>2781</v>
      </c>
      <c r="C466" s="8">
        <v>2900</v>
      </c>
      <c r="D466" s="8">
        <v>0</v>
      </c>
      <c r="E466" s="8">
        <f t="shared" si="8"/>
        <v>77351747.889999509</v>
      </c>
      <c r="F466" t="s">
        <v>113</v>
      </c>
      <c r="G466" t="s">
        <v>114</v>
      </c>
    </row>
    <row r="467" spans="1:9">
      <c r="A467" s="3">
        <v>44433</v>
      </c>
      <c r="B467" t="s">
        <v>2091</v>
      </c>
      <c r="C467" s="8">
        <v>0</v>
      </c>
      <c r="D467" s="8">
        <v>13725000</v>
      </c>
      <c r="E467" s="8">
        <f t="shared" si="8"/>
        <v>91076747.889999509</v>
      </c>
      <c r="F467" t="s">
        <v>581</v>
      </c>
      <c r="G467" t="s">
        <v>582</v>
      </c>
      <c r="H467" s="14" t="s">
        <v>2970</v>
      </c>
      <c r="I467">
        <v>54</v>
      </c>
    </row>
    <row r="468" spans="1:9">
      <c r="A468" s="3">
        <v>44434</v>
      </c>
      <c r="B468" t="s">
        <v>1361</v>
      </c>
      <c r="C468" s="8">
        <v>0</v>
      </c>
      <c r="D468" s="8">
        <v>50000000</v>
      </c>
      <c r="E468" s="8">
        <f t="shared" si="8"/>
        <v>141076747.88999951</v>
      </c>
      <c r="F468" t="s">
        <v>107</v>
      </c>
      <c r="G468" t="s">
        <v>109</v>
      </c>
    </row>
    <row r="469" spans="1:9">
      <c r="A469" s="3">
        <v>44434</v>
      </c>
      <c r="B469" t="s">
        <v>1361</v>
      </c>
      <c r="C469" s="8">
        <v>0</v>
      </c>
      <c r="D469" s="8">
        <v>32000000</v>
      </c>
      <c r="E469" s="8">
        <f t="shared" si="8"/>
        <v>173076747.88999951</v>
      </c>
      <c r="F469" t="s">
        <v>107</v>
      </c>
      <c r="G469" t="s">
        <v>109</v>
      </c>
    </row>
    <row r="470" spans="1:9">
      <c r="A470" s="3">
        <v>44434</v>
      </c>
      <c r="B470" t="s">
        <v>3679</v>
      </c>
      <c r="C470" s="8">
        <v>150000000</v>
      </c>
      <c r="D470" s="8">
        <v>0</v>
      </c>
      <c r="E470" s="8">
        <f t="shared" si="8"/>
        <v>23076747.889999509</v>
      </c>
      <c r="F470" t="s">
        <v>107</v>
      </c>
      <c r="G470" t="s">
        <v>274</v>
      </c>
      <c r="H470" s="14" t="s">
        <v>3405</v>
      </c>
      <c r="I470" t="s">
        <v>3680</v>
      </c>
    </row>
    <row r="471" spans="1:9">
      <c r="A471" s="3">
        <v>44434</v>
      </c>
      <c r="B471" t="s">
        <v>2782</v>
      </c>
      <c r="C471" s="8">
        <v>5591000</v>
      </c>
      <c r="D471" s="8">
        <v>0</v>
      </c>
      <c r="E471" s="8">
        <f t="shared" si="8"/>
        <v>17485747.889999509</v>
      </c>
      <c r="F471" t="s">
        <v>137</v>
      </c>
      <c r="G471" t="s">
        <v>138</v>
      </c>
      <c r="H471" s="14" t="s">
        <v>3030</v>
      </c>
    </row>
    <row r="472" spans="1:9">
      <c r="A472" s="3">
        <v>44434</v>
      </c>
      <c r="B472" t="s">
        <v>1350</v>
      </c>
      <c r="C472" s="8">
        <v>10000000</v>
      </c>
      <c r="D472" s="8">
        <v>0</v>
      </c>
      <c r="E472" s="8">
        <f t="shared" si="8"/>
        <v>7485747.8899995089</v>
      </c>
      <c r="F472" t="s">
        <v>137</v>
      </c>
      <c r="G472" t="s">
        <v>138</v>
      </c>
      <c r="H472" t="s">
        <v>603</v>
      </c>
    </row>
    <row r="473" spans="1:9">
      <c r="A473" s="3">
        <v>44434</v>
      </c>
      <c r="B473" t="s">
        <v>2783</v>
      </c>
      <c r="C473" s="8">
        <v>3500000</v>
      </c>
      <c r="D473" s="8">
        <v>0</v>
      </c>
      <c r="E473" s="8">
        <f t="shared" si="8"/>
        <v>3985747.8899995089</v>
      </c>
      <c r="F473" t="s">
        <v>319</v>
      </c>
      <c r="G473" t="s">
        <v>467</v>
      </c>
    </row>
    <row r="474" spans="1:9">
      <c r="A474" s="3">
        <v>44434</v>
      </c>
      <c r="B474" t="s">
        <v>2784</v>
      </c>
      <c r="C474" s="8">
        <v>3078000</v>
      </c>
      <c r="D474" s="8">
        <v>0</v>
      </c>
      <c r="E474" s="8">
        <f t="shared" si="8"/>
        <v>907747.88999950886</v>
      </c>
      <c r="F474" t="s">
        <v>319</v>
      </c>
      <c r="G474" t="s">
        <v>467</v>
      </c>
    </row>
    <row r="475" spans="1:9">
      <c r="A475" s="3">
        <v>44434</v>
      </c>
      <c r="B475" t="s">
        <v>2092</v>
      </c>
      <c r="C475" s="8">
        <v>0</v>
      </c>
      <c r="D475" s="8">
        <v>91298700</v>
      </c>
      <c r="E475" s="8">
        <f t="shared" si="8"/>
        <v>92206447.889999509</v>
      </c>
      <c r="F475" t="s">
        <v>581</v>
      </c>
      <c r="G475" t="s">
        <v>582</v>
      </c>
      <c r="H475" s="14" t="s">
        <v>2970</v>
      </c>
      <c r="I475">
        <v>53</v>
      </c>
    </row>
    <row r="476" spans="1:9">
      <c r="A476" s="3">
        <v>44438</v>
      </c>
      <c r="B476" t="s">
        <v>2785</v>
      </c>
      <c r="C476" s="8">
        <v>0</v>
      </c>
      <c r="D476" s="8">
        <v>132250000</v>
      </c>
      <c r="E476" s="8">
        <f t="shared" si="8"/>
        <v>224456447.88999951</v>
      </c>
      <c r="F476" t="s">
        <v>107</v>
      </c>
      <c r="G476" t="s">
        <v>3698</v>
      </c>
      <c r="H476" t="s">
        <v>3405</v>
      </c>
      <c r="I476" t="s">
        <v>3680</v>
      </c>
    </row>
    <row r="477" spans="1:9">
      <c r="A477" s="3">
        <v>44438</v>
      </c>
      <c r="B477" t="s">
        <v>2786</v>
      </c>
      <c r="C477" s="8">
        <v>50000000</v>
      </c>
      <c r="D477" s="8">
        <v>0</v>
      </c>
      <c r="E477" s="8">
        <f t="shared" si="8"/>
        <v>174456447.88999951</v>
      </c>
      <c r="F477" t="s">
        <v>107</v>
      </c>
      <c r="G477" t="s">
        <v>108</v>
      </c>
    </row>
    <row r="478" spans="1:9">
      <c r="A478" s="3">
        <v>44438</v>
      </c>
      <c r="B478" t="s">
        <v>2787</v>
      </c>
      <c r="C478" s="8">
        <v>6500</v>
      </c>
      <c r="D478" s="8">
        <v>0</v>
      </c>
      <c r="E478" s="8">
        <f t="shared" si="8"/>
        <v>174449947.88999951</v>
      </c>
      <c r="F478" t="s">
        <v>113</v>
      </c>
      <c r="G478" t="s">
        <v>114</v>
      </c>
    </row>
    <row r="479" spans="1:9">
      <c r="A479" s="3">
        <v>44439</v>
      </c>
      <c r="B479" t="s">
        <v>2788</v>
      </c>
      <c r="C479" s="8">
        <v>72500000</v>
      </c>
      <c r="D479" s="8">
        <v>0</v>
      </c>
      <c r="E479" s="8">
        <f t="shared" ref="E479:E543" si="9">E478-C479+D479</f>
        <v>101949947.88999951</v>
      </c>
      <c r="F479" t="s">
        <v>248</v>
      </c>
      <c r="G479" t="s">
        <v>249</v>
      </c>
    </row>
    <row r="480" spans="1:9">
      <c r="A480" s="3">
        <v>44439</v>
      </c>
      <c r="B480" t="s">
        <v>2789</v>
      </c>
      <c r="C480" s="8">
        <v>2900</v>
      </c>
      <c r="D480" s="8">
        <v>0</v>
      </c>
      <c r="E480" s="8">
        <f t="shared" si="9"/>
        <v>101947047.88999951</v>
      </c>
      <c r="F480" t="s">
        <v>113</v>
      </c>
      <c r="G480" t="s">
        <v>114</v>
      </c>
    </row>
    <row r="481" spans="1:8">
      <c r="A481" s="3">
        <v>44439</v>
      </c>
      <c r="B481" t="s">
        <v>2790</v>
      </c>
      <c r="C481" s="8">
        <v>75000000</v>
      </c>
      <c r="D481" s="8">
        <v>0</v>
      </c>
      <c r="E481" s="8">
        <f t="shared" si="9"/>
        <v>26947047.889999509</v>
      </c>
      <c r="F481" t="s">
        <v>107</v>
      </c>
      <c r="G481" t="s">
        <v>108</v>
      </c>
    </row>
    <row r="482" spans="1:8">
      <c r="A482" s="3">
        <v>44439</v>
      </c>
      <c r="B482" t="s">
        <v>2791</v>
      </c>
      <c r="C482" s="8">
        <v>2900</v>
      </c>
      <c r="D482" s="8">
        <v>0</v>
      </c>
      <c r="E482" s="8">
        <f t="shared" si="9"/>
        <v>26944147.889999509</v>
      </c>
      <c r="F482" t="s">
        <v>113</v>
      </c>
      <c r="G482" t="s">
        <v>114</v>
      </c>
    </row>
    <row r="483" spans="1:8">
      <c r="A483" s="3">
        <v>44439</v>
      </c>
      <c r="B483" t="s">
        <v>2792</v>
      </c>
      <c r="C483" s="8">
        <v>1600000</v>
      </c>
      <c r="D483" s="8">
        <v>0</v>
      </c>
      <c r="E483" s="8">
        <f t="shared" si="9"/>
        <v>25344147.889999509</v>
      </c>
      <c r="F483" t="s">
        <v>137</v>
      </c>
      <c r="G483" t="s">
        <v>138</v>
      </c>
      <c r="H483" s="14" t="s">
        <v>2277</v>
      </c>
    </row>
    <row r="484" spans="1:8">
      <c r="A484" s="3">
        <v>44439</v>
      </c>
      <c r="B484" t="s">
        <v>270</v>
      </c>
      <c r="C484" s="8">
        <v>25000</v>
      </c>
      <c r="D484" s="8">
        <v>0</v>
      </c>
      <c r="E484" s="8">
        <f t="shared" si="9"/>
        <v>25319147.889999509</v>
      </c>
      <c r="F484" t="s">
        <v>113</v>
      </c>
      <c r="G484" t="s">
        <v>114</v>
      </c>
    </row>
    <row r="485" spans="1:8">
      <c r="A485" s="3">
        <v>44439</v>
      </c>
      <c r="B485" t="s">
        <v>1000</v>
      </c>
      <c r="C485" s="8">
        <v>0</v>
      </c>
      <c r="D485" s="8">
        <v>27347.72</v>
      </c>
      <c r="E485" s="8">
        <f t="shared" si="9"/>
        <v>25346495.609999508</v>
      </c>
      <c r="F485" t="s">
        <v>252</v>
      </c>
      <c r="G485" t="s">
        <v>253</v>
      </c>
    </row>
    <row r="486" spans="1:8">
      <c r="A486" s="3">
        <v>44439</v>
      </c>
      <c r="B486" t="s">
        <v>273</v>
      </c>
      <c r="C486" s="8">
        <v>5469.54</v>
      </c>
      <c r="D486" s="8">
        <v>0</v>
      </c>
      <c r="E486" s="8">
        <f t="shared" si="9"/>
        <v>25341026.069999509</v>
      </c>
      <c r="F486" t="s">
        <v>252</v>
      </c>
      <c r="G486" t="s">
        <v>253</v>
      </c>
    </row>
    <row r="487" spans="1:8">
      <c r="A487" s="3">
        <v>44441</v>
      </c>
      <c r="B487" t="s">
        <v>2793</v>
      </c>
      <c r="C487" s="8">
        <v>8995940</v>
      </c>
      <c r="D487" s="8">
        <v>0</v>
      </c>
      <c r="E487" s="8">
        <f t="shared" si="9"/>
        <v>16345086.069999509</v>
      </c>
      <c r="F487" t="s">
        <v>107</v>
      </c>
      <c r="G487" t="s">
        <v>274</v>
      </c>
      <c r="H487" t="s">
        <v>140</v>
      </c>
    </row>
    <row r="488" spans="1:8">
      <c r="A488" s="3">
        <v>44441</v>
      </c>
      <c r="B488" t="s">
        <v>2794</v>
      </c>
      <c r="C488" s="8">
        <v>2900</v>
      </c>
      <c r="D488" s="8">
        <v>0</v>
      </c>
      <c r="E488" s="8">
        <f t="shared" si="9"/>
        <v>16342186.069999509</v>
      </c>
      <c r="F488" t="s">
        <v>113</v>
      </c>
      <c r="G488" t="s">
        <v>114</v>
      </c>
    </row>
    <row r="489" spans="1:8">
      <c r="A489" s="3">
        <v>44441</v>
      </c>
      <c r="B489" t="s">
        <v>2795</v>
      </c>
      <c r="C489" s="8">
        <v>5887176</v>
      </c>
      <c r="D489" s="8">
        <v>0</v>
      </c>
      <c r="E489" s="8">
        <f t="shared" si="9"/>
        <v>10455010.069999509</v>
      </c>
      <c r="F489" t="s">
        <v>107</v>
      </c>
      <c r="G489" t="s">
        <v>274</v>
      </c>
      <c r="H489" t="s">
        <v>141</v>
      </c>
    </row>
    <row r="490" spans="1:8">
      <c r="A490" s="3">
        <v>44441</v>
      </c>
      <c r="B490" t="s">
        <v>2796</v>
      </c>
      <c r="C490" s="8">
        <v>2900</v>
      </c>
      <c r="D490" s="8">
        <v>0</v>
      </c>
      <c r="E490" s="8">
        <f t="shared" si="9"/>
        <v>10452110.069999509</v>
      </c>
      <c r="F490" t="s">
        <v>113</v>
      </c>
      <c r="G490" t="s">
        <v>114</v>
      </c>
    </row>
    <row r="491" spans="1:8">
      <c r="A491" s="3">
        <v>44442</v>
      </c>
      <c r="B491" t="s">
        <v>1361</v>
      </c>
      <c r="C491" s="8">
        <v>0</v>
      </c>
      <c r="D491" s="8">
        <v>16000000</v>
      </c>
      <c r="E491" s="8">
        <f t="shared" si="9"/>
        <v>26452110.069999509</v>
      </c>
      <c r="F491" s="83" t="s">
        <v>107</v>
      </c>
      <c r="G491" s="14" t="s">
        <v>109</v>
      </c>
    </row>
    <row r="492" spans="1:8">
      <c r="A492" s="3">
        <v>44442</v>
      </c>
      <c r="B492" t="s">
        <v>2797</v>
      </c>
      <c r="C492" s="8">
        <v>26279735</v>
      </c>
      <c r="D492" s="8">
        <v>0</v>
      </c>
      <c r="E492" s="8">
        <f t="shared" si="9"/>
        <v>172375.06999950856</v>
      </c>
      <c r="F492" t="s">
        <v>107</v>
      </c>
      <c r="G492" t="s">
        <v>274</v>
      </c>
      <c r="H492" t="s">
        <v>142</v>
      </c>
    </row>
    <row r="493" spans="1:8">
      <c r="A493" s="3">
        <v>44442</v>
      </c>
      <c r="B493" t="s">
        <v>2798</v>
      </c>
      <c r="C493" s="8">
        <v>2900</v>
      </c>
      <c r="D493" s="8">
        <v>0</v>
      </c>
      <c r="E493" s="8">
        <f t="shared" si="9"/>
        <v>169475.06999950856</v>
      </c>
      <c r="F493" t="s">
        <v>113</v>
      </c>
      <c r="G493" t="s">
        <v>114</v>
      </c>
    </row>
    <row r="494" spans="1:8">
      <c r="A494" s="3">
        <v>44445</v>
      </c>
      <c r="B494" t="s">
        <v>1361</v>
      </c>
      <c r="C494" s="8">
        <v>0</v>
      </c>
      <c r="D494" s="8">
        <v>4200000</v>
      </c>
      <c r="E494" s="8">
        <f t="shared" si="9"/>
        <v>4369475.0699995086</v>
      </c>
      <c r="F494" t="s">
        <v>107</v>
      </c>
      <c r="G494" t="s">
        <v>109</v>
      </c>
    </row>
    <row r="495" spans="1:8">
      <c r="A495" s="3">
        <v>44445</v>
      </c>
      <c r="B495" t="s">
        <v>2799</v>
      </c>
      <c r="C495" s="8">
        <v>1005400</v>
      </c>
      <c r="D495" s="8">
        <v>0</v>
      </c>
      <c r="E495" s="8">
        <f t="shared" si="9"/>
        <v>3364075.0699995086</v>
      </c>
      <c r="F495" t="s">
        <v>137</v>
      </c>
      <c r="G495" t="s">
        <v>138</v>
      </c>
      <c r="H495" s="14" t="s">
        <v>3016</v>
      </c>
    </row>
    <row r="496" spans="1:8">
      <c r="A496" s="3">
        <v>44445</v>
      </c>
      <c r="B496" t="s">
        <v>2800</v>
      </c>
      <c r="C496" s="8">
        <v>3200000</v>
      </c>
      <c r="D496" s="8">
        <v>0</v>
      </c>
      <c r="E496" s="8">
        <f t="shared" si="9"/>
        <v>164075.06999950856</v>
      </c>
      <c r="F496" t="s">
        <v>137</v>
      </c>
      <c r="G496" t="s">
        <v>138</v>
      </c>
      <c r="H496" s="14" t="s">
        <v>2953</v>
      </c>
    </row>
    <row r="497" spans="1:9">
      <c r="A497" s="3">
        <v>44445</v>
      </c>
      <c r="B497" t="s">
        <v>3058</v>
      </c>
      <c r="C497" s="54">
        <v>0</v>
      </c>
      <c r="D497" s="54">
        <v>436500330</v>
      </c>
      <c r="E497" s="8">
        <f t="shared" si="9"/>
        <v>436664405.06999952</v>
      </c>
      <c r="F497" t="s">
        <v>581</v>
      </c>
      <c r="G497" t="s">
        <v>582</v>
      </c>
      <c r="H497" s="14" t="s">
        <v>2960</v>
      </c>
      <c r="I497">
        <v>39</v>
      </c>
    </row>
    <row r="498" spans="1:9">
      <c r="A498" s="3">
        <v>44445</v>
      </c>
      <c r="B498" t="s">
        <v>3058</v>
      </c>
      <c r="C498" s="54">
        <v>0</v>
      </c>
      <c r="D498" s="54">
        <f>1091304480-D497</f>
        <v>654804150</v>
      </c>
      <c r="E498" s="8">
        <f t="shared" si="9"/>
        <v>1091468555.0699995</v>
      </c>
      <c r="F498" t="s">
        <v>581</v>
      </c>
      <c r="G498" t="s">
        <v>582</v>
      </c>
      <c r="H498" s="14" t="s">
        <v>2965</v>
      </c>
      <c r="I498">
        <v>48</v>
      </c>
    </row>
    <row r="499" spans="1:9">
      <c r="A499" s="3">
        <v>44447</v>
      </c>
      <c r="B499" t="s">
        <v>2790</v>
      </c>
      <c r="C499" s="54">
        <v>500000000</v>
      </c>
      <c r="D499" s="54">
        <v>0</v>
      </c>
      <c r="E499" s="8">
        <f t="shared" si="9"/>
        <v>591468555.06999946</v>
      </c>
      <c r="F499" t="s">
        <v>107</v>
      </c>
      <c r="G499" t="s">
        <v>108</v>
      </c>
    </row>
    <row r="500" spans="1:9">
      <c r="A500" s="3">
        <v>44447</v>
      </c>
      <c r="B500" t="s">
        <v>81</v>
      </c>
      <c r="C500" s="8">
        <v>2900</v>
      </c>
      <c r="D500" s="8">
        <v>0</v>
      </c>
      <c r="E500" s="8">
        <f t="shared" si="9"/>
        <v>591465655.06999946</v>
      </c>
      <c r="F500" t="s">
        <v>113</v>
      </c>
      <c r="G500" t="s">
        <v>114</v>
      </c>
    </row>
    <row r="501" spans="1:9">
      <c r="A501" s="3">
        <v>44447</v>
      </c>
      <c r="B501" t="s">
        <v>2801</v>
      </c>
      <c r="C501" s="8">
        <v>693000</v>
      </c>
      <c r="D501" s="8">
        <v>0</v>
      </c>
      <c r="E501" s="8">
        <f t="shared" si="9"/>
        <v>590772655.06999946</v>
      </c>
      <c r="F501" t="s">
        <v>137</v>
      </c>
      <c r="G501" t="s">
        <v>138</v>
      </c>
      <c r="H501" s="14" t="s">
        <v>2953</v>
      </c>
    </row>
    <row r="502" spans="1:9">
      <c r="A502" s="3">
        <v>44449</v>
      </c>
      <c r="B502" t="s">
        <v>2802</v>
      </c>
      <c r="C502" s="8">
        <v>10000000</v>
      </c>
      <c r="D502" s="8">
        <v>0</v>
      </c>
      <c r="E502" s="8">
        <f t="shared" si="9"/>
        <v>580772655.06999946</v>
      </c>
      <c r="F502" t="s">
        <v>137</v>
      </c>
      <c r="G502" t="s">
        <v>138</v>
      </c>
      <c r="H502" s="14" t="s">
        <v>2952</v>
      </c>
    </row>
    <row r="503" spans="1:9">
      <c r="A503" s="3">
        <v>44449</v>
      </c>
      <c r="B503" t="s">
        <v>2093</v>
      </c>
      <c r="C503" s="8">
        <v>0</v>
      </c>
      <c r="D503" s="8">
        <v>88200000</v>
      </c>
      <c r="E503" s="8">
        <f t="shared" si="9"/>
        <v>668972655.06999946</v>
      </c>
      <c r="F503" t="s">
        <v>581</v>
      </c>
      <c r="G503" t="s">
        <v>582</v>
      </c>
      <c r="H503" s="14" t="s">
        <v>2043</v>
      </c>
      <c r="I503">
        <v>50</v>
      </c>
    </row>
    <row r="504" spans="1:9">
      <c r="A504" s="3">
        <v>44455</v>
      </c>
      <c r="B504" t="s">
        <v>2803</v>
      </c>
      <c r="C504" s="8">
        <v>30730750</v>
      </c>
      <c r="D504" s="8">
        <v>0</v>
      </c>
      <c r="E504" s="8">
        <f t="shared" si="9"/>
        <v>638241905.06999946</v>
      </c>
      <c r="F504" t="s">
        <v>107</v>
      </c>
      <c r="G504" t="s">
        <v>274</v>
      </c>
      <c r="H504" t="s">
        <v>143</v>
      </c>
    </row>
    <row r="505" spans="1:9">
      <c r="A505" s="3">
        <v>44456</v>
      </c>
      <c r="B505" t="s">
        <v>1790</v>
      </c>
      <c r="C505" s="8">
        <v>0</v>
      </c>
      <c r="D505" s="8">
        <v>647053604</v>
      </c>
      <c r="E505" s="8">
        <f t="shared" si="9"/>
        <v>1285295509.0699995</v>
      </c>
      <c r="F505" t="s">
        <v>581</v>
      </c>
      <c r="G505" t="s">
        <v>582</v>
      </c>
      <c r="H505" t="s">
        <v>3048</v>
      </c>
      <c r="I505">
        <v>64</v>
      </c>
    </row>
    <row r="506" spans="1:9">
      <c r="A506" s="3">
        <v>44460</v>
      </c>
      <c r="B506" t="s">
        <v>2804</v>
      </c>
      <c r="C506" s="8">
        <v>3500000</v>
      </c>
      <c r="D506" s="8">
        <v>0</v>
      </c>
      <c r="E506" s="8">
        <f t="shared" si="9"/>
        <v>1281795509.0699995</v>
      </c>
      <c r="F506" t="s">
        <v>319</v>
      </c>
      <c r="G506" t="s">
        <v>467</v>
      </c>
    </row>
    <row r="507" spans="1:9">
      <c r="A507" s="3">
        <v>44460</v>
      </c>
      <c r="B507" t="s">
        <v>2805</v>
      </c>
      <c r="C507" s="8">
        <v>50000000</v>
      </c>
      <c r="D507" s="8">
        <v>0</v>
      </c>
      <c r="E507" s="8">
        <f t="shared" si="9"/>
        <v>1231795509.0699995</v>
      </c>
      <c r="F507" t="s">
        <v>107</v>
      </c>
      <c r="G507" t="s">
        <v>145</v>
      </c>
    </row>
    <row r="508" spans="1:9">
      <c r="A508" s="3">
        <v>44460</v>
      </c>
      <c r="B508" t="s">
        <v>2806</v>
      </c>
      <c r="C508" s="8">
        <v>6500</v>
      </c>
      <c r="D508" s="8">
        <v>0</v>
      </c>
      <c r="E508" s="8">
        <f t="shared" si="9"/>
        <v>1231789009.0699995</v>
      </c>
      <c r="F508" t="s">
        <v>113</v>
      </c>
      <c r="G508" t="s">
        <v>114</v>
      </c>
    </row>
    <row r="509" spans="1:9">
      <c r="A509" s="3">
        <v>44460</v>
      </c>
      <c r="B509" t="s">
        <v>2807</v>
      </c>
      <c r="C509" s="8">
        <v>3377142</v>
      </c>
      <c r="D509" s="8">
        <v>0</v>
      </c>
      <c r="E509" s="8">
        <f t="shared" si="9"/>
        <v>1228411867.0699995</v>
      </c>
      <c r="F509" t="s">
        <v>319</v>
      </c>
      <c r="G509" t="s">
        <v>467</v>
      </c>
    </row>
    <row r="510" spans="1:9">
      <c r="A510" s="3">
        <v>44460</v>
      </c>
      <c r="B510" t="s">
        <v>2808</v>
      </c>
      <c r="C510" s="8">
        <v>35000000</v>
      </c>
      <c r="D510" s="8">
        <v>0</v>
      </c>
      <c r="E510" s="8">
        <f t="shared" si="9"/>
        <v>1193411867.0699995</v>
      </c>
      <c r="F510" t="s">
        <v>137</v>
      </c>
      <c r="G510" t="s">
        <v>138</v>
      </c>
      <c r="H510" t="s">
        <v>3027</v>
      </c>
    </row>
    <row r="511" spans="1:9">
      <c r="A511" s="3">
        <v>44460</v>
      </c>
      <c r="B511" t="s">
        <v>2809</v>
      </c>
      <c r="C511" s="8">
        <v>6501462</v>
      </c>
      <c r="D511" s="8">
        <v>0</v>
      </c>
      <c r="E511" s="8">
        <f t="shared" si="9"/>
        <v>1186910405.0699995</v>
      </c>
      <c r="F511" t="s">
        <v>137</v>
      </c>
      <c r="G511" t="s">
        <v>138</v>
      </c>
      <c r="H511" s="14" t="s">
        <v>3042</v>
      </c>
    </row>
    <row r="512" spans="1:9">
      <c r="A512" s="3">
        <v>44460</v>
      </c>
      <c r="B512" t="s">
        <v>2810</v>
      </c>
      <c r="C512" s="8">
        <v>2900</v>
      </c>
      <c r="D512" s="8">
        <v>0</v>
      </c>
      <c r="E512" s="8">
        <f t="shared" si="9"/>
        <v>1186907505.0699995</v>
      </c>
      <c r="F512" t="s">
        <v>113</v>
      </c>
      <c r="G512" t="s">
        <v>114</v>
      </c>
    </row>
    <row r="513" spans="1:9">
      <c r="A513" s="3">
        <v>44467</v>
      </c>
      <c r="B513" t="s">
        <v>2811</v>
      </c>
      <c r="C513" s="8">
        <v>72500000</v>
      </c>
      <c r="D513" s="8">
        <v>0</v>
      </c>
      <c r="E513" s="8">
        <f t="shared" si="9"/>
        <v>1114407505.0699995</v>
      </c>
      <c r="F513" t="s">
        <v>248</v>
      </c>
      <c r="G513" t="s">
        <v>249</v>
      </c>
    </row>
    <row r="514" spans="1:9">
      <c r="A514" s="3">
        <v>44469</v>
      </c>
      <c r="B514" t="s">
        <v>2812</v>
      </c>
      <c r="C514" s="8">
        <v>2900</v>
      </c>
      <c r="D514" s="8">
        <v>0</v>
      </c>
      <c r="E514" s="8">
        <f t="shared" si="9"/>
        <v>1114404605.0699995</v>
      </c>
      <c r="F514" t="s">
        <v>113</v>
      </c>
      <c r="G514" t="s">
        <v>114</v>
      </c>
    </row>
    <row r="515" spans="1:9">
      <c r="A515" s="3">
        <v>44469</v>
      </c>
      <c r="B515" t="s">
        <v>270</v>
      </c>
      <c r="C515" s="8">
        <v>25000</v>
      </c>
      <c r="D515" s="8">
        <v>0</v>
      </c>
      <c r="E515" s="8">
        <f t="shared" si="9"/>
        <v>1114379605.0699995</v>
      </c>
      <c r="F515" t="s">
        <v>113</v>
      </c>
      <c r="G515" t="s">
        <v>114</v>
      </c>
    </row>
    <row r="516" spans="1:9">
      <c r="A516" s="3">
        <v>44469</v>
      </c>
      <c r="B516" t="s">
        <v>1000</v>
      </c>
      <c r="C516" s="8">
        <v>0</v>
      </c>
      <c r="D516" s="8">
        <v>1187800.8799999999</v>
      </c>
      <c r="E516" s="8">
        <f t="shared" si="9"/>
        <v>1115567405.9499996</v>
      </c>
      <c r="F516" t="s">
        <v>252</v>
      </c>
      <c r="G516" t="s">
        <v>253</v>
      </c>
    </row>
    <row r="517" spans="1:9">
      <c r="A517" s="3">
        <v>44469</v>
      </c>
      <c r="B517" t="s">
        <v>273</v>
      </c>
      <c r="C517" s="8">
        <v>237560.18</v>
      </c>
      <c r="D517" s="8">
        <v>0</v>
      </c>
      <c r="E517" s="8">
        <f t="shared" si="9"/>
        <v>1115329845.7699995</v>
      </c>
      <c r="F517" t="s">
        <v>252</v>
      </c>
      <c r="G517" t="s">
        <v>253</v>
      </c>
    </row>
    <row r="518" spans="1:9">
      <c r="A518" s="3">
        <v>44470</v>
      </c>
      <c r="B518" t="s">
        <v>2790</v>
      </c>
      <c r="C518" s="8">
        <v>250000000</v>
      </c>
      <c r="D518" s="8">
        <v>0</v>
      </c>
      <c r="E518" s="8">
        <f t="shared" si="9"/>
        <v>865329845.7699995</v>
      </c>
      <c r="F518" t="s">
        <v>107</v>
      </c>
      <c r="G518" t="s">
        <v>108</v>
      </c>
    </row>
    <row r="519" spans="1:9">
      <c r="A519" s="3">
        <v>44470</v>
      </c>
      <c r="B519" t="s">
        <v>2781</v>
      </c>
      <c r="C519" s="8">
        <v>2900</v>
      </c>
      <c r="D519" s="8">
        <v>0</v>
      </c>
      <c r="E519" s="8">
        <f t="shared" si="9"/>
        <v>865326945.7699995</v>
      </c>
      <c r="F519" t="s">
        <v>113</v>
      </c>
      <c r="G519" t="s">
        <v>114</v>
      </c>
    </row>
    <row r="520" spans="1:9">
      <c r="A520" s="3">
        <v>44471</v>
      </c>
      <c r="B520" t="s">
        <v>2813</v>
      </c>
      <c r="C520" s="8">
        <v>50000000</v>
      </c>
      <c r="D520" s="8">
        <v>0</v>
      </c>
      <c r="E520" s="8">
        <f t="shared" si="9"/>
        <v>815326945.7699995</v>
      </c>
      <c r="F520" t="s">
        <v>107</v>
      </c>
      <c r="G520" t="s">
        <v>108</v>
      </c>
    </row>
    <row r="521" spans="1:9">
      <c r="A521" s="3">
        <v>44471</v>
      </c>
      <c r="B521" t="s">
        <v>74</v>
      </c>
      <c r="C521" s="8">
        <v>6500</v>
      </c>
      <c r="D521" s="8">
        <v>0</v>
      </c>
      <c r="E521" s="8">
        <f t="shared" si="9"/>
        <v>815320445.7699995</v>
      </c>
      <c r="F521" t="s">
        <v>113</v>
      </c>
      <c r="G521" t="s">
        <v>114</v>
      </c>
    </row>
    <row r="522" spans="1:9">
      <c r="A522" s="3">
        <v>44471</v>
      </c>
      <c r="B522" t="s">
        <v>1857</v>
      </c>
      <c r="C522" s="8">
        <v>811750</v>
      </c>
      <c r="D522" s="8">
        <v>0</v>
      </c>
      <c r="E522" s="8">
        <f t="shared" si="9"/>
        <v>814508695.7699995</v>
      </c>
      <c r="F522" t="s">
        <v>137</v>
      </c>
      <c r="G522" t="s">
        <v>138</v>
      </c>
      <c r="H522" t="s">
        <v>603</v>
      </c>
    </row>
    <row r="523" spans="1:9">
      <c r="A523" s="3">
        <v>44471</v>
      </c>
      <c r="B523" t="s">
        <v>2814</v>
      </c>
      <c r="C523" s="8">
        <v>808830</v>
      </c>
      <c r="D523" s="8">
        <v>0</v>
      </c>
      <c r="E523" s="8">
        <f t="shared" si="9"/>
        <v>813699865.7699995</v>
      </c>
      <c r="F523" t="s">
        <v>137</v>
      </c>
      <c r="G523" t="s">
        <v>138</v>
      </c>
      <c r="H523" t="s">
        <v>602</v>
      </c>
    </row>
    <row r="524" spans="1:9">
      <c r="A524" s="3">
        <v>44474</v>
      </c>
      <c r="B524" t="s">
        <v>2815</v>
      </c>
      <c r="C524" s="8">
        <v>200000</v>
      </c>
      <c r="D524" s="8">
        <v>0</v>
      </c>
      <c r="E524" s="8">
        <f t="shared" si="9"/>
        <v>813499865.7699995</v>
      </c>
      <c r="F524" t="s">
        <v>113</v>
      </c>
      <c r="G524" t="s">
        <v>114</v>
      </c>
    </row>
    <row r="525" spans="1:9">
      <c r="A525" s="3">
        <v>44475</v>
      </c>
      <c r="B525" t="s">
        <v>1790</v>
      </c>
      <c r="C525" s="8">
        <v>0</v>
      </c>
      <c r="D525" s="8">
        <v>38342892</v>
      </c>
      <c r="E525" s="8">
        <f t="shared" si="9"/>
        <v>851842757.7699995</v>
      </c>
      <c r="F525" t="s">
        <v>581</v>
      </c>
      <c r="G525" t="s">
        <v>582</v>
      </c>
      <c r="H525" s="14" t="s">
        <v>2977</v>
      </c>
      <c r="I525">
        <v>69</v>
      </c>
    </row>
    <row r="526" spans="1:9">
      <c r="A526" s="3">
        <v>44475</v>
      </c>
      <c r="B526" t="s">
        <v>2816</v>
      </c>
      <c r="C526" s="8">
        <v>47691838</v>
      </c>
      <c r="D526" s="8">
        <v>0</v>
      </c>
      <c r="E526" s="8">
        <f t="shared" si="9"/>
        <v>804150919.7699995</v>
      </c>
      <c r="F526" t="s">
        <v>107</v>
      </c>
      <c r="G526" t="s">
        <v>274</v>
      </c>
      <c r="H526" t="s">
        <v>142</v>
      </c>
    </row>
    <row r="527" spans="1:9">
      <c r="A527" s="3">
        <v>44475</v>
      </c>
      <c r="B527" t="s">
        <v>2817</v>
      </c>
      <c r="C527" s="8">
        <v>6500</v>
      </c>
      <c r="D527" s="8">
        <v>0</v>
      </c>
      <c r="E527" s="8">
        <f t="shared" si="9"/>
        <v>804144419.7699995</v>
      </c>
      <c r="F527" t="s">
        <v>113</v>
      </c>
      <c r="G527" t="s">
        <v>114</v>
      </c>
    </row>
    <row r="528" spans="1:9">
      <c r="A528" s="3">
        <v>44475</v>
      </c>
      <c r="B528" t="s">
        <v>2818</v>
      </c>
      <c r="C528" s="8">
        <v>14433747</v>
      </c>
      <c r="D528" s="8">
        <v>0</v>
      </c>
      <c r="E528" s="8">
        <f t="shared" si="9"/>
        <v>789710672.7699995</v>
      </c>
      <c r="F528" t="s">
        <v>107</v>
      </c>
      <c r="G528" t="s">
        <v>274</v>
      </c>
      <c r="H528" t="s">
        <v>141</v>
      </c>
    </row>
    <row r="529" spans="1:9">
      <c r="A529" s="3">
        <v>44475</v>
      </c>
      <c r="B529" t="s">
        <v>2819</v>
      </c>
      <c r="C529" s="8">
        <v>2900</v>
      </c>
      <c r="D529" s="8">
        <v>0</v>
      </c>
      <c r="E529" s="8">
        <f t="shared" si="9"/>
        <v>789707772.7699995</v>
      </c>
      <c r="F529" t="s">
        <v>113</v>
      </c>
      <c r="G529" t="s">
        <v>114</v>
      </c>
    </row>
    <row r="530" spans="1:9">
      <c r="A530" s="3">
        <v>44475</v>
      </c>
      <c r="B530" t="s">
        <v>2820</v>
      </c>
      <c r="C530" s="8">
        <v>2628106</v>
      </c>
      <c r="D530" s="8">
        <v>0</v>
      </c>
      <c r="E530" s="8">
        <f t="shared" si="9"/>
        <v>787079666.7699995</v>
      </c>
      <c r="F530" t="s">
        <v>107</v>
      </c>
      <c r="G530" t="s">
        <v>274</v>
      </c>
      <c r="H530" t="s">
        <v>140</v>
      </c>
    </row>
    <row r="531" spans="1:9">
      <c r="A531" s="3">
        <v>44475</v>
      </c>
      <c r="B531" t="s">
        <v>2821</v>
      </c>
      <c r="C531" s="8">
        <v>2900</v>
      </c>
      <c r="D531" s="8">
        <v>0</v>
      </c>
      <c r="E531" s="8">
        <f t="shared" si="9"/>
        <v>787076766.7699995</v>
      </c>
      <c r="F531" t="s">
        <v>113</v>
      </c>
      <c r="G531" t="s">
        <v>114</v>
      </c>
    </row>
    <row r="532" spans="1:9">
      <c r="A532" s="3">
        <v>44475</v>
      </c>
      <c r="B532" t="s">
        <v>1903</v>
      </c>
      <c r="C532" s="8">
        <v>787000000</v>
      </c>
      <c r="D532" s="8">
        <v>0</v>
      </c>
      <c r="E532" s="8">
        <f t="shared" si="9"/>
        <v>76766.769999504089</v>
      </c>
      <c r="F532" t="s">
        <v>107</v>
      </c>
      <c r="G532" t="s">
        <v>145</v>
      </c>
    </row>
    <row r="533" spans="1:9">
      <c r="A533" s="3">
        <v>44475</v>
      </c>
      <c r="B533" t="s">
        <v>2822</v>
      </c>
      <c r="C533" s="8">
        <v>2900</v>
      </c>
      <c r="D533" s="8">
        <v>0</v>
      </c>
      <c r="E533" s="8">
        <f t="shared" si="9"/>
        <v>73866.769999504089</v>
      </c>
      <c r="F533" t="s">
        <v>113</v>
      </c>
      <c r="G533" t="s">
        <v>114</v>
      </c>
    </row>
    <row r="534" spans="1:9">
      <c r="A534" s="3">
        <v>44476</v>
      </c>
      <c r="B534" t="s">
        <v>79</v>
      </c>
      <c r="C534" s="8">
        <v>0</v>
      </c>
      <c r="D534" s="8">
        <v>500000000</v>
      </c>
      <c r="E534" s="8">
        <f t="shared" si="9"/>
        <v>500073866.7699995</v>
      </c>
      <c r="F534" t="s">
        <v>115</v>
      </c>
      <c r="G534" t="s">
        <v>122</v>
      </c>
      <c r="H534" t="s">
        <v>149</v>
      </c>
    </row>
    <row r="535" spans="1:9">
      <c r="A535" s="3">
        <v>44476</v>
      </c>
      <c r="B535" t="s">
        <v>2823</v>
      </c>
      <c r="C535" s="8">
        <v>275000000</v>
      </c>
      <c r="D535" s="8">
        <v>0</v>
      </c>
      <c r="E535" s="8">
        <f t="shared" si="9"/>
        <v>225073866.7699995</v>
      </c>
      <c r="F535" t="s">
        <v>107</v>
      </c>
      <c r="G535" t="s">
        <v>145</v>
      </c>
    </row>
    <row r="536" spans="1:9">
      <c r="A536" s="3">
        <v>44476</v>
      </c>
      <c r="B536" t="s">
        <v>2094</v>
      </c>
      <c r="C536" s="8">
        <v>2900</v>
      </c>
      <c r="D536" s="8">
        <v>0</v>
      </c>
      <c r="E536" s="8">
        <f t="shared" si="9"/>
        <v>225070966.7699995</v>
      </c>
      <c r="F536" t="s">
        <v>113</v>
      </c>
      <c r="G536" t="s">
        <v>114</v>
      </c>
    </row>
    <row r="537" spans="1:9">
      <c r="A537" s="3">
        <v>44480</v>
      </c>
      <c r="B537" t="s">
        <v>2824</v>
      </c>
      <c r="C537" s="8">
        <v>50000000</v>
      </c>
      <c r="D537" s="8">
        <v>0</v>
      </c>
      <c r="E537" s="8">
        <f t="shared" si="9"/>
        <v>175070966.7699995</v>
      </c>
      <c r="F537" t="s">
        <v>107</v>
      </c>
      <c r="G537" t="s">
        <v>108</v>
      </c>
    </row>
    <row r="538" spans="1:9">
      <c r="A538" s="3">
        <v>44480</v>
      </c>
      <c r="B538" t="s">
        <v>1788</v>
      </c>
      <c r="C538" s="8">
        <v>6500</v>
      </c>
      <c r="D538" s="8">
        <v>0</v>
      </c>
      <c r="E538" s="8">
        <f t="shared" si="9"/>
        <v>175064466.7699995</v>
      </c>
      <c r="F538" t="s">
        <v>113</v>
      </c>
      <c r="G538" t="s">
        <v>114</v>
      </c>
    </row>
    <row r="539" spans="1:9">
      <c r="A539" s="3">
        <v>44480</v>
      </c>
      <c r="B539" t="s">
        <v>2825</v>
      </c>
      <c r="C539" s="8">
        <v>20800000</v>
      </c>
      <c r="D539" s="8">
        <v>0</v>
      </c>
      <c r="E539" s="8">
        <f t="shared" si="9"/>
        <v>154264466.7699995</v>
      </c>
      <c r="F539" t="s">
        <v>137</v>
      </c>
      <c r="G539" t="s">
        <v>138</v>
      </c>
      <c r="H539" s="14" t="s">
        <v>2278</v>
      </c>
    </row>
    <row r="540" spans="1:9">
      <c r="A540" s="3">
        <v>44481</v>
      </c>
      <c r="B540" t="s">
        <v>2826</v>
      </c>
      <c r="C540" s="8">
        <v>154000000</v>
      </c>
      <c r="D540" s="8">
        <v>0</v>
      </c>
      <c r="E540" s="8">
        <f t="shared" si="9"/>
        <v>264466.76999950409</v>
      </c>
      <c r="F540" t="s">
        <v>107</v>
      </c>
      <c r="G540" t="s">
        <v>108</v>
      </c>
    </row>
    <row r="541" spans="1:9">
      <c r="A541" s="3">
        <v>44481</v>
      </c>
      <c r="B541" t="s">
        <v>2827</v>
      </c>
      <c r="C541" s="8">
        <v>2900</v>
      </c>
      <c r="D541" s="8">
        <v>0</v>
      </c>
      <c r="E541" s="8">
        <f t="shared" si="9"/>
        <v>261566.76999950409</v>
      </c>
      <c r="F541" t="s">
        <v>113</v>
      </c>
      <c r="G541" t="s">
        <v>114</v>
      </c>
    </row>
    <row r="542" spans="1:9">
      <c r="A542" s="3">
        <v>44482</v>
      </c>
      <c r="B542" t="s">
        <v>1790</v>
      </c>
      <c r="C542" s="8">
        <v>0</v>
      </c>
      <c r="D542" s="8">
        <v>283055850</v>
      </c>
      <c r="E542" s="8">
        <f t="shared" si="9"/>
        <v>283317416.7699995</v>
      </c>
      <c r="F542" t="s">
        <v>581</v>
      </c>
      <c r="G542" t="s">
        <v>582</v>
      </c>
      <c r="H542" s="14" t="s">
        <v>2975</v>
      </c>
      <c r="I542">
        <v>66</v>
      </c>
    </row>
    <row r="543" spans="1:9">
      <c r="A543" s="3">
        <v>44482</v>
      </c>
      <c r="B543" t="s">
        <v>2828</v>
      </c>
      <c r="C543" s="8">
        <v>50000000</v>
      </c>
      <c r="D543" s="8">
        <v>0</v>
      </c>
      <c r="E543" s="8">
        <f t="shared" si="9"/>
        <v>233317416.7699995</v>
      </c>
      <c r="F543" t="s">
        <v>107</v>
      </c>
      <c r="G543" t="s">
        <v>108</v>
      </c>
    </row>
    <row r="544" spans="1:9">
      <c r="A544" s="3">
        <v>44482</v>
      </c>
      <c r="B544" t="s">
        <v>178</v>
      </c>
      <c r="C544" s="8">
        <v>6500</v>
      </c>
      <c r="D544" s="8">
        <v>0</v>
      </c>
      <c r="E544" s="8">
        <f t="shared" ref="E544:E608" si="10">E543-C544+D544</f>
        <v>233310916.7699995</v>
      </c>
      <c r="F544" t="s">
        <v>113</v>
      </c>
      <c r="G544" t="s">
        <v>114</v>
      </c>
    </row>
    <row r="545" spans="1:8">
      <c r="A545" s="3">
        <v>44483</v>
      </c>
      <c r="B545" t="s">
        <v>2829</v>
      </c>
      <c r="C545" s="8">
        <v>0</v>
      </c>
      <c r="D545" s="8">
        <v>500000000</v>
      </c>
      <c r="E545" s="8">
        <f t="shared" si="10"/>
        <v>733310916.7699995</v>
      </c>
      <c r="F545" t="s">
        <v>107</v>
      </c>
      <c r="G545" t="s">
        <v>144</v>
      </c>
    </row>
    <row r="546" spans="1:8">
      <c r="A546" s="3">
        <v>44483</v>
      </c>
      <c r="B546" t="s">
        <v>2830</v>
      </c>
      <c r="C546" s="8">
        <v>354850000</v>
      </c>
      <c r="D546" s="8">
        <v>0</v>
      </c>
      <c r="E546" s="8">
        <f t="shared" si="10"/>
        <v>378460916.7699995</v>
      </c>
      <c r="F546" t="s">
        <v>137</v>
      </c>
      <c r="G546" t="s">
        <v>138</v>
      </c>
      <c r="H546" t="s">
        <v>2279</v>
      </c>
    </row>
    <row r="547" spans="1:8">
      <c r="A547" s="3">
        <v>44483</v>
      </c>
      <c r="B547" t="s">
        <v>2831</v>
      </c>
      <c r="C547" s="8">
        <v>2900</v>
      </c>
      <c r="D547" s="8">
        <v>0</v>
      </c>
      <c r="E547" s="8">
        <f t="shared" si="10"/>
        <v>378458016.7699995</v>
      </c>
      <c r="F547" t="s">
        <v>113</v>
      </c>
      <c r="G547" t="s">
        <v>114</v>
      </c>
    </row>
    <row r="548" spans="1:8">
      <c r="A548" s="3">
        <v>44484</v>
      </c>
      <c r="B548" t="s">
        <v>2832</v>
      </c>
      <c r="C548" s="8">
        <v>50000000</v>
      </c>
      <c r="D548" s="8">
        <v>0</v>
      </c>
      <c r="E548" s="8">
        <f t="shared" si="10"/>
        <v>328458016.7699995</v>
      </c>
      <c r="F548" t="s">
        <v>107</v>
      </c>
      <c r="G548" t="s">
        <v>108</v>
      </c>
    </row>
    <row r="549" spans="1:8">
      <c r="A549" s="3">
        <v>44484</v>
      </c>
      <c r="B549" t="s">
        <v>269</v>
      </c>
      <c r="C549" s="8">
        <v>6500</v>
      </c>
      <c r="D549" s="8">
        <v>0</v>
      </c>
      <c r="E549" s="8">
        <f t="shared" si="10"/>
        <v>328451516.7699995</v>
      </c>
      <c r="F549" t="s">
        <v>113</v>
      </c>
      <c r="G549" t="s">
        <v>114</v>
      </c>
    </row>
    <row r="550" spans="1:8">
      <c r="A550" s="3">
        <v>44484</v>
      </c>
      <c r="B550" t="s">
        <v>2833</v>
      </c>
      <c r="C550" s="8">
        <v>29000000</v>
      </c>
      <c r="D550" s="8">
        <v>0</v>
      </c>
      <c r="E550" s="8">
        <f t="shared" si="10"/>
        <v>299451516.7699995</v>
      </c>
      <c r="F550" t="s">
        <v>107</v>
      </c>
      <c r="G550" t="s">
        <v>1522</v>
      </c>
      <c r="H550" s="14" t="s">
        <v>64</v>
      </c>
    </row>
    <row r="551" spans="1:8">
      <c r="A551" s="3">
        <v>44484</v>
      </c>
      <c r="B551" t="s">
        <v>2834</v>
      </c>
      <c r="C551" s="8">
        <v>2900</v>
      </c>
      <c r="D551" s="8">
        <v>0</v>
      </c>
      <c r="E551" s="8">
        <f t="shared" si="10"/>
        <v>299448616.7699995</v>
      </c>
      <c r="F551" t="s">
        <v>113</v>
      </c>
      <c r="G551" t="s">
        <v>114</v>
      </c>
    </row>
    <row r="552" spans="1:8">
      <c r="A552" s="3">
        <v>44484</v>
      </c>
      <c r="B552" t="s">
        <v>2790</v>
      </c>
      <c r="C552" s="8">
        <v>200000000</v>
      </c>
      <c r="D552" s="8">
        <v>0</v>
      </c>
      <c r="E552" s="8">
        <f t="shared" si="10"/>
        <v>99448616.769999504</v>
      </c>
      <c r="F552" t="s">
        <v>107</v>
      </c>
      <c r="G552" t="s">
        <v>108</v>
      </c>
    </row>
    <row r="553" spans="1:8">
      <c r="A553" s="3">
        <v>44484</v>
      </c>
      <c r="B553" t="s">
        <v>81</v>
      </c>
      <c r="C553" s="8">
        <v>2900</v>
      </c>
      <c r="D553" s="8">
        <v>0</v>
      </c>
      <c r="E553" s="8">
        <f t="shared" si="10"/>
        <v>99445716.769999504</v>
      </c>
      <c r="F553" t="s">
        <v>113</v>
      </c>
      <c r="G553" t="s">
        <v>114</v>
      </c>
    </row>
    <row r="554" spans="1:8">
      <c r="A554" s="3">
        <v>44484</v>
      </c>
      <c r="B554" t="s">
        <v>79</v>
      </c>
      <c r="C554" s="8">
        <v>0</v>
      </c>
      <c r="D554" s="8">
        <v>750000000</v>
      </c>
      <c r="E554" s="8">
        <f t="shared" si="10"/>
        <v>849445716.7699995</v>
      </c>
      <c r="F554" t="s">
        <v>115</v>
      </c>
      <c r="G554" t="s">
        <v>122</v>
      </c>
      <c r="H554" t="s">
        <v>149</v>
      </c>
    </row>
    <row r="555" spans="1:8">
      <c r="A555" s="3">
        <v>44484</v>
      </c>
      <c r="B555" t="s">
        <v>2847</v>
      </c>
      <c r="C555" s="8">
        <v>0</v>
      </c>
      <c r="D555" s="8">
        <v>29000000</v>
      </c>
      <c r="E555" s="8">
        <f t="shared" si="10"/>
        <v>878445716.7699995</v>
      </c>
      <c r="F555" t="s">
        <v>107</v>
      </c>
      <c r="G555" t="s">
        <v>1522</v>
      </c>
      <c r="H555" s="14" t="s">
        <v>64</v>
      </c>
    </row>
    <row r="556" spans="1:8">
      <c r="A556" s="3">
        <v>44484</v>
      </c>
      <c r="B556" t="s">
        <v>2848</v>
      </c>
      <c r="C556" s="8">
        <v>354850000</v>
      </c>
      <c r="D556" s="8">
        <v>0</v>
      </c>
      <c r="E556" s="8">
        <f t="shared" si="10"/>
        <v>523595716.7699995</v>
      </c>
      <c r="F556" t="s">
        <v>137</v>
      </c>
      <c r="G556" t="s">
        <v>138</v>
      </c>
      <c r="H556" t="s">
        <v>2279</v>
      </c>
    </row>
    <row r="557" spans="1:8">
      <c r="A557" s="3">
        <v>44484</v>
      </c>
      <c r="B557" t="s">
        <v>2095</v>
      </c>
      <c r="C557" s="8">
        <v>2900</v>
      </c>
      <c r="D557" s="8">
        <v>0</v>
      </c>
      <c r="E557" s="8">
        <f t="shared" si="10"/>
        <v>523592816.7699995</v>
      </c>
      <c r="F557" t="s">
        <v>113</v>
      </c>
      <c r="G557" t="s">
        <v>114</v>
      </c>
    </row>
    <row r="558" spans="1:8">
      <c r="A558" s="3">
        <v>44484</v>
      </c>
      <c r="B558" t="s">
        <v>2849</v>
      </c>
      <c r="C558" s="8">
        <v>107948000</v>
      </c>
      <c r="D558" s="8">
        <v>0</v>
      </c>
      <c r="E558" s="8">
        <f t="shared" si="10"/>
        <v>415644816.7699995</v>
      </c>
      <c r="F558" t="s">
        <v>137</v>
      </c>
      <c r="G558" t="s">
        <v>138</v>
      </c>
      <c r="H558" s="14" t="s">
        <v>2278</v>
      </c>
    </row>
    <row r="559" spans="1:8">
      <c r="A559" s="3">
        <v>44484</v>
      </c>
      <c r="B559" t="s">
        <v>2850</v>
      </c>
      <c r="C559" s="8">
        <v>10000000</v>
      </c>
      <c r="D559" s="8">
        <v>0</v>
      </c>
      <c r="E559" s="8">
        <f t="shared" si="10"/>
        <v>405644816.7699995</v>
      </c>
      <c r="F559" t="s">
        <v>137</v>
      </c>
      <c r="G559" t="s">
        <v>138</v>
      </c>
      <c r="H559" t="s">
        <v>3027</v>
      </c>
    </row>
    <row r="560" spans="1:8">
      <c r="A560" s="3">
        <v>44484</v>
      </c>
      <c r="B560" t="s">
        <v>2851</v>
      </c>
      <c r="C560" s="8">
        <v>3500000</v>
      </c>
      <c r="D560" s="8">
        <v>0</v>
      </c>
      <c r="E560" s="8">
        <f t="shared" si="10"/>
        <v>402144816.7699995</v>
      </c>
      <c r="F560" t="s">
        <v>137</v>
      </c>
      <c r="G560" t="s">
        <v>138</v>
      </c>
      <c r="H560" t="s">
        <v>2279</v>
      </c>
    </row>
    <row r="561" spans="1:8">
      <c r="A561" s="3">
        <v>44485</v>
      </c>
      <c r="B561" t="s">
        <v>2852</v>
      </c>
      <c r="C561" s="8">
        <v>6098800</v>
      </c>
      <c r="D561" s="8">
        <v>0</v>
      </c>
      <c r="E561" s="8">
        <f t="shared" si="10"/>
        <v>396046016.7699995</v>
      </c>
      <c r="F561" t="s">
        <v>137</v>
      </c>
      <c r="G561" t="s">
        <v>138</v>
      </c>
      <c r="H561" t="s">
        <v>2984</v>
      </c>
    </row>
    <row r="562" spans="1:8">
      <c r="A562" s="3">
        <v>44487</v>
      </c>
      <c r="B562" t="s">
        <v>2853</v>
      </c>
      <c r="C562" s="8">
        <v>34356057</v>
      </c>
      <c r="D562" s="8">
        <v>0</v>
      </c>
      <c r="E562" s="8">
        <f t="shared" si="10"/>
        <v>361689959.7699995</v>
      </c>
      <c r="F562" t="s">
        <v>107</v>
      </c>
      <c r="G562" t="s">
        <v>274</v>
      </c>
      <c r="H562" t="s">
        <v>143</v>
      </c>
    </row>
    <row r="563" spans="1:8">
      <c r="A563" s="12">
        <v>44488</v>
      </c>
      <c r="B563" t="s">
        <v>2854</v>
      </c>
      <c r="C563" s="8">
        <v>50000000</v>
      </c>
      <c r="D563" s="8">
        <v>0</v>
      </c>
      <c r="E563" s="8">
        <f t="shared" si="10"/>
        <v>311689959.7699995</v>
      </c>
      <c r="F563" t="s">
        <v>107</v>
      </c>
      <c r="G563" t="s">
        <v>108</v>
      </c>
    </row>
    <row r="564" spans="1:8">
      <c r="A564" s="12">
        <v>44488</v>
      </c>
      <c r="B564" t="s">
        <v>178</v>
      </c>
      <c r="C564" s="8">
        <v>6500</v>
      </c>
      <c r="D564" s="8">
        <v>0</v>
      </c>
      <c r="E564" s="8">
        <f t="shared" si="10"/>
        <v>311683459.7699995</v>
      </c>
      <c r="F564" t="s">
        <v>113</v>
      </c>
      <c r="G564" t="s">
        <v>114</v>
      </c>
    </row>
    <row r="565" spans="1:8">
      <c r="A565" s="12">
        <v>44488</v>
      </c>
      <c r="B565" t="s">
        <v>2855</v>
      </c>
      <c r="C565" s="8">
        <v>24200000</v>
      </c>
      <c r="D565" s="8">
        <v>0</v>
      </c>
      <c r="E565" s="8">
        <f t="shared" si="10"/>
        <v>287483459.7699995</v>
      </c>
      <c r="F565" t="s">
        <v>137</v>
      </c>
      <c r="G565" t="s">
        <v>138</v>
      </c>
      <c r="H565" t="s">
        <v>2279</v>
      </c>
    </row>
    <row r="566" spans="1:8">
      <c r="A566" s="12">
        <v>44488</v>
      </c>
      <c r="B566" t="s">
        <v>2831</v>
      </c>
      <c r="C566" s="8">
        <v>2900</v>
      </c>
      <c r="D566" s="8">
        <v>0</v>
      </c>
      <c r="E566" s="8">
        <f t="shared" si="10"/>
        <v>287480559.7699995</v>
      </c>
      <c r="F566" t="s">
        <v>113</v>
      </c>
      <c r="G566" t="s">
        <v>114</v>
      </c>
    </row>
    <row r="567" spans="1:8">
      <c r="A567" s="12">
        <v>44488</v>
      </c>
      <c r="B567" t="s">
        <v>2856</v>
      </c>
      <c r="C567" s="8">
        <v>86000000</v>
      </c>
      <c r="D567" s="8">
        <v>0</v>
      </c>
      <c r="E567" s="8">
        <f t="shared" si="10"/>
        <v>201480559.7699995</v>
      </c>
      <c r="F567" t="s">
        <v>137</v>
      </c>
      <c r="G567" t="s">
        <v>138</v>
      </c>
      <c r="H567" t="s">
        <v>2984</v>
      </c>
    </row>
    <row r="568" spans="1:8">
      <c r="A568" s="12">
        <v>44488</v>
      </c>
      <c r="B568" t="s">
        <v>2838</v>
      </c>
      <c r="C568" s="8">
        <v>25000000</v>
      </c>
      <c r="D568" s="8">
        <v>0</v>
      </c>
      <c r="E568" s="8">
        <f t="shared" si="10"/>
        <v>176480559.7699995</v>
      </c>
      <c r="F568" t="s">
        <v>137</v>
      </c>
      <c r="G568" t="s">
        <v>138</v>
      </c>
      <c r="H568" t="s">
        <v>2279</v>
      </c>
    </row>
    <row r="569" spans="1:8">
      <c r="A569" s="12">
        <v>44488</v>
      </c>
      <c r="B569" t="s">
        <v>2831</v>
      </c>
      <c r="C569" s="8">
        <v>2900</v>
      </c>
      <c r="D569" s="8">
        <v>0</v>
      </c>
      <c r="E569" s="8">
        <f t="shared" si="10"/>
        <v>176477659.7699995</v>
      </c>
      <c r="F569" s="10" t="s">
        <v>113</v>
      </c>
      <c r="G569" s="10" t="s">
        <v>114</v>
      </c>
    </row>
    <row r="570" spans="1:8" s="14" customFormat="1">
      <c r="A570" s="138">
        <v>44488</v>
      </c>
      <c r="B570" s="14" t="s">
        <v>2857</v>
      </c>
      <c r="C570" s="53">
        <f>40000000-C571</f>
        <v>36363637</v>
      </c>
      <c r="D570" s="53">
        <v>0</v>
      </c>
      <c r="E570" s="53">
        <f t="shared" si="10"/>
        <v>140114022.7699995</v>
      </c>
      <c r="F570" s="14" t="s">
        <v>137</v>
      </c>
      <c r="G570" s="14" t="s">
        <v>138</v>
      </c>
      <c r="H570" s="14" t="s">
        <v>3027</v>
      </c>
    </row>
    <row r="571" spans="1:8" s="14" customFormat="1">
      <c r="A571" s="138">
        <v>44488</v>
      </c>
      <c r="B571" s="14" t="s">
        <v>2857</v>
      </c>
      <c r="C571" s="53">
        <v>3636363</v>
      </c>
      <c r="D571" s="53">
        <v>0</v>
      </c>
      <c r="E571" s="53">
        <f t="shared" si="10"/>
        <v>136477659.7699995</v>
      </c>
      <c r="F571" s="14" t="s">
        <v>110</v>
      </c>
      <c r="G571" s="14" t="s">
        <v>616</v>
      </c>
      <c r="H571" s="14" t="s">
        <v>4621</v>
      </c>
    </row>
    <row r="572" spans="1:8">
      <c r="A572" s="12">
        <v>44488</v>
      </c>
      <c r="B572" t="s">
        <v>2858</v>
      </c>
      <c r="C572" s="8">
        <v>2900</v>
      </c>
      <c r="D572" s="8">
        <v>0</v>
      </c>
      <c r="E572" s="8">
        <f t="shared" si="10"/>
        <v>136474759.7699995</v>
      </c>
      <c r="F572" s="10" t="s">
        <v>113</v>
      </c>
      <c r="G572" s="10" t="s">
        <v>114</v>
      </c>
    </row>
    <row r="573" spans="1:8">
      <c r="A573" s="3">
        <v>44489</v>
      </c>
      <c r="B573" t="s">
        <v>2859</v>
      </c>
      <c r="C573" s="8">
        <v>50000000</v>
      </c>
      <c r="D573" s="8">
        <v>0</v>
      </c>
      <c r="E573" s="8">
        <f t="shared" si="10"/>
        <v>86474759.769999504</v>
      </c>
      <c r="F573" t="s">
        <v>107</v>
      </c>
      <c r="G573" t="s">
        <v>108</v>
      </c>
    </row>
    <row r="574" spans="1:8">
      <c r="A574" s="3">
        <v>44489</v>
      </c>
      <c r="B574" t="s">
        <v>2787</v>
      </c>
      <c r="C574" s="8">
        <v>6500</v>
      </c>
      <c r="D574" s="8">
        <v>0</v>
      </c>
      <c r="E574" s="8">
        <f t="shared" si="10"/>
        <v>86468259.769999504</v>
      </c>
      <c r="F574" s="10" t="s">
        <v>113</v>
      </c>
      <c r="G574" s="10" t="s">
        <v>114</v>
      </c>
    </row>
    <row r="575" spans="1:8">
      <c r="A575" s="3">
        <v>44490</v>
      </c>
      <c r="B575" t="s">
        <v>2860</v>
      </c>
      <c r="C575" s="8">
        <v>50000000</v>
      </c>
      <c r="D575" s="8">
        <v>0</v>
      </c>
      <c r="E575" s="8">
        <f t="shared" si="10"/>
        <v>36468259.769999504</v>
      </c>
      <c r="F575" t="s">
        <v>107</v>
      </c>
      <c r="G575" t="s">
        <v>108</v>
      </c>
    </row>
    <row r="576" spans="1:8">
      <c r="A576" s="3">
        <v>44490</v>
      </c>
      <c r="B576" t="s">
        <v>269</v>
      </c>
      <c r="C576" s="8">
        <v>6500</v>
      </c>
      <c r="D576" s="8">
        <v>0</v>
      </c>
      <c r="E576" s="8">
        <f t="shared" si="10"/>
        <v>36461759.769999504</v>
      </c>
      <c r="F576" s="10" t="s">
        <v>113</v>
      </c>
      <c r="G576" s="10" t="s">
        <v>114</v>
      </c>
    </row>
    <row r="577" spans="1:8">
      <c r="A577" s="3">
        <v>44490</v>
      </c>
      <c r="B577" t="s">
        <v>2861</v>
      </c>
      <c r="C577" s="8">
        <v>29000000</v>
      </c>
      <c r="D577" s="8">
        <v>0</v>
      </c>
      <c r="E577" s="8">
        <f t="shared" si="10"/>
        <v>7461759.7699995041</v>
      </c>
      <c r="F577" t="s">
        <v>137</v>
      </c>
      <c r="G577" t="s">
        <v>138</v>
      </c>
      <c r="H577" s="14" t="s">
        <v>2977</v>
      </c>
    </row>
    <row r="578" spans="1:8">
      <c r="A578" s="3">
        <v>44490</v>
      </c>
      <c r="B578" t="s">
        <v>2834</v>
      </c>
      <c r="C578" s="8">
        <v>2900</v>
      </c>
      <c r="D578" s="8">
        <v>0</v>
      </c>
      <c r="E578" s="8">
        <f t="shared" si="10"/>
        <v>7458859.7699995041</v>
      </c>
      <c r="F578" s="10" t="s">
        <v>113</v>
      </c>
      <c r="G578" s="10" t="s">
        <v>114</v>
      </c>
    </row>
    <row r="579" spans="1:8">
      <c r="A579" s="3">
        <v>44491</v>
      </c>
      <c r="B579" t="s">
        <v>1902</v>
      </c>
      <c r="C579" s="8">
        <v>0</v>
      </c>
      <c r="D579" s="8">
        <v>3050000</v>
      </c>
      <c r="E579" s="8">
        <f t="shared" si="10"/>
        <v>10508859.769999504</v>
      </c>
      <c r="F579" t="s">
        <v>115</v>
      </c>
      <c r="G579" t="s">
        <v>122</v>
      </c>
      <c r="H579" t="s">
        <v>123</v>
      </c>
    </row>
    <row r="580" spans="1:8">
      <c r="A580" s="3">
        <v>44491</v>
      </c>
      <c r="B580" t="s">
        <v>2862</v>
      </c>
      <c r="C580" s="8">
        <v>10500000</v>
      </c>
      <c r="D580" s="8">
        <v>0</v>
      </c>
      <c r="E580" s="8">
        <f t="shared" si="10"/>
        <v>8859.7699995040894</v>
      </c>
      <c r="F580" t="s">
        <v>137</v>
      </c>
      <c r="G580" t="s">
        <v>138</v>
      </c>
      <c r="H580" t="s">
        <v>2279</v>
      </c>
    </row>
    <row r="581" spans="1:8">
      <c r="A581" s="3">
        <v>44496</v>
      </c>
      <c r="B581" t="s">
        <v>2863</v>
      </c>
      <c r="C581" s="8">
        <v>0</v>
      </c>
      <c r="D581" s="8">
        <v>7756000</v>
      </c>
      <c r="E581" s="8">
        <f t="shared" si="10"/>
        <v>7764859.7699995041</v>
      </c>
      <c r="F581" t="s">
        <v>115</v>
      </c>
      <c r="G581" t="s">
        <v>122</v>
      </c>
      <c r="H581" t="s">
        <v>123</v>
      </c>
    </row>
    <row r="582" spans="1:8">
      <c r="A582" s="3">
        <v>44496</v>
      </c>
      <c r="B582" t="s">
        <v>2864</v>
      </c>
      <c r="C582" s="8">
        <v>3945000</v>
      </c>
      <c r="D582" s="8">
        <v>0</v>
      </c>
      <c r="E582" s="8">
        <f t="shared" si="10"/>
        <v>3819859.7699995041</v>
      </c>
      <c r="F582" t="s">
        <v>137</v>
      </c>
      <c r="G582" t="s">
        <v>138</v>
      </c>
      <c r="H582" s="14" t="s">
        <v>2953</v>
      </c>
    </row>
    <row r="583" spans="1:8">
      <c r="A583" s="3">
        <v>44496</v>
      </c>
      <c r="B583" t="s">
        <v>75</v>
      </c>
      <c r="C583" s="8">
        <v>0</v>
      </c>
      <c r="D583" s="8">
        <v>6500</v>
      </c>
      <c r="E583" s="8">
        <f t="shared" si="10"/>
        <v>3826359.7699995041</v>
      </c>
      <c r="F583" t="s">
        <v>115</v>
      </c>
      <c r="G583" t="s">
        <v>122</v>
      </c>
      <c r="H583" t="s">
        <v>123</v>
      </c>
    </row>
    <row r="584" spans="1:8">
      <c r="A584" s="3">
        <v>44497</v>
      </c>
      <c r="B584" t="s">
        <v>2865</v>
      </c>
      <c r="C584" s="8">
        <v>3819069</v>
      </c>
      <c r="D584" s="8">
        <v>0</v>
      </c>
      <c r="E584" s="8">
        <f t="shared" si="10"/>
        <v>7290.7699995040894</v>
      </c>
      <c r="F584" t="s">
        <v>137</v>
      </c>
      <c r="G584" t="s">
        <v>138</v>
      </c>
      <c r="H584" s="14" t="s">
        <v>3030</v>
      </c>
    </row>
    <row r="585" spans="1:8">
      <c r="A585" s="3">
        <v>44497</v>
      </c>
      <c r="B585" t="s">
        <v>2096</v>
      </c>
      <c r="C585" s="8">
        <v>6500</v>
      </c>
      <c r="D585" s="8">
        <v>0</v>
      </c>
      <c r="E585" s="8">
        <f t="shared" si="10"/>
        <v>790.76999950408936</v>
      </c>
      <c r="F585" s="10" t="s">
        <v>113</v>
      </c>
      <c r="G585" s="10" t="s">
        <v>114</v>
      </c>
    </row>
    <row r="586" spans="1:8">
      <c r="A586" s="3">
        <v>44497</v>
      </c>
      <c r="B586" t="s">
        <v>2866</v>
      </c>
      <c r="C586" s="8">
        <v>0</v>
      </c>
      <c r="D586" s="8">
        <v>141900000</v>
      </c>
      <c r="E586" s="8">
        <f t="shared" si="10"/>
        <v>141900790.7699995</v>
      </c>
      <c r="F586" t="s">
        <v>115</v>
      </c>
      <c r="G586" t="s">
        <v>122</v>
      </c>
      <c r="H586" t="s">
        <v>123</v>
      </c>
    </row>
    <row r="587" spans="1:8">
      <c r="A587" s="3">
        <v>44497</v>
      </c>
      <c r="B587" t="s">
        <v>2867</v>
      </c>
      <c r="C587" s="8">
        <v>72500000</v>
      </c>
      <c r="D587" s="8">
        <v>0</v>
      </c>
      <c r="E587" s="8">
        <f t="shared" si="10"/>
        <v>69400790.769999504</v>
      </c>
      <c r="F587" t="s">
        <v>248</v>
      </c>
      <c r="G587" t="s">
        <v>249</v>
      </c>
    </row>
    <row r="588" spans="1:8">
      <c r="A588" s="3">
        <v>44497</v>
      </c>
      <c r="B588" t="s">
        <v>2868</v>
      </c>
      <c r="C588" s="8">
        <v>2900</v>
      </c>
      <c r="D588" s="8">
        <v>0</v>
      </c>
      <c r="E588" s="8">
        <f t="shared" si="10"/>
        <v>69397890.769999504</v>
      </c>
      <c r="F588" s="10" t="s">
        <v>113</v>
      </c>
      <c r="G588" s="10" t="s">
        <v>114</v>
      </c>
    </row>
    <row r="589" spans="1:8">
      <c r="A589" s="3">
        <v>44497</v>
      </c>
      <c r="B589" t="s">
        <v>2869</v>
      </c>
      <c r="C589" s="8">
        <v>3500000</v>
      </c>
      <c r="D589" s="8">
        <v>0</v>
      </c>
      <c r="E589" s="8">
        <f t="shared" si="10"/>
        <v>65897890.769999504</v>
      </c>
      <c r="F589" t="s">
        <v>137</v>
      </c>
      <c r="G589" t="s">
        <v>138</v>
      </c>
      <c r="H589" t="s">
        <v>2279</v>
      </c>
    </row>
    <row r="590" spans="1:8">
      <c r="A590" s="3">
        <v>44497</v>
      </c>
      <c r="B590" t="s">
        <v>2831</v>
      </c>
      <c r="C590" s="8">
        <v>2900</v>
      </c>
      <c r="D590" s="8">
        <v>0</v>
      </c>
      <c r="E590" s="8">
        <f t="shared" si="10"/>
        <v>65894990.769999504</v>
      </c>
      <c r="F590" s="10" t="s">
        <v>113</v>
      </c>
      <c r="G590" s="10" t="s">
        <v>114</v>
      </c>
    </row>
    <row r="591" spans="1:8">
      <c r="A591" s="3">
        <v>44498</v>
      </c>
      <c r="B591" t="s">
        <v>2097</v>
      </c>
      <c r="C591" s="8">
        <v>50000000</v>
      </c>
      <c r="D591" s="8">
        <v>0</v>
      </c>
      <c r="E591" s="8">
        <f t="shared" si="10"/>
        <v>15894990.769999504</v>
      </c>
      <c r="F591" t="s">
        <v>107</v>
      </c>
      <c r="G591" t="s">
        <v>108</v>
      </c>
    </row>
    <row r="592" spans="1:8">
      <c r="A592" s="3">
        <v>44498</v>
      </c>
      <c r="B592" t="s">
        <v>178</v>
      </c>
      <c r="C592" s="8">
        <v>6500</v>
      </c>
      <c r="D592" s="8">
        <v>0</v>
      </c>
      <c r="E592" s="8">
        <f t="shared" si="10"/>
        <v>15888490.769999504</v>
      </c>
      <c r="F592" s="10" t="s">
        <v>113</v>
      </c>
      <c r="G592" s="10" t="s">
        <v>114</v>
      </c>
    </row>
    <row r="593" spans="1:9">
      <c r="A593" s="3">
        <v>44500</v>
      </c>
      <c r="B593" t="s">
        <v>270</v>
      </c>
      <c r="C593" s="8">
        <v>25000</v>
      </c>
      <c r="D593" s="8">
        <v>0</v>
      </c>
      <c r="E593" s="8">
        <f t="shared" si="10"/>
        <v>15863490.769999504</v>
      </c>
      <c r="F593" s="10" t="s">
        <v>113</v>
      </c>
      <c r="G593" s="10" t="s">
        <v>114</v>
      </c>
    </row>
    <row r="594" spans="1:9">
      <c r="A594" s="3">
        <v>44500</v>
      </c>
      <c r="B594" t="s">
        <v>1000</v>
      </c>
      <c r="C594" s="8">
        <v>0</v>
      </c>
      <c r="D594" s="8">
        <v>232318.31</v>
      </c>
      <c r="E594" s="8">
        <f t="shared" si="10"/>
        <v>16095809.079999505</v>
      </c>
      <c r="F594" t="s">
        <v>252</v>
      </c>
      <c r="G594" t="s">
        <v>253</v>
      </c>
    </row>
    <row r="595" spans="1:9">
      <c r="A595" s="3">
        <v>44500</v>
      </c>
      <c r="B595" t="s">
        <v>273</v>
      </c>
      <c r="C595" s="8">
        <v>46463.66</v>
      </c>
      <c r="D595" s="8">
        <v>0</v>
      </c>
      <c r="E595" s="8">
        <f t="shared" si="10"/>
        <v>16049345.419999504</v>
      </c>
      <c r="F595" t="s">
        <v>252</v>
      </c>
      <c r="G595" t="s">
        <v>253</v>
      </c>
    </row>
    <row r="596" spans="1:9">
      <c r="A596" s="3">
        <v>44503</v>
      </c>
      <c r="B596" t="s">
        <v>2870</v>
      </c>
      <c r="C596" s="8">
        <v>3609000</v>
      </c>
      <c r="D596" s="8">
        <v>0</v>
      </c>
      <c r="E596" s="8">
        <f t="shared" si="10"/>
        <v>12440345.419999504</v>
      </c>
      <c r="F596" t="s">
        <v>319</v>
      </c>
      <c r="G596" t="s">
        <v>467</v>
      </c>
    </row>
    <row r="597" spans="1:9">
      <c r="A597" s="3">
        <v>44503</v>
      </c>
      <c r="B597" t="s">
        <v>2871</v>
      </c>
      <c r="C597" s="8">
        <v>3500000</v>
      </c>
      <c r="D597" s="8">
        <v>0</v>
      </c>
      <c r="E597" s="8">
        <f t="shared" si="10"/>
        <v>8940345.4199995045</v>
      </c>
      <c r="F597" t="s">
        <v>319</v>
      </c>
      <c r="G597" t="s">
        <v>467</v>
      </c>
    </row>
    <row r="598" spans="1:9">
      <c r="A598" s="3">
        <v>44503</v>
      </c>
      <c r="B598" t="s">
        <v>1361</v>
      </c>
      <c r="C598" s="8">
        <v>0</v>
      </c>
      <c r="D598" s="8">
        <v>50000000</v>
      </c>
      <c r="E598" s="8">
        <f t="shared" si="10"/>
        <v>58940345.419999503</v>
      </c>
      <c r="F598" t="s">
        <v>107</v>
      </c>
      <c r="G598" t="s">
        <v>109</v>
      </c>
    </row>
    <row r="599" spans="1:9">
      <c r="A599" s="3">
        <v>44503</v>
      </c>
      <c r="B599" t="s">
        <v>2872</v>
      </c>
      <c r="C599" s="8">
        <v>2860000</v>
      </c>
      <c r="D599" s="8">
        <v>0</v>
      </c>
      <c r="E599" s="8">
        <f t="shared" si="10"/>
        <v>56080345.419999503</v>
      </c>
      <c r="F599" s="10" t="s">
        <v>137</v>
      </c>
      <c r="G599" s="10" t="s">
        <v>138</v>
      </c>
      <c r="H599" t="s">
        <v>2279</v>
      </c>
    </row>
    <row r="600" spans="1:9">
      <c r="A600" s="3">
        <v>44503</v>
      </c>
      <c r="B600" t="s">
        <v>2831</v>
      </c>
      <c r="C600" s="8">
        <v>2900</v>
      </c>
      <c r="D600" s="8">
        <v>0</v>
      </c>
      <c r="E600" s="8">
        <f t="shared" si="10"/>
        <v>56077445.419999503</v>
      </c>
      <c r="F600" s="10" t="s">
        <v>113</v>
      </c>
      <c r="G600" s="10" t="s">
        <v>114</v>
      </c>
    </row>
    <row r="601" spans="1:9">
      <c r="A601" s="3">
        <v>44503</v>
      </c>
      <c r="B601" t="s">
        <v>2873</v>
      </c>
      <c r="C601" s="8">
        <v>19909000</v>
      </c>
      <c r="D601" s="8">
        <v>0</v>
      </c>
      <c r="E601" s="8">
        <f t="shared" si="10"/>
        <v>36168445.419999503</v>
      </c>
      <c r="F601" s="10" t="s">
        <v>137</v>
      </c>
      <c r="G601" s="10" t="s">
        <v>138</v>
      </c>
      <c r="H601" s="14" t="s">
        <v>2278</v>
      </c>
    </row>
    <row r="602" spans="1:9">
      <c r="A602" s="3">
        <v>44503</v>
      </c>
      <c r="B602" t="s">
        <v>2874</v>
      </c>
      <c r="C602" s="8">
        <v>2900</v>
      </c>
      <c r="D602" s="8">
        <v>0</v>
      </c>
      <c r="E602" s="8">
        <f t="shared" si="10"/>
        <v>36165545.419999503</v>
      </c>
      <c r="F602" s="10" t="s">
        <v>113</v>
      </c>
      <c r="G602" s="10" t="s">
        <v>114</v>
      </c>
    </row>
    <row r="603" spans="1:9">
      <c r="A603" s="3">
        <v>44504</v>
      </c>
      <c r="B603" t="s">
        <v>2121</v>
      </c>
      <c r="C603" s="8">
        <v>0</v>
      </c>
      <c r="D603" s="8">
        <v>278455730</v>
      </c>
      <c r="E603" s="8">
        <f t="shared" si="10"/>
        <v>314621275.41999948</v>
      </c>
      <c r="F603" t="s">
        <v>581</v>
      </c>
      <c r="G603" t="s">
        <v>582</v>
      </c>
      <c r="H603" s="14" t="s">
        <v>2277</v>
      </c>
      <c r="I603">
        <v>61</v>
      </c>
    </row>
    <row r="604" spans="1:9" s="14" customFormat="1">
      <c r="A604" s="138">
        <v>44505</v>
      </c>
      <c r="B604" s="14" t="s">
        <v>2875</v>
      </c>
      <c r="C604" s="50">
        <v>0</v>
      </c>
      <c r="D604" s="50">
        <v>575000000</v>
      </c>
      <c r="E604" s="50">
        <f t="shared" si="10"/>
        <v>889621275.41999948</v>
      </c>
      <c r="F604" s="14" t="s">
        <v>107</v>
      </c>
      <c r="G604" s="14" t="s">
        <v>144</v>
      </c>
    </row>
    <row r="605" spans="1:9">
      <c r="A605" s="3">
        <v>44508</v>
      </c>
      <c r="B605" t="s">
        <v>2876</v>
      </c>
      <c r="C605" s="8">
        <v>750000000</v>
      </c>
      <c r="D605" s="8">
        <v>0</v>
      </c>
      <c r="E605" s="8">
        <f t="shared" si="10"/>
        <v>139621275.41999948</v>
      </c>
      <c r="F605" t="s">
        <v>115</v>
      </c>
      <c r="G605" t="s">
        <v>122</v>
      </c>
      <c r="H605" t="s">
        <v>149</v>
      </c>
    </row>
    <row r="606" spans="1:9">
      <c r="A606" s="3">
        <v>44508</v>
      </c>
      <c r="B606" t="s">
        <v>2877</v>
      </c>
      <c r="C606" s="8">
        <v>2900</v>
      </c>
      <c r="D606" s="8">
        <v>0</v>
      </c>
      <c r="E606" s="8">
        <f t="shared" si="10"/>
        <v>139618375.41999948</v>
      </c>
      <c r="F606" s="10" t="s">
        <v>113</v>
      </c>
      <c r="G606" s="10" t="s">
        <v>114</v>
      </c>
    </row>
    <row r="607" spans="1:9">
      <c r="A607" s="3">
        <v>44509</v>
      </c>
      <c r="B607" t="s">
        <v>65</v>
      </c>
      <c r="C607" s="8">
        <v>0</v>
      </c>
      <c r="D607" s="8">
        <v>275000000</v>
      </c>
      <c r="E607" s="8">
        <f t="shared" si="10"/>
        <v>414618375.41999948</v>
      </c>
      <c r="F607" t="s">
        <v>107</v>
      </c>
      <c r="G607" t="s">
        <v>144</v>
      </c>
    </row>
    <row r="608" spans="1:9">
      <c r="A608" s="3">
        <v>44509</v>
      </c>
      <c r="B608" t="s">
        <v>2878</v>
      </c>
      <c r="C608" s="8">
        <v>43437000</v>
      </c>
      <c r="D608" s="8">
        <v>0</v>
      </c>
      <c r="E608" s="8">
        <f t="shared" si="10"/>
        <v>371181375.41999948</v>
      </c>
      <c r="F608" s="10" t="s">
        <v>137</v>
      </c>
      <c r="G608" s="10" t="s">
        <v>138</v>
      </c>
      <c r="H608" s="14" t="s">
        <v>3000</v>
      </c>
    </row>
    <row r="609" spans="1:9" s="14" customFormat="1">
      <c r="A609" s="138">
        <v>44509</v>
      </c>
      <c r="B609" s="14" t="s">
        <v>4482</v>
      </c>
      <c r="C609" s="53">
        <v>141900000</v>
      </c>
      <c r="D609" s="53">
        <v>0</v>
      </c>
      <c r="E609" s="53">
        <f t="shared" ref="E609:E616" si="11">E608-C609+D609</f>
        <v>229281375.41999948</v>
      </c>
      <c r="F609" s="14" t="s">
        <v>115</v>
      </c>
      <c r="G609" s="14" t="s">
        <v>122</v>
      </c>
      <c r="H609" s="14" t="s">
        <v>123</v>
      </c>
    </row>
    <row r="610" spans="1:9" s="14" customFormat="1">
      <c r="A610" s="138">
        <v>44509</v>
      </c>
      <c r="B610" s="14" t="s">
        <v>4482</v>
      </c>
      <c r="C610" s="53">
        <f>143700000-C609</f>
        <v>1800000</v>
      </c>
      <c r="D610" s="53">
        <v>0</v>
      </c>
      <c r="E610" s="53">
        <f t="shared" si="11"/>
        <v>227481375.41999948</v>
      </c>
      <c r="F610" s="14" t="s">
        <v>113</v>
      </c>
      <c r="G610" s="14" t="s">
        <v>478</v>
      </c>
      <c r="H610" s="14" t="s">
        <v>64</v>
      </c>
    </row>
    <row r="611" spans="1:9" s="14" customFormat="1">
      <c r="A611" s="138">
        <v>44509</v>
      </c>
      <c r="B611" s="14" t="s">
        <v>2879</v>
      </c>
      <c r="C611" s="53">
        <v>2900</v>
      </c>
      <c r="D611" s="53">
        <v>0</v>
      </c>
      <c r="E611" s="53">
        <f t="shared" si="11"/>
        <v>227478475.41999948</v>
      </c>
      <c r="F611" s="14" t="s">
        <v>113</v>
      </c>
      <c r="G611" s="14" t="s">
        <v>114</v>
      </c>
    </row>
    <row r="612" spans="1:9">
      <c r="A612" s="3">
        <v>44509</v>
      </c>
      <c r="B612" t="s">
        <v>2880</v>
      </c>
      <c r="C612" s="8">
        <v>0</v>
      </c>
      <c r="D612" s="8">
        <v>76200000</v>
      </c>
      <c r="E612" s="8">
        <f t="shared" si="11"/>
        <v>303678475.41999948</v>
      </c>
      <c r="F612" s="10" t="s">
        <v>581</v>
      </c>
      <c r="G612" s="10" t="s">
        <v>582</v>
      </c>
      <c r="H612" s="14" t="s">
        <v>2994</v>
      </c>
      <c r="I612">
        <v>97</v>
      </c>
    </row>
    <row r="613" spans="1:9">
      <c r="A613" s="3">
        <v>44509</v>
      </c>
      <c r="B613" t="s">
        <v>2881</v>
      </c>
      <c r="C613" s="8">
        <v>25000000</v>
      </c>
      <c r="D613" s="8">
        <v>0</v>
      </c>
      <c r="E613" s="8">
        <f t="shared" si="11"/>
        <v>278678475.41999948</v>
      </c>
      <c r="F613" s="10" t="s">
        <v>137</v>
      </c>
      <c r="G613" s="10" t="s">
        <v>138</v>
      </c>
      <c r="H613" s="168" t="s">
        <v>3038</v>
      </c>
    </row>
    <row r="614" spans="1:9">
      <c r="A614" s="3">
        <v>44509</v>
      </c>
      <c r="B614" t="s">
        <v>2838</v>
      </c>
      <c r="C614" s="8">
        <v>25000000</v>
      </c>
      <c r="D614" s="8">
        <v>0</v>
      </c>
      <c r="E614" s="8">
        <f t="shared" si="11"/>
        <v>253678475.41999948</v>
      </c>
      <c r="F614" s="10" t="s">
        <v>137</v>
      </c>
      <c r="G614" s="10" t="s">
        <v>138</v>
      </c>
      <c r="H614" t="s">
        <v>2279</v>
      </c>
    </row>
    <row r="615" spans="1:9">
      <c r="A615" s="3">
        <v>44509</v>
      </c>
      <c r="B615" t="s">
        <v>2831</v>
      </c>
      <c r="C615" s="8">
        <v>2900</v>
      </c>
      <c r="D615" s="8">
        <v>0</v>
      </c>
      <c r="E615" s="8">
        <f t="shared" si="11"/>
        <v>253675575.41999948</v>
      </c>
      <c r="F615" s="10" t="s">
        <v>113</v>
      </c>
      <c r="G615" s="10" t="s">
        <v>114</v>
      </c>
    </row>
    <row r="616" spans="1:9">
      <c r="A616" s="3">
        <v>44509</v>
      </c>
      <c r="B616" t="s">
        <v>2846</v>
      </c>
      <c r="C616" s="8">
        <v>32591900</v>
      </c>
      <c r="D616" s="8">
        <v>0</v>
      </c>
      <c r="E616" s="8">
        <f t="shared" si="11"/>
        <v>221083675.41999948</v>
      </c>
      <c r="F616" s="10" t="s">
        <v>137</v>
      </c>
      <c r="G616" s="10" t="s">
        <v>138</v>
      </c>
      <c r="H616" t="s">
        <v>3018</v>
      </c>
    </row>
    <row r="617" spans="1:9">
      <c r="A617" s="3">
        <v>44509</v>
      </c>
      <c r="B617" t="s">
        <v>2844</v>
      </c>
      <c r="C617" s="8">
        <v>4998600</v>
      </c>
      <c r="D617" s="8">
        <v>0</v>
      </c>
      <c r="E617" s="8">
        <f t="shared" ref="E617:E673" si="12">E616-C617+D617</f>
        <v>216085075.41999948</v>
      </c>
      <c r="F617" s="10" t="s">
        <v>137</v>
      </c>
      <c r="G617" s="10" t="s">
        <v>138</v>
      </c>
      <c r="H617" t="s">
        <v>2279</v>
      </c>
    </row>
    <row r="618" spans="1:9">
      <c r="A618" s="3">
        <v>44509</v>
      </c>
      <c r="B618" t="s">
        <v>2845</v>
      </c>
      <c r="C618" s="8">
        <v>4998900</v>
      </c>
      <c r="D618" s="8">
        <v>0</v>
      </c>
      <c r="E618" s="8">
        <f t="shared" si="12"/>
        <v>211086175.41999948</v>
      </c>
      <c r="F618" s="10" t="s">
        <v>137</v>
      </c>
      <c r="G618" s="10" t="s">
        <v>138</v>
      </c>
      <c r="H618" t="s">
        <v>2279</v>
      </c>
    </row>
    <row r="619" spans="1:9">
      <c r="A619" s="3">
        <v>44509</v>
      </c>
      <c r="B619" t="s">
        <v>2845</v>
      </c>
      <c r="C619" s="8">
        <v>1666200</v>
      </c>
      <c r="D619" s="8">
        <v>0</v>
      </c>
      <c r="E619" s="8">
        <f t="shared" si="12"/>
        <v>209419975.41999948</v>
      </c>
      <c r="F619" s="10" t="s">
        <v>137</v>
      </c>
      <c r="G619" s="10" t="s">
        <v>138</v>
      </c>
      <c r="H619" t="s">
        <v>2279</v>
      </c>
    </row>
    <row r="620" spans="1:9">
      <c r="A620" s="3">
        <v>44509</v>
      </c>
      <c r="B620" t="s">
        <v>2844</v>
      </c>
      <c r="C620" s="8">
        <v>8331000</v>
      </c>
      <c r="D620" s="8">
        <v>0</v>
      </c>
      <c r="E620" s="8">
        <f t="shared" si="12"/>
        <v>201088975.41999948</v>
      </c>
      <c r="F620" s="10" t="s">
        <v>137</v>
      </c>
      <c r="G620" s="10" t="s">
        <v>138</v>
      </c>
      <c r="H620" t="s">
        <v>2279</v>
      </c>
    </row>
    <row r="621" spans="1:9">
      <c r="A621" s="3">
        <v>44509</v>
      </c>
      <c r="B621" t="s">
        <v>2845</v>
      </c>
      <c r="C621" s="8">
        <v>22701000</v>
      </c>
      <c r="D621" s="8">
        <v>0</v>
      </c>
      <c r="E621" s="8">
        <f t="shared" si="12"/>
        <v>178387975.41999948</v>
      </c>
      <c r="F621" s="10" t="s">
        <v>137</v>
      </c>
      <c r="G621" s="10" t="s">
        <v>138</v>
      </c>
      <c r="H621" t="s">
        <v>2279</v>
      </c>
    </row>
    <row r="622" spans="1:9">
      <c r="A622" s="3">
        <v>44509</v>
      </c>
      <c r="B622" t="s">
        <v>2844</v>
      </c>
      <c r="C622" s="8">
        <v>17092600</v>
      </c>
      <c r="D622" s="8">
        <v>0</v>
      </c>
      <c r="E622" s="8">
        <f t="shared" si="12"/>
        <v>161295375.41999948</v>
      </c>
      <c r="F622" s="10" t="s">
        <v>137</v>
      </c>
      <c r="G622" s="10" t="s">
        <v>138</v>
      </c>
      <c r="H622" t="s">
        <v>2279</v>
      </c>
    </row>
    <row r="623" spans="1:9">
      <c r="A623" s="3">
        <v>44509</v>
      </c>
      <c r="B623" t="s">
        <v>2843</v>
      </c>
      <c r="C623" s="8">
        <v>20306200</v>
      </c>
      <c r="D623" s="8">
        <v>0</v>
      </c>
      <c r="E623" s="8">
        <f t="shared" si="12"/>
        <v>140989175.41999948</v>
      </c>
      <c r="F623" s="10" t="s">
        <v>137</v>
      </c>
      <c r="G623" s="10" t="s">
        <v>138</v>
      </c>
      <c r="H623" t="s">
        <v>2279</v>
      </c>
    </row>
    <row r="624" spans="1:9">
      <c r="A624" s="3">
        <v>44509</v>
      </c>
      <c r="B624" t="s">
        <v>2842</v>
      </c>
      <c r="C624" s="8">
        <v>21675000</v>
      </c>
      <c r="D624" s="8">
        <v>0</v>
      </c>
      <c r="E624" s="8">
        <f t="shared" si="12"/>
        <v>119314175.41999948</v>
      </c>
      <c r="F624" s="10" t="s">
        <v>137</v>
      </c>
      <c r="G624" s="10" t="s">
        <v>138</v>
      </c>
      <c r="H624" t="s">
        <v>2279</v>
      </c>
    </row>
    <row r="625" spans="1:9">
      <c r="A625" s="3">
        <v>44509</v>
      </c>
      <c r="B625" t="s">
        <v>2095</v>
      </c>
      <c r="C625" s="8">
        <v>2900</v>
      </c>
      <c r="D625" s="8">
        <v>0</v>
      </c>
      <c r="E625" s="8">
        <f t="shared" si="12"/>
        <v>119311275.41999948</v>
      </c>
      <c r="F625" s="10" t="s">
        <v>113</v>
      </c>
      <c r="G625" s="10" t="s">
        <v>114</v>
      </c>
    </row>
    <row r="626" spans="1:9">
      <c r="A626" s="3">
        <v>44509</v>
      </c>
      <c r="B626" t="s">
        <v>2841</v>
      </c>
      <c r="C626" s="8">
        <v>0</v>
      </c>
      <c r="D626" s="8">
        <v>50000000</v>
      </c>
      <c r="E626" s="8">
        <f t="shared" si="12"/>
        <v>169311275.41999948</v>
      </c>
      <c r="F626" t="s">
        <v>107</v>
      </c>
      <c r="G626" t="s">
        <v>109</v>
      </c>
    </row>
    <row r="627" spans="1:9">
      <c r="A627" s="3">
        <v>44509</v>
      </c>
      <c r="B627" t="s">
        <v>2840</v>
      </c>
      <c r="C627" s="8">
        <v>136052371</v>
      </c>
      <c r="D627" s="8">
        <v>0</v>
      </c>
      <c r="E627" s="8">
        <f t="shared" si="12"/>
        <v>33258904.41999948</v>
      </c>
      <c r="F627" t="s">
        <v>107</v>
      </c>
      <c r="G627" t="s">
        <v>274</v>
      </c>
      <c r="H627" t="s">
        <v>143</v>
      </c>
    </row>
    <row r="628" spans="1:9">
      <c r="A628" s="3">
        <v>44510</v>
      </c>
      <c r="B628" t="s">
        <v>998</v>
      </c>
      <c r="C628" s="8">
        <v>33250000</v>
      </c>
      <c r="D628" s="8">
        <v>0</v>
      </c>
      <c r="E628" s="8">
        <f t="shared" si="12"/>
        <v>8904.4199994802475</v>
      </c>
      <c r="F628" t="s">
        <v>107</v>
      </c>
      <c r="G628" t="s">
        <v>108</v>
      </c>
    </row>
    <row r="629" spans="1:9">
      <c r="A629" s="3">
        <v>44510</v>
      </c>
      <c r="B629" t="s">
        <v>2781</v>
      </c>
      <c r="C629" s="8">
        <v>2900</v>
      </c>
      <c r="D629" s="8">
        <v>0</v>
      </c>
      <c r="E629" s="8">
        <f t="shared" si="12"/>
        <v>6004.4199994802475</v>
      </c>
      <c r="F629" s="10" t="s">
        <v>113</v>
      </c>
      <c r="G629" s="10" t="s">
        <v>114</v>
      </c>
    </row>
    <row r="630" spans="1:9">
      <c r="A630" s="3">
        <v>44512</v>
      </c>
      <c r="B630" t="s">
        <v>1790</v>
      </c>
      <c r="C630" s="8">
        <v>0</v>
      </c>
      <c r="D630" s="8">
        <v>261954000</v>
      </c>
      <c r="E630" s="8">
        <f t="shared" si="12"/>
        <v>261960004.41999948</v>
      </c>
      <c r="F630" t="s">
        <v>581</v>
      </c>
      <c r="G630" t="s">
        <v>582</v>
      </c>
      <c r="H630" s="14" t="s">
        <v>2974</v>
      </c>
      <c r="I630">
        <v>65</v>
      </c>
    </row>
    <row r="631" spans="1:9">
      <c r="A631" s="3">
        <v>44512</v>
      </c>
      <c r="B631" t="s">
        <v>180</v>
      </c>
      <c r="C631" s="8">
        <v>261950000</v>
      </c>
      <c r="D631" s="8">
        <v>0</v>
      </c>
      <c r="E631" s="8">
        <f t="shared" si="12"/>
        <v>10004.419999480247</v>
      </c>
      <c r="F631" t="s">
        <v>107</v>
      </c>
      <c r="G631" t="s">
        <v>108</v>
      </c>
    </row>
    <row r="632" spans="1:9">
      <c r="A632" s="3">
        <v>44512</v>
      </c>
      <c r="B632" t="s">
        <v>181</v>
      </c>
      <c r="C632" s="8">
        <v>2900</v>
      </c>
      <c r="D632" s="8">
        <v>0</v>
      </c>
      <c r="E632" s="8">
        <f t="shared" si="12"/>
        <v>7104.4199994802475</v>
      </c>
      <c r="F632" s="10" t="s">
        <v>113</v>
      </c>
      <c r="G632" s="10" t="s">
        <v>114</v>
      </c>
    </row>
    <row r="633" spans="1:9">
      <c r="A633" s="3">
        <v>44517</v>
      </c>
      <c r="B633" t="s">
        <v>65</v>
      </c>
      <c r="C633" s="8">
        <v>0</v>
      </c>
      <c r="D633" s="8">
        <v>9076175</v>
      </c>
      <c r="E633" s="8">
        <f t="shared" si="12"/>
        <v>9083279.4199994802</v>
      </c>
      <c r="F633" t="s">
        <v>107</v>
      </c>
      <c r="G633" t="s">
        <v>144</v>
      </c>
    </row>
    <row r="634" spans="1:9">
      <c r="A634" s="3">
        <v>44517</v>
      </c>
      <c r="B634" t="s">
        <v>2839</v>
      </c>
      <c r="C634" s="8">
        <v>3401329</v>
      </c>
      <c r="D634" s="8">
        <v>0</v>
      </c>
      <c r="E634" s="8">
        <f t="shared" si="12"/>
        <v>5681950.4199994802</v>
      </c>
      <c r="F634" s="10" t="s">
        <v>137</v>
      </c>
      <c r="G634" s="10" t="s">
        <v>138</v>
      </c>
      <c r="H634" s="14" t="s">
        <v>2960</v>
      </c>
    </row>
    <row r="635" spans="1:9">
      <c r="A635" s="3">
        <v>44517</v>
      </c>
      <c r="B635" t="s">
        <v>2838</v>
      </c>
      <c r="C635" s="8">
        <v>3500000</v>
      </c>
      <c r="D635" s="8">
        <v>0</v>
      </c>
      <c r="E635" s="8">
        <f t="shared" si="12"/>
        <v>2181950.4199994802</v>
      </c>
      <c r="F635" s="10" t="s">
        <v>137</v>
      </c>
      <c r="G635" s="10" t="s">
        <v>138</v>
      </c>
      <c r="H635" t="s">
        <v>2279</v>
      </c>
    </row>
    <row r="636" spans="1:9">
      <c r="A636" s="3">
        <v>44517</v>
      </c>
      <c r="B636" t="s">
        <v>2831</v>
      </c>
      <c r="C636" s="8">
        <v>2900</v>
      </c>
      <c r="D636" s="8">
        <v>0</v>
      </c>
      <c r="E636" s="8">
        <f t="shared" si="12"/>
        <v>2179050.4199994802</v>
      </c>
      <c r="F636" s="10" t="s">
        <v>113</v>
      </c>
      <c r="G636" s="10" t="s">
        <v>114</v>
      </c>
    </row>
    <row r="637" spans="1:9">
      <c r="A637" s="3">
        <v>44517</v>
      </c>
      <c r="B637" t="s">
        <v>180</v>
      </c>
      <c r="C637" s="8">
        <v>2176150</v>
      </c>
      <c r="D637" s="8">
        <v>0</v>
      </c>
      <c r="E637" s="8">
        <f t="shared" si="12"/>
        <v>2900.4199994802475</v>
      </c>
      <c r="F637" t="s">
        <v>107</v>
      </c>
      <c r="G637" t="s">
        <v>108</v>
      </c>
    </row>
    <row r="638" spans="1:9">
      <c r="A638" s="3">
        <v>44517</v>
      </c>
      <c r="B638" t="s">
        <v>81</v>
      </c>
      <c r="C638" s="8">
        <v>2900</v>
      </c>
      <c r="D638" s="8">
        <v>0</v>
      </c>
      <c r="E638" s="8">
        <f t="shared" si="12"/>
        <v>0.41999948024749756</v>
      </c>
      <c r="F638" s="10" t="s">
        <v>113</v>
      </c>
      <c r="G638" s="10" t="s">
        <v>114</v>
      </c>
    </row>
    <row r="639" spans="1:9">
      <c r="A639" s="3">
        <v>44517</v>
      </c>
      <c r="B639" t="s">
        <v>2837</v>
      </c>
      <c r="C639" s="8">
        <v>0</v>
      </c>
      <c r="D639" s="8">
        <v>10006500</v>
      </c>
      <c r="E639" s="8">
        <f t="shared" si="12"/>
        <v>10006500.41999948</v>
      </c>
      <c r="F639" t="s">
        <v>115</v>
      </c>
      <c r="G639" t="s">
        <v>122</v>
      </c>
      <c r="H639" t="s">
        <v>123</v>
      </c>
    </row>
    <row r="640" spans="1:9">
      <c r="A640" s="3">
        <v>44517</v>
      </c>
      <c r="B640" t="s">
        <v>2836</v>
      </c>
      <c r="C640" s="8">
        <v>10000000</v>
      </c>
      <c r="D640" s="8">
        <v>0</v>
      </c>
      <c r="E640" s="8">
        <f t="shared" si="12"/>
        <v>6500.4199994802475</v>
      </c>
      <c r="F640" s="10" t="s">
        <v>137</v>
      </c>
      <c r="G640" s="10" t="s">
        <v>138</v>
      </c>
      <c r="H640" s="14" t="s">
        <v>4142</v>
      </c>
    </row>
    <row r="641" spans="1:8">
      <c r="A641" s="3">
        <v>44517</v>
      </c>
      <c r="B641" t="s">
        <v>2835</v>
      </c>
      <c r="C641" s="8">
        <v>6500</v>
      </c>
      <c r="D641" s="8">
        <v>0</v>
      </c>
      <c r="E641" s="8">
        <f t="shared" si="12"/>
        <v>0.41999948024749756</v>
      </c>
      <c r="F641" s="10" t="s">
        <v>113</v>
      </c>
      <c r="G641" s="10" t="s">
        <v>114</v>
      </c>
    </row>
    <row r="642" spans="1:8">
      <c r="A642" s="3">
        <v>44524</v>
      </c>
      <c r="B642" t="s">
        <v>65</v>
      </c>
      <c r="C642" s="8">
        <v>0</v>
      </c>
      <c r="D642" s="8">
        <v>191452091</v>
      </c>
      <c r="E642" s="8">
        <f t="shared" si="12"/>
        <v>191452091.41999948</v>
      </c>
      <c r="F642" t="s">
        <v>107</v>
      </c>
      <c r="G642" t="s">
        <v>144</v>
      </c>
    </row>
    <row r="643" spans="1:8">
      <c r="A643" s="3">
        <v>44526</v>
      </c>
      <c r="B643" t="s">
        <v>2927</v>
      </c>
      <c r="C643" s="8">
        <v>3500000</v>
      </c>
      <c r="D643" s="8">
        <v>0</v>
      </c>
      <c r="E643" s="8">
        <f t="shared" si="12"/>
        <v>187952091.41999948</v>
      </c>
      <c r="F643" s="10" t="s">
        <v>319</v>
      </c>
      <c r="G643" s="10" t="s">
        <v>467</v>
      </c>
    </row>
    <row r="644" spans="1:8">
      <c r="A644" s="3">
        <v>44526</v>
      </c>
      <c r="B644" t="s">
        <v>2928</v>
      </c>
      <c r="C644" s="8">
        <v>1260500</v>
      </c>
      <c r="D644" s="8">
        <v>0</v>
      </c>
      <c r="E644" s="8">
        <f t="shared" si="12"/>
        <v>186691591.41999948</v>
      </c>
      <c r="F644" s="10" t="s">
        <v>319</v>
      </c>
      <c r="G644" s="10" t="s">
        <v>467</v>
      </c>
    </row>
    <row r="645" spans="1:8">
      <c r="A645" s="3">
        <v>44526</v>
      </c>
      <c r="B645" t="s">
        <v>2929</v>
      </c>
      <c r="C645" s="8">
        <v>1000000</v>
      </c>
      <c r="D645" s="8">
        <v>0</v>
      </c>
      <c r="E645" s="8">
        <f t="shared" si="12"/>
        <v>185691591.41999948</v>
      </c>
      <c r="F645" s="10" t="s">
        <v>137</v>
      </c>
      <c r="G645" s="10" t="s">
        <v>138</v>
      </c>
      <c r="H645" s="14" t="s">
        <v>2953</v>
      </c>
    </row>
    <row r="646" spans="1:8">
      <c r="A646" s="3">
        <v>44526</v>
      </c>
      <c r="B646" t="s">
        <v>2930</v>
      </c>
      <c r="C646" s="8">
        <v>25000000</v>
      </c>
      <c r="D646" s="8">
        <v>0</v>
      </c>
      <c r="E646" s="8">
        <f t="shared" si="12"/>
        <v>160691591.41999948</v>
      </c>
      <c r="F646" s="10" t="s">
        <v>137</v>
      </c>
      <c r="G646" s="10" t="s">
        <v>138</v>
      </c>
      <c r="H646" t="s">
        <v>3027</v>
      </c>
    </row>
    <row r="647" spans="1:8">
      <c r="A647" s="3">
        <v>44526</v>
      </c>
      <c r="B647" t="s">
        <v>2931</v>
      </c>
      <c r="C647" s="8">
        <v>6649000</v>
      </c>
      <c r="D647" s="8">
        <v>0</v>
      </c>
      <c r="E647" s="8">
        <f t="shared" si="12"/>
        <v>154042591.41999948</v>
      </c>
      <c r="F647" s="10" t="s">
        <v>137</v>
      </c>
      <c r="G647" s="10" t="s">
        <v>138</v>
      </c>
      <c r="H647" t="s">
        <v>2278</v>
      </c>
    </row>
    <row r="648" spans="1:8">
      <c r="A648" s="3">
        <v>44526</v>
      </c>
      <c r="B648" t="s">
        <v>2932</v>
      </c>
      <c r="C648" s="8">
        <v>9750000</v>
      </c>
      <c r="D648" s="8">
        <v>0</v>
      </c>
      <c r="E648" s="8">
        <f t="shared" si="12"/>
        <v>144292591.41999948</v>
      </c>
      <c r="F648" s="10" t="s">
        <v>137</v>
      </c>
      <c r="G648" s="10" t="s">
        <v>138</v>
      </c>
      <c r="H648" t="s">
        <v>3027</v>
      </c>
    </row>
    <row r="649" spans="1:8">
      <c r="A649" s="3">
        <v>44526</v>
      </c>
      <c r="B649" t="s">
        <v>2933</v>
      </c>
      <c r="C649" s="8">
        <v>7000000</v>
      </c>
      <c r="D649" s="8">
        <v>0</v>
      </c>
      <c r="E649" s="8">
        <f t="shared" si="12"/>
        <v>137292591.41999948</v>
      </c>
      <c r="F649" s="10" t="s">
        <v>137</v>
      </c>
      <c r="G649" s="10" t="s">
        <v>138</v>
      </c>
      <c r="H649" s="14" t="s">
        <v>3042</v>
      </c>
    </row>
    <row r="650" spans="1:8">
      <c r="A650" s="3">
        <v>44526</v>
      </c>
      <c r="B650" t="s">
        <v>2934</v>
      </c>
      <c r="C650" s="8">
        <v>2900</v>
      </c>
      <c r="D650" s="8">
        <v>0</v>
      </c>
      <c r="E650" s="8">
        <f t="shared" si="12"/>
        <v>137289691.41999948</v>
      </c>
      <c r="F650" s="10" t="s">
        <v>113</v>
      </c>
      <c r="G650" s="10" t="s">
        <v>114</v>
      </c>
    </row>
    <row r="651" spans="1:8">
      <c r="A651" s="3">
        <v>44526</v>
      </c>
      <c r="B651" t="s">
        <v>2935</v>
      </c>
      <c r="C651" s="8">
        <v>5500000</v>
      </c>
      <c r="D651" s="8">
        <v>0</v>
      </c>
      <c r="E651" s="8">
        <f t="shared" si="12"/>
        <v>131789691.41999948</v>
      </c>
      <c r="F651" s="10" t="s">
        <v>137</v>
      </c>
      <c r="G651" s="10" t="s">
        <v>138</v>
      </c>
      <c r="H651" s="14" t="s">
        <v>3042</v>
      </c>
    </row>
    <row r="652" spans="1:8">
      <c r="A652" s="3">
        <v>44526</v>
      </c>
      <c r="B652" t="s">
        <v>2936</v>
      </c>
      <c r="C652" s="8">
        <v>2900</v>
      </c>
      <c r="D652" s="8">
        <v>0</v>
      </c>
      <c r="E652" s="8">
        <f t="shared" si="12"/>
        <v>131786791.41999948</v>
      </c>
      <c r="F652" s="10" t="s">
        <v>113</v>
      </c>
      <c r="G652" s="10" t="s">
        <v>114</v>
      </c>
    </row>
    <row r="653" spans="1:8">
      <c r="A653" s="3">
        <v>44526</v>
      </c>
      <c r="B653" t="s">
        <v>2937</v>
      </c>
      <c r="C653" s="8">
        <v>24846517</v>
      </c>
      <c r="D653" s="8">
        <v>0</v>
      </c>
      <c r="E653" s="8">
        <f t="shared" si="12"/>
        <v>106940274.41999948</v>
      </c>
      <c r="F653" s="10" t="s">
        <v>107</v>
      </c>
      <c r="G653" s="10" t="s">
        <v>108</v>
      </c>
    </row>
    <row r="654" spans="1:8">
      <c r="A654" s="3">
        <v>44526</v>
      </c>
      <c r="B654" t="s">
        <v>269</v>
      </c>
      <c r="C654" s="8">
        <v>6500</v>
      </c>
      <c r="D654" s="8">
        <v>0</v>
      </c>
      <c r="E654" s="8">
        <f t="shared" si="12"/>
        <v>106933774.41999948</v>
      </c>
      <c r="F654" s="10" t="s">
        <v>113</v>
      </c>
      <c r="G654" s="10" t="s">
        <v>114</v>
      </c>
    </row>
    <row r="655" spans="1:8">
      <c r="A655" s="3">
        <v>44529</v>
      </c>
      <c r="B655" t="s">
        <v>2938</v>
      </c>
      <c r="C655" s="8">
        <v>72500000</v>
      </c>
      <c r="D655" s="8">
        <v>0</v>
      </c>
      <c r="E655" s="8">
        <f t="shared" si="12"/>
        <v>34433774.41999948</v>
      </c>
      <c r="F655" s="10" t="s">
        <v>248</v>
      </c>
      <c r="G655" s="10" t="s">
        <v>249</v>
      </c>
    </row>
    <row r="656" spans="1:8">
      <c r="A656" s="3">
        <v>44529</v>
      </c>
      <c r="B656" t="s">
        <v>2939</v>
      </c>
      <c r="C656" s="8">
        <v>2900</v>
      </c>
      <c r="D656" s="8">
        <v>0</v>
      </c>
      <c r="E656" s="8">
        <f t="shared" si="12"/>
        <v>34430874.41999948</v>
      </c>
      <c r="F656" s="10" t="s">
        <v>113</v>
      </c>
      <c r="G656" s="10" t="s">
        <v>114</v>
      </c>
    </row>
    <row r="657" spans="1:9">
      <c r="A657" s="3">
        <v>44529</v>
      </c>
      <c r="B657" t="s">
        <v>2940</v>
      </c>
      <c r="C657" s="8">
        <v>2175773</v>
      </c>
      <c r="D657" s="8">
        <v>0</v>
      </c>
      <c r="E657" s="8">
        <f t="shared" si="12"/>
        <v>32255101.41999948</v>
      </c>
      <c r="F657" s="10" t="s">
        <v>107</v>
      </c>
      <c r="G657" s="10" t="s">
        <v>274</v>
      </c>
      <c r="H657" t="s">
        <v>3099</v>
      </c>
    </row>
    <row r="658" spans="1:9">
      <c r="A658" s="3">
        <v>44529</v>
      </c>
      <c r="B658" t="s">
        <v>2941</v>
      </c>
      <c r="C658" s="8">
        <v>2900</v>
      </c>
      <c r="D658" s="8">
        <v>0</v>
      </c>
      <c r="E658" s="8">
        <f t="shared" si="12"/>
        <v>32252201.41999948</v>
      </c>
      <c r="F658" s="10" t="s">
        <v>113</v>
      </c>
      <c r="G658" s="10" t="s">
        <v>114</v>
      </c>
    </row>
    <row r="659" spans="1:9">
      <c r="A659" s="3">
        <v>44529</v>
      </c>
      <c r="B659" t="s">
        <v>79</v>
      </c>
      <c r="C659" s="8">
        <v>0</v>
      </c>
      <c r="D659" s="8">
        <v>600000000</v>
      </c>
      <c r="E659" s="8">
        <f t="shared" si="12"/>
        <v>632252201.41999948</v>
      </c>
      <c r="F659" s="10" t="s">
        <v>115</v>
      </c>
      <c r="G659" s="10" t="s">
        <v>122</v>
      </c>
      <c r="H659" t="s">
        <v>149</v>
      </c>
    </row>
    <row r="660" spans="1:9">
      <c r="A660" s="3">
        <v>44529</v>
      </c>
      <c r="B660" t="s">
        <v>2942</v>
      </c>
      <c r="C660" s="8">
        <v>165000000</v>
      </c>
      <c r="D660" s="8">
        <v>0</v>
      </c>
      <c r="E660" s="8">
        <f t="shared" si="12"/>
        <v>467252201.41999948</v>
      </c>
      <c r="F660" s="10" t="s">
        <v>137</v>
      </c>
      <c r="G660" s="10" t="s">
        <v>138</v>
      </c>
      <c r="H660" t="s">
        <v>3049</v>
      </c>
    </row>
    <row r="661" spans="1:9">
      <c r="A661" s="3">
        <v>44530</v>
      </c>
      <c r="B661" t="s">
        <v>2943</v>
      </c>
      <c r="C661" s="8">
        <v>50000000</v>
      </c>
      <c r="D661" s="8">
        <v>0</v>
      </c>
      <c r="E661" s="8">
        <f t="shared" si="12"/>
        <v>417252201.41999948</v>
      </c>
      <c r="F661" s="10" t="s">
        <v>107</v>
      </c>
      <c r="G661" s="10" t="s">
        <v>108</v>
      </c>
    </row>
    <row r="662" spans="1:9">
      <c r="A662" s="3">
        <v>44530</v>
      </c>
      <c r="B662" t="s">
        <v>2787</v>
      </c>
      <c r="C662" s="8">
        <v>6500</v>
      </c>
      <c r="D662" s="8">
        <v>0</v>
      </c>
      <c r="E662" s="8">
        <f t="shared" si="12"/>
        <v>417245701.41999948</v>
      </c>
      <c r="F662" s="10" t="s">
        <v>113</v>
      </c>
      <c r="G662" s="10" t="s">
        <v>114</v>
      </c>
    </row>
    <row r="663" spans="1:9">
      <c r="A663" s="3">
        <v>44530</v>
      </c>
      <c r="B663" t="s">
        <v>2944</v>
      </c>
      <c r="C663" s="8">
        <v>1666200</v>
      </c>
      <c r="D663" s="8">
        <v>0</v>
      </c>
      <c r="E663" s="8">
        <f t="shared" si="12"/>
        <v>415579501.41999948</v>
      </c>
      <c r="F663" t="s">
        <v>115</v>
      </c>
      <c r="G663" t="s">
        <v>120</v>
      </c>
      <c r="H663" t="s">
        <v>576</v>
      </c>
      <c r="I663" t="s">
        <v>444</v>
      </c>
    </row>
    <row r="664" spans="1:9">
      <c r="A664" s="3">
        <v>44530</v>
      </c>
      <c r="B664" t="s">
        <v>270</v>
      </c>
      <c r="C664" s="8">
        <v>25000</v>
      </c>
      <c r="D664" s="8">
        <v>0</v>
      </c>
      <c r="E664" s="8">
        <f t="shared" si="12"/>
        <v>415554501.41999948</v>
      </c>
      <c r="F664" s="10" t="s">
        <v>113</v>
      </c>
      <c r="G664" s="10" t="s">
        <v>114</v>
      </c>
    </row>
    <row r="665" spans="1:9">
      <c r="A665" s="3">
        <v>44530</v>
      </c>
      <c r="B665" t="s">
        <v>1000</v>
      </c>
      <c r="C665" s="8">
        <v>0</v>
      </c>
      <c r="D665" s="8">
        <v>148005.82</v>
      </c>
      <c r="E665" s="8">
        <f t="shared" si="12"/>
        <v>415702507.23999947</v>
      </c>
      <c r="F665" s="10" t="s">
        <v>252</v>
      </c>
      <c r="G665" s="10" t="s">
        <v>253</v>
      </c>
    </row>
    <row r="666" spans="1:9">
      <c r="A666" s="3">
        <v>44530</v>
      </c>
      <c r="B666" t="s">
        <v>273</v>
      </c>
      <c r="C666" s="8">
        <v>29601.16</v>
      </c>
      <c r="D666" s="8">
        <v>0</v>
      </c>
      <c r="E666" s="8">
        <f t="shared" si="12"/>
        <v>415672906.07999945</v>
      </c>
      <c r="F666" s="10" t="s">
        <v>252</v>
      </c>
      <c r="G666" s="10" t="s">
        <v>253</v>
      </c>
    </row>
    <row r="667" spans="1:9">
      <c r="A667" s="3">
        <v>44531</v>
      </c>
      <c r="B667" t="s">
        <v>4074</v>
      </c>
      <c r="C667" s="8">
        <v>14902811</v>
      </c>
      <c r="D667" s="8">
        <v>0</v>
      </c>
      <c r="E667" s="8">
        <f t="shared" si="12"/>
        <v>400770095.07999945</v>
      </c>
      <c r="F667" s="10" t="s">
        <v>107</v>
      </c>
      <c r="G667" s="10" t="s">
        <v>145</v>
      </c>
    </row>
    <row r="668" spans="1:9">
      <c r="A668" s="3">
        <v>44531</v>
      </c>
      <c r="B668" t="s">
        <v>4075</v>
      </c>
      <c r="C668" s="8">
        <v>6500</v>
      </c>
      <c r="D668" s="8">
        <v>0</v>
      </c>
      <c r="E668" s="8">
        <f t="shared" si="12"/>
        <v>400763595.07999945</v>
      </c>
      <c r="F668" s="10" t="s">
        <v>113</v>
      </c>
      <c r="G668" s="10" t="s">
        <v>114</v>
      </c>
    </row>
    <row r="669" spans="1:9">
      <c r="A669" s="3">
        <v>44531</v>
      </c>
      <c r="B669" t="s">
        <v>4288</v>
      </c>
      <c r="C669" s="8">
        <v>14902811</v>
      </c>
      <c r="D669" s="8">
        <v>0</v>
      </c>
      <c r="E669" s="8">
        <f t="shared" si="12"/>
        <v>385860784.07999945</v>
      </c>
      <c r="F669" s="10" t="s">
        <v>107</v>
      </c>
      <c r="G669" s="10" t="s">
        <v>108</v>
      </c>
    </row>
    <row r="670" spans="1:9">
      <c r="A670" s="3">
        <v>44531</v>
      </c>
      <c r="B670" t="s">
        <v>4289</v>
      </c>
      <c r="C670" s="8">
        <v>6500</v>
      </c>
      <c r="D670" s="8">
        <v>0</v>
      </c>
      <c r="E670" s="8">
        <f t="shared" si="12"/>
        <v>385854284.07999945</v>
      </c>
      <c r="F670" s="10" t="s">
        <v>113</v>
      </c>
      <c r="G670" s="10" t="s">
        <v>114</v>
      </c>
    </row>
    <row r="671" spans="1:9">
      <c r="A671" s="3">
        <v>44531</v>
      </c>
      <c r="B671" t="s">
        <v>2790</v>
      </c>
      <c r="C671" s="8">
        <v>385851384</v>
      </c>
      <c r="D671" s="8">
        <v>0</v>
      </c>
      <c r="E671" s="8">
        <f t="shared" si="12"/>
        <v>2900.0799994468689</v>
      </c>
      <c r="F671" s="10" t="s">
        <v>107</v>
      </c>
      <c r="G671" s="10" t="s">
        <v>108</v>
      </c>
    </row>
    <row r="672" spans="1:9">
      <c r="A672" s="3">
        <v>44531</v>
      </c>
      <c r="B672" t="s">
        <v>2776</v>
      </c>
      <c r="C672" s="8">
        <v>2900</v>
      </c>
      <c r="D672" s="8">
        <v>0</v>
      </c>
      <c r="E672" s="8">
        <f t="shared" si="12"/>
        <v>7.9999446868896484E-2</v>
      </c>
      <c r="F672" s="10" t="s">
        <v>113</v>
      </c>
      <c r="G672" s="10" t="s">
        <v>114</v>
      </c>
    </row>
    <row r="673" spans="1:9">
      <c r="A673" s="3">
        <v>44533</v>
      </c>
      <c r="B673" t="s">
        <v>4076</v>
      </c>
      <c r="C673" s="8">
        <v>0</v>
      </c>
      <c r="D673" s="8">
        <v>50000000</v>
      </c>
      <c r="E673" s="8">
        <f t="shared" si="12"/>
        <v>50000000.079999447</v>
      </c>
      <c r="F673" s="10" t="s">
        <v>107</v>
      </c>
      <c r="G673" s="10" t="s">
        <v>109</v>
      </c>
    </row>
    <row r="674" spans="1:9">
      <c r="A674" s="3">
        <v>44533</v>
      </c>
      <c r="B674" t="s">
        <v>4077</v>
      </c>
      <c r="C674" s="8">
        <v>0</v>
      </c>
      <c r="D674" s="8">
        <v>5000000</v>
      </c>
      <c r="E674" s="8">
        <f t="shared" ref="E674:E737" si="13">E673-C674+D674</f>
        <v>55000000.079999447</v>
      </c>
      <c r="F674" s="10" t="s">
        <v>115</v>
      </c>
      <c r="G674" s="10" t="s">
        <v>122</v>
      </c>
      <c r="H674" t="s">
        <v>123</v>
      </c>
    </row>
    <row r="675" spans="1:9">
      <c r="A675" s="3">
        <v>44533</v>
      </c>
      <c r="B675" t="s">
        <v>4078</v>
      </c>
      <c r="C675" s="8">
        <v>55000000</v>
      </c>
      <c r="D675" s="8">
        <v>0</v>
      </c>
      <c r="E675" s="8">
        <f t="shared" si="13"/>
        <v>7.9999446868896484E-2</v>
      </c>
      <c r="F675" s="10" t="s">
        <v>137</v>
      </c>
      <c r="G675" s="10" t="s">
        <v>138</v>
      </c>
      <c r="H675" t="s">
        <v>3049</v>
      </c>
    </row>
    <row r="676" spans="1:9">
      <c r="A676" s="3">
        <v>44537</v>
      </c>
      <c r="B676" t="s">
        <v>4076</v>
      </c>
      <c r="C676" s="8">
        <v>0</v>
      </c>
      <c r="D676" s="8">
        <v>5511741</v>
      </c>
      <c r="E676" s="8">
        <f t="shared" si="13"/>
        <v>5511741.0799994469</v>
      </c>
      <c r="F676" s="10" t="s">
        <v>107</v>
      </c>
      <c r="G676" s="10" t="s">
        <v>109</v>
      </c>
    </row>
    <row r="677" spans="1:9" s="14" customFormat="1">
      <c r="A677" s="138">
        <v>44537</v>
      </c>
      <c r="B677" s="14" t="s">
        <v>4383</v>
      </c>
      <c r="C677" s="53">
        <v>5511741</v>
      </c>
      <c r="D677" s="53">
        <v>0</v>
      </c>
      <c r="E677" s="53">
        <f t="shared" si="13"/>
        <v>7.9999446868896484E-2</v>
      </c>
      <c r="F677" s="14" t="s">
        <v>107</v>
      </c>
      <c r="G677" s="14" t="s">
        <v>274</v>
      </c>
      <c r="H677" s="14" t="s">
        <v>64</v>
      </c>
    </row>
    <row r="678" spans="1:9">
      <c r="A678" s="3">
        <v>44539</v>
      </c>
      <c r="B678" t="s">
        <v>4079</v>
      </c>
      <c r="C678" s="54">
        <v>0</v>
      </c>
      <c r="D678" s="54">
        <v>5816691</v>
      </c>
      <c r="E678" s="54">
        <f t="shared" si="13"/>
        <v>5816691.0799994469</v>
      </c>
      <c r="F678" s="10" t="s">
        <v>581</v>
      </c>
      <c r="G678" s="10" t="s">
        <v>582</v>
      </c>
      <c r="H678" s="14" t="s">
        <v>2992</v>
      </c>
      <c r="I678">
        <v>113</v>
      </c>
    </row>
    <row r="679" spans="1:9">
      <c r="A679" s="3">
        <v>44539</v>
      </c>
      <c r="B679" t="s">
        <v>4080</v>
      </c>
      <c r="C679" s="8">
        <v>10000</v>
      </c>
      <c r="D679" s="8">
        <v>0</v>
      </c>
      <c r="E679" s="8">
        <f t="shared" si="13"/>
        <v>5806691.0799994469</v>
      </c>
      <c r="F679" s="10" t="s">
        <v>113</v>
      </c>
      <c r="G679" s="10" t="s">
        <v>114</v>
      </c>
    </row>
    <row r="680" spans="1:9">
      <c r="A680" s="3">
        <v>44539</v>
      </c>
      <c r="B680" t="s">
        <v>4081</v>
      </c>
      <c r="C680" s="8">
        <v>0</v>
      </c>
      <c r="D680" s="8">
        <v>76200000</v>
      </c>
      <c r="E680" s="8">
        <f t="shared" si="13"/>
        <v>82006691.079999447</v>
      </c>
      <c r="F680" s="10" t="s">
        <v>581</v>
      </c>
      <c r="G680" s="10" t="s">
        <v>582</v>
      </c>
      <c r="H680" t="s">
        <v>2994</v>
      </c>
      <c r="I680">
        <v>99</v>
      </c>
    </row>
    <row r="681" spans="1:9">
      <c r="A681" s="3">
        <v>44540</v>
      </c>
      <c r="B681" t="s">
        <v>4082</v>
      </c>
      <c r="C681" s="8">
        <v>0</v>
      </c>
      <c r="D681" s="8">
        <v>114857190</v>
      </c>
      <c r="E681" s="8">
        <f t="shared" si="13"/>
        <v>196863881.07999945</v>
      </c>
      <c r="F681" s="10" t="s">
        <v>581</v>
      </c>
      <c r="G681" s="10" t="s">
        <v>582</v>
      </c>
      <c r="H681" s="14" t="s">
        <v>3046</v>
      </c>
      <c r="I681">
        <v>105</v>
      </c>
    </row>
    <row r="682" spans="1:9">
      <c r="A682" s="3">
        <v>44540</v>
      </c>
      <c r="B682" t="s">
        <v>4083</v>
      </c>
      <c r="C682" s="54">
        <v>9639900</v>
      </c>
      <c r="D682" s="54">
        <v>0</v>
      </c>
      <c r="E682" s="54">
        <f t="shared" si="13"/>
        <v>187223981.07999945</v>
      </c>
      <c r="F682" s="10" t="s">
        <v>137</v>
      </c>
      <c r="G682" s="10" t="s">
        <v>138</v>
      </c>
      <c r="H682" t="s">
        <v>2996</v>
      </c>
    </row>
    <row r="683" spans="1:9">
      <c r="A683" s="3">
        <v>44540</v>
      </c>
      <c r="B683" t="s">
        <v>4084</v>
      </c>
      <c r="C683" s="54">
        <v>5110200</v>
      </c>
      <c r="D683" s="54">
        <v>0</v>
      </c>
      <c r="E683" s="54">
        <f t="shared" si="13"/>
        <v>182113781.07999945</v>
      </c>
      <c r="F683" s="10" t="s">
        <v>137</v>
      </c>
      <c r="G683" s="10" t="s">
        <v>138</v>
      </c>
      <c r="H683" t="s">
        <v>3030</v>
      </c>
    </row>
    <row r="684" spans="1:9">
      <c r="A684" s="3">
        <v>44540</v>
      </c>
      <c r="B684" t="s">
        <v>4085</v>
      </c>
      <c r="C684" s="54">
        <v>6000000</v>
      </c>
      <c r="D684" s="54">
        <v>0</v>
      </c>
      <c r="E684" s="54">
        <f t="shared" si="13"/>
        <v>176113781.07999945</v>
      </c>
      <c r="F684" s="10" t="s">
        <v>137</v>
      </c>
      <c r="G684" s="10" t="s">
        <v>138</v>
      </c>
      <c r="H684" t="s">
        <v>3046</v>
      </c>
    </row>
    <row r="685" spans="1:9">
      <c r="A685" s="3">
        <v>44540</v>
      </c>
      <c r="B685" t="s">
        <v>4086</v>
      </c>
      <c r="C685" s="54">
        <v>2350000</v>
      </c>
      <c r="D685" s="54">
        <v>0</v>
      </c>
      <c r="E685" s="54">
        <f t="shared" si="13"/>
        <v>173763781.07999945</v>
      </c>
      <c r="F685" s="10" t="s">
        <v>137</v>
      </c>
      <c r="G685" s="10" t="s">
        <v>138</v>
      </c>
      <c r="H685" t="s">
        <v>2953</v>
      </c>
    </row>
    <row r="686" spans="1:9">
      <c r="A686" s="3">
        <v>44540</v>
      </c>
      <c r="B686" t="s">
        <v>4087</v>
      </c>
      <c r="C686" s="8">
        <v>2900</v>
      </c>
      <c r="D686" s="8">
        <v>0</v>
      </c>
      <c r="E686" s="8">
        <f t="shared" si="13"/>
        <v>173760881.07999945</v>
      </c>
      <c r="F686" s="10" t="s">
        <v>113</v>
      </c>
      <c r="G686" s="10" t="s">
        <v>114</v>
      </c>
    </row>
    <row r="687" spans="1:9">
      <c r="A687" s="3">
        <v>44543</v>
      </c>
      <c r="B687" t="s">
        <v>4088</v>
      </c>
      <c r="C687" s="8">
        <v>0</v>
      </c>
      <c r="D687" s="8">
        <v>686012250</v>
      </c>
      <c r="E687" s="8">
        <f t="shared" si="13"/>
        <v>859773131.07999945</v>
      </c>
      <c r="F687" s="10" t="s">
        <v>581</v>
      </c>
      <c r="G687" s="10" t="s">
        <v>582</v>
      </c>
      <c r="H687" s="14" t="s">
        <v>2985</v>
      </c>
      <c r="I687">
        <v>83</v>
      </c>
    </row>
    <row r="688" spans="1:9">
      <c r="A688" s="3">
        <v>44544</v>
      </c>
      <c r="B688" t="s">
        <v>4089</v>
      </c>
      <c r="C688" s="8">
        <v>50000000</v>
      </c>
      <c r="D688" s="8">
        <v>0</v>
      </c>
      <c r="E688" s="8">
        <f t="shared" si="13"/>
        <v>809773131.07999945</v>
      </c>
      <c r="F688" s="10" t="s">
        <v>107</v>
      </c>
      <c r="G688" s="10" t="s">
        <v>108</v>
      </c>
    </row>
    <row r="689" spans="1:9">
      <c r="A689" s="3">
        <v>44544</v>
      </c>
      <c r="B689" t="s">
        <v>178</v>
      </c>
      <c r="C689" s="8">
        <v>6500</v>
      </c>
      <c r="D689" s="8">
        <v>0</v>
      </c>
      <c r="E689" s="8">
        <f t="shared" si="13"/>
        <v>809766631.07999945</v>
      </c>
      <c r="F689" s="10" t="s">
        <v>113</v>
      </c>
      <c r="G689" s="10" t="s">
        <v>114</v>
      </c>
    </row>
    <row r="690" spans="1:9">
      <c r="A690" s="3">
        <v>44544</v>
      </c>
      <c r="B690" t="s">
        <v>4090</v>
      </c>
      <c r="C690" s="54">
        <v>12973220</v>
      </c>
      <c r="D690" s="54">
        <v>0</v>
      </c>
      <c r="E690" s="54">
        <f t="shared" si="13"/>
        <v>796793411.07999945</v>
      </c>
      <c r="F690" s="10" t="s">
        <v>137</v>
      </c>
      <c r="G690" s="10" t="s">
        <v>138</v>
      </c>
      <c r="H690" s="14" t="s">
        <v>4142</v>
      </c>
    </row>
    <row r="691" spans="1:9">
      <c r="A691" s="3">
        <v>44544</v>
      </c>
      <c r="B691" t="s">
        <v>4091</v>
      </c>
      <c r="C691" s="8">
        <v>2900</v>
      </c>
      <c r="D691" s="8">
        <v>0</v>
      </c>
      <c r="E691" s="8">
        <f t="shared" si="13"/>
        <v>796790511.07999945</v>
      </c>
      <c r="F691" s="10" t="s">
        <v>113</v>
      </c>
      <c r="G691" s="10" t="s">
        <v>114</v>
      </c>
    </row>
    <row r="692" spans="1:9">
      <c r="A692" s="3">
        <v>44544</v>
      </c>
      <c r="B692" t="s">
        <v>4672</v>
      </c>
      <c r="C692" s="54">
        <v>635000000</v>
      </c>
      <c r="D692" s="54">
        <v>0</v>
      </c>
      <c r="E692" s="54">
        <f t="shared" si="13"/>
        <v>161790511.07999945</v>
      </c>
      <c r="F692" s="10" t="s">
        <v>137</v>
      </c>
      <c r="G692" s="10" t="s">
        <v>138</v>
      </c>
      <c r="H692" t="s">
        <v>3049</v>
      </c>
    </row>
    <row r="693" spans="1:9">
      <c r="A693" s="3">
        <v>44544</v>
      </c>
      <c r="B693" t="s">
        <v>4092</v>
      </c>
      <c r="C693" s="8">
        <v>2900</v>
      </c>
      <c r="D693" s="8">
        <v>0</v>
      </c>
      <c r="E693" s="8">
        <f t="shared" si="13"/>
        <v>161787611.07999945</v>
      </c>
      <c r="F693" s="10" t="s">
        <v>113</v>
      </c>
      <c r="G693" s="10" t="s">
        <v>114</v>
      </c>
    </row>
    <row r="694" spans="1:9">
      <c r="A694" s="3">
        <v>44544</v>
      </c>
      <c r="B694" t="s">
        <v>4093</v>
      </c>
      <c r="C694" s="8">
        <v>64647373</v>
      </c>
      <c r="D694" s="8">
        <v>0</v>
      </c>
      <c r="E694" s="8">
        <f t="shared" si="13"/>
        <v>97140238.079999447</v>
      </c>
      <c r="F694" s="10" t="s">
        <v>107</v>
      </c>
      <c r="G694" s="10" t="s">
        <v>274</v>
      </c>
      <c r="H694" t="s">
        <v>143</v>
      </c>
    </row>
    <row r="695" spans="1:9">
      <c r="A695" s="3">
        <v>44545</v>
      </c>
      <c r="B695" t="s">
        <v>4094</v>
      </c>
      <c r="C695" s="8">
        <v>0</v>
      </c>
      <c r="D695" s="8">
        <v>109160000</v>
      </c>
      <c r="E695" s="8">
        <f t="shared" si="13"/>
        <v>206300238.07999945</v>
      </c>
      <c r="F695" s="10" t="s">
        <v>581</v>
      </c>
      <c r="G695" s="10" t="s">
        <v>582</v>
      </c>
      <c r="H695" s="14" t="s">
        <v>3000</v>
      </c>
      <c r="I695">
        <v>103</v>
      </c>
    </row>
    <row r="696" spans="1:9">
      <c r="A696" s="3">
        <v>44545</v>
      </c>
      <c r="B696" t="s">
        <v>4095</v>
      </c>
      <c r="C696" s="54">
        <v>62310000</v>
      </c>
      <c r="D696" s="54">
        <v>0</v>
      </c>
      <c r="E696" s="54">
        <f t="shared" si="13"/>
        <v>143990238.07999945</v>
      </c>
      <c r="F696" s="10" t="s">
        <v>137</v>
      </c>
      <c r="G696" s="10" t="s">
        <v>138</v>
      </c>
      <c r="H696" s="168" t="s">
        <v>4137</v>
      </c>
    </row>
    <row r="697" spans="1:9">
      <c r="A697" s="3">
        <v>44545</v>
      </c>
      <c r="B697" t="s">
        <v>4096</v>
      </c>
      <c r="C697" s="8">
        <v>2900</v>
      </c>
      <c r="D697" s="8">
        <v>0</v>
      </c>
      <c r="E697" s="8">
        <f t="shared" si="13"/>
        <v>143987338.07999945</v>
      </c>
      <c r="F697" s="10" t="s">
        <v>113</v>
      </c>
      <c r="G697" s="10" t="s">
        <v>114</v>
      </c>
    </row>
    <row r="698" spans="1:9">
      <c r="A698" s="3">
        <v>44546</v>
      </c>
      <c r="B698" t="s">
        <v>4097</v>
      </c>
      <c r="C698" s="54">
        <v>20000000</v>
      </c>
      <c r="D698" s="54">
        <v>0</v>
      </c>
      <c r="E698" s="54">
        <f t="shared" si="13"/>
        <v>123987338.07999945</v>
      </c>
      <c r="F698" s="10" t="s">
        <v>137</v>
      </c>
      <c r="G698" s="10" t="s">
        <v>138</v>
      </c>
      <c r="H698" s="168" t="s">
        <v>4137</v>
      </c>
    </row>
    <row r="699" spans="1:9">
      <c r="A699" s="3">
        <v>44546</v>
      </c>
      <c r="B699" t="s">
        <v>4098</v>
      </c>
      <c r="C699" s="8">
        <v>6500</v>
      </c>
      <c r="D699" s="8">
        <v>0</v>
      </c>
      <c r="E699" s="8">
        <f t="shared" si="13"/>
        <v>123980838.07999945</v>
      </c>
      <c r="F699" s="10" t="s">
        <v>113</v>
      </c>
      <c r="G699" s="10" t="s">
        <v>114</v>
      </c>
    </row>
    <row r="700" spans="1:9" s="14" customFormat="1">
      <c r="A700" s="138">
        <v>44547</v>
      </c>
      <c r="B700" s="14" t="s">
        <v>4099</v>
      </c>
      <c r="C700" s="53">
        <v>0</v>
      </c>
      <c r="D700" s="53">
        <v>390545920</v>
      </c>
      <c r="E700" s="53">
        <f t="shared" si="13"/>
        <v>514526758.07999945</v>
      </c>
      <c r="F700" s="14" t="s">
        <v>581</v>
      </c>
      <c r="G700" s="14" t="s">
        <v>582</v>
      </c>
      <c r="H700" s="14" t="s">
        <v>2976</v>
      </c>
      <c r="I700" s="14">
        <v>67</v>
      </c>
    </row>
    <row r="701" spans="1:9">
      <c r="A701" s="3">
        <v>44547</v>
      </c>
      <c r="B701" t="s">
        <v>4100</v>
      </c>
      <c r="C701" s="54">
        <v>164061000</v>
      </c>
      <c r="D701" s="54">
        <v>0</v>
      </c>
      <c r="E701" s="54">
        <f t="shared" si="13"/>
        <v>350465758.07999945</v>
      </c>
      <c r="F701" s="10" t="s">
        <v>137</v>
      </c>
      <c r="G701" s="10" t="s">
        <v>138</v>
      </c>
      <c r="H701" t="s">
        <v>3000</v>
      </c>
    </row>
    <row r="702" spans="1:9">
      <c r="A702" s="3">
        <v>44547</v>
      </c>
      <c r="B702" t="s">
        <v>4101</v>
      </c>
      <c r="C702" s="8">
        <v>8927500</v>
      </c>
      <c r="D702" s="8">
        <v>0</v>
      </c>
      <c r="E702" s="8">
        <f t="shared" si="13"/>
        <v>341538258.07999945</v>
      </c>
      <c r="F702" s="10" t="s">
        <v>115</v>
      </c>
      <c r="G702" s="10" t="s">
        <v>120</v>
      </c>
      <c r="H702" t="s">
        <v>127</v>
      </c>
      <c r="I702" t="s">
        <v>444</v>
      </c>
    </row>
    <row r="703" spans="1:9">
      <c r="A703" s="3">
        <v>44547</v>
      </c>
      <c r="B703" t="s">
        <v>4102</v>
      </c>
      <c r="C703" s="8">
        <v>2900</v>
      </c>
      <c r="D703" s="8">
        <v>0</v>
      </c>
      <c r="E703" s="8">
        <f t="shared" si="13"/>
        <v>341535358.07999945</v>
      </c>
      <c r="F703" s="10" t="s">
        <v>113</v>
      </c>
      <c r="G703" s="10" t="s">
        <v>114</v>
      </c>
    </row>
    <row r="704" spans="1:9">
      <c r="A704" s="3">
        <v>44552</v>
      </c>
      <c r="B704" t="s">
        <v>4103</v>
      </c>
      <c r="C704" s="54">
        <v>0</v>
      </c>
      <c r="D704" s="54">
        <v>73054546</v>
      </c>
      <c r="E704" s="54">
        <f t="shared" si="13"/>
        <v>414589904.07999945</v>
      </c>
      <c r="F704" s="10" t="s">
        <v>581</v>
      </c>
      <c r="G704" s="10" t="s">
        <v>582</v>
      </c>
      <c r="H704" s="14" t="s">
        <v>3390</v>
      </c>
      <c r="I704">
        <v>110</v>
      </c>
    </row>
    <row r="705" spans="1:9">
      <c r="A705" s="3">
        <v>44552</v>
      </c>
      <c r="B705" t="s">
        <v>4104</v>
      </c>
      <c r="C705" s="8">
        <v>0</v>
      </c>
      <c r="D705" s="8">
        <v>73054546</v>
      </c>
      <c r="E705" s="8">
        <f t="shared" si="13"/>
        <v>487644450.07999945</v>
      </c>
      <c r="F705" s="10" t="s">
        <v>581</v>
      </c>
      <c r="G705" s="10" t="s">
        <v>582</v>
      </c>
      <c r="H705" s="14" t="s">
        <v>3390</v>
      </c>
      <c r="I705">
        <v>118</v>
      </c>
    </row>
    <row r="706" spans="1:9">
      <c r="A706" s="3">
        <v>44552</v>
      </c>
      <c r="B706" t="s">
        <v>4105</v>
      </c>
      <c r="C706" s="8">
        <v>0</v>
      </c>
      <c r="D706" s="8">
        <v>88072600</v>
      </c>
      <c r="E706" s="8">
        <f t="shared" si="13"/>
        <v>575717050.07999945</v>
      </c>
      <c r="F706" s="10" t="s">
        <v>581</v>
      </c>
      <c r="G706" s="10" t="s">
        <v>582</v>
      </c>
      <c r="H706" s="14" t="s">
        <v>3390</v>
      </c>
      <c r="I706">
        <v>117</v>
      </c>
    </row>
    <row r="707" spans="1:9">
      <c r="A707" s="3">
        <v>44552</v>
      </c>
      <c r="B707" t="s">
        <v>4106</v>
      </c>
      <c r="C707" s="8">
        <v>50000000</v>
      </c>
      <c r="D707" s="8">
        <v>0</v>
      </c>
      <c r="E707" s="8">
        <f t="shared" si="13"/>
        <v>525717050.07999945</v>
      </c>
      <c r="F707" s="10" t="s">
        <v>107</v>
      </c>
      <c r="G707" s="10" t="s">
        <v>108</v>
      </c>
    </row>
    <row r="708" spans="1:9">
      <c r="A708" s="3">
        <v>44552</v>
      </c>
      <c r="B708" t="s">
        <v>1821</v>
      </c>
      <c r="C708" s="8">
        <v>6500</v>
      </c>
      <c r="D708" s="8">
        <v>0</v>
      </c>
      <c r="E708" s="8">
        <f t="shared" si="13"/>
        <v>525710550.07999945</v>
      </c>
      <c r="F708" s="10" t="s">
        <v>113</v>
      </c>
      <c r="G708" s="10" t="s">
        <v>114</v>
      </c>
    </row>
    <row r="709" spans="1:9">
      <c r="A709" s="3">
        <v>44552</v>
      </c>
      <c r="B709" t="s">
        <v>4107</v>
      </c>
      <c r="C709" s="8">
        <v>500000</v>
      </c>
      <c r="D709" s="8">
        <v>0</v>
      </c>
      <c r="E709" s="8">
        <f t="shared" si="13"/>
        <v>525210550.07999945</v>
      </c>
      <c r="F709" s="10" t="s">
        <v>252</v>
      </c>
      <c r="G709" s="10" t="s">
        <v>665</v>
      </c>
    </row>
    <row r="710" spans="1:9">
      <c r="A710" s="3">
        <v>44552</v>
      </c>
      <c r="B710" t="s">
        <v>4108</v>
      </c>
      <c r="C710" s="54">
        <v>1189000</v>
      </c>
      <c r="D710" s="54">
        <v>0</v>
      </c>
      <c r="E710" s="54">
        <f t="shared" si="13"/>
        <v>524021550.07999945</v>
      </c>
      <c r="F710" s="10" t="s">
        <v>137</v>
      </c>
      <c r="G710" s="10" t="s">
        <v>138</v>
      </c>
      <c r="H710" t="s">
        <v>3046</v>
      </c>
    </row>
    <row r="711" spans="1:9">
      <c r="A711" s="3">
        <v>44552</v>
      </c>
      <c r="B711" t="s">
        <v>4109</v>
      </c>
      <c r="C711" s="8">
        <v>3470500</v>
      </c>
      <c r="D711" s="8">
        <v>0</v>
      </c>
      <c r="E711" s="8">
        <f t="shared" si="13"/>
        <v>520551050.07999945</v>
      </c>
      <c r="F711" s="10" t="s">
        <v>319</v>
      </c>
      <c r="G711" s="10" t="s">
        <v>467</v>
      </c>
    </row>
    <row r="712" spans="1:9">
      <c r="A712" s="3">
        <v>44554</v>
      </c>
      <c r="B712" t="s">
        <v>1391</v>
      </c>
      <c r="C712" s="8">
        <v>400000000</v>
      </c>
      <c r="D712" s="8">
        <v>0</v>
      </c>
      <c r="E712" s="8">
        <f t="shared" si="13"/>
        <v>120551050.07999945</v>
      </c>
      <c r="F712" s="10" t="s">
        <v>107</v>
      </c>
      <c r="G712" s="10" t="s">
        <v>108</v>
      </c>
    </row>
    <row r="713" spans="1:9">
      <c r="A713" s="3">
        <v>44554</v>
      </c>
      <c r="B713" t="s">
        <v>181</v>
      </c>
      <c r="C713" s="8">
        <v>2900</v>
      </c>
      <c r="D713" s="8">
        <v>0</v>
      </c>
      <c r="E713" s="8">
        <f t="shared" si="13"/>
        <v>120548150.07999945</v>
      </c>
      <c r="F713" s="10" t="s">
        <v>113</v>
      </c>
      <c r="G713" s="10" t="s">
        <v>114</v>
      </c>
    </row>
    <row r="714" spans="1:9">
      <c r="A714" s="3">
        <v>44555</v>
      </c>
      <c r="B714" t="s">
        <v>4110</v>
      </c>
      <c r="C714" s="54">
        <v>10000000</v>
      </c>
      <c r="D714" s="54">
        <v>0</v>
      </c>
      <c r="E714" s="54">
        <f t="shared" si="13"/>
        <v>110548150.07999945</v>
      </c>
      <c r="F714" s="10" t="s">
        <v>137</v>
      </c>
      <c r="G714" s="10" t="s">
        <v>138</v>
      </c>
      <c r="H714" s="168" t="s">
        <v>2952</v>
      </c>
    </row>
    <row r="715" spans="1:9">
      <c r="A715" s="3">
        <v>44557</v>
      </c>
      <c r="B715" t="s">
        <v>4173</v>
      </c>
      <c r="C715" s="54">
        <v>80000000</v>
      </c>
      <c r="D715" s="54">
        <v>0</v>
      </c>
      <c r="E715" s="54">
        <f t="shared" si="13"/>
        <v>30548150.079999447</v>
      </c>
      <c r="F715" s="10" t="s">
        <v>137</v>
      </c>
      <c r="G715" s="10" t="s">
        <v>138</v>
      </c>
      <c r="H715" t="s">
        <v>3000</v>
      </c>
    </row>
    <row r="716" spans="1:9">
      <c r="A716" s="3">
        <v>44557</v>
      </c>
      <c r="B716" t="s">
        <v>4174</v>
      </c>
      <c r="C716" s="8">
        <v>2900</v>
      </c>
      <c r="D716" s="8">
        <v>0</v>
      </c>
      <c r="E716" s="8">
        <f t="shared" si="13"/>
        <v>30545250.079999447</v>
      </c>
      <c r="F716" s="10" t="s">
        <v>113</v>
      </c>
      <c r="G716" s="10" t="s">
        <v>114</v>
      </c>
    </row>
    <row r="717" spans="1:9">
      <c r="A717" s="3">
        <v>44557</v>
      </c>
      <c r="B717" t="s">
        <v>4176</v>
      </c>
      <c r="C717" s="54">
        <v>27385000</v>
      </c>
      <c r="D717" s="54">
        <v>0</v>
      </c>
      <c r="E717" s="54">
        <f t="shared" si="13"/>
        <v>3160250.0799994469</v>
      </c>
      <c r="F717" s="10" t="s">
        <v>137</v>
      </c>
      <c r="G717" s="10" t="s">
        <v>138</v>
      </c>
      <c r="H717" t="s">
        <v>3000</v>
      </c>
    </row>
    <row r="718" spans="1:9">
      <c r="A718" s="3">
        <v>44557</v>
      </c>
      <c r="B718" t="s">
        <v>4177</v>
      </c>
      <c r="C718" s="8">
        <v>6500</v>
      </c>
      <c r="D718" s="8">
        <v>0</v>
      </c>
      <c r="E718" s="8">
        <f t="shared" si="13"/>
        <v>3153750.0799994469</v>
      </c>
      <c r="F718" s="10" t="s">
        <v>113</v>
      </c>
      <c r="G718" s="10" t="s">
        <v>114</v>
      </c>
    </row>
    <row r="719" spans="1:9">
      <c r="A719" s="3">
        <v>44558</v>
      </c>
      <c r="B719" t="s">
        <v>65</v>
      </c>
      <c r="C719" s="8">
        <v>0</v>
      </c>
      <c r="D719" s="8">
        <v>30000000</v>
      </c>
      <c r="E719" s="8">
        <f t="shared" si="13"/>
        <v>33153750.079999447</v>
      </c>
      <c r="F719" s="10" t="s">
        <v>107</v>
      </c>
      <c r="G719" s="10" t="s">
        <v>144</v>
      </c>
    </row>
    <row r="720" spans="1:9">
      <c r="A720" s="3">
        <v>44558</v>
      </c>
      <c r="B720" t="s">
        <v>4076</v>
      </c>
      <c r="C720" s="8">
        <v>0</v>
      </c>
      <c r="D720" s="8">
        <v>40000000</v>
      </c>
      <c r="E720" s="8">
        <f t="shared" si="13"/>
        <v>73153750.079999447</v>
      </c>
      <c r="F720" s="83" t="s">
        <v>107</v>
      </c>
      <c r="G720" s="14" t="s">
        <v>109</v>
      </c>
    </row>
    <row r="721" spans="1:8">
      <c r="A721" s="3">
        <v>44558</v>
      </c>
      <c r="B721" t="s">
        <v>4178</v>
      </c>
      <c r="C721" s="8">
        <v>72500000</v>
      </c>
      <c r="D721" s="8">
        <v>0</v>
      </c>
      <c r="E721" s="8">
        <f t="shared" si="13"/>
        <v>653750.07999944687</v>
      </c>
      <c r="F721" s="10" t="s">
        <v>248</v>
      </c>
      <c r="G721" s="10" t="s">
        <v>249</v>
      </c>
    </row>
    <row r="722" spans="1:8">
      <c r="A722" s="3">
        <v>44558</v>
      </c>
      <c r="B722" t="s">
        <v>4179</v>
      </c>
      <c r="C722" s="8">
        <v>2900</v>
      </c>
      <c r="D722" s="8">
        <v>0</v>
      </c>
      <c r="E722" s="8">
        <f t="shared" si="13"/>
        <v>650850.07999944687</v>
      </c>
      <c r="F722" s="10" t="s">
        <v>113</v>
      </c>
      <c r="G722" s="10" t="s">
        <v>114</v>
      </c>
    </row>
    <row r="723" spans="1:8">
      <c r="A723" s="3">
        <v>44559</v>
      </c>
      <c r="B723" t="s">
        <v>2841</v>
      </c>
      <c r="C723" s="8">
        <v>0</v>
      </c>
      <c r="D723" s="8">
        <v>7694000</v>
      </c>
      <c r="E723" s="8">
        <f t="shared" si="13"/>
        <v>8344850.0799994469</v>
      </c>
      <c r="F723" s="83" t="s">
        <v>107</v>
      </c>
      <c r="G723" s="14" t="s">
        <v>109</v>
      </c>
    </row>
    <row r="724" spans="1:8">
      <c r="A724" s="3">
        <v>44559</v>
      </c>
      <c r="B724" t="s">
        <v>4180</v>
      </c>
      <c r="C724" s="8">
        <v>3500000</v>
      </c>
      <c r="D724" s="8">
        <v>0</v>
      </c>
      <c r="E724" s="8">
        <f t="shared" si="13"/>
        <v>4844850.0799994469</v>
      </c>
      <c r="F724" s="10" t="s">
        <v>319</v>
      </c>
      <c r="G724" s="10" t="s">
        <v>467</v>
      </c>
    </row>
    <row r="725" spans="1:8" s="14" customFormat="1">
      <c r="A725" s="138">
        <v>44559</v>
      </c>
      <c r="B725" s="14" t="s">
        <v>5123</v>
      </c>
      <c r="C725" s="53">
        <v>3490585</v>
      </c>
      <c r="D725" s="53">
        <v>0</v>
      </c>
      <c r="E725" s="53">
        <f t="shared" si="13"/>
        <v>1354265.0799994469</v>
      </c>
      <c r="F725" s="14" t="s">
        <v>110</v>
      </c>
      <c r="G725" s="14" t="s">
        <v>616</v>
      </c>
      <c r="H725" s="14" t="s">
        <v>611</v>
      </c>
    </row>
    <row r="726" spans="1:8">
      <c r="A726" s="3">
        <v>44560</v>
      </c>
      <c r="B726" t="s">
        <v>1902</v>
      </c>
      <c r="C726" s="8">
        <v>0</v>
      </c>
      <c r="D726" s="8">
        <v>63758735</v>
      </c>
      <c r="E726" s="8">
        <f t="shared" si="13"/>
        <v>65113000.079999447</v>
      </c>
      <c r="F726" s="10" t="s">
        <v>115</v>
      </c>
      <c r="G726" s="10" t="s">
        <v>122</v>
      </c>
      <c r="H726" t="s">
        <v>123</v>
      </c>
    </row>
    <row r="727" spans="1:8">
      <c r="A727" s="3">
        <v>44560</v>
      </c>
      <c r="B727" t="s">
        <v>4181</v>
      </c>
      <c r="C727" s="54">
        <v>22500000</v>
      </c>
      <c r="D727" s="54">
        <v>0</v>
      </c>
      <c r="E727" s="54">
        <f t="shared" si="13"/>
        <v>42613000.079999447</v>
      </c>
      <c r="F727" s="10" t="s">
        <v>137</v>
      </c>
      <c r="G727" s="10" t="s">
        <v>138</v>
      </c>
      <c r="H727" s="168" t="s">
        <v>4137</v>
      </c>
    </row>
    <row r="728" spans="1:8">
      <c r="A728" s="3">
        <v>44560</v>
      </c>
      <c r="B728" t="s">
        <v>4182</v>
      </c>
      <c r="C728" s="8">
        <v>6500</v>
      </c>
      <c r="D728" s="8">
        <v>0</v>
      </c>
      <c r="E728" s="8">
        <f t="shared" si="13"/>
        <v>42606500.079999447</v>
      </c>
      <c r="F728" s="10" t="s">
        <v>113</v>
      </c>
      <c r="G728" s="10" t="s">
        <v>114</v>
      </c>
    </row>
    <row r="729" spans="1:8">
      <c r="A729" s="3">
        <v>44560</v>
      </c>
      <c r="B729" t="s">
        <v>4183</v>
      </c>
      <c r="C729" s="54">
        <v>5100000</v>
      </c>
      <c r="D729" s="54">
        <v>0</v>
      </c>
      <c r="E729" s="54">
        <f t="shared" si="13"/>
        <v>37506500.079999447</v>
      </c>
      <c r="F729" s="10" t="s">
        <v>137</v>
      </c>
      <c r="G729" s="10" t="s">
        <v>138</v>
      </c>
      <c r="H729" s="168" t="s">
        <v>4137</v>
      </c>
    </row>
    <row r="730" spans="1:8">
      <c r="A730" s="3">
        <v>44560</v>
      </c>
      <c r="B730" t="s">
        <v>4184</v>
      </c>
      <c r="C730" s="54">
        <v>37500000</v>
      </c>
      <c r="D730" s="54">
        <v>0</v>
      </c>
      <c r="E730" s="54">
        <f t="shared" si="13"/>
        <v>6500.0799994468689</v>
      </c>
      <c r="F730" s="10" t="s">
        <v>137</v>
      </c>
      <c r="G730" s="10" t="s">
        <v>138</v>
      </c>
      <c r="H730" s="168" t="s">
        <v>4137</v>
      </c>
    </row>
    <row r="731" spans="1:8">
      <c r="A731" s="3">
        <v>44560</v>
      </c>
      <c r="B731" t="s">
        <v>4096</v>
      </c>
      <c r="C731" s="8">
        <v>2900</v>
      </c>
      <c r="D731" s="8">
        <v>0</v>
      </c>
      <c r="E731" s="8">
        <f t="shared" si="13"/>
        <v>3600.0799994468689</v>
      </c>
      <c r="F731" s="10" t="s">
        <v>113</v>
      </c>
      <c r="G731" s="10" t="s">
        <v>114</v>
      </c>
    </row>
    <row r="732" spans="1:8">
      <c r="A732" s="3">
        <v>44560</v>
      </c>
      <c r="B732" t="s">
        <v>4185</v>
      </c>
      <c r="C732" s="8">
        <v>0</v>
      </c>
      <c r="D732" s="8">
        <v>750000000</v>
      </c>
      <c r="E732" s="8">
        <f t="shared" si="13"/>
        <v>750003600.07999945</v>
      </c>
      <c r="F732" s="10" t="s">
        <v>107</v>
      </c>
      <c r="G732" s="10" t="s">
        <v>144</v>
      </c>
    </row>
    <row r="733" spans="1:8">
      <c r="A733" s="3">
        <v>44560</v>
      </c>
      <c r="B733" t="s">
        <v>4186</v>
      </c>
      <c r="C733" s="8">
        <v>600000000</v>
      </c>
      <c r="D733" s="8">
        <v>0</v>
      </c>
      <c r="E733" s="8">
        <f t="shared" si="13"/>
        <v>150003600.07999945</v>
      </c>
      <c r="F733" s="10" t="s">
        <v>115</v>
      </c>
      <c r="G733" s="10" t="s">
        <v>122</v>
      </c>
      <c r="H733" t="s">
        <v>149</v>
      </c>
    </row>
    <row r="734" spans="1:8">
      <c r="A734" s="3">
        <v>44560</v>
      </c>
      <c r="B734" t="s">
        <v>4187</v>
      </c>
      <c r="C734" s="8">
        <v>2900</v>
      </c>
      <c r="D734" s="8">
        <v>0</v>
      </c>
      <c r="E734" s="8">
        <f t="shared" si="13"/>
        <v>150000700.07999945</v>
      </c>
      <c r="F734" s="10" t="s">
        <v>113</v>
      </c>
      <c r="G734" s="10" t="s">
        <v>114</v>
      </c>
    </row>
    <row r="735" spans="1:8">
      <c r="A735" s="3">
        <v>44560</v>
      </c>
      <c r="B735" t="s">
        <v>4188</v>
      </c>
      <c r="C735" s="8">
        <v>70000</v>
      </c>
      <c r="D735" s="8">
        <v>0</v>
      </c>
      <c r="E735" s="8">
        <f t="shared" si="13"/>
        <v>149930700.07999945</v>
      </c>
      <c r="F735" s="10" t="s">
        <v>115</v>
      </c>
      <c r="G735" s="10" t="s">
        <v>441</v>
      </c>
      <c r="H735" t="s">
        <v>715</v>
      </c>
    </row>
    <row r="736" spans="1:8">
      <c r="A736" s="3">
        <v>44560</v>
      </c>
      <c r="B736" t="s">
        <v>4189</v>
      </c>
      <c r="C736" s="8">
        <v>70000</v>
      </c>
      <c r="D736" s="8">
        <v>0</v>
      </c>
      <c r="E736" s="8">
        <f t="shared" si="13"/>
        <v>149860700.07999945</v>
      </c>
      <c r="F736" s="10" t="s">
        <v>115</v>
      </c>
      <c r="G736" s="10" t="s">
        <v>441</v>
      </c>
      <c r="H736" t="s">
        <v>715</v>
      </c>
    </row>
    <row r="737" spans="1:8">
      <c r="A737" s="3">
        <v>44560</v>
      </c>
      <c r="B737" t="s">
        <v>4190</v>
      </c>
      <c r="C737" s="8">
        <v>70000</v>
      </c>
      <c r="D737" s="8">
        <v>0</v>
      </c>
      <c r="E737" s="8">
        <f t="shared" si="13"/>
        <v>149790700.07999945</v>
      </c>
      <c r="F737" s="10" t="s">
        <v>115</v>
      </c>
      <c r="G737" s="10" t="s">
        <v>441</v>
      </c>
      <c r="H737" t="s">
        <v>715</v>
      </c>
    </row>
    <row r="738" spans="1:8">
      <c r="A738" s="3">
        <v>44560</v>
      </c>
      <c r="B738" t="s">
        <v>4191</v>
      </c>
      <c r="C738" s="8">
        <v>70000</v>
      </c>
      <c r="D738" s="8">
        <v>0</v>
      </c>
      <c r="E738" s="8">
        <f t="shared" ref="E738:E749" si="14">E737-C738+D738</f>
        <v>149720700.07999945</v>
      </c>
      <c r="F738" s="10" t="s">
        <v>115</v>
      </c>
      <c r="G738" s="10" t="s">
        <v>441</v>
      </c>
      <c r="H738" t="s">
        <v>715</v>
      </c>
    </row>
    <row r="739" spans="1:8">
      <c r="A739" s="3" t="s">
        <v>4175</v>
      </c>
      <c r="B739" t="s">
        <v>4192</v>
      </c>
      <c r="C739" s="8">
        <v>70000</v>
      </c>
      <c r="D739" s="8">
        <v>0</v>
      </c>
      <c r="E739" s="8">
        <f t="shared" si="14"/>
        <v>149650700.07999945</v>
      </c>
      <c r="F739" s="10" t="s">
        <v>115</v>
      </c>
      <c r="G739" s="10" t="s">
        <v>441</v>
      </c>
      <c r="H739" t="s">
        <v>715</v>
      </c>
    </row>
    <row r="740" spans="1:8">
      <c r="A740" s="3">
        <v>44560</v>
      </c>
      <c r="B740" t="s">
        <v>4193</v>
      </c>
      <c r="C740" s="8">
        <v>70000</v>
      </c>
      <c r="D740" s="8">
        <v>0</v>
      </c>
      <c r="E740" s="8">
        <f t="shared" si="14"/>
        <v>149580700.07999945</v>
      </c>
      <c r="F740" s="10" t="s">
        <v>115</v>
      </c>
      <c r="G740" s="10" t="s">
        <v>441</v>
      </c>
      <c r="H740" t="s">
        <v>715</v>
      </c>
    </row>
    <row r="741" spans="1:8">
      <c r="A741" s="3">
        <v>44560</v>
      </c>
      <c r="B741" t="s">
        <v>4194</v>
      </c>
      <c r="C741" s="8">
        <v>70000</v>
      </c>
      <c r="D741" s="8">
        <v>0</v>
      </c>
      <c r="E741" s="8">
        <f t="shared" si="14"/>
        <v>149510700.07999945</v>
      </c>
      <c r="F741" s="10" t="s">
        <v>115</v>
      </c>
      <c r="G741" s="10" t="s">
        <v>441</v>
      </c>
      <c r="H741" t="s">
        <v>715</v>
      </c>
    </row>
    <row r="742" spans="1:8">
      <c r="A742" s="3">
        <v>44560</v>
      </c>
      <c r="B742" t="s">
        <v>4195</v>
      </c>
      <c r="C742" s="8">
        <v>70000</v>
      </c>
      <c r="D742" s="8">
        <v>0</v>
      </c>
      <c r="E742" s="8">
        <f t="shared" si="14"/>
        <v>149440700.07999945</v>
      </c>
      <c r="F742" s="10" t="s">
        <v>115</v>
      </c>
      <c r="G742" s="10" t="s">
        <v>441</v>
      </c>
      <c r="H742" t="s">
        <v>715</v>
      </c>
    </row>
    <row r="743" spans="1:8">
      <c r="A743" s="3">
        <v>44560</v>
      </c>
      <c r="B743" t="s">
        <v>4196</v>
      </c>
      <c r="C743" s="8">
        <v>70000</v>
      </c>
      <c r="D743" s="8">
        <v>0</v>
      </c>
      <c r="E743" s="8">
        <f t="shared" si="14"/>
        <v>149370700.07999945</v>
      </c>
      <c r="F743" s="10" t="s">
        <v>115</v>
      </c>
      <c r="G743" s="10" t="s">
        <v>441</v>
      </c>
      <c r="H743" t="s">
        <v>715</v>
      </c>
    </row>
    <row r="744" spans="1:8">
      <c r="A744" s="3">
        <v>44560</v>
      </c>
      <c r="B744" t="s">
        <v>4197</v>
      </c>
      <c r="C744" s="8">
        <v>70000</v>
      </c>
      <c r="D744" s="8">
        <v>0</v>
      </c>
      <c r="E744" s="8">
        <f t="shared" si="14"/>
        <v>149300700.07999945</v>
      </c>
      <c r="F744" s="10" t="s">
        <v>115</v>
      </c>
      <c r="G744" s="10" t="s">
        <v>441</v>
      </c>
      <c r="H744" t="s">
        <v>715</v>
      </c>
    </row>
    <row r="745" spans="1:8">
      <c r="A745" s="3">
        <v>44561</v>
      </c>
      <c r="B745" t="s">
        <v>4381</v>
      </c>
      <c r="C745" s="8">
        <v>133701551</v>
      </c>
      <c r="D745" s="8">
        <v>0</v>
      </c>
      <c r="E745" s="8">
        <f t="shared" si="14"/>
        <v>15599149.079999447</v>
      </c>
      <c r="F745" s="10" t="s">
        <v>107</v>
      </c>
      <c r="G745" s="10" t="s">
        <v>274</v>
      </c>
      <c r="H745" t="s">
        <v>142</v>
      </c>
    </row>
    <row r="746" spans="1:8">
      <c r="A746" s="3">
        <v>44561</v>
      </c>
      <c r="B746" t="s">
        <v>4382</v>
      </c>
      <c r="C746" s="8">
        <v>2900</v>
      </c>
      <c r="D746" s="8">
        <v>0</v>
      </c>
      <c r="E746" s="8">
        <f t="shared" si="14"/>
        <v>15596249.079999447</v>
      </c>
      <c r="F746" s="10" t="s">
        <v>113</v>
      </c>
      <c r="G746" s="10" t="s">
        <v>114</v>
      </c>
    </row>
    <row r="747" spans="1:8">
      <c r="A747" s="3">
        <v>44561</v>
      </c>
      <c r="B747" t="s">
        <v>270</v>
      </c>
      <c r="C747" s="8">
        <v>25000</v>
      </c>
      <c r="D747" s="8">
        <v>0</v>
      </c>
      <c r="E747" s="8">
        <f t="shared" si="14"/>
        <v>15571249.079999447</v>
      </c>
      <c r="F747" s="10" t="s">
        <v>113</v>
      </c>
      <c r="G747" s="10" t="s">
        <v>114</v>
      </c>
    </row>
    <row r="748" spans="1:8">
      <c r="A748" s="3">
        <v>44561</v>
      </c>
      <c r="B748" t="s">
        <v>1000</v>
      </c>
      <c r="C748" s="8">
        <v>0</v>
      </c>
      <c r="D748" s="8">
        <v>148291.68</v>
      </c>
      <c r="E748" s="8">
        <f t="shared" si="14"/>
        <v>15719540.759999447</v>
      </c>
      <c r="F748" t="s">
        <v>252</v>
      </c>
      <c r="G748" s="10" t="s">
        <v>253</v>
      </c>
    </row>
    <row r="749" spans="1:8">
      <c r="A749" s="3">
        <v>44561</v>
      </c>
      <c r="B749" t="s">
        <v>273</v>
      </c>
      <c r="C749" s="8">
        <v>29658.34</v>
      </c>
      <c r="D749" s="8">
        <v>0</v>
      </c>
      <c r="E749" s="8">
        <f t="shared" si="14"/>
        <v>15689882.419999447</v>
      </c>
      <c r="F749" t="s">
        <v>252</v>
      </c>
      <c r="G749" s="10" t="s">
        <v>253</v>
      </c>
    </row>
    <row r="750" spans="1:8">
      <c r="F750" s="10"/>
      <c r="G750" s="10"/>
    </row>
    <row r="751" spans="1:8">
      <c r="F751" s="10"/>
      <c r="G751" s="10"/>
    </row>
    <row r="752" spans="1:8">
      <c r="F752" s="10"/>
      <c r="G752" s="10"/>
    </row>
    <row r="754" spans="3:4">
      <c r="C754" s="8">
        <f>SUBTOTAL(9,C5:C753)</f>
        <v>18979122224.310001</v>
      </c>
      <c r="D754" s="8">
        <f>SUBTOTAL(9,D5:D753)</f>
        <v>18928002083.559998</v>
      </c>
    </row>
    <row r="755" spans="3:4">
      <c r="D755" s="8">
        <f>D754-C754</f>
        <v>-51120140.750003815</v>
      </c>
    </row>
  </sheetData>
  <autoFilter ref="A4:I749" xr:uid="{87ACA4AA-1527-0E47-A722-08C8A90785D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B35-B04D-B04A-8CA2-75335B46A182}">
  <sheetPr filterMode="1"/>
  <dimension ref="A1:I278"/>
  <sheetViews>
    <sheetView zoomScale="95" zoomScaleNormal="95" workbookViewId="0">
      <selection activeCell="G29" sqref="G29"/>
    </sheetView>
  </sheetViews>
  <sheetFormatPr baseColWidth="10" defaultRowHeight="16"/>
  <cols>
    <col min="1" max="1" width="10.83203125" style="3"/>
    <col min="2" max="2" width="73.83203125" customWidth="1"/>
    <col min="3" max="4" width="18.83203125" style="8" customWidth="1"/>
    <col min="5" max="5" width="18.83203125" style="2" customWidth="1"/>
    <col min="6" max="6" width="17.1640625" customWidth="1"/>
    <col min="7" max="7" width="23.83203125" customWidth="1"/>
    <col min="8" max="8" width="40.83203125" customWidth="1"/>
  </cols>
  <sheetData>
    <row r="1" spans="1:9">
      <c r="A1" s="6" t="s">
        <v>98</v>
      </c>
      <c r="B1" s="1" t="s">
        <v>99</v>
      </c>
      <c r="C1" s="8">
        <f>C27*100/110</f>
        <v>17008264.545454547</v>
      </c>
      <c r="D1" s="8">
        <f>C1*10%</f>
        <v>1700826.4545454548</v>
      </c>
      <c r="E1" s="2">
        <f>C1+D1</f>
        <v>18709091</v>
      </c>
    </row>
    <row r="2" spans="1:9">
      <c r="A2" s="6" t="s">
        <v>63</v>
      </c>
    </row>
    <row r="4" spans="1:9">
      <c r="A4" s="4" t="s">
        <v>3</v>
      </c>
      <c r="B4" s="1" t="s">
        <v>4</v>
      </c>
      <c r="C4" s="9"/>
      <c r="D4" s="9"/>
      <c r="E4" s="5">
        <v>80229138</v>
      </c>
    </row>
    <row r="5" spans="1:9" hidden="1">
      <c r="A5" s="3">
        <v>44200</v>
      </c>
      <c r="B5" t="s">
        <v>100</v>
      </c>
      <c r="C5" s="8">
        <v>80000000</v>
      </c>
      <c r="D5" s="8">
        <v>0</v>
      </c>
      <c r="E5" s="8">
        <f>E4-C5+D5</f>
        <v>229138</v>
      </c>
      <c r="F5" t="s">
        <v>107</v>
      </c>
      <c r="G5" t="s">
        <v>144</v>
      </c>
    </row>
    <row r="6" spans="1:9" hidden="1">
      <c r="A6" s="3">
        <v>44200</v>
      </c>
      <c r="B6" t="s">
        <v>101</v>
      </c>
      <c r="C6" s="8">
        <v>2900</v>
      </c>
      <c r="D6" s="8">
        <v>0</v>
      </c>
      <c r="E6" s="8">
        <f t="shared" ref="E6:E72" si="0">E5-C6+D6</f>
        <v>226238</v>
      </c>
      <c r="F6" t="s">
        <v>113</v>
      </c>
      <c r="G6" t="s">
        <v>114</v>
      </c>
    </row>
    <row r="7" spans="1:9" hidden="1">
      <c r="A7" s="3">
        <v>44210</v>
      </c>
      <c r="B7" t="s">
        <v>102</v>
      </c>
      <c r="C7" s="8">
        <v>0</v>
      </c>
      <c r="D7" s="8">
        <v>1000000000</v>
      </c>
      <c r="E7" s="8">
        <f t="shared" si="0"/>
        <v>1000226238</v>
      </c>
      <c r="F7" t="s">
        <v>107</v>
      </c>
      <c r="G7" t="s">
        <v>145</v>
      </c>
    </row>
    <row r="8" spans="1:9" hidden="1">
      <c r="A8" s="3">
        <v>44210</v>
      </c>
      <c r="B8" t="s">
        <v>103</v>
      </c>
      <c r="C8" s="8">
        <v>1000000000</v>
      </c>
      <c r="D8" s="8">
        <v>0</v>
      </c>
      <c r="E8" s="8">
        <f t="shared" si="0"/>
        <v>226238</v>
      </c>
      <c r="F8" t="s">
        <v>110</v>
      </c>
      <c r="G8" t="s">
        <v>118</v>
      </c>
      <c r="H8" t="s">
        <v>146</v>
      </c>
    </row>
    <row r="9" spans="1:9" hidden="1">
      <c r="A9" s="3">
        <v>44216</v>
      </c>
      <c r="B9" t="s">
        <v>189</v>
      </c>
      <c r="C9" s="8">
        <v>200000</v>
      </c>
      <c r="D9" s="8">
        <v>0</v>
      </c>
      <c r="E9" s="8">
        <f t="shared" si="0"/>
        <v>26238</v>
      </c>
      <c r="F9" t="s">
        <v>113</v>
      </c>
      <c r="G9" t="s">
        <v>114</v>
      </c>
    </row>
    <row r="10" spans="1:9" hidden="1">
      <c r="A10" s="3">
        <v>44217</v>
      </c>
      <c r="B10" t="s">
        <v>190</v>
      </c>
      <c r="C10" s="8">
        <v>0</v>
      </c>
      <c r="D10" s="8">
        <v>96912200</v>
      </c>
      <c r="E10" s="8">
        <f t="shared" si="0"/>
        <v>96938438</v>
      </c>
      <c r="F10" t="s">
        <v>110</v>
      </c>
      <c r="G10" t="s">
        <v>188</v>
      </c>
      <c r="H10" t="s">
        <v>121</v>
      </c>
      <c r="I10">
        <v>79</v>
      </c>
    </row>
    <row r="11" spans="1:9" hidden="1">
      <c r="A11" s="3">
        <v>44221</v>
      </c>
      <c r="B11" t="s">
        <v>191</v>
      </c>
      <c r="C11" s="8">
        <v>1323</v>
      </c>
      <c r="D11" s="8">
        <v>0</v>
      </c>
      <c r="E11" s="8">
        <f t="shared" si="0"/>
        <v>96937115</v>
      </c>
      <c r="F11" t="s">
        <v>252</v>
      </c>
      <c r="G11" t="s">
        <v>253</v>
      </c>
    </row>
    <row r="12" spans="1:9" hidden="1">
      <c r="A12" s="3">
        <v>44221</v>
      </c>
      <c r="B12" t="s">
        <v>192</v>
      </c>
      <c r="C12" s="8">
        <v>0</v>
      </c>
      <c r="D12" s="8">
        <v>6617</v>
      </c>
      <c r="E12" s="8">
        <f t="shared" si="0"/>
        <v>96943732</v>
      </c>
      <c r="F12" t="s">
        <v>252</v>
      </c>
      <c r="G12" t="s">
        <v>253</v>
      </c>
    </row>
    <row r="13" spans="1:9" hidden="1">
      <c r="A13" s="3">
        <v>44228</v>
      </c>
      <c r="B13" t="s">
        <v>996</v>
      </c>
      <c r="C13" s="8">
        <f>77000000-C14</f>
        <v>70000000</v>
      </c>
      <c r="D13" s="8">
        <v>0</v>
      </c>
      <c r="E13" s="8">
        <f t="shared" si="0"/>
        <v>26943732</v>
      </c>
      <c r="F13" t="s">
        <v>115</v>
      </c>
      <c r="G13" t="s">
        <v>120</v>
      </c>
      <c r="H13" t="s">
        <v>151</v>
      </c>
    </row>
    <row r="14" spans="1:9" hidden="1">
      <c r="A14" s="3">
        <v>44228</v>
      </c>
      <c r="B14" t="s">
        <v>996</v>
      </c>
      <c r="C14" s="54">
        <v>7000000</v>
      </c>
      <c r="D14" s="54">
        <v>0</v>
      </c>
      <c r="E14" s="54">
        <f t="shared" si="0"/>
        <v>19943732</v>
      </c>
      <c r="F14" t="s">
        <v>110</v>
      </c>
      <c r="G14" t="s">
        <v>120</v>
      </c>
      <c r="H14" t="s">
        <v>151</v>
      </c>
    </row>
    <row r="15" spans="1:9" hidden="1">
      <c r="A15" s="3">
        <v>44228</v>
      </c>
      <c r="B15" t="s">
        <v>283</v>
      </c>
      <c r="C15" s="8">
        <v>2900</v>
      </c>
      <c r="D15" s="8">
        <v>0</v>
      </c>
      <c r="E15" s="8">
        <f t="shared" si="0"/>
        <v>19940832</v>
      </c>
      <c r="F15" t="s">
        <v>113</v>
      </c>
      <c r="G15" t="s">
        <v>114</v>
      </c>
    </row>
    <row r="16" spans="1:9" hidden="1">
      <c r="A16" s="3">
        <v>44228</v>
      </c>
      <c r="B16" t="s">
        <v>284</v>
      </c>
      <c r="C16" s="8">
        <v>19000000</v>
      </c>
      <c r="D16" s="8">
        <v>0</v>
      </c>
      <c r="E16" s="8">
        <f t="shared" si="0"/>
        <v>940832</v>
      </c>
      <c r="F16" t="s">
        <v>107</v>
      </c>
      <c r="G16" t="s">
        <v>254</v>
      </c>
    </row>
    <row r="17" spans="1:9" hidden="1">
      <c r="A17" s="3">
        <v>44228</v>
      </c>
      <c r="B17" t="s">
        <v>285</v>
      </c>
      <c r="C17" s="8">
        <v>2900</v>
      </c>
      <c r="D17" s="8">
        <v>0</v>
      </c>
      <c r="E17" s="8">
        <f t="shared" si="0"/>
        <v>937932</v>
      </c>
      <c r="F17" t="s">
        <v>113</v>
      </c>
      <c r="G17" t="s">
        <v>114</v>
      </c>
    </row>
    <row r="18" spans="1:9" hidden="1">
      <c r="A18" s="3">
        <v>44230</v>
      </c>
      <c r="B18" t="s">
        <v>286</v>
      </c>
      <c r="C18" s="8">
        <v>0</v>
      </c>
      <c r="D18" s="8">
        <v>107075818</v>
      </c>
      <c r="E18" s="8">
        <f t="shared" si="0"/>
        <v>108013750</v>
      </c>
      <c r="F18" t="s">
        <v>110</v>
      </c>
      <c r="G18" t="s">
        <v>188</v>
      </c>
      <c r="H18" s="14" t="s">
        <v>132</v>
      </c>
      <c r="I18">
        <v>70</v>
      </c>
    </row>
    <row r="19" spans="1:9" hidden="1">
      <c r="A19" s="3">
        <v>44233</v>
      </c>
      <c r="B19" t="s">
        <v>324</v>
      </c>
      <c r="C19" s="8">
        <v>5375000</v>
      </c>
      <c r="D19" s="8">
        <v>0</v>
      </c>
      <c r="E19" s="8">
        <f t="shared" si="0"/>
        <v>102638750</v>
      </c>
      <c r="F19" t="s">
        <v>137</v>
      </c>
      <c r="G19" t="s">
        <v>138</v>
      </c>
      <c r="H19" t="s">
        <v>604</v>
      </c>
    </row>
    <row r="20" spans="1:9" hidden="1">
      <c r="A20" s="3">
        <v>44236</v>
      </c>
      <c r="B20" t="s">
        <v>332</v>
      </c>
      <c r="C20" s="8">
        <v>0</v>
      </c>
      <c r="D20" s="8">
        <v>748363637</v>
      </c>
      <c r="E20" s="8">
        <f t="shared" si="0"/>
        <v>851002387</v>
      </c>
      <c r="F20" t="s">
        <v>110</v>
      </c>
      <c r="G20" t="s">
        <v>188</v>
      </c>
      <c r="H20" t="s">
        <v>371</v>
      </c>
      <c r="I20">
        <v>71</v>
      </c>
    </row>
    <row r="21" spans="1:9" hidden="1">
      <c r="A21" s="3">
        <v>44236</v>
      </c>
      <c r="B21" t="s">
        <v>333</v>
      </c>
      <c r="C21" s="8">
        <v>0</v>
      </c>
      <c r="D21" s="8">
        <v>431200000</v>
      </c>
      <c r="E21" s="8">
        <f t="shared" si="0"/>
        <v>1282202387</v>
      </c>
      <c r="F21" t="s">
        <v>110</v>
      </c>
      <c r="G21" t="s">
        <v>188</v>
      </c>
      <c r="H21" t="s">
        <v>124</v>
      </c>
      <c r="I21">
        <v>57</v>
      </c>
    </row>
    <row r="22" spans="1:9" hidden="1">
      <c r="A22" s="3">
        <v>44237</v>
      </c>
      <c r="B22" t="s">
        <v>284</v>
      </c>
      <c r="C22" s="8">
        <v>250000000</v>
      </c>
      <c r="D22" s="8">
        <v>0</v>
      </c>
      <c r="E22" s="8">
        <f t="shared" si="0"/>
        <v>1032202387</v>
      </c>
      <c r="F22" t="s">
        <v>107</v>
      </c>
      <c r="G22" t="s">
        <v>254</v>
      </c>
    </row>
    <row r="23" spans="1:9" hidden="1">
      <c r="A23" s="3">
        <v>44237</v>
      </c>
      <c r="B23" t="s">
        <v>334</v>
      </c>
      <c r="C23" s="8">
        <v>2900</v>
      </c>
      <c r="D23" s="8">
        <v>0</v>
      </c>
      <c r="E23" s="8">
        <f t="shared" si="0"/>
        <v>1032199487</v>
      </c>
      <c r="F23" t="s">
        <v>113</v>
      </c>
      <c r="G23" t="s">
        <v>114</v>
      </c>
    </row>
    <row r="24" spans="1:9" hidden="1">
      <c r="A24" s="3">
        <v>44237</v>
      </c>
      <c r="B24" t="s">
        <v>100</v>
      </c>
      <c r="C24" s="8">
        <v>250000000</v>
      </c>
      <c r="D24" s="8">
        <v>0</v>
      </c>
      <c r="E24" s="8">
        <f t="shared" si="0"/>
        <v>782199487</v>
      </c>
      <c r="F24" t="s">
        <v>107</v>
      </c>
      <c r="G24" t="s">
        <v>144</v>
      </c>
    </row>
    <row r="25" spans="1:9" hidden="1">
      <c r="A25" s="3">
        <v>44237</v>
      </c>
      <c r="B25" t="s">
        <v>335</v>
      </c>
      <c r="C25" s="8">
        <v>2900</v>
      </c>
      <c r="D25" s="8">
        <v>0</v>
      </c>
      <c r="E25" s="8">
        <f t="shared" si="0"/>
        <v>782196587</v>
      </c>
      <c r="F25" t="s">
        <v>113</v>
      </c>
      <c r="G25" t="s">
        <v>114</v>
      </c>
    </row>
    <row r="26" spans="1:9" hidden="1">
      <c r="A26" s="3">
        <v>44237</v>
      </c>
      <c r="B26" t="s">
        <v>336</v>
      </c>
      <c r="C26" s="8">
        <v>6025000</v>
      </c>
      <c r="D26" s="8">
        <v>0</v>
      </c>
      <c r="E26" s="8">
        <f t="shared" si="0"/>
        <v>776171587</v>
      </c>
      <c r="F26" t="s">
        <v>137</v>
      </c>
      <c r="G26" t="s">
        <v>138</v>
      </c>
      <c r="H26" t="s">
        <v>245</v>
      </c>
    </row>
    <row r="27" spans="1:9" hidden="1">
      <c r="A27" s="3">
        <v>44237</v>
      </c>
      <c r="B27" t="s">
        <v>337</v>
      </c>
      <c r="C27" s="8">
        <f>20580000-C28</f>
        <v>18709091</v>
      </c>
      <c r="D27" s="8">
        <v>0</v>
      </c>
      <c r="E27" s="8">
        <f t="shared" si="0"/>
        <v>757462496</v>
      </c>
      <c r="F27" t="s">
        <v>115</v>
      </c>
      <c r="G27" t="s">
        <v>120</v>
      </c>
      <c r="H27" t="s">
        <v>151</v>
      </c>
    </row>
    <row r="28" spans="1:9" hidden="1">
      <c r="A28" s="3">
        <v>44237</v>
      </c>
      <c r="B28" t="s">
        <v>337</v>
      </c>
      <c r="C28" s="54">
        <v>1870909</v>
      </c>
      <c r="D28" s="54">
        <v>0</v>
      </c>
      <c r="E28" s="54">
        <f t="shared" si="0"/>
        <v>755591587</v>
      </c>
      <c r="F28" t="s">
        <v>115</v>
      </c>
      <c r="G28" t="s">
        <v>120</v>
      </c>
      <c r="H28" t="s">
        <v>151</v>
      </c>
    </row>
    <row r="29" spans="1:9" hidden="1">
      <c r="A29" s="3">
        <v>44237</v>
      </c>
      <c r="B29" t="s">
        <v>338</v>
      </c>
      <c r="C29" s="8">
        <v>0</v>
      </c>
      <c r="D29" s="8">
        <v>1336363637</v>
      </c>
      <c r="E29" s="8">
        <f t="shared" si="0"/>
        <v>2091955224</v>
      </c>
      <c r="F29" t="s">
        <v>581</v>
      </c>
      <c r="G29" t="s">
        <v>582</v>
      </c>
      <c r="H29" t="s">
        <v>173</v>
      </c>
      <c r="I29">
        <v>6</v>
      </c>
    </row>
    <row r="30" spans="1:9" hidden="1">
      <c r="A30" s="3">
        <v>44238</v>
      </c>
      <c r="B30" t="s">
        <v>790</v>
      </c>
      <c r="C30" s="8">
        <v>0</v>
      </c>
      <c r="D30" s="8">
        <v>28224000</v>
      </c>
      <c r="E30" s="8">
        <f t="shared" si="0"/>
        <v>2120179224</v>
      </c>
      <c r="F30" t="s">
        <v>581</v>
      </c>
      <c r="G30" t="s">
        <v>582</v>
      </c>
      <c r="H30" t="s">
        <v>529</v>
      </c>
      <c r="I30">
        <v>9</v>
      </c>
    </row>
    <row r="31" spans="1:9" hidden="1">
      <c r="A31" s="3">
        <v>44238</v>
      </c>
      <c r="B31" t="s">
        <v>791</v>
      </c>
      <c r="C31" s="8">
        <v>0</v>
      </c>
      <c r="D31" s="8">
        <v>237731340</v>
      </c>
      <c r="E31" s="8">
        <f t="shared" si="0"/>
        <v>2357910564</v>
      </c>
      <c r="F31" t="s">
        <v>581</v>
      </c>
      <c r="G31" t="s">
        <v>582</v>
      </c>
      <c r="H31" t="s">
        <v>245</v>
      </c>
      <c r="I31">
        <v>10</v>
      </c>
    </row>
    <row r="32" spans="1:9" hidden="1">
      <c r="A32" s="3">
        <v>44242</v>
      </c>
      <c r="B32" t="s">
        <v>284</v>
      </c>
      <c r="C32" s="8">
        <v>500000000</v>
      </c>
      <c r="D32" s="8">
        <v>0</v>
      </c>
      <c r="E32" s="8">
        <f t="shared" si="0"/>
        <v>1857910564</v>
      </c>
      <c r="F32" t="s">
        <v>107</v>
      </c>
      <c r="G32" t="s">
        <v>254</v>
      </c>
    </row>
    <row r="33" spans="1:9" hidden="1">
      <c r="A33" s="3">
        <v>44242</v>
      </c>
      <c r="B33" t="s">
        <v>792</v>
      </c>
      <c r="C33" s="8">
        <v>2900</v>
      </c>
      <c r="D33" s="8">
        <v>0</v>
      </c>
      <c r="E33" s="8">
        <f t="shared" si="0"/>
        <v>1857907664</v>
      </c>
      <c r="F33" t="s">
        <v>113</v>
      </c>
      <c r="G33" t="s">
        <v>114</v>
      </c>
    </row>
    <row r="34" spans="1:9" hidden="1">
      <c r="A34" s="3">
        <v>44242</v>
      </c>
      <c r="B34" t="s">
        <v>100</v>
      </c>
      <c r="C34" s="8">
        <v>500000000</v>
      </c>
      <c r="D34" s="8">
        <v>0</v>
      </c>
      <c r="E34" s="8">
        <f t="shared" si="0"/>
        <v>1357907664</v>
      </c>
      <c r="F34" t="s">
        <v>107</v>
      </c>
      <c r="G34" t="s">
        <v>144</v>
      </c>
    </row>
    <row r="35" spans="1:9" hidden="1">
      <c r="A35" s="3">
        <v>44242</v>
      </c>
      <c r="B35" t="s">
        <v>793</v>
      </c>
      <c r="C35" s="8">
        <v>2900</v>
      </c>
      <c r="E35" s="8">
        <f t="shared" si="0"/>
        <v>1357904764</v>
      </c>
      <c r="F35" t="s">
        <v>113</v>
      </c>
      <c r="G35" t="s">
        <v>114</v>
      </c>
    </row>
    <row r="36" spans="1:9" hidden="1">
      <c r="A36" s="3">
        <v>44243</v>
      </c>
      <c r="B36" t="s">
        <v>1121</v>
      </c>
      <c r="C36" s="8">
        <v>0</v>
      </c>
      <c r="D36" s="8">
        <v>207498830</v>
      </c>
      <c r="E36" s="8">
        <f t="shared" si="0"/>
        <v>1565403594</v>
      </c>
      <c r="F36" t="s">
        <v>107</v>
      </c>
      <c r="G36" t="s">
        <v>1123</v>
      </c>
      <c r="H36" t="s">
        <v>64</v>
      </c>
      <c r="I36" t="s">
        <v>64</v>
      </c>
    </row>
    <row r="37" spans="1:9" hidden="1">
      <c r="A37" s="3">
        <v>44243</v>
      </c>
      <c r="B37" t="s">
        <v>1122</v>
      </c>
      <c r="C37" s="8">
        <v>0</v>
      </c>
      <c r="D37" s="8">
        <v>248920980</v>
      </c>
      <c r="E37" s="8">
        <f t="shared" si="0"/>
        <v>1814324574</v>
      </c>
      <c r="F37" t="s">
        <v>107</v>
      </c>
      <c r="G37" t="s">
        <v>1123</v>
      </c>
      <c r="H37" t="s">
        <v>64</v>
      </c>
      <c r="I37" t="s">
        <v>64</v>
      </c>
    </row>
    <row r="38" spans="1:9" hidden="1">
      <c r="A38" s="3">
        <v>44243</v>
      </c>
      <c r="B38" t="s">
        <v>786</v>
      </c>
      <c r="C38" s="8">
        <v>1000000000</v>
      </c>
      <c r="D38" s="8">
        <v>0</v>
      </c>
      <c r="E38" s="8">
        <f t="shared" si="0"/>
        <v>814324574</v>
      </c>
      <c r="F38" t="s">
        <v>115</v>
      </c>
      <c r="G38" t="s">
        <v>122</v>
      </c>
      <c r="H38" t="s">
        <v>149</v>
      </c>
    </row>
    <row r="39" spans="1:9" hidden="1">
      <c r="A39" s="3">
        <v>44243</v>
      </c>
      <c r="B39" t="s">
        <v>794</v>
      </c>
      <c r="C39" s="8">
        <v>30000</v>
      </c>
      <c r="D39" s="8">
        <v>0</v>
      </c>
      <c r="E39" s="8">
        <f t="shared" si="0"/>
        <v>814294574</v>
      </c>
      <c r="F39" t="s">
        <v>113</v>
      </c>
      <c r="G39" t="s">
        <v>114</v>
      </c>
    </row>
    <row r="40" spans="1:9" hidden="1">
      <c r="A40" s="3">
        <v>44243</v>
      </c>
      <c r="B40" t="s">
        <v>786</v>
      </c>
      <c r="C40" s="8">
        <v>750000000</v>
      </c>
      <c r="D40" s="8">
        <v>0</v>
      </c>
      <c r="E40" s="8">
        <f t="shared" si="0"/>
        <v>64294574</v>
      </c>
      <c r="F40" t="s">
        <v>115</v>
      </c>
      <c r="G40" t="s">
        <v>122</v>
      </c>
      <c r="H40" t="s">
        <v>149</v>
      </c>
    </row>
    <row r="41" spans="1:9" hidden="1">
      <c r="A41" s="3">
        <v>44243</v>
      </c>
      <c r="B41" t="s">
        <v>795</v>
      </c>
      <c r="C41" s="8">
        <v>30000</v>
      </c>
      <c r="D41" s="8">
        <v>0</v>
      </c>
      <c r="E41" s="8">
        <f t="shared" si="0"/>
        <v>64264574</v>
      </c>
      <c r="F41" t="s">
        <v>113</v>
      </c>
      <c r="G41" t="s">
        <v>114</v>
      </c>
    </row>
    <row r="42" spans="1:9" hidden="1">
      <c r="A42" s="3">
        <v>44243</v>
      </c>
      <c r="B42" t="s">
        <v>786</v>
      </c>
      <c r="C42" s="8">
        <v>50000000</v>
      </c>
      <c r="D42" s="8">
        <v>0</v>
      </c>
      <c r="E42" s="8">
        <f t="shared" si="0"/>
        <v>14264574</v>
      </c>
      <c r="F42" t="s">
        <v>115</v>
      </c>
      <c r="G42" t="s">
        <v>122</v>
      </c>
      <c r="H42" t="s">
        <v>149</v>
      </c>
    </row>
    <row r="43" spans="1:9" hidden="1">
      <c r="A43" s="3">
        <v>44243</v>
      </c>
      <c r="B43" t="s">
        <v>796</v>
      </c>
      <c r="C43" s="8">
        <v>2900</v>
      </c>
      <c r="D43" s="8">
        <v>0</v>
      </c>
      <c r="E43" s="8">
        <f t="shared" si="0"/>
        <v>14261674</v>
      </c>
      <c r="F43" t="s">
        <v>113</v>
      </c>
      <c r="G43" t="s">
        <v>114</v>
      </c>
    </row>
    <row r="44" spans="1:9" hidden="1">
      <c r="A44" s="3">
        <v>44247</v>
      </c>
      <c r="B44" t="s">
        <v>928</v>
      </c>
      <c r="C44" s="8">
        <v>200000</v>
      </c>
      <c r="D44" s="8">
        <v>0</v>
      </c>
      <c r="E44" s="8">
        <f t="shared" si="0"/>
        <v>14061674</v>
      </c>
      <c r="F44" t="s">
        <v>113</v>
      </c>
      <c r="G44" t="s">
        <v>114</v>
      </c>
    </row>
    <row r="45" spans="1:9" hidden="1">
      <c r="A45" s="3">
        <v>44252</v>
      </c>
      <c r="B45" t="s">
        <v>191</v>
      </c>
      <c r="C45" s="8">
        <v>151795</v>
      </c>
      <c r="D45" s="8">
        <v>0</v>
      </c>
      <c r="E45" s="8">
        <f t="shared" si="0"/>
        <v>13909879</v>
      </c>
      <c r="F45" t="s">
        <v>252</v>
      </c>
      <c r="G45" t="s">
        <v>253</v>
      </c>
    </row>
    <row r="46" spans="1:9" hidden="1">
      <c r="A46" s="3">
        <v>44252</v>
      </c>
      <c r="B46" t="s">
        <v>192</v>
      </c>
      <c r="C46" s="8">
        <v>0</v>
      </c>
      <c r="D46" s="8">
        <v>758974</v>
      </c>
      <c r="E46" s="8">
        <f t="shared" si="0"/>
        <v>14668853</v>
      </c>
      <c r="F46" t="s">
        <v>252</v>
      </c>
      <c r="G46" t="s">
        <v>253</v>
      </c>
    </row>
    <row r="47" spans="1:9" hidden="1">
      <c r="A47" s="3">
        <v>44253</v>
      </c>
      <c r="B47" t="s">
        <v>965</v>
      </c>
      <c r="C47" s="8">
        <v>0</v>
      </c>
      <c r="D47" s="8">
        <v>1202720272</v>
      </c>
      <c r="E47" s="8">
        <f t="shared" si="0"/>
        <v>1217389125</v>
      </c>
      <c r="F47" t="s">
        <v>110</v>
      </c>
      <c r="G47" t="s">
        <v>188</v>
      </c>
      <c r="H47" t="s">
        <v>133</v>
      </c>
      <c r="I47">
        <v>69</v>
      </c>
    </row>
    <row r="48" spans="1:9" hidden="1">
      <c r="A48" s="3">
        <v>44253</v>
      </c>
      <c r="B48" t="s">
        <v>966</v>
      </c>
      <c r="C48" s="54">
        <v>5000000</v>
      </c>
      <c r="D48" s="54">
        <v>0</v>
      </c>
      <c r="E48" s="54">
        <f t="shared" si="0"/>
        <v>1212389125</v>
      </c>
      <c r="F48" t="s">
        <v>110</v>
      </c>
      <c r="G48" t="s">
        <v>118</v>
      </c>
      <c r="H48" t="s">
        <v>146</v>
      </c>
    </row>
    <row r="49" spans="1:9" hidden="1">
      <c r="A49" s="3">
        <v>44258</v>
      </c>
      <c r="B49" t="s">
        <v>1113</v>
      </c>
      <c r="C49" s="8">
        <v>0</v>
      </c>
      <c r="D49" s="8">
        <v>9720000</v>
      </c>
      <c r="E49" s="8">
        <f t="shared" si="0"/>
        <v>1222109125</v>
      </c>
      <c r="F49" t="s">
        <v>581</v>
      </c>
      <c r="G49" t="s">
        <v>582</v>
      </c>
      <c r="H49" s="14" t="s">
        <v>1124</v>
      </c>
      <c r="I49">
        <v>12</v>
      </c>
    </row>
    <row r="50" spans="1:9" hidden="1">
      <c r="A50" s="3">
        <v>44259</v>
      </c>
      <c r="B50" t="s">
        <v>1114</v>
      </c>
      <c r="C50" s="8">
        <v>0</v>
      </c>
      <c r="D50" s="8">
        <v>213743880</v>
      </c>
      <c r="E50" s="8">
        <f t="shared" si="0"/>
        <v>1435853005</v>
      </c>
      <c r="F50" t="s">
        <v>581</v>
      </c>
      <c r="G50" t="s">
        <v>582</v>
      </c>
      <c r="H50" t="s">
        <v>393</v>
      </c>
      <c r="I50">
        <v>4</v>
      </c>
    </row>
    <row r="51" spans="1:9" hidden="1">
      <c r="A51" s="3">
        <v>44263</v>
      </c>
      <c r="B51" t="s">
        <v>1115</v>
      </c>
      <c r="C51" s="8">
        <v>248920980</v>
      </c>
      <c r="D51" s="8">
        <v>0</v>
      </c>
      <c r="E51" s="8">
        <f t="shared" si="0"/>
        <v>1186932025</v>
      </c>
      <c r="F51" t="s">
        <v>107</v>
      </c>
      <c r="G51" t="s">
        <v>1123</v>
      </c>
      <c r="H51" t="s">
        <v>64</v>
      </c>
      <c r="I51" t="s">
        <v>64</v>
      </c>
    </row>
    <row r="52" spans="1:9" hidden="1">
      <c r="A52" s="3">
        <v>44263</v>
      </c>
      <c r="B52" t="s">
        <v>1116</v>
      </c>
      <c r="C52" s="8">
        <v>2900</v>
      </c>
      <c r="D52" s="8">
        <v>0</v>
      </c>
      <c r="E52" s="8">
        <f t="shared" si="0"/>
        <v>1186929125</v>
      </c>
      <c r="F52" t="s">
        <v>113</v>
      </c>
      <c r="G52" t="s">
        <v>114</v>
      </c>
      <c r="H52" t="s">
        <v>64</v>
      </c>
      <c r="I52" t="s">
        <v>64</v>
      </c>
    </row>
    <row r="53" spans="1:9" hidden="1">
      <c r="A53" s="3">
        <v>44263</v>
      </c>
      <c r="B53" t="s">
        <v>1115</v>
      </c>
      <c r="C53" s="8">
        <v>207498830</v>
      </c>
      <c r="D53" s="8">
        <v>0</v>
      </c>
      <c r="E53" s="8">
        <f t="shared" si="0"/>
        <v>979430295</v>
      </c>
      <c r="F53" t="s">
        <v>107</v>
      </c>
      <c r="G53" t="s">
        <v>1123</v>
      </c>
      <c r="H53" t="s">
        <v>64</v>
      </c>
      <c r="I53" t="s">
        <v>64</v>
      </c>
    </row>
    <row r="54" spans="1:9" hidden="1">
      <c r="A54" s="3">
        <v>44263</v>
      </c>
      <c r="B54" t="s">
        <v>1117</v>
      </c>
      <c r="C54" s="8">
        <v>2900</v>
      </c>
      <c r="D54" s="8">
        <v>0</v>
      </c>
      <c r="E54" s="8">
        <f t="shared" si="0"/>
        <v>979427395</v>
      </c>
      <c r="F54" t="s">
        <v>113</v>
      </c>
      <c r="G54" t="s">
        <v>114</v>
      </c>
    </row>
    <row r="55" spans="1:9" hidden="1">
      <c r="A55" s="3">
        <v>44263</v>
      </c>
      <c r="B55" t="s">
        <v>4399</v>
      </c>
      <c r="C55" s="54">
        <v>0</v>
      </c>
      <c r="D55" s="54">
        <v>158978400</v>
      </c>
      <c r="E55" s="54">
        <f t="shared" si="0"/>
        <v>1138405795</v>
      </c>
      <c r="F55" t="s">
        <v>581</v>
      </c>
      <c r="G55" t="s">
        <v>582</v>
      </c>
      <c r="H55" t="s">
        <v>393</v>
      </c>
      <c r="I55" s="169" t="s">
        <v>2950</v>
      </c>
    </row>
    <row r="56" spans="1:9" hidden="1">
      <c r="A56" s="3">
        <v>44263</v>
      </c>
      <c r="B56" t="s">
        <v>4399</v>
      </c>
      <c r="C56" s="54">
        <v>0</v>
      </c>
      <c r="D56" s="54">
        <f>311811182-D55</f>
        <v>152832782</v>
      </c>
      <c r="E56" s="54">
        <f t="shared" si="0"/>
        <v>1291238577</v>
      </c>
      <c r="F56" t="s">
        <v>110</v>
      </c>
      <c r="G56" t="s">
        <v>118</v>
      </c>
      <c r="H56" t="s">
        <v>146</v>
      </c>
      <c r="I56" s="169" t="s">
        <v>64</v>
      </c>
    </row>
    <row r="57" spans="1:9" hidden="1">
      <c r="A57" s="3">
        <v>44264</v>
      </c>
      <c r="B57" t="s">
        <v>1118</v>
      </c>
      <c r="C57" s="54">
        <v>23250000</v>
      </c>
      <c r="D57" s="54">
        <v>0</v>
      </c>
      <c r="E57" s="54">
        <f t="shared" si="0"/>
        <v>1267988577</v>
      </c>
      <c r="F57" t="s">
        <v>137</v>
      </c>
      <c r="G57" t="s">
        <v>138</v>
      </c>
      <c r="H57" t="s">
        <v>173</v>
      </c>
    </row>
    <row r="58" spans="1:9" hidden="1">
      <c r="A58" s="3">
        <v>44264</v>
      </c>
      <c r="B58" t="s">
        <v>4398</v>
      </c>
      <c r="C58" s="8">
        <v>3500000</v>
      </c>
      <c r="D58" s="8">
        <v>0</v>
      </c>
      <c r="E58" s="8">
        <f t="shared" si="0"/>
        <v>1264488577</v>
      </c>
      <c r="F58" t="s">
        <v>110</v>
      </c>
      <c r="G58" t="s">
        <v>118</v>
      </c>
      <c r="H58" t="s">
        <v>146</v>
      </c>
    </row>
    <row r="59" spans="1:9" hidden="1">
      <c r="A59" s="3">
        <v>44265</v>
      </c>
      <c r="B59" t="s">
        <v>1119</v>
      </c>
      <c r="C59" s="8">
        <v>1000000000</v>
      </c>
      <c r="D59" s="8">
        <v>0</v>
      </c>
      <c r="E59" s="8">
        <f t="shared" si="0"/>
        <v>264488577</v>
      </c>
      <c r="F59" t="s">
        <v>115</v>
      </c>
      <c r="G59" t="s">
        <v>122</v>
      </c>
      <c r="H59" t="s">
        <v>149</v>
      </c>
    </row>
    <row r="60" spans="1:9" hidden="1">
      <c r="A60" s="3">
        <v>44265</v>
      </c>
      <c r="B60" t="s">
        <v>1120</v>
      </c>
      <c r="C60" s="8">
        <v>30000</v>
      </c>
      <c r="D60" s="8">
        <v>0</v>
      </c>
      <c r="E60" s="8">
        <f t="shared" si="0"/>
        <v>264458577</v>
      </c>
      <c r="F60" t="s">
        <v>113</v>
      </c>
      <c r="G60" t="s">
        <v>114</v>
      </c>
    </row>
    <row r="61" spans="1:9" hidden="1">
      <c r="A61" s="3">
        <v>44272</v>
      </c>
      <c r="B61" t="s">
        <v>4403</v>
      </c>
      <c r="C61" s="54">
        <v>0</v>
      </c>
      <c r="D61" s="54">
        <v>78478400</v>
      </c>
      <c r="E61" s="54">
        <f t="shared" si="0"/>
        <v>342936977</v>
      </c>
      <c r="F61" t="s">
        <v>581</v>
      </c>
      <c r="G61" t="s">
        <v>582</v>
      </c>
      <c r="H61" t="s">
        <v>883</v>
      </c>
      <c r="I61">
        <v>7</v>
      </c>
    </row>
    <row r="62" spans="1:9" hidden="1">
      <c r="A62" s="3">
        <v>44272</v>
      </c>
      <c r="B62" t="s">
        <v>4403</v>
      </c>
      <c r="C62" s="54">
        <v>0</v>
      </c>
      <c r="D62" s="54">
        <f>258363637-D61</f>
        <v>179885237</v>
      </c>
      <c r="E62" s="54">
        <f t="shared" si="0"/>
        <v>522822214</v>
      </c>
      <c r="F62" t="s">
        <v>110</v>
      </c>
      <c r="G62" t="s">
        <v>118</v>
      </c>
      <c r="H62" t="s">
        <v>146</v>
      </c>
      <c r="I62" t="s">
        <v>64</v>
      </c>
    </row>
    <row r="63" spans="1:9" hidden="1">
      <c r="A63" s="3">
        <v>44272</v>
      </c>
      <c r="B63" t="s">
        <v>4404</v>
      </c>
      <c r="C63" s="54">
        <v>0</v>
      </c>
      <c r="D63" s="54">
        <v>71449840</v>
      </c>
      <c r="E63" s="54">
        <f t="shared" si="0"/>
        <v>594272054</v>
      </c>
      <c r="F63" t="s">
        <v>581</v>
      </c>
      <c r="G63" t="s">
        <v>582</v>
      </c>
      <c r="H63" s="14" t="s">
        <v>990</v>
      </c>
      <c r="I63">
        <v>11</v>
      </c>
    </row>
    <row r="64" spans="1:9" hidden="1">
      <c r="A64" s="3">
        <v>44272</v>
      </c>
      <c r="B64" t="s">
        <v>4404</v>
      </c>
      <c r="C64" s="54">
        <v>0</v>
      </c>
      <c r="D64" s="54">
        <f>204909091-D63</f>
        <v>133459251</v>
      </c>
      <c r="E64" s="54">
        <f t="shared" si="0"/>
        <v>727731305</v>
      </c>
      <c r="F64" t="s">
        <v>110</v>
      </c>
      <c r="G64" t="s">
        <v>118</v>
      </c>
      <c r="H64" s="14" t="s">
        <v>146</v>
      </c>
      <c r="I64" t="s">
        <v>64</v>
      </c>
    </row>
    <row r="65" spans="1:9" hidden="1">
      <c r="A65" s="3">
        <v>44275</v>
      </c>
      <c r="B65" t="s">
        <v>1406</v>
      </c>
      <c r="C65" s="8">
        <v>200000</v>
      </c>
      <c r="D65" s="8">
        <v>0</v>
      </c>
      <c r="E65" s="8">
        <f t="shared" si="0"/>
        <v>727531305</v>
      </c>
      <c r="F65" t="s">
        <v>113</v>
      </c>
      <c r="G65" t="s">
        <v>114</v>
      </c>
    </row>
    <row r="66" spans="1:9" hidden="1">
      <c r="A66" s="3">
        <v>44280</v>
      </c>
      <c r="B66" t="s">
        <v>191</v>
      </c>
      <c r="C66" s="8">
        <v>208261</v>
      </c>
      <c r="D66" s="8">
        <v>0</v>
      </c>
      <c r="E66" s="8">
        <f t="shared" si="0"/>
        <v>727323044</v>
      </c>
      <c r="F66" t="s">
        <v>252</v>
      </c>
      <c r="G66" t="s">
        <v>253</v>
      </c>
    </row>
    <row r="67" spans="1:9" hidden="1">
      <c r="A67" s="3">
        <v>44280</v>
      </c>
      <c r="B67" t="s">
        <v>192</v>
      </c>
      <c r="C67" s="8">
        <v>0</v>
      </c>
      <c r="D67" s="8">
        <v>1041306</v>
      </c>
      <c r="E67" s="8">
        <f t="shared" si="0"/>
        <v>728364350</v>
      </c>
      <c r="F67" t="s">
        <v>252</v>
      </c>
      <c r="G67" t="s">
        <v>253</v>
      </c>
    </row>
    <row r="68" spans="1:9" hidden="1">
      <c r="A68" s="3">
        <v>44286</v>
      </c>
      <c r="B68" t="s">
        <v>1405</v>
      </c>
      <c r="C68" s="8">
        <v>300000000</v>
      </c>
      <c r="D68" s="8">
        <v>0</v>
      </c>
      <c r="E68" s="8">
        <f t="shared" si="0"/>
        <v>428364350</v>
      </c>
      <c r="F68" t="s">
        <v>107</v>
      </c>
      <c r="G68" t="s">
        <v>144</v>
      </c>
    </row>
    <row r="69" spans="1:9" hidden="1">
      <c r="A69" s="3">
        <v>44286</v>
      </c>
      <c r="B69" t="s">
        <v>1404</v>
      </c>
      <c r="C69" s="8">
        <v>240000000</v>
      </c>
      <c r="D69" s="8">
        <v>0</v>
      </c>
      <c r="E69" s="8">
        <f t="shared" si="0"/>
        <v>188364350</v>
      </c>
      <c r="F69" t="s">
        <v>115</v>
      </c>
      <c r="G69" t="s">
        <v>116</v>
      </c>
      <c r="H69" t="s">
        <v>730</v>
      </c>
    </row>
    <row r="70" spans="1:9" hidden="1">
      <c r="A70" s="3">
        <v>44286</v>
      </c>
      <c r="B70" t="s">
        <v>1404</v>
      </c>
      <c r="C70" s="8">
        <v>160000000</v>
      </c>
      <c r="D70" s="8">
        <v>0</v>
      </c>
      <c r="E70" s="8">
        <f t="shared" si="0"/>
        <v>28364350</v>
      </c>
      <c r="F70" t="s">
        <v>107</v>
      </c>
      <c r="G70" t="s">
        <v>1123</v>
      </c>
    </row>
    <row r="71" spans="1:9" hidden="1">
      <c r="A71" s="3">
        <v>44286</v>
      </c>
      <c r="B71" t="s">
        <v>1403</v>
      </c>
      <c r="C71" s="8">
        <v>2900</v>
      </c>
      <c r="D71" s="8">
        <v>0</v>
      </c>
      <c r="E71" s="8">
        <f t="shared" si="0"/>
        <v>28361450</v>
      </c>
      <c r="F71" t="s">
        <v>113</v>
      </c>
      <c r="G71" t="s">
        <v>114</v>
      </c>
    </row>
    <row r="72" spans="1:9" hidden="1">
      <c r="A72" s="3">
        <v>44286</v>
      </c>
      <c r="B72" t="s">
        <v>1402</v>
      </c>
      <c r="C72" s="8">
        <v>2900</v>
      </c>
      <c r="D72" s="8">
        <v>0</v>
      </c>
      <c r="E72" s="8">
        <f t="shared" si="0"/>
        <v>28358550</v>
      </c>
      <c r="F72" t="s">
        <v>113</v>
      </c>
      <c r="G72" t="s">
        <v>114</v>
      </c>
    </row>
    <row r="73" spans="1:9" hidden="1">
      <c r="A73" s="3">
        <v>44286</v>
      </c>
      <c r="B73" t="s">
        <v>1401</v>
      </c>
      <c r="C73" s="8">
        <v>2900</v>
      </c>
      <c r="D73" s="8">
        <v>0</v>
      </c>
      <c r="E73" s="8">
        <f t="shared" ref="E73:E141" si="1">E72-C73+D73</f>
        <v>28355650</v>
      </c>
      <c r="F73" t="s">
        <v>113</v>
      </c>
      <c r="G73" t="s">
        <v>114</v>
      </c>
    </row>
    <row r="74" spans="1:9" hidden="1">
      <c r="A74" s="3">
        <v>44286</v>
      </c>
      <c r="B74" t="s">
        <v>1400</v>
      </c>
      <c r="C74" s="8">
        <v>0</v>
      </c>
      <c r="D74" s="8">
        <v>160000000</v>
      </c>
      <c r="E74" s="8">
        <f t="shared" si="1"/>
        <v>188355650</v>
      </c>
      <c r="F74" t="s">
        <v>107</v>
      </c>
      <c r="G74" t="s">
        <v>1123</v>
      </c>
    </row>
    <row r="75" spans="1:9" hidden="1">
      <c r="A75" s="3">
        <v>44286</v>
      </c>
      <c r="B75" t="s">
        <v>1399</v>
      </c>
      <c r="C75" s="8">
        <v>160000000</v>
      </c>
      <c r="D75" s="8">
        <v>0</v>
      </c>
      <c r="E75" s="8">
        <f t="shared" si="1"/>
        <v>28355650</v>
      </c>
      <c r="F75" t="s">
        <v>115</v>
      </c>
      <c r="G75" t="s">
        <v>116</v>
      </c>
      <c r="H75" t="s">
        <v>730</v>
      </c>
    </row>
    <row r="76" spans="1:9" hidden="1">
      <c r="A76" s="3">
        <v>44286</v>
      </c>
      <c r="B76" t="s">
        <v>1398</v>
      </c>
      <c r="C76" s="8">
        <v>30000</v>
      </c>
      <c r="D76" s="8">
        <v>0</v>
      </c>
      <c r="E76" s="8">
        <f t="shared" si="1"/>
        <v>28325650</v>
      </c>
      <c r="F76" t="s">
        <v>113</v>
      </c>
      <c r="G76" t="s">
        <v>114</v>
      </c>
    </row>
    <row r="77" spans="1:9" hidden="1">
      <c r="A77" s="3">
        <v>44299</v>
      </c>
      <c r="B77" t="s">
        <v>332</v>
      </c>
      <c r="C77" s="8">
        <v>0</v>
      </c>
      <c r="D77" s="8">
        <v>441000000</v>
      </c>
      <c r="E77" s="8">
        <f t="shared" si="1"/>
        <v>469325650</v>
      </c>
      <c r="F77" t="s">
        <v>110</v>
      </c>
      <c r="G77" t="s">
        <v>188</v>
      </c>
      <c r="H77" s="13" t="s">
        <v>371</v>
      </c>
      <c r="I77">
        <v>81</v>
      </c>
    </row>
    <row r="78" spans="1:9" hidden="1">
      <c r="A78" s="3">
        <v>44305</v>
      </c>
      <c r="B78" t="s">
        <v>1405</v>
      </c>
      <c r="C78" s="8">
        <v>400000000</v>
      </c>
      <c r="D78" s="8">
        <v>0</v>
      </c>
      <c r="E78" s="8">
        <f t="shared" si="1"/>
        <v>69325650</v>
      </c>
      <c r="F78" t="s">
        <v>107</v>
      </c>
      <c r="G78" t="s">
        <v>144</v>
      </c>
    </row>
    <row r="79" spans="1:9" hidden="1">
      <c r="A79" s="3">
        <v>44296</v>
      </c>
      <c r="B79" t="s">
        <v>1410</v>
      </c>
      <c r="C79" s="8">
        <v>2900</v>
      </c>
      <c r="D79" s="8">
        <v>0</v>
      </c>
      <c r="E79" s="8">
        <f t="shared" si="1"/>
        <v>69322750</v>
      </c>
      <c r="F79" t="s">
        <v>113</v>
      </c>
      <c r="G79" t="s">
        <v>114</v>
      </c>
    </row>
    <row r="80" spans="1:9" hidden="1">
      <c r="A80" s="3">
        <v>44306</v>
      </c>
      <c r="B80" t="s">
        <v>1409</v>
      </c>
      <c r="C80" s="8">
        <v>200000</v>
      </c>
      <c r="D80" s="8">
        <v>0</v>
      </c>
      <c r="E80" s="8">
        <f t="shared" si="1"/>
        <v>69122750</v>
      </c>
      <c r="F80" t="s">
        <v>113</v>
      </c>
      <c r="G80" t="s">
        <v>114</v>
      </c>
    </row>
    <row r="81" spans="1:9" hidden="1">
      <c r="A81" s="3">
        <v>44311</v>
      </c>
      <c r="B81" t="s">
        <v>191</v>
      </c>
      <c r="C81" s="8">
        <v>36553</v>
      </c>
      <c r="D81" s="8">
        <v>0</v>
      </c>
      <c r="E81" s="8">
        <f t="shared" si="1"/>
        <v>69086197</v>
      </c>
      <c r="F81" t="s">
        <v>252</v>
      </c>
      <c r="G81" t="s">
        <v>253</v>
      </c>
    </row>
    <row r="82" spans="1:9" hidden="1">
      <c r="A82" s="3">
        <v>44311</v>
      </c>
      <c r="B82" t="s">
        <v>192</v>
      </c>
      <c r="C82" s="8">
        <v>0</v>
      </c>
      <c r="D82" s="8">
        <v>182763</v>
      </c>
      <c r="E82" s="8">
        <f t="shared" si="1"/>
        <v>69268960</v>
      </c>
      <c r="F82" t="s">
        <v>252</v>
      </c>
      <c r="G82" t="s">
        <v>253</v>
      </c>
    </row>
    <row r="83" spans="1:9" hidden="1">
      <c r="A83" s="3">
        <v>44312</v>
      </c>
      <c r="B83" t="s">
        <v>1408</v>
      </c>
      <c r="C83" s="8">
        <v>0</v>
      </c>
      <c r="D83" s="8">
        <v>158136363</v>
      </c>
      <c r="E83" s="8">
        <f t="shared" si="1"/>
        <v>227405323</v>
      </c>
      <c r="F83" t="s">
        <v>581</v>
      </c>
      <c r="G83" t="s">
        <v>582</v>
      </c>
      <c r="H83" s="14" t="s">
        <v>3031</v>
      </c>
      <c r="I83">
        <v>27</v>
      </c>
    </row>
    <row r="84" spans="1:9" hidden="1">
      <c r="A84" s="3">
        <v>44320</v>
      </c>
      <c r="B84" t="s">
        <v>284</v>
      </c>
      <c r="C84" s="8">
        <v>225000000</v>
      </c>
      <c r="D84" s="8">
        <v>0</v>
      </c>
      <c r="E84" s="8">
        <f t="shared" si="1"/>
        <v>2405323</v>
      </c>
      <c r="F84" t="s">
        <v>107</v>
      </c>
      <c r="G84" t="s">
        <v>254</v>
      </c>
    </row>
    <row r="85" spans="1:9" hidden="1">
      <c r="A85" s="3">
        <v>44320</v>
      </c>
      <c r="B85" t="s">
        <v>1906</v>
      </c>
      <c r="C85" s="8">
        <v>2900</v>
      </c>
      <c r="D85" s="8">
        <v>0</v>
      </c>
      <c r="E85" s="8">
        <f t="shared" si="1"/>
        <v>2402423</v>
      </c>
      <c r="F85" t="s">
        <v>113</v>
      </c>
      <c r="G85" t="s">
        <v>114</v>
      </c>
    </row>
    <row r="86" spans="1:9" hidden="1">
      <c r="A86" s="3">
        <v>44323</v>
      </c>
      <c r="B86" t="s">
        <v>1907</v>
      </c>
      <c r="C86" s="8">
        <v>0</v>
      </c>
      <c r="D86" s="8">
        <v>97010643</v>
      </c>
      <c r="E86" s="8">
        <f t="shared" si="1"/>
        <v>99413066</v>
      </c>
      <c r="F86" t="s">
        <v>581</v>
      </c>
      <c r="G86" t="s">
        <v>582</v>
      </c>
      <c r="H86" t="s">
        <v>3022</v>
      </c>
      <c r="I86">
        <v>8</v>
      </c>
    </row>
    <row r="87" spans="1:9" hidden="1">
      <c r="A87" s="3">
        <v>44333</v>
      </c>
      <c r="B87" t="s">
        <v>1921</v>
      </c>
      <c r="C87" s="8">
        <v>0</v>
      </c>
      <c r="D87" s="8">
        <v>14896000</v>
      </c>
      <c r="E87" s="8">
        <f t="shared" si="1"/>
        <v>114309066</v>
      </c>
      <c r="F87" t="s">
        <v>581</v>
      </c>
      <c r="G87" t="s">
        <v>582</v>
      </c>
      <c r="H87" s="14" t="s">
        <v>2957</v>
      </c>
      <c r="I87">
        <v>31</v>
      </c>
    </row>
    <row r="88" spans="1:9" hidden="1">
      <c r="A88" s="3">
        <v>44336</v>
      </c>
      <c r="B88" t="s">
        <v>1920</v>
      </c>
      <c r="C88" s="8">
        <v>200000</v>
      </c>
      <c r="D88" s="8">
        <v>0</v>
      </c>
      <c r="E88" s="8">
        <f t="shared" si="1"/>
        <v>114109066</v>
      </c>
      <c r="F88" t="s">
        <v>113</v>
      </c>
      <c r="G88" t="s">
        <v>114</v>
      </c>
    </row>
    <row r="89" spans="1:9" hidden="1">
      <c r="A89" s="3">
        <v>44337</v>
      </c>
      <c r="B89" t="s">
        <v>4405</v>
      </c>
      <c r="C89" s="54">
        <v>0</v>
      </c>
      <c r="D89" s="54">
        <v>110807620</v>
      </c>
      <c r="E89" s="54">
        <f t="shared" si="1"/>
        <v>224916686</v>
      </c>
      <c r="F89" t="s">
        <v>581</v>
      </c>
      <c r="G89" t="s">
        <v>582</v>
      </c>
      <c r="H89" s="14" t="s">
        <v>3032</v>
      </c>
      <c r="I89">
        <v>30</v>
      </c>
    </row>
    <row r="90" spans="1:9" hidden="1">
      <c r="A90" s="3">
        <v>44337</v>
      </c>
      <c r="B90" t="s">
        <v>4405</v>
      </c>
      <c r="C90" s="54">
        <v>0</v>
      </c>
      <c r="D90" s="54">
        <f>267272728-D89</f>
        <v>156465108</v>
      </c>
      <c r="E90" s="54">
        <f t="shared" si="1"/>
        <v>381381794</v>
      </c>
      <c r="F90" t="s">
        <v>110</v>
      </c>
      <c r="G90" t="s">
        <v>118</v>
      </c>
      <c r="H90" s="14" t="s">
        <v>146</v>
      </c>
      <c r="I90" t="s">
        <v>64</v>
      </c>
    </row>
    <row r="91" spans="1:9" hidden="1">
      <c r="A91" s="3">
        <v>44338</v>
      </c>
      <c r="B91" t="s">
        <v>1919</v>
      </c>
      <c r="C91" s="8">
        <v>4075000</v>
      </c>
      <c r="D91" s="8">
        <v>0</v>
      </c>
      <c r="E91" s="54">
        <f t="shared" si="1"/>
        <v>377306794</v>
      </c>
      <c r="F91" t="s">
        <v>137</v>
      </c>
      <c r="G91" t="s">
        <v>138</v>
      </c>
      <c r="H91" s="14" t="s">
        <v>3031</v>
      </c>
    </row>
    <row r="92" spans="1:9" hidden="1">
      <c r="A92" s="3">
        <v>44338</v>
      </c>
      <c r="B92" t="s">
        <v>1918</v>
      </c>
      <c r="C92" s="8">
        <v>750000</v>
      </c>
      <c r="D92" s="8">
        <v>0</v>
      </c>
      <c r="E92" s="54">
        <f t="shared" si="1"/>
        <v>376556794</v>
      </c>
      <c r="F92" t="s">
        <v>137</v>
      </c>
      <c r="G92" t="s">
        <v>138</v>
      </c>
      <c r="H92" s="14" t="s">
        <v>3020</v>
      </c>
    </row>
    <row r="93" spans="1:9" hidden="1">
      <c r="A93" s="3">
        <v>44340</v>
      </c>
      <c r="B93" t="s">
        <v>3061</v>
      </c>
      <c r="C93" s="54">
        <v>0</v>
      </c>
      <c r="D93" s="54">
        <v>146861330</v>
      </c>
      <c r="E93" s="54">
        <f t="shared" si="1"/>
        <v>523418124</v>
      </c>
      <c r="F93" t="s">
        <v>581</v>
      </c>
      <c r="G93" t="s">
        <v>582</v>
      </c>
      <c r="H93" s="14" t="s">
        <v>1129</v>
      </c>
      <c r="I93">
        <v>18</v>
      </c>
    </row>
    <row r="94" spans="1:9" hidden="1">
      <c r="A94" s="3">
        <v>44340</v>
      </c>
      <c r="B94" t="s">
        <v>3061</v>
      </c>
      <c r="C94" s="54">
        <v>0</v>
      </c>
      <c r="D94" s="54">
        <v>143026345</v>
      </c>
      <c r="E94" s="54">
        <f t="shared" si="1"/>
        <v>666444469</v>
      </c>
      <c r="F94" t="s">
        <v>581</v>
      </c>
      <c r="G94" t="s">
        <v>582</v>
      </c>
      <c r="H94" s="14" t="s">
        <v>1130</v>
      </c>
      <c r="I94">
        <v>19</v>
      </c>
    </row>
    <row r="95" spans="1:9" hidden="1">
      <c r="A95" s="3">
        <v>44340</v>
      </c>
      <c r="B95" t="s">
        <v>3061</v>
      </c>
      <c r="C95" s="54">
        <v>0</v>
      </c>
      <c r="D95" s="54">
        <v>145255110</v>
      </c>
      <c r="E95" s="54">
        <f t="shared" si="1"/>
        <v>811699579</v>
      </c>
      <c r="F95" t="s">
        <v>581</v>
      </c>
      <c r="G95" t="s">
        <v>582</v>
      </c>
      <c r="H95" s="14" t="s">
        <v>2954</v>
      </c>
      <c r="I95">
        <v>25</v>
      </c>
    </row>
    <row r="96" spans="1:9" hidden="1">
      <c r="A96" s="3">
        <v>44340</v>
      </c>
      <c r="B96" t="s">
        <v>3061</v>
      </c>
      <c r="C96" s="54">
        <v>0</v>
      </c>
      <c r="D96" s="54">
        <v>110449185</v>
      </c>
      <c r="E96" s="54">
        <f t="shared" si="1"/>
        <v>922148764</v>
      </c>
      <c r="F96" t="s">
        <v>581</v>
      </c>
      <c r="G96" t="s">
        <v>582</v>
      </c>
      <c r="H96" s="14" t="s">
        <v>1961</v>
      </c>
      <c r="I96">
        <v>26</v>
      </c>
    </row>
    <row r="97" spans="1:9" s="14" customFormat="1" hidden="1">
      <c r="A97" s="138">
        <v>44340</v>
      </c>
      <c r="B97" s="14" t="s">
        <v>3062</v>
      </c>
      <c r="C97" s="53">
        <v>0</v>
      </c>
      <c r="D97" s="53">
        <f>846363637-D93-D94-D95-D96</f>
        <v>300771667</v>
      </c>
      <c r="E97" s="53">
        <f t="shared" si="1"/>
        <v>1222920431</v>
      </c>
      <c r="F97" s="14" t="s">
        <v>115</v>
      </c>
      <c r="G97" s="14" t="s">
        <v>439</v>
      </c>
      <c r="H97" s="14" t="s">
        <v>4499</v>
      </c>
      <c r="I97" s="14" t="s">
        <v>64</v>
      </c>
    </row>
    <row r="98" spans="1:9" hidden="1">
      <c r="A98" s="3">
        <v>44341</v>
      </c>
      <c r="B98" t="s">
        <v>1917</v>
      </c>
      <c r="C98" s="54">
        <v>500000000</v>
      </c>
      <c r="D98" s="54">
        <v>0</v>
      </c>
      <c r="E98" s="54">
        <f t="shared" si="1"/>
        <v>722920431</v>
      </c>
      <c r="F98" t="s">
        <v>107</v>
      </c>
      <c r="G98" t="s">
        <v>144</v>
      </c>
    </row>
    <row r="99" spans="1:9" hidden="1">
      <c r="A99" s="3">
        <v>44341</v>
      </c>
      <c r="B99" t="s">
        <v>1916</v>
      </c>
      <c r="C99" s="8">
        <v>350000000</v>
      </c>
      <c r="D99" s="8">
        <v>0</v>
      </c>
      <c r="E99" s="54">
        <f t="shared" si="1"/>
        <v>372920431</v>
      </c>
      <c r="F99" t="s">
        <v>107</v>
      </c>
      <c r="G99" t="s">
        <v>254</v>
      </c>
    </row>
    <row r="100" spans="1:9" hidden="1">
      <c r="A100" s="3">
        <v>44341</v>
      </c>
      <c r="B100" t="s">
        <v>1915</v>
      </c>
      <c r="C100" s="8">
        <v>30000</v>
      </c>
      <c r="D100" s="8">
        <v>0</v>
      </c>
      <c r="E100" s="54">
        <f t="shared" si="1"/>
        <v>372890431</v>
      </c>
      <c r="F100" t="s">
        <v>113</v>
      </c>
      <c r="G100" t="s">
        <v>114</v>
      </c>
    </row>
    <row r="101" spans="1:9" hidden="1">
      <c r="A101" s="3">
        <v>44341</v>
      </c>
      <c r="B101" t="s">
        <v>1914</v>
      </c>
      <c r="C101" s="8">
        <v>30000</v>
      </c>
      <c r="D101" s="8">
        <v>0</v>
      </c>
      <c r="E101" s="54">
        <f t="shared" si="1"/>
        <v>372860431</v>
      </c>
      <c r="F101" t="s">
        <v>113</v>
      </c>
      <c r="G101" t="s">
        <v>114</v>
      </c>
    </row>
    <row r="102" spans="1:9" hidden="1">
      <c r="A102" s="3">
        <v>44341</v>
      </c>
      <c r="B102" t="s">
        <v>192</v>
      </c>
      <c r="C102" s="8">
        <v>0</v>
      </c>
      <c r="D102" s="8">
        <v>174129</v>
      </c>
      <c r="E102" s="54">
        <f t="shared" si="1"/>
        <v>373034560</v>
      </c>
      <c r="F102" t="s">
        <v>252</v>
      </c>
      <c r="G102" t="s">
        <v>253</v>
      </c>
    </row>
    <row r="103" spans="1:9" hidden="1">
      <c r="A103" s="3">
        <v>44341</v>
      </c>
      <c r="B103" t="s">
        <v>191</v>
      </c>
      <c r="C103" s="8">
        <v>34826</v>
      </c>
      <c r="D103" s="8">
        <v>0</v>
      </c>
      <c r="E103" s="54">
        <f t="shared" si="1"/>
        <v>372999734</v>
      </c>
      <c r="F103" t="s">
        <v>252</v>
      </c>
      <c r="G103" t="s">
        <v>253</v>
      </c>
    </row>
    <row r="104" spans="1:9" hidden="1">
      <c r="A104" s="3">
        <v>44344</v>
      </c>
      <c r="B104" t="s">
        <v>284</v>
      </c>
      <c r="C104" s="8">
        <v>300000000</v>
      </c>
      <c r="D104" s="8">
        <v>0</v>
      </c>
      <c r="E104" s="54">
        <f t="shared" si="1"/>
        <v>72999734</v>
      </c>
      <c r="F104" t="s">
        <v>107</v>
      </c>
      <c r="G104" t="s">
        <v>254</v>
      </c>
    </row>
    <row r="105" spans="1:9" ht="16" hidden="1" customHeight="1">
      <c r="A105" s="3">
        <v>44344</v>
      </c>
      <c r="B105" t="s">
        <v>1913</v>
      </c>
      <c r="C105" s="8">
        <v>2900</v>
      </c>
      <c r="D105" s="8">
        <v>0</v>
      </c>
      <c r="E105" s="8">
        <f t="shared" si="1"/>
        <v>72996834</v>
      </c>
      <c r="F105" t="s">
        <v>113</v>
      </c>
      <c r="G105" t="s">
        <v>114</v>
      </c>
    </row>
    <row r="106" spans="1:9" ht="16" hidden="1" customHeight="1">
      <c r="A106" s="3">
        <v>44344</v>
      </c>
      <c r="B106" t="s">
        <v>1912</v>
      </c>
      <c r="C106" s="8">
        <v>3575000</v>
      </c>
      <c r="D106" s="8">
        <v>0</v>
      </c>
      <c r="E106" s="8">
        <f t="shared" si="1"/>
        <v>69421834</v>
      </c>
      <c r="F106" t="s">
        <v>137</v>
      </c>
      <c r="G106" t="s">
        <v>138</v>
      </c>
      <c r="H106" s="14" t="s">
        <v>3032</v>
      </c>
    </row>
    <row r="107" spans="1:9" hidden="1">
      <c r="A107" s="3">
        <v>44344</v>
      </c>
      <c r="B107" t="s">
        <v>1911</v>
      </c>
      <c r="C107" s="8">
        <v>1100000</v>
      </c>
      <c r="D107" s="8">
        <v>0</v>
      </c>
      <c r="E107" s="8">
        <f t="shared" si="1"/>
        <v>68321834</v>
      </c>
      <c r="F107" t="s">
        <v>137</v>
      </c>
      <c r="G107" t="s">
        <v>138</v>
      </c>
      <c r="H107" s="14" t="s">
        <v>3031</v>
      </c>
    </row>
    <row r="108" spans="1:9" hidden="1">
      <c r="A108" s="3">
        <v>44344</v>
      </c>
      <c r="B108" t="s">
        <v>1910</v>
      </c>
      <c r="C108" s="8">
        <v>5850000</v>
      </c>
      <c r="D108" s="8">
        <v>0</v>
      </c>
      <c r="E108" s="8">
        <f t="shared" si="1"/>
        <v>62471834</v>
      </c>
      <c r="F108" t="s">
        <v>137</v>
      </c>
      <c r="G108" t="s">
        <v>138</v>
      </c>
      <c r="H108" s="14" t="s">
        <v>173</v>
      </c>
    </row>
    <row r="109" spans="1:9" hidden="1">
      <c r="A109" s="3">
        <v>44344</v>
      </c>
      <c r="B109" t="s">
        <v>1909</v>
      </c>
      <c r="C109" s="8">
        <v>5000000</v>
      </c>
      <c r="D109" s="8">
        <v>0</v>
      </c>
      <c r="E109" s="8">
        <f t="shared" si="1"/>
        <v>57471834</v>
      </c>
      <c r="F109" t="s">
        <v>137</v>
      </c>
      <c r="G109" t="s">
        <v>138</v>
      </c>
      <c r="H109" s="14" t="s">
        <v>1127</v>
      </c>
    </row>
    <row r="110" spans="1:9" hidden="1">
      <c r="A110" s="3">
        <v>44344</v>
      </c>
      <c r="B110" t="s">
        <v>284</v>
      </c>
      <c r="C110" s="8">
        <v>55000000</v>
      </c>
      <c r="D110" s="8">
        <v>0</v>
      </c>
      <c r="E110" s="8">
        <f t="shared" si="1"/>
        <v>2471834</v>
      </c>
      <c r="F110" t="s">
        <v>107</v>
      </c>
      <c r="G110" t="s">
        <v>254</v>
      </c>
    </row>
    <row r="111" spans="1:9" hidden="1">
      <c r="A111" s="3">
        <v>44344</v>
      </c>
      <c r="B111" t="s">
        <v>1908</v>
      </c>
      <c r="C111" s="8">
        <v>2900</v>
      </c>
      <c r="D111" s="8">
        <v>0</v>
      </c>
      <c r="E111" s="8">
        <f t="shared" si="1"/>
        <v>2468934</v>
      </c>
      <c r="F111" t="s">
        <v>113</v>
      </c>
      <c r="G111" t="s">
        <v>114</v>
      </c>
    </row>
    <row r="112" spans="1:9" hidden="1">
      <c r="A112" s="3">
        <v>44351</v>
      </c>
      <c r="B112" t="s">
        <v>284</v>
      </c>
      <c r="C112" s="8">
        <v>2000000</v>
      </c>
      <c r="D112" s="8">
        <v>0</v>
      </c>
      <c r="E112" s="8">
        <f t="shared" si="1"/>
        <v>468934</v>
      </c>
      <c r="F112" t="s">
        <v>107</v>
      </c>
      <c r="G112" t="s">
        <v>254</v>
      </c>
    </row>
    <row r="113" spans="1:9" hidden="1">
      <c r="A113" s="3">
        <v>44351</v>
      </c>
      <c r="B113" t="s">
        <v>1932</v>
      </c>
      <c r="C113" s="8">
        <v>2900</v>
      </c>
      <c r="D113" s="8">
        <v>0</v>
      </c>
      <c r="E113" s="8">
        <f t="shared" si="1"/>
        <v>466034</v>
      </c>
      <c r="F113" t="s">
        <v>113</v>
      </c>
      <c r="G113" t="s">
        <v>114</v>
      </c>
    </row>
    <row r="114" spans="1:9" hidden="1">
      <c r="A114" s="3">
        <v>44354</v>
      </c>
      <c r="B114" t="s">
        <v>1931</v>
      </c>
      <c r="C114" s="54">
        <v>0</v>
      </c>
      <c r="D114" s="54">
        <v>7929900</v>
      </c>
      <c r="E114" s="54">
        <f t="shared" si="1"/>
        <v>8395934</v>
      </c>
      <c r="F114" t="s">
        <v>581</v>
      </c>
      <c r="G114" t="s">
        <v>582</v>
      </c>
      <c r="H114" s="14" t="s">
        <v>1131</v>
      </c>
      <c r="I114">
        <v>20</v>
      </c>
    </row>
    <row r="115" spans="1:9" hidden="1">
      <c r="A115" s="3">
        <v>44367</v>
      </c>
      <c r="B115" t="s">
        <v>1930</v>
      </c>
      <c r="C115" s="8">
        <v>200000</v>
      </c>
      <c r="D115" s="8">
        <v>0</v>
      </c>
      <c r="E115" s="8">
        <f t="shared" si="1"/>
        <v>8195934</v>
      </c>
      <c r="F115" t="s">
        <v>113</v>
      </c>
      <c r="G115" t="s">
        <v>114</v>
      </c>
    </row>
    <row r="116" spans="1:9" hidden="1">
      <c r="A116" s="3">
        <v>44369</v>
      </c>
      <c r="B116" t="s">
        <v>1929</v>
      </c>
      <c r="C116" s="8">
        <v>4250000</v>
      </c>
      <c r="D116" s="8">
        <v>0</v>
      </c>
      <c r="E116" s="8">
        <f t="shared" si="1"/>
        <v>3945934</v>
      </c>
      <c r="F116" t="s">
        <v>137</v>
      </c>
      <c r="G116" t="s">
        <v>138</v>
      </c>
      <c r="H116" s="14" t="s">
        <v>3014</v>
      </c>
    </row>
    <row r="117" spans="1:9" hidden="1">
      <c r="A117" s="3">
        <v>44369</v>
      </c>
      <c r="B117" t="s">
        <v>1928</v>
      </c>
      <c r="C117" s="8">
        <v>3675000</v>
      </c>
      <c r="D117" s="8">
        <v>0</v>
      </c>
      <c r="E117" s="8">
        <f t="shared" si="1"/>
        <v>270934</v>
      </c>
      <c r="F117" t="s">
        <v>137</v>
      </c>
      <c r="G117" t="s">
        <v>138</v>
      </c>
      <c r="H117" s="14" t="s">
        <v>3020</v>
      </c>
    </row>
    <row r="118" spans="1:9" hidden="1">
      <c r="A118" s="3">
        <v>44372</v>
      </c>
      <c r="B118" t="s">
        <v>192</v>
      </c>
      <c r="C118" s="8">
        <v>0</v>
      </c>
      <c r="D118" s="8">
        <v>20782</v>
      </c>
      <c r="E118" s="8">
        <f t="shared" si="1"/>
        <v>291716</v>
      </c>
      <c r="F118" t="s">
        <v>252</v>
      </c>
      <c r="G118" t="s">
        <v>253</v>
      </c>
    </row>
    <row r="119" spans="1:9" hidden="1">
      <c r="A119" s="3">
        <v>44372</v>
      </c>
      <c r="B119" t="s">
        <v>191</v>
      </c>
      <c r="C119" s="8">
        <v>4156</v>
      </c>
      <c r="D119" s="8">
        <v>0</v>
      </c>
      <c r="E119" s="8">
        <f t="shared" si="1"/>
        <v>287560</v>
      </c>
      <c r="F119" t="s">
        <v>252</v>
      </c>
      <c r="G119" t="s">
        <v>253</v>
      </c>
    </row>
    <row r="120" spans="1:9" hidden="1">
      <c r="A120" s="3">
        <v>44375</v>
      </c>
      <c r="B120" t="s">
        <v>1927</v>
      </c>
      <c r="C120" s="8">
        <v>0</v>
      </c>
      <c r="D120" s="8">
        <v>54345462</v>
      </c>
      <c r="E120" s="8">
        <f t="shared" si="1"/>
        <v>54633022</v>
      </c>
      <c r="F120" t="s">
        <v>581</v>
      </c>
      <c r="G120" t="s">
        <v>582</v>
      </c>
      <c r="H120" s="14" t="s">
        <v>3011</v>
      </c>
      <c r="I120" t="s">
        <v>3382</v>
      </c>
    </row>
    <row r="121" spans="1:9" hidden="1">
      <c r="A121" s="3">
        <v>44375</v>
      </c>
      <c r="B121" t="s">
        <v>1926</v>
      </c>
      <c r="C121" s="8">
        <v>0</v>
      </c>
      <c r="D121" s="8">
        <v>14553000</v>
      </c>
      <c r="E121" s="8">
        <f t="shared" si="1"/>
        <v>69186022</v>
      </c>
      <c r="F121" t="s">
        <v>581</v>
      </c>
      <c r="G121" t="s">
        <v>582</v>
      </c>
      <c r="H121" s="14" t="s">
        <v>3012</v>
      </c>
      <c r="I121">
        <v>46</v>
      </c>
    </row>
    <row r="122" spans="1:9" hidden="1">
      <c r="A122" s="3">
        <v>44375</v>
      </c>
      <c r="B122" t="s">
        <v>1925</v>
      </c>
      <c r="C122" s="8">
        <v>0</v>
      </c>
      <c r="D122" s="8">
        <v>102454546</v>
      </c>
      <c r="E122" s="8">
        <f t="shared" si="1"/>
        <v>171640568</v>
      </c>
      <c r="F122" t="s">
        <v>581</v>
      </c>
      <c r="G122" t="s">
        <v>582</v>
      </c>
      <c r="H122" s="14" t="s">
        <v>3019</v>
      </c>
      <c r="I122">
        <v>36</v>
      </c>
    </row>
    <row r="123" spans="1:9" hidden="1">
      <c r="A123" s="3">
        <v>44377</v>
      </c>
      <c r="B123" t="s">
        <v>1924</v>
      </c>
      <c r="C123" s="8">
        <v>150000000</v>
      </c>
      <c r="D123" s="8">
        <v>0</v>
      </c>
      <c r="E123" s="8">
        <f t="shared" si="1"/>
        <v>21640568</v>
      </c>
      <c r="F123" t="s">
        <v>115</v>
      </c>
      <c r="G123" t="s">
        <v>122</v>
      </c>
      <c r="H123" t="s">
        <v>149</v>
      </c>
    </row>
    <row r="124" spans="1:9" hidden="1">
      <c r="A124" s="3">
        <v>44377</v>
      </c>
      <c r="B124" t="s">
        <v>1923</v>
      </c>
      <c r="C124" s="8">
        <v>2900</v>
      </c>
      <c r="D124" s="8">
        <v>0</v>
      </c>
      <c r="E124" s="8">
        <f t="shared" si="1"/>
        <v>21637668</v>
      </c>
      <c r="F124" t="s">
        <v>113</v>
      </c>
      <c r="G124" t="s">
        <v>114</v>
      </c>
    </row>
    <row r="125" spans="1:9" hidden="1">
      <c r="A125" s="3">
        <v>44377</v>
      </c>
      <c r="B125" t="s">
        <v>1922</v>
      </c>
      <c r="C125" s="8">
        <v>0</v>
      </c>
      <c r="D125" s="8">
        <v>238385147</v>
      </c>
      <c r="E125" s="8">
        <f t="shared" si="1"/>
        <v>260022815</v>
      </c>
      <c r="F125" t="s">
        <v>581</v>
      </c>
      <c r="G125" t="s">
        <v>582</v>
      </c>
      <c r="H125" s="14" t="s">
        <v>3012</v>
      </c>
      <c r="I125">
        <v>41</v>
      </c>
    </row>
    <row r="126" spans="1:9" hidden="1">
      <c r="A126" s="3">
        <v>44377</v>
      </c>
      <c r="B126" t="s">
        <v>5081</v>
      </c>
      <c r="C126" s="8">
        <v>0</v>
      </c>
      <c r="D126" s="8">
        <v>268296600</v>
      </c>
      <c r="E126" s="8">
        <f t="shared" si="1"/>
        <v>528319415</v>
      </c>
      <c r="F126" t="s">
        <v>581</v>
      </c>
      <c r="G126" t="s">
        <v>582</v>
      </c>
      <c r="H126" s="14" t="s">
        <v>3013</v>
      </c>
      <c r="I126">
        <v>44</v>
      </c>
    </row>
    <row r="127" spans="1:9" hidden="1">
      <c r="A127" s="3">
        <v>44378</v>
      </c>
      <c r="B127" t="s">
        <v>1950</v>
      </c>
      <c r="C127" s="8">
        <v>10800000</v>
      </c>
      <c r="D127" s="8">
        <v>0</v>
      </c>
      <c r="E127" s="8">
        <f t="shared" si="1"/>
        <v>517519415</v>
      </c>
      <c r="F127" t="s">
        <v>137</v>
      </c>
      <c r="G127" t="s">
        <v>138</v>
      </c>
      <c r="H127" s="14" t="s">
        <v>1129</v>
      </c>
    </row>
    <row r="128" spans="1:9" hidden="1">
      <c r="A128" s="3">
        <v>44379</v>
      </c>
      <c r="B128" t="s">
        <v>1924</v>
      </c>
      <c r="C128" s="8">
        <v>450000000</v>
      </c>
      <c r="D128" s="8">
        <v>0</v>
      </c>
      <c r="E128" s="8">
        <f t="shared" si="1"/>
        <v>67519415</v>
      </c>
      <c r="F128" t="s">
        <v>115</v>
      </c>
      <c r="G128" t="s">
        <v>122</v>
      </c>
      <c r="H128" t="s">
        <v>149</v>
      </c>
    </row>
    <row r="129" spans="1:9" hidden="1">
      <c r="A129" s="3">
        <v>44379</v>
      </c>
      <c r="B129" t="s">
        <v>1949</v>
      </c>
      <c r="C129" s="8">
        <v>2900</v>
      </c>
      <c r="D129" s="8">
        <v>0</v>
      </c>
      <c r="E129" s="8">
        <f t="shared" si="1"/>
        <v>67516515</v>
      </c>
      <c r="F129" t="s">
        <v>113</v>
      </c>
      <c r="G129" t="s">
        <v>114</v>
      </c>
    </row>
    <row r="130" spans="1:9" hidden="1">
      <c r="A130" s="3">
        <v>44379</v>
      </c>
      <c r="B130" t="s">
        <v>1948</v>
      </c>
      <c r="C130" s="8">
        <v>13000000</v>
      </c>
      <c r="D130" s="8">
        <v>0</v>
      </c>
      <c r="E130" s="8">
        <f t="shared" si="1"/>
        <v>54516515</v>
      </c>
      <c r="F130" t="s">
        <v>137</v>
      </c>
      <c r="G130" t="s">
        <v>138</v>
      </c>
      <c r="H130" s="14" t="s">
        <v>3027</v>
      </c>
    </row>
    <row r="131" spans="1:9" hidden="1">
      <c r="A131" s="3">
        <v>44382</v>
      </c>
      <c r="B131" t="s">
        <v>1947</v>
      </c>
      <c r="C131" s="8">
        <v>0</v>
      </c>
      <c r="D131" s="8">
        <v>233267833</v>
      </c>
      <c r="E131" s="8">
        <f t="shared" si="1"/>
        <v>287784348</v>
      </c>
      <c r="F131" t="s">
        <v>581</v>
      </c>
      <c r="G131" t="s">
        <v>582</v>
      </c>
      <c r="H131" s="14" t="s">
        <v>3020</v>
      </c>
      <c r="I131">
        <v>37</v>
      </c>
    </row>
    <row r="132" spans="1:9" hidden="1">
      <c r="A132" s="3">
        <v>44385</v>
      </c>
      <c r="B132" t="s">
        <v>1946</v>
      </c>
      <c r="C132" s="8">
        <v>27500000</v>
      </c>
      <c r="D132" s="8">
        <v>0</v>
      </c>
      <c r="E132" s="8">
        <f t="shared" si="1"/>
        <v>260284348</v>
      </c>
      <c r="F132" t="s">
        <v>137</v>
      </c>
      <c r="G132" t="s">
        <v>138</v>
      </c>
      <c r="H132" s="14" t="s">
        <v>3027</v>
      </c>
    </row>
    <row r="133" spans="1:9" hidden="1">
      <c r="A133" s="3">
        <v>44385</v>
      </c>
      <c r="B133" t="s">
        <v>1945</v>
      </c>
      <c r="C133" s="8">
        <v>3800000</v>
      </c>
      <c r="D133" s="8">
        <v>0</v>
      </c>
      <c r="E133" s="8">
        <f t="shared" si="1"/>
        <v>256484348</v>
      </c>
      <c r="F133" t="s">
        <v>137</v>
      </c>
      <c r="G133" t="s">
        <v>138</v>
      </c>
      <c r="H133" s="14" t="s">
        <v>3013</v>
      </c>
    </row>
    <row r="134" spans="1:9" hidden="1">
      <c r="A134" s="3">
        <v>44390</v>
      </c>
      <c r="B134" t="s">
        <v>1944</v>
      </c>
      <c r="C134" s="8">
        <v>0</v>
      </c>
      <c r="D134" s="8">
        <v>6597720</v>
      </c>
      <c r="E134" s="8">
        <f t="shared" si="1"/>
        <v>263082068</v>
      </c>
      <c r="F134" t="s">
        <v>581</v>
      </c>
      <c r="G134" t="s">
        <v>582</v>
      </c>
      <c r="H134" s="14" t="s">
        <v>2964</v>
      </c>
      <c r="I134">
        <v>47</v>
      </c>
    </row>
    <row r="135" spans="1:9" hidden="1">
      <c r="A135" s="3">
        <v>44390</v>
      </c>
      <c r="B135" t="s">
        <v>284</v>
      </c>
      <c r="C135" s="8">
        <v>150000000</v>
      </c>
      <c r="D135" s="8">
        <v>0</v>
      </c>
      <c r="E135" s="8">
        <f t="shared" si="1"/>
        <v>113082068</v>
      </c>
      <c r="F135" t="s">
        <v>107</v>
      </c>
      <c r="G135" t="s">
        <v>254</v>
      </c>
    </row>
    <row r="136" spans="1:9" hidden="1">
      <c r="A136" s="3">
        <v>44390</v>
      </c>
      <c r="B136" t="s">
        <v>1943</v>
      </c>
      <c r="C136" s="8">
        <v>2900</v>
      </c>
      <c r="D136" s="8">
        <v>0</v>
      </c>
      <c r="E136" s="8">
        <f t="shared" si="1"/>
        <v>113079168</v>
      </c>
      <c r="F136" t="s">
        <v>113</v>
      </c>
      <c r="G136" t="s">
        <v>114</v>
      </c>
    </row>
    <row r="137" spans="1:9" hidden="1">
      <c r="A137" s="3">
        <v>44390</v>
      </c>
      <c r="B137" t="s">
        <v>1942</v>
      </c>
      <c r="C137" s="8">
        <v>5225000</v>
      </c>
      <c r="D137" s="8">
        <v>0</v>
      </c>
      <c r="E137" s="8">
        <f t="shared" si="1"/>
        <v>107854168</v>
      </c>
      <c r="F137" t="s">
        <v>137</v>
      </c>
      <c r="G137" t="s">
        <v>138</v>
      </c>
      <c r="H137" t="s">
        <v>3014</v>
      </c>
    </row>
    <row r="138" spans="1:9" hidden="1">
      <c r="A138" s="3">
        <v>44393</v>
      </c>
      <c r="B138" t="s">
        <v>1941</v>
      </c>
      <c r="C138" s="8">
        <v>55000000</v>
      </c>
      <c r="D138" s="8">
        <v>0</v>
      </c>
      <c r="E138" s="8">
        <f t="shared" si="1"/>
        <v>52854168</v>
      </c>
      <c r="F138" t="s">
        <v>137</v>
      </c>
      <c r="G138" t="s">
        <v>138</v>
      </c>
      <c r="H138" s="14" t="s">
        <v>2965</v>
      </c>
    </row>
    <row r="139" spans="1:9" hidden="1">
      <c r="A139" s="3">
        <v>44393</v>
      </c>
      <c r="B139" t="s">
        <v>1940</v>
      </c>
      <c r="C139" s="8">
        <v>2900</v>
      </c>
      <c r="D139" s="8">
        <v>0</v>
      </c>
      <c r="E139" s="8">
        <f t="shared" si="1"/>
        <v>52851268</v>
      </c>
      <c r="F139" t="s">
        <v>113</v>
      </c>
      <c r="G139" t="s">
        <v>114</v>
      </c>
    </row>
    <row r="140" spans="1:9" hidden="1">
      <c r="A140" s="3">
        <v>44393</v>
      </c>
      <c r="B140" t="s">
        <v>1939</v>
      </c>
      <c r="C140" s="8">
        <v>48000000</v>
      </c>
      <c r="D140" s="8">
        <v>0</v>
      </c>
      <c r="E140" s="8">
        <f t="shared" si="1"/>
        <v>4851268</v>
      </c>
      <c r="F140" t="s">
        <v>137</v>
      </c>
      <c r="G140" t="s">
        <v>138</v>
      </c>
      <c r="H140" s="14" t="s">
        <v>2965</v>
      </c>
    </row>
    <row r="141" spans="1:9" hidden="1">
      <c r="A141" s="3">
        <v>44393</v>
      </c>
      <c r="B141" t="s">
        <v>1938</v>
      </c>
      <c r="C141" s="8">
        <v>2900</v>
      </c>
      <c r="D141" s="8">
        <v>0</v>
      </c>
      <c r="E141" s="8">
        <f t="shared" si="1"/>
        <v>4848368</v>
      </c>
      <c r="F141" t="s">
        <v>113</v>
      </c>
      <c r="G141" t="s">
        <v>114</v>
      </c>
    </row>
    <row r="142" spans="1:9" hidden="1">
      <c r="A142" s="3">
        <v>44393</v>
      </c>
      <c r="B142" t="s">
        <v>4407</v>
      </c>
      <c r="C142" s="54">
        <v>0</v>
      </c>
      <c r="D142" s="54">
        <v>91252700</v>
      </c>
      <c r="E142" s="54">
        <f t="shared" ref="E142:E147" si="2">E141-C142+D142</f>
        <v>96101068</v>
      </c>
      <c r="F142" t="s">
        <v>581</v>
      </c>
      <c r="G142" t="s">
        <v>582</v>
      </c>
      <c r="H142" s="14" t="s">
        <v>3023</v>
      </c>
      <c r="I142">
        <v>40</v>
      </c>
    </row>
    <row r="143" spans="1:9" hidden="1">
      <c r="A143" s="3">
        <v>44393</v>
      </c>
      <c r="B143" t="s">
        <v>4407</v>
      </c>
      <c r="C143" s="54">
        <v>0</v>
      </c>
      <c r="D143" s="54">
        <f>258363637-D142</f>
        <v>167110937</v>
      </c>
      <c r="E143" s="54">
        <f t="shared" si="2"/>
        <v>263212005</v>
      </c>
      <c r="F143" t="s">
        <v>110</v>
      </c>
      <c r="G143" t="s">
        <v>118</v>
      </c>
      <c r="H143" t="s">
        <v>146</v>
      </c>
      <c r="I143" t="s">
        <v>64</v>
      </c>
    </row>
    <row r="144" spans="1:9" hidden="1">
      <c r="A144" s="3">
        <v>44397</v>
      </c>
      <c r="B144" t="s">
        <v>1936</v>
      </c>
      <c r="C144" s="8">
        <v>200000</v>
      </c>
      <c r="D144" s="8">
        <v>0</v>
      </c>
      <c r="E144" s="8">
        <f t="shared" si="2"/>
        <v>263012005</v>
      </c>
      <c r="F144" t="s">
        <v>113</v>
      </c>
      <c r="G144" t="s">
        <v>114</v>
      </c>
    </row>
    <row r="145" spans="1:9" hidden="1">
      <c r="A145" s="3">
        <v>44397</v>
      </c>
      <c r="B145" t="s">
        <v>1935</v>
      </c>
      <c r="C145" s="8">
        <v>83900000</v>
      </c>
      <c r="D145" s="8">
        <v>0</v>
      </c>
      <c r="E145" s="8">
        <f t="shared" si="2"/>
        <v>179112005</v>
      </c>
      <c r="F145" t="s">
        <v>137</v>
      </c>
      <c r="G145" t="s">
        <v>138</v>
      </c>
      <c r="H145" t="s">
        <v>3051</v>
      </c>
    </row>
    <row r="146" spans="1:9" hidden="1">
      <c r="A146" s="3">
        <v>44398</v>
      </c>
      <c r="B146" t="s">
        <v>1405</v>
      </c>
      <c r="C146" s="8">
        <v>175000000</v>
      </c>
      <c r="D146" s="8">
        <v>0</v>
      </c>
      <c r="E146" s="8">
        <f t="shared" si="2"/>
        <v>4112005</v>
      </c>
      <c r="F146" t="s">
        <v>107</v>
      </c>
      <c r="G146" t="s">
        <v>144</v>
      </c>
    </row>
    <row r="147" spans="1:9" hidden="1">
      <c r="A147" s="3">
        <v>44398</v>
      </c>
      <c r="B147" t="s">
        <v>1934</v>
      </c>
      <c r="C147" s="8">
        <v>2900</v>
      </c>
      <c r="D147" s="8">
        <v>0</v>
      </c>
      <c r="E147" s="8">
        <f t="shared" si="2"/>
        <v>4109105</v>
      </c>
      <c r="F147" t="s">
        <v>113</v>
      </c>
      <c r="G147" t="s">
        <v>114</v>
      </c>
    </row>
    <row r="148" spans="1:9" hidden="1">
      <c r="A148" s="3">
        <v>44402</v>
      </c>
      <c r="B148" t="s">
        <v>192</v>
      </c>
      <c r="C148" s="8">
        <v>0</v>
      </c>
      <c r="D148" s="8">
        <v>140584</v>
      </c>
      <c r="E148" s="8">
        <f t="shared" ref="E148:E213" si="3">E147-C148+D148</f>
        <v>4249689</v>
      </c>
      <c r="F148" t="s">
        <v>252</v>
      </c>
      <c r="G148" t="s">
        <v>253</v>
      </c>
    </row>
    <row r="149" spans="1:9" hidden="1">
      <c r="A149" s="3">
        <v>44402</v>
      </c>
      <c r="B149" t="s">
        <v>191</v>
      </c>
      <c r="C149" s="8">
        <v>28117</v>
      </c>
      <c r="D149" s="8">
        <v>0</v>
      </c>
      <c r="E149" s="8">
        <f t="shared" si="3"/>
        <v>4221572</v>
      </c>
      <c r="F149" t="s">
        <v>252</v>
      </c>
      <c r="G149" t="s">
        <v>253</v>
      </c>
    </row>
    <row r="150" spans="1:9" hidden="1">
      <c r="A150" s="3">
        <v>44405</v>
      </c>
      <c r="B150" t="s">
        <v>1933</v>
      </c>
      <c r="C150" s="8">
        <v>0</v>
      </c>
      <c r="D150" s="8">
        <v>482000000</v>
      </c>
      <c r="E150" s="8">
        <f t="shared" si="3"/>
        <v>486221572</v>
      </c>
      <c r="F150" t="s">
        <v>107</v>
      </c>
      <c r="G150" t="s">
        <v>145</v>
      </c>
    </row>
    <row r="151" spans="1:9" hidden="1">
      <c r="A151" s="3">
        <v>44405</v>
      </c>
      <c r="B151" t="s">
        <v>2948</v>
      </c>
      <c r="C151" s="8">
        <v>0</v>
      </c>
      <c r="D151" s="8">
        <v>1100000</v>
      </c>
      <c r="E151" s="8">
        <f t="shared" si="3"/>
        <v>487321572</v>
      </c>
      <c r="F151" t="s">
        <v>107</v>
      </c>
      <c r="G151" t="s">
        <v>4282</v>
      </c>
    </row>
    <row r="152" spans="1:9" hidden="1">
      <c r="A152" s="3">
        <v>44405</v>
      </c>
      <c r="B152" t="s">
        <v>1954</v>
      </c>
      <c r="C152" s="8">
        <v>486702240</v>
      </c>
      <c r="D152" s="8">
        <v>0</v>
      </c>
      <c r="E152" s="8">
        <f t="shared" si="3"/>
        <v>619332</v>
      </c>
      <c r="F152" t="s">
        <v>137</v>
      </c>
      <c r="G152" t="s">
        <v>138</v>
      </c>
      <c r="H152" t="s">
        <v>2965</v>
      </c>
    </row>
    <row r="153" spans="1:9" hidden="1">
      <c r="A153" s="3">
        <v>44405</v>
      </c>
      <c r="B153" t="s">
        <v>1953</v>
      </c>
      <c r="C153" s="8">
        <v>218625</v>
      </c>
      <c r="D153" s="8">
        <v>0</v>
      </c>
      <c r="E153" s="8">
        <f t="shared" si="3"/>
        <v>400707</v>
      </c>
      <c r="F153" t="s">
        <v>137</v>
      </c>
      <c r="G153" t="s">
        <v>138</v>
      </c>
      <c r="H153" t="s">
        <v>2965</v>
      </c>
    </row>
    <row r="154" spans="1:9" hidden="1">
      <c r="A154" s="3">
        <v>44405</v>
      </c>
      <c r="B154" t="s">
        <v>1952</v>
      </c>
      <c r="C154" s="8">
        <v>370299.29</v>
      </c>
      <c r="D154" s="8">
        <v>0</v>
      </c>
      <c r="E154" s="8">
        <f t="shared" si="3"/>
        <v>30407.710000000021</v>
      </c>
      <c r="F154" t="s">
        <v>137</v>
      </c>
      <c r="G154" t="s">
        <v>138</v>
      </c>
      <c r="H154" t="s">
        <v>2965</v>
      </c>
    </row>
    <row r="155" spans="1:9" hidden="1">
      <c r="A155" s="3">
        <v>44407</v>
      </c>
      <c r="B155" t="s">
        <v>1951</v>
      </c>
      <c r="C155" s="8">
        <v>0</v>
      </c>
      <c r="D155" s="8">
        <v>132378400</v>
      </c>
      <c r="E155" s="8">
        <f t="shared" si="3"/>
        <v>132408807.70999999</v>
      </c>
      <c r="F155" t="s">
        <v>581</v>
      </c>
      <c r="G155" t="s">
        <v>582</v>
      </c>
      <c r="H155" s="14" t="s">
        <v>3013</v>
      </c>
      <c r="I155">
        <v>42</v>
      </c>
    </row>
    <row r="156" spans="1:9" hidden="1">
      <c r="A156" s="3">
        <v>44410</v>
      </c>
      <c r="B156" t="s">
        <v>284</v>
      </c>
      <c r="C156" s="8">
        <v>132000000</v>
      </c>
      <c r="D156" s="8">
        <v>0</v>
      </c>
      <c r="E156" s="8">
        <f t="shared" si="3"/>
        <v>408807.70999999344</v>
      </c>
      <c r="F156" t="s">
        <v>107</v>
      </c>
      <c r="G156" t="s">
        <v>254</v>
      </c>
    </row>
    <row r="157" spans="1:9" hidden="1">
      <c r="A157" s="3">
        <v>44410</v>
      </c>
      <c r="B157" t="s">
        <v>2106</v>
      </c>
      <c r="C157" s="8">
        <v>2900</v>
      </c>
      <c r="D157" s="8">
        <v>0</v>
      </c>
      <c r="E157" s="8">
        <f t="shared" si="3"/>
        <v>405907.70999999344</v>
      </c>
      <c r="F157" t="s">
        <v>113</v>
      </c>
      <c r="G157" t="s">
        <v>114</v>
      </c>
    </row>
    <row r="158" spans="1:9" hidden="1">
      <c r="A158" s="3">
        <v>44414</v>
      </c>
      <c r="B158" t="s">
        <v>2105</v>
      </c>
      <c r="C158" s="8">
        <v>0</v>
      </c>
      <c r="D158" s="8">
        <v>10000000</v>
      </c>
      <c r="E158" s="8">
        <f t="shared" si="3"/>
        <v>10405907.709999993</v>
      </c>
      <c r="F158" t="s">
        <v>107</v>
      </c>
      <c r="G158" t="s">
        <v>2886</v>
      </c>
    </row>
    <row r="159" spans="1:9" hidden="1">
      <c r="A159" s="3">
        <v>44414</v>
      </c>
      <c r="B159" t="s">
        <v>2104</v>
      </c>
      <c r="C159" s="8">
        <v>10000000</v>
      </c>
      <c r="D159" s="8">
        <v>0</v>
      </c>
      <c r="E159" s="8">
        <f t="shared" si="3"/>
        <v>405907.70999999344</v>
      </c>
      <c r="F159" t="s">
        <v>137</v>
      </c>
      <c r="G159" t="s">
        <v>138</v>
      </c>
      <c r="H159" s="14" t="s">
        <v>3027</v>
      </c>
    </row>
    <row r="160" spans="1:9" hidden="1">
      <c r="A160" s="3">
        <v>44418</v>
      </c>
      <c r="B160" t="s">
        <v>2103</v>
      </c>
      <c r="C160" s="8">
        <v>0</v>
      </c>
      <c r="D160" s="8">
        <v>10780000</v>
      </c>
      <c r="E160" s="8">
        <f t="shared" si="3"/>
        <v>11185907.709999993</v>
      </c>
      <c r="F160" t="s">
        <v>581</v>
      </c>
      <c r="G160" t="s">
        <v>582</v>
      </c>
      <c r="H160" s="14" t="s">
        <v>2043</v>
      </c>
      <c r="I160">
        <v>51</v>
      </c>
    </row>
    <row r="161" spans="1:9" hidden="1">
      <c r="A161" s="3">
        <v>44420</v>
      </c>
      <c r="B161" t="s">
        <v>284</v>
      </c>
      <c r="C161" s="8">
        <v>11000000</v>
      </c>
      <c r="D161" s="8">
        <v>0</v>
      </c>
      <c r="E161" s="8">
        <f t="shared" si="3"/>
        <v>185907.70999999344</v>
      </c>
      <c r="F161" t="s">
        <v>107</v>
      </c>
      <c r="G161" t="s">
        <v>254</v>
      </c>
    </row>
    <row r="162" spans="1:9" hidden="1">
      <c r="A162" s="3">
        <v>44420</v>
      </c>
      <c r="B162" t="s">
        <v>2102</v>
      </c>
      <c r="C162" s="8">
        <v>2900</v>
      </c>
      <c r="D162" s="8">
        <v>0</v>
      </c>
      <c r="E162" s="8">
        <f t="shared" si="3"/>
        <v>183007.70999999344</v>
      </c>
      <c r="F162" t="s">
        <v>113</v>
      </c>
      <c r="G162" t="s">
        <v>114</v>
      </c>
    </row>
    <row r="163" spans="1:9" hidden="1">
      <c r="A163" s="3">
        <v>44420</v>
      </c>
      <c r="B163" t="s">
        <v>4409</v>
      </c>
      <c r="C163" s="54">
        <v>0</v>
      </c>
      <c r="D163" s="54">
        <v>133636363.47599998</v>
      </c>
      <c r="E163" s="54">
        <f t="shared" si="3"/>
        <v>133819371.18599997</v>
      </c>
      <c r="F163" t="s">
        <v>581</v>
      </c>
      <c r="G163" t="s">
        <v>582</v>
      </c>
      <c r="H163" s="14" t="s">
        <v>3015</v>
      </c>
      <c r="I163">
        <v>45</v>
      </c>
    </row>
    <row r="164" spans="1:9" hidden="1">
      <c r="A164" s="3">
        <v>44420</v>
      </c>
      <c r="B164" t="s">
        <v>4409</v>
      </c>
      <c r="C164" s="54">
        <v>0</v>
      </c>
      <c r="D164" s="54">
        <f>262818182-D163</f>
        <v>129181818.52400002</v>
      </c>
      <c r="E164" s="54">
        <f t="shared" si="3"/>
        <v>263001189.70999998</v>
      </c>
      <c r="F164" t="s">
        <v>110</v>
      </c>
      <c r="G164" t="s">
        <v>118</v>
      </c>
      <c r="H164" s="14" t="s">
        <v>146</v>
      </c>
      <c r="I164" t="s">
        <v>64</v>
      </c>
    </row>
    <row r="165" spans="1:9" hidden="1">
      <c r="A165" s="3">
        <v>44424</v>
      </c>
      <c r="B165" t="s">
        <v>284</v>
      </c>
      <c r="C165" s="8">
        <v>250000000</v>
      </c>
      <c r="D165" s="8">
        <v>0</v>
      </c>
      <c r="E165" s="8">
        <f t="shared" si="3"/>
        <v>13001189.709999979</v>
      </c>
      <c r="F165" t="s">
        <v>107</v>
      </c>
      <c r="G165" t="s">
        <v>254</v>
      </c>
    </row>
    <row r="166" spans="1:9" hidden="1">
      <c r="A166" s="3">
        <v>44424</v>
      </c>
      <c r="B166" t="s">
        <v>2101</v>
      </c>
      <c r="C166" s="8">
        <v>2900</v>
      </c>
      <c r="D166" s="8">
        <v>0</v>
      </c>
      <c r="E166" s="8">
        <f t="shared" si="3"/>
        <v>12998289.709999979</v>
      </c>
      <c r="F166" t="s">
        <v>113</v>
      </c>
      <c r="G166" t="s">
        <v>114</v>
      </c>
    </row>
    <row r="167" spans="1:9" hidden="1">
      <c r="A167" s="3">
        <v>44424</v>
      </c>
      <c r="B167" t="s">
        <v>2100</v>
      </c>
      <c r="C167" s="8">
        <v>7825000</v>
      </c>
      <c r="D167" s="8">
        <v>0</v>
      </c>
      <c r="E167" s="8">
        <f t="shared" si="3"/>
        <v>5173289.7099999785</v>
      </c>
      <c r="F167" t="s">
        <v>137</v>
      </c>
      <c r="G167" t="s">
        <v>138</v>
      </c>
      <c r="H167" t="s">
        <v>3051</v>
      </c>
    </row>
    <row r="168" spans="1:9" hidden="1">
      <c r="A168" s="3">
        <v>44428</v>
      </c>
      <c r="B168" t="s">
        <v>2099</v>
      </c>
      <c r="C168" s="8">
        <v>200000</v>
      </c>
      <c r="D168" s="8">
        <v>0</v>
      </c>
      <c r="E168" s="8">
        <f t="shared" si="3"/>
        <v>4973289.7099999785</v>
      </c>
      <c r="F168" t="s">
        <v>113</v>
      </c>
      <c r="G168" t="s">
        <v>114</v>
      </c>
    </row>
    <row r="169" spans="1:9" hidden="1">
      <c r="A169" s="3">
        <v>44433</v>
      </c>
      <c r="B169" t="s">
        <v>192</v>
      </c>
      <c r="C169" s="8">
        <v>0</v>
      </c>
      <c r="D169" s="8">
        <v>39823</v>
      </c>
      <c r="E169" s="8">
        <f t="shared" si="3"/>
        <v>5013112.7099999785</v>
      </c>
      <c r="F169" t="s">
        <v>252</v>
      </c>
      <c r="G169" t="s">
        <v>253</v>
      </c>
    </row>
    <row r="170" spans="1:9" hidden="1">
      <c r="A170" s="3">
        <v>44433</v>
      </c>
      <c r="B170" t="s">
        <v>191</v>
      </c>
      <c r="C170" s="8">
        <v>7965</v>
      </c>
      <c r="D170" s="8">
        <v>0</v>
      </c>
      <c r="E170" s="8">
        <f t="shared" si="3"/>
        <v>5005147.7099999785</v>
      </c>
      <c r="F170" t="s">
        <v>252</v>
      </c>
      <c r="G170" t="s">
        <v>253</v>
      </c>
    </row>
    <row r="171" spans="1:9" hidden="1">
      <c r="A171" s="3">
        <v>44439</v>
      </c>
      <c r="B171" t="s">
        <v>2098</v>
      </c>
      <c r="C171" s="8">
        <v>1890000</v>
      </c>
      <c r="D171" s="8">
        <v>0</v>
      </c>
      <c r="E171" s="8">
        <f t="shared" si="3"/>
        <v>3115147.7099999785</v>
      </c>
      <c r="F171" t="s">
        <v>137</v>
      </c>
      <c r="G171" t="s">
        <v>138</v>
      </c>
      <c r="H171" s="14" t="s">
        <v>3036</v>
      </c>
    </row>
    <row r="172" spans="1:9" hidden="1">
      <c r="A172" s="3">
        <v>44440</v>
      </c>
      <c r="B172" t="s">
        <v>2114</v>
      </c>
      <c r="C172" s="8">
        <v>1240000</v>
      </c>
      <c r="D172" s="8">
        <v>0</v>
      </c>
      <c r="E172" s="8">
        <f t="shared" si="3"/>
        <v>1875147.7099999785</v>
      </c>
      <c r="F172" t="s">
        <v>137</v>
      </c>
      <c r="G172" t="s">
        <v>138</v>
      </c>
      <c r="H172" s="14" t="s">
        <v>3036</v>
      </c>
    </row>
    <row r="173" spans="1:9" hidden="1">
      <c r="A173" s="3">
        <v>44442</v>
      </c>
      <c r="B173" t="s">
        <v>4410</v>
      </c>
      <c r="C173" s="54">
        <v>0</v>
      </c>
      <c r="D173" s="54">
        <v>87309091.407999992</v>
      </c>
      <c r="E173" s="54">
        <f t="shared" si="3"/>
        <v>89184239.117999971</v>
      </c>
      <c r="F173" t="s">
        <v>581</v>
      </c>
      <c r="G173" t="s">
        <v>582</v>
      </c>
      <c r="H173" s="14" t="s">
        <v>3024</v>
      </c>
      <c r="I173">
        <v>57</v>
      </c>
    </row>
    <row r="174" spans="1:9" hidden="1">
      <c r="A174" s="3">
        <v>44442</v>
      </c>
      <c r="B174" t="s">
        <v>4410</v>
      </c>
      <c r="C174" s="54">
        <v>0</v>
      </c>
      <c r="D174" s="54">
        <f>258288800-D173</f>
        <v>170979708.59200001</v>
      </c>
      <c r="E174" s="54">
        <f t="shared" si="3"/>
        <v>260163947.70999998</v>
      </c>
      <c r="F174" t="s">
        <v>110</v>
      </c>
      <c r="G174" t="s">
        <v>118</v>
      </c>
      <c r="H174" s="14" t="s">
        <v>146</v>
      </c>
      <c r="I174" t="s">
        <v>64</v>
      </c>
    </row>
    <row r="175" spans="1:9" hidden="1">
      <c r="A175" s="3">
        <v>44443</v>
      </c>
      <c r="B175" t="s">
        <v>2113</v>
      </c>
      <c r="C175" s="8">
        <v>3775000</v>
      </c>
      <c r="D175" s="8">
        <v>0</v>
      </c>
      <c r="E175" s="8">
        <f t="shared" si="3"/>
        <v>256388947.70999998</v>
      </c>
      <c r="F175" t="s">
        <v>137</v>
      </c>
      <c r="G175" t="s">
        <v>138</v>
      </c>
      <c r="H175" s="14" t="s">
        <v>2277</v>
      </c>
    </row>
    <row r="176" spans="1:9" hidden="1">
      <c r="A176" s="3">
        <v>44445</v>
      </c>
      <c r="B176" t="s">
        <v>284</v>
      </c>
      <c r="C176" s="8">
        <v>250000000</v>
      </c>
      <c r="D176" s="8">
        <v>0</v>
      </c>
      <c r="E176" s="8">
        <f t="shared" si="3"/>
        <v>6388947.7099999785</v>
      </c>
      <c r="F176" t="s">
        <v>107</v>
      </c>
      <c r="G176" t="s">
        <v>254</v>
      </c>
    </row>
    <row r="177" spans="1:9" hidden="1">
      <c r="A177" s="3">
        <v>44445</v>
      </c>
      <c r="B177" t="s">
        <v>2112</v>
      </c>
      <c r="C177" s="8">
        <v>2900</v>
      </c>
      <c r="D177" s="8">
        <v>0</v>
      </c>
      <c r="E177" s="8">
        <f t="shared" si="3"/>
        <v>6386047.7099999785</v>
      </c>
      <c r="F177" t="s">
        <v>113</v>
      </c>
      <c r="G177" t="s">
        <v>114</v>
      </c>
    </row>
    <row r="178" spans="1:9" hidden="1">
      <c r="A178" s="3">
        <v>44457</v>
      </c>
      <c r="B178" t="s">
        <v>2111</v>
      </c>
      <c r="C178" s="8">
        <v>3200000</v>
      </c>
      <c r="D178" s="8">
        <v>0</v>
      </c>
      <c r="E178" s="8">
        <f t="shared" si="3"/>
        <v>3186047.7099999785</v>
      </c>
      <c r="F178" t="s">
        <v>137</v>
      </c>
      <c r="G178" t="s">
        <v>138</v>
      </c>
      <c r="H178" s="14" t="s">
        <v>3036</v>
      </c>
    </row>
    <row r="179" spans="1:9" hidden="1">
      <c r="A179" s="3">
        <v>44459</v>
      </c>
      <c r="B179" t="s">
        <v>2110</v>
      </c>
      <c r="C179" s="8">
        <v>200000</v>
      </c>
      <c r="D179" s="8">
        <v>0</v>
      </c>
      <c r="E179" s="8">
        <f t="shared" si="3"/>
        <v>2986047.7099999785</v>
      </c>
      <c r="F179" t="s">
        <v>113</v>
      </c>
      <c r="G179" t="s">
        <v>114</v>
      </c>
    </row>
    <row r="180" spans="1:9" hidden="1">
      <c r="A180" s="3">
        <v>44460</v>
      </c>
      <c r="B180" t="s">
        <v>2109</v>
      </c>
      <c r="C180" s="8">
        <v>0</v>
      </c>
      <c r="D180" s="8">
        <v>50000000</v>
      </c>
      <c r="E180" s="8">
        <f t="shared" si="3"/>
        <v>52986047.709999979</v>
      </c>
      <c r="F180" t="s">
        <v>107</v>
      </c>
      <c r="G180" t="s">
        <v>145</v>
      </c>
    </row>
    <row r="181" spans="1:9" hidden="1">
      <c r="A181" s="3">
        <v>44460</v>
      </c>
      <c r="B181" t="s">
        <v>3050</v>
      </c>
      <c r="C181" s="8">
        <v>3825000</v>
      </c>
      <c r="D181" s="8">
        <v>0</v>
      </c>
      <c r="E181" s="8">
        <f t="shared" si="3"/>
        <v>49161047.709999979</v>
      </c>
      <c r="F181" t="s">
        <v>137</v>
      </c>
      <c r="G181" t="s">
        <v>138</v>
      </c>
      <c r="H181" s="14" t="s">
        <v>1961</v>
      </c>
    </row>
    <row r="182" spans="1:9" hidden="1">
      <c r="A182" s="3">
        <v>44460</v>
      </c>
      <c r="B182" t="s">
        <v>2108</v>
      </c>
      <c r="C182" s="8">
        <v>9225000</v>
      </c>
      <c r="D182" s="8">
        <v>0</v>
      </c>
      <c r="E182" s="8">
        <f t="shared" si="3"/>
        <v>39936047.709999979</v>
      </c>
      <c r="F182" t="s">
        <v>137</v>
      </c>
      <c r="G182" t="s">
        <v>138</v>
      </c>
      <c r="H182" s="14" t="s">
        <v>2954</v>
      </c>
    </row>
    <row r="183" spans="1:9" hidden="1">
      <c r="A183" s="3">
        <v>44462</v>
      </c>
      <c r="B183" t="s">
        <v>332</v>
      </c>
      <c r="C183" s="8">
        <v>0</v>
      </c>
      <c r="D183" s="8">
        <v>810727273</v>
      </c>
      <c r="E183" s="8">
        <f t="shared" si="3"/>
        <v>850663320.71000004</v>
      </c>
      <c r="F183" t="s">
        <v>581</v>
      </c>
      <c r="G183" t="s">
        <v>582</v>
      </c>
      <c r="H183" s="14" t="s">
        <v>3052</v>
      </c>
      <c r="I183">
        <v>52</v>
      </c>
    </row>
    <row r="184" spans="1:9" hidden="1">
      <c r="A184" s="3">
        <v>44463</v>
      </c>
      <c r="B184" t="s">
        <v>4411</v>
      </c>
      <c r="C184" s="8">
        <v>140000000</v>
      </c>
      <c r="D184" s="8">
        <v>0</v>
      </c>
      <c r="E184" s="8">
        <f t="shared" si="3"/>
        <v>710663320.71000004</v>
      </c>
      <c r="F184" t="s">
        <v>110</v>
      </c>
      <c r="G184" t="s">
        <v>118</v>
      </c>
      <c r="H184" s="14" t="s">
        <v>146</v>
      </c>
      <c r="I184" t="s">
        <v>3761</v>
      </c>
    </row>
    <row r="185" spans="1:9" hidden="1">
      <c r="A185" s="3">
        <v>44464</v>
      </c>
      <c r="B185" t="s">
        <v>2107</v>
      </c>
      <c r="C185" s="8">
        <v>12375000</v>
      </c>
      <c r="D185" s="8">
        <v>0</v>
      </c>
      <c r="E185" s="8">
        <f t="shared" si="3"/>
        <v>698288320.71000004</v>
      </c>
      <c r="F185" t="s">
        <v>137</v>
      </c>
      <c r="G185" t="s">
        <v>138</v>
      </c>
      <c r="H185" s="14" t="s">
        <v>1130</v>
      </c>
    </row>
    <row r="186" spans="1:9" hidden="1">
      <c r="A186" s="3">
        <v>44464</v>
      </c>
      <c r="B186" t="s">
        <v>192</v>
      </c>
      <c r="C186" s="8">
        <v>0</v>
      </c>
      <c r="D186" s="8">
        <v>84307</v>
      </c>
      <c r="E186" s="8">
        <f t="shared" si="3"/>
        <v>698372627.71000004</v>
      </c>
      <c r="F186" t="s">
        <v>252</v>
      </c>
      <c r="G186" t="s">
        <v>253</v>
      </c>
    </row>
    <row r="187" spans="1:9" hidden="1">
      <c r="A187" s="3">
        <v>44464</v>
      </c>
      <c r="B187" t="s">
        <v>191</v>
      </c>
      <c r="C187" s="8">
        <v>16861</v>
      </c>
      <c r="D187" s="8">
        <v>0</v>
      </c>
      <c r="E187" s="8">
        <f t="shared" si="3"/>
        <v>698355766.71000004</v>
      </c>
      <c r="F187" t="s">
        <v>252</v>
      </c>
      <c r="G187" t="s">
        <v>253</v>
      </c>
    </row>
    <row r="188" spans="1:9" hidden="1">
      <c r="A188" s="3">
        <v>44466</v>
      </c>
      <c r="B188" t="s">
        <v>4412</v>
      </c>
      <c r="C188" s="54">
        <v>0</v>
      </c>
      <c r="D188" s="54">
        <v>94217200</v>
      </c>
      <c r="E188" s="54">
        <f t="shared" si="3"/>
        <v>792572966.71000004</v>
      </c>
      <c r="F188" t="s">
        <v>581</v>
      </c>
      <c r="G188" t="s">
        <v>582</v>
      </c>
      <c r="H188" s="14" t="s">
        <v>3017</v>
      </c>
      <c r="I188">
        <v>63</v>
      </c>
    </row>
    <row r="189" spans="1:9" hidden="1">
      <c r="A189" s="3">
        <v>44466</v>
      </c>
      <c r="B189" t="s">
        <v>4412</v>
      </c>
      <c r="C189" s="54">
        <v>0</v>
      </c>
      <c r="D189" s="54">
        <f>249454546-D188</f>
        <v>155237346</v>
      </c>
      <c r="E189" s="54">
        <f t="shared" si="3"/>
        <v>947810312.71000004</v>
      </c>
      <c r="F189" t="s">
        <v>110</v>
      </c>
      <c r="G189" t="s">
        <v>118</v>
      </c>
      <c r="H189" s="14" t="s">
        <v>146</v>
      </c>
      <c r="I189" t="s">
        <v>64</v>
      </c>
    </row>
    <row r="190" spans="1:9" hidden="1">
      <c r="A190" s="3">
        <v>44475</v>
      </c>
      <c r="B190" t="s">
        <v>1933</v>
      </c>
      <c r="C190" s="8">
        <v>0</v>
      </c>
      <c r="D190" s="8">
        <v>787000000</v>
      </c>
      <c r="E190" s="8">
        <f t="shared" si="3"/>
        <v>1734810312.71</v>
      </c>
      <c r="F190" t="s">
        <v>107</v>
      </c>
      <c r="G190" t="s">
        <v>145</v>
      </c>
    </row>
    <row r="191" spans="1:9" hidden="1">
      <c r="A191" s="3">
        <v>44477</v>
      </c>
      <c r="B191" t="s">
        <v>1933</v>
      </c>
      <c r="C191" s="8">
        <v>0</v>
      </c>
      <c r="D191" s="8">
        <v>275000000</v>
      </c>
      <c r="E191" s="8">
        <f t="shared" si="3"/>
        <v>2009810312.71</v>
      </c>
      <c r="F191" t="s">
        <v>107</v>
      </c>
      <c r="G191" t="s">
        <v>145</v>
      </c>
    </row>
    <row r="192" spans="1:9" hidden="1">
      <c r="A192" s="3">
        <v>44477</v>
      </c>
      <c r="B192" t="s">
        <v>4493</v>
      </c>
      <c r="C192" s="8">
        <v>2000000000</v>
      </c>
      <c r="D192" s="8">
        <v>0</v>
      </c>
      <c r="E192" s="8">
        <f t="shared" si="3"/>
        <v>9810312.7100000381</v>
      </c>
      <c r="F192" t="s">
        <v>110</v>
      </c>
      <c r="G192" t="s">
        <v>118</v>
      </c>
      <c r="H192" s="14" t="s">
        <v>146</v>
      </c>
      <c r="I192" t="s">
        <v>3826</v>
      </c>
    </row>
    <row r="193" spans="1:9" hidden="1">
      <c r="A193" s="3">
        <v>44482</v>
      </c>
      <c r="B193" t="s">
        <v>284</v>
      </c>
      <c r="C193" s="8">
        <v>9800000</v>
      </c>
      <c r="D193" s="8">
        <v>0</v>
      </c>
      <c r="E193" s="8">
        <f t="shared" si="3"/>
        <v>10312.710000038147</v>
      </c>
      <c r="F193" t="s">
        <v>107</v>
      </c>
      <c r="G193" t="s">
        <v>254</v>
      </c>
    </row>
    <row r="194" spans="1:9" hidden="1">
      <c r="A194" s="3">
        <v>44482</v>
      </c>
      <c r="B194" t="s">
        <v>2120</v>
      </c>
      <c r="C194" s="8">
        <v>2900</v>
      </c>
      <c r="D194" s="8">
        <v>0</v>
      </c>
      <c r="E194" s="8">
        <f t="shared" si="3"/>
        <v>7412.710000038147</v>
      </c>
      <c r="F194" t="s">
        <v>113</v>
      </c>
      <c r="G194" t="s">
        <v>114</v>
      </c>
    </row>
    <row r="195" spans="1:9" hidden="1">
      <c r="A195" s="3">
        <v>44482</v>
      </c>
      <c r="B195" t="s">
        <v>2119</v>
      </c>
      <c r="C195" s="8">
        <v>0</v>
      </c>
      <c r="D195" s="8">
        <v>534545454</v>
      </c>
      <c r="E195" s="8">
        <f t="shared" si="3"/>
        <v>534552866.71000004</v>
      </c>
      <c r="F195" t="s">
        <v>581</v>
      </c>
      <c r="G195" t="s">
        <v>582</v>
      </c>
      <c r="H195" s="14" t="s">
        <v>3014</v>
      </c>
      <c r="I195">
        <v>43</v>
      </c>
    </row>
    <row r="196" spans="1:9" s="14" customFormat="1" hidden="1">
      <c r="A196" s="138">
        <v>44483</v>
      </c>
      <c r="B196" s="14" t="s">
        <v>1405</v>
      </c>
      <c r="C196" s="50">
        <v>500000000</v>
      </c>
      <c r="D196" s="50">
        <v>0</v>
      </c>
      <c r="E196" s="8">
        <f t="shared" si="3"/>
        <v>34552866.710000038</v>
      </c>
      <c r="F196" s="14" t="s">
        <v>107</v>
      </c>
      <c r="G196" s="14" t="s">
        <v>144</v>
      </c>
    </row>
    <row r="197" spans="1:9" hidden="1">
      <c r="A197" s="138">
        <v>44483</v>
      </c>
      <c r="B197" t="s">
        <v>284</v>
      </c>
      <c r="C197" s="8">
        <v>34500000</v>
      </c>
      <c r="D197" s="8">
        <v>0</v>
      </c>
      <c r="E197" s="8">
        <f t="shared" si="3"/>
        <v>52866.710000038147</v>
      </c>
      <c r="F197" t="s">
        <v>107</v>
      </c>
      <c r="G197" t="s">
        <v>254</v>
      </c>
    </row>
    <row r="198" spans="1:9" hidden="1">
      <c r="A198" s="138">
        <v>44483</v>
      </c>
      <c r="B198" t="s">
        <v>2118</v>
      </c>
      <c r="C198" s="8">
        <v>2900</v>
      </c>
      <c r="D198" s="8">
        <v>0</v>
      </c>
      <c r="E198" s="8">
        <f t="shared" si="3"/>
        <v>49966.710000038147</v>
      </c>
      <c r="F198" t="s">
        <v>113</v>
      </c>
      <c r="G198" t="s">
        <v>114</v>
      </c>
    </row>
    <row r="199" spans="1:9" hidden="1">
      <c r="A199" s="138">
        <v>44483</v>
      </c>
      <c r="B199" t="s">
        <v>2117</v>
      </c>
      <c r="C199" s="8">
        <v>2900</v>
      </c>
      <c r="D199" s="8">
        <v>0</v>
      </c>
      <c r="E199" s="8">
        <f t="shared" si="3"/>
        <v>47066.710000038147</v>
      </c>
      <c r="F199" t="s">
        <v>113</v>
      </c>
      <c r="G199" t="s">
        <v>114</v>
      </c>
    </row>
    <row r="200" spans="1:9" hidden="1">
      <c r="A200" s="3">
        <v>44494</v>
      </c>
      <c r="B200" t="s">
        <v>192</v>
      </c>
      <c r="C200" s="8">
        <v>0</v>
      </c>
      <c r="D200" s="8">
        <v>448431</v>
      </c>
      <c r="E200" s="8">
        <f t="shared" si="3"/>
        <v>495497.71000003815</v>
      </c>
      <c r="F200" t="s">
        <v>252</v>
      </c>
      <c r="G200" t="s">
        <v>253</v>
      </c>
    </row>
    <row r="201" spans="1:9" hidden="1">
      <c r="A201" s="3">
        <v>44494</v>
      </c>
      <c r="B201" t="s">
        <v>191</v>
      </c>
      <c r="C201" s="8">
        <v>89686</v>
      </c>
      <c r="D201" s="8">
        <v>0</v>
      </c>
      <c r="E201" s="8">
        <f t="shared" si="3"/>
        <v>405811.71000003815</v>
      </c>
      <c r="F201" t="s">
        <v>252</v>
      </c>
      <c r="G201" t="s">
        <v>253</v>
      </c>
    </row>
    <row r="202" spans="1:9" hidden="1">
      <c r="A202" s="3">
        <v>44498</v>
      </c>
      <c r="B202" t="s">
        <v>2116</v>
      </c>
      <c r="C202" s="8">
        <v>0</v>
      </c>
      <c r="D202" s="8">
        <f>23100000-D203</f>
        <v>21000000</v>
      </c>
      <c r="E202" s="8">
        <f t="shared" si="3"/>
        <v>21405811.710000038</v>
      </c>
      <c r="F202" t="s">
        <v>581</v>
      </c>
      <c r="G202" t="s">
        <v>582</v>
      </c>
      <c r="H202" s="14" t="s">
        <v>2988</v>
      </c>
      <c r="I202">
        <v>89</v>
      </c>
    </row>
    <row r="203" spans="1:9" hidden="1">
      <c r="A203" s="3">
        <v>44498</v>
      </c>
      <c r="B203" t="s">
        <v>4988</v>
      </c>
      <c r="C203" s="8">
        <v>0</v>
      </c>
      <c r="D203" s="8">
        <v>2100000</v>
      </c>
      <c r="E203" s="8">
        <f t="shared" si="3"/>
        <v>23505811.710000038</v>
      </c>
      <c r="F203" t="s">
        <v>107</v>
      </c>
      <c r="G203" t="s">
        <v>1123</v>
      </c>
      <c r="H203" s="14" t="s">
        <v>64</v>
      </c>
      <c r="I203" t="s">
        <v>64</v>
      </c>
    </row>
    <row r="204" spans="1:9" hidden="1">
      <c r="A204" s="3">
        <v>44498</v>
      </c>
      <c r="B204" t="s">
        <v>2115</v>
      </c>
      <c r="C204" s="8">
        <v>1202800</v>
      </c>
      <c r="D204" s="8">
        <v>0</v>
      </c>
      <c r="E204" s="8">
        <f t="shared" si="3"/>
        <v>22303011.710000038</v>
      </c>
      <c r="F204" t="s">
        <v>736</v>
      </c>
      <c r="G204" t="s">
        <v>3994</v>
      </c>
    </row>
    <row r="205" spans="1:9" s="14" customFormat="1" hidden="1">
      <c r="A205" s="138">
        <v>44501</v>
      </c>
      <c r="B205" s="14" t="s">
        <v>4416</v>
      </c>
      <c r="C205" s="53">
        <v>0</v>
      </c>
      <c r="D205" s="53">
        <v>143993850</v>
      </c>
      <c r="E205" s="8">
        <f t="shared" si="3"/>
        <v>166296861.71000004</v>
      </c>
      <c r="F205" s="14" t="s">
        <v>581</v>
      </c>
      <c r="G205" s="14" t="s">
        <v>582</v>
      </c>
      <c r="H205" s="14" t="s">
        <v>3016</v>
      </c>
      <c r="I205" s="14">
        <v>62</v>
      </c>
    </row>
    <row r="206" spans="1:9" s="14" customFormat="1" hidden="1">
      <c r="A206" s="138">
        <v>44501</v>
      </c>
      <c r="B206" s="14" t="s">
        <v>4416</v>
      </c>
      <c r="C206" s="53">
        <v>0</v>
      </c>
      <c r="D206" s="53">
        <v>160000000</v>
      </c>
      <c r="E206" s="8">
        <f t="shared" si="3"/>
        <v>326296861.71000004</v>
      </c>
      <c r="F206" s="14" t="s">
        <v>107</v>
      </c>
      <c r="G206" s="14" t="s">
        <v>2886</v>
      </c>
      <c r="H206" s="14" t="s">
        <v>64</v>
      </c>
    </row>
    <row r="207" spans="1:9" s="14" customFormat="1" hidden="1">
      <c r="A207" s="138">
        <v>44501</v>
      </c>
      <c r="B207" s="14" t="s">
        <v>4416</v>
      </c>
      <c r="C207" s="53">
        <v>0</v>
      </c>
      <c r="D207" s="53">
        <f>311779160-D205-D206</f>
        <v>7785310</v>
      </c>
      <c r="E207" s="8">
        <f t="shared" si="3"/>
        <v>334082171.71000004</v>
      </c>
      <c r="F207" s="14" t="s">
        <v>252</v>
      </c>
      <c r="G207" s="14" t="s">
        <v>664</v>
      </c>
      <c r="H207" s="14" t="s">
        <v>64</v>
      </c>
    </row>
    <row r="208" spans="1:9" s="14" customFormat="1" hidden="1">
      <c r="A208" s="138">
        <v>44502</v>
      </c>
      <c r="B208" s="14" t="s">
        <v>2138</v>
      </c>
      <c r="C208" s="53">
        <v>0</v>
      </c>
      <c r="D208" s="53">
        <v>265712986</v>
      </c>
      <c r="E208" s="8">
        <f t="shared" si="3"/>
        <v>599795157.71000004</v>
      </c>
      <c r="F208" s="14" t="s">
        <v>581</v>
      </c>
      <c r="G208" s="14" t="s">
        <v>582</v>
      </c>
      <c r="H208" s="14" t="s">
        <v>2984</v>
      </c>
      <c r="I208" s="14">
        <v>80</v>
      </c>
    </row>
    <row r="209" spans="1:9" hidden="1">
      <c r="A209" s="3">
        <v>44503</v>
      </c>
      <c r="B209" t="s">
        <v>2137</v>
      </c>
      <c r="C209" s="8">
        <v>5920000</v>
      </c>
      <c r="E209" s="8">
        <f t="shared" si="3"/>
        <v>593875157.71000004</v>
      </c>
      <c r="F209" t="s">
        <v>137</v>
      </c>
      <c r="G209" t="s">
        <v>138</v>
      </c>
      <c r="H209" s="14" t="s">
        <v>2990</v>
      </c>
    </row>
    <row r="210" spans="1:9" hidden="1">
      <c r="A210" s="3">
        <v>44504</v>
      </c>
      <c r="B210" t="s">
        <v>2136</v>
      </c>
      <c r="C210" s="8">
        <v>0</v>
      </c>
      <c r="D210" s="8">
        <v>18486363</v>
      </c>
      <c r="E210" s="8">
        <f t="shared" si="3"/>
        <v>612361520.71000004</v>
      </c>
      <c r="F210" t="s">
        <v>581</v>
      </c>
      <c r="G210" t="s">
        <v>582</v>
      </c>
      <c r="H210" s="14" t="s">
        <v>3041</v>
      </c>
      <c r="I210">
        <v>72</v>
      </c>
    </row>
    <row r="211" spans="1:9" s="14" customFormat="1" hidden="1">
      <c r="A211" s="138">
        <v>44504</v>
      </c>
      <c r="B211" s="14" t="s">
        <v>2135</v>
      </c>
      <c r="C211" s="50">
        <v>575000000</v>
      </c>
      <c r="D211" s="50"/>
      <c r="E211" s="8">
        <f t="shared" si="3"/>
        <v>37361520.710000038</v>
      </c>
      <c r="F211" s="14" t="s">
        <v>107</v>
      </c>
      <c r="G211" s="14" t="s">
        <v>144</v>
      </c>
    </row>
    <row r="212" spans="1:9" hidden="1">
      <c r="A212" s="3">
        <v>44505</v>
      </c>
      <c r="B212" t="s">
        <v>2134</v>
      </c>
      <c r="C212" s="8">
        <v>30000</v>
      </c>
      <c r="E212" s="8">
        <f t="shared" si="3"/>
        <v>37331520.710000038</v>
      </c>
      <c r="F212" t="s">
        <v>113</v>
      </c>
      <c r="G212" t="s">
        <v>114</v>
      </c>
    </row>
    <row r="213" spans="1:9" hidden="1">
      <c r="A213" s="3">
        <v>44509</v>
      </c>
      <c r="B213" t="s">
        <v>4413</v>
      </c>
      <c r="C213" s="54">
        <v>0</v>
      </c>
      <c r="D213" s="54">
        <v>143589688.396</v>
      </c>
      <c r="E213" s="8">
        <f t="shared" si="3"/>
        <v>180921209.10600004</v>
      </c>
      <c r="F213" t="s">
        <v>581</v>
      </c>
      <c r="G213" t="s">
        <v>582</v>
      </c>
      <c r="H213" s="14" t="s">
        <v>3036</v>
      </c>
      <c r="I213">
        <v>70</v>
      </c>
    </row>
    <row r="214" spans="1:9" hidden="1">
      <c r="A214" s="3">
        <v>44509</v>
      </c>
      <c r="B214" t="s">
        <v>4413</v>
      </c>
      <c r="C214" s="54">
        <v>0</v>
      </c>
      <c r="D214" s="54">
        <f>258363637-D213</f>
        <v>114773948.604</v>
      </c>
      <c r="E214" s="8">
        <f t="shared" ref="E214:E218" si="4">E213-C214+D214</f>
        <v>295695157.71000004</v>
      </c>
      <c r="F214" t="s">
        <v>110</v>
      </c>
      <c r="G214" t="s">
        <v>118</v>
      </c>
      <c r="H214" s="14" t="s">
        <v>146</v>
      </c>
      <c r="I214" t="s">
        <v>64</v>
      </c>
    </row>
    <row r="215" spans="1:9" s="14" customFormat="1" hidden="1">
      <c r="A215" s="138">
        <v>44509</v>
      </c>
      <c r="B215" s="14" t="s">
        <v>100</v>
      </c>
      <c r="C215" s="50">
        <v>275000000</v>
      </c>
      <c r="D215" s="50">
        <v>0</v>
      </c>
      <c r="E215" s="8">
        <f t="shared" si="4"/>
        <v>20695157.710000038</v>
      </c>
      <c r="F215" s="14" t="s">
        <v>107</v>
      </c>
      <c r="G215" s="14" t="s">
        <v>144</v>
      </c>
    </row>
    <row r="216" spans="1:9" hidden="1">
      <c r="A216" s="3">
        <v>44509</v>
      </c>
      <c r="B216" t="s">
        <v>2133</v>
      </c>
      <c r="C216" s="8">
        <v>2900</v>
      </c>
      <c r="E216" s="8">
        <f t="shared" si="4"/>
        <v>20692257.710000038</v>
      </c>
      <c r="F216" t="s">
        <v>113</v>
      </c>
      <c r="G216" t="s">
        <v>114</v>
      </c>
    </row>
    <row r="217" spans="1:9" hidden="1">
      <c r="A217" s="3">
        <v>44511</v>
      </c>
      <c r="B217" t="s">
        <v>2131</v>
      </c>
      <c r="C217" s="8">
        <v>20685000</v>
      </c>
      <c r="E217" s="8">
        <f t="shared" si="4"/>
        <v>7257.710000038147</v>
      </c>
      <c r="F217" t="s">
        <v>107</v>
      </c>
      <c r="G217" t="s">
        <v>254</v>
      </c>
    </row>
    <row r="218" spans="1:9" hidden="1">
      <c r="A218" s="3">
        <v>44511</v>
      </c>
      <c r="B218" t="s">
        <v>2132</v>
      </c>
      <c r="C218" s="8">
        <v>2900</v>
      </c>
      <c r="E218" s="8">
        <f t="shared" si="4"/>
        <v>4357.710000038147</v>
      </c>
      <c r="F218" t="s">
        <v>113</v>
      </c>
      <c r="G218" t="s">
        <v>114</v>
      </c>
    </row>
    <row r="219" spans="1:9" hidden="1">
      <c r="A219" s="3">
        <v>44515</v>
      </c>
      <c r="B219" t="s">
        <v>3068</v>
      </c>
      <c r="C219" s="54">
        <v>0</v>
      </c>
      <c r="D219" s="54">
        <v>295546636</v>
      </c>
      <c r="E219" s="8">
        <f t="shared" ref="E219" si="5">E218-C219+D219</f>
        <v>295550993.71000004</v>
      </c>
      <c r="F219" t="s">
        <v>581</v>
      </c>
      <c r="G219" t="s">
        <v>582</v>
      </c>
      <c r="H219" s="14" t="s">
        <v>2982</v>
      </c>
      <c r="I219">
        <v>78</v>
      </c>
    </row>
    <row r="220" spans="1:9" hidden="1">
      <c r="A220" s="3">
        <v>44515</v>
      </c>
      <c r="B220" t="s">
        <v>4414</v>
      </c>
      <c r="C220" s="54">
        <v>0</v>
      </c>
      <c r="D220" s="54">
        <v>15000000</v>
      </c>
      <c r="E220" s="8">
        <f t="shared" ref="E220:E232" si="6">E219-C220+D220</f>
        <v>310550993.71000004</v>
      </c>
      <c r="F220" t="s">
        <v>2883</v>
      </c>
      <c r="G220" t="s">
        <v>2883</v>
      </c>
      <c r="H220" t="s">
        <v>64</v>
      </c>
      <c r="I220" t="s">
        <v>64</v>
      </c>
    </row>
    <row r="221" spans="1:9" hidden="1">
      <c r="A221" s="3">
        <v>44515</v>
      </c>
      <c r="B221" t="s">
        <v>4414</v>
      </c>
      <c r="C221" s="54">
        <v>0</v>
      </c>
      <c r="D221" s="54">
        <f>311177636-D219-D220</f>
        <v>631000</v>
      </c>
      <c r="E221" s="8">
        <f t="shared" si="6"/>
        <v>311181993.71000004</v>
      </c>
      <c r="F221" t="s">
        <v>252</v>
      </c>
      <c r="G221" t="s">
        <v>664</v>
      </c>
      <c r="H221" t="s">
        <v>64</v>
      </c>
      <c r="I221" t="s">
        <v>64</v>
      </c>
    </row>
    <row r="222" spans="1:9" hidden="1">
      <c r="A222" s="3">
        <v>44516</v>
      </c>
      <c r="B222" t="s">
        <v>2131</v>
      </c>
      <c r="C222" s="8">
        <v>300000000</v>
      </c>
      <c r="D222" s="8">
        <v>0</v>
      </c>
      <c r="E222" s="8">
        <f t="shared" si="6"/>
        <v>11181993.710000038</v>
      </c>
      <c r="F222" t="s">
        <v>107</v>
      </c>
      <c r="G222" t="s">
        <v>254</v>
      </c>
    </row>
    <row r="223" spans="1:9" hidden="1">
      <c r="A223" s="3">
        <v>44516</v>
      </c>
      <c r="B223" t="s">
        <v>2130</v>
      </c>
      <c r="C223" s="8">
        <v>2900</v>
      </c>
      <c r="E223" s="8">
        <f t="shared" si="6"/>
        <v>11179093.710000038</v>
      </c>
      <c r="F223" t="s">
        <v>113</v>
      </c>
      <c r="G223" t="s">
        <v>114</v>
      </c>
    </row>
    <row r="224" spans="1:9" hidden="1">
      <c r="A224" s="3">
        <v>44516</v>
      </c>
      <c r="B224" t="s">
        <v>2129</v>
      </c>
      <c r="C224" s="8">
        <v>2100000</v>
      </c>
      <c r="E224" s="8">
        <f t="shared" si="6"/>
        <v>9079093.7100000381</v>
      </c>
      <c r="F224" t="s">
        <v>107</v>
      </c>
      <c r="G224" t="s">
        <v>1123</v>
      </c>
      <c r="H224" s="14" t="s">
        <v>64</v>
      </c>
    </row>
    <row r="225" spans="1:9" s="14" customFormat="1" hidden="1">
      <c r="A225" s="138">
        <v>44517</v>
      </c>
      <c r="B225" s="14" t="s">
        <v>100</v>
      </c>
      <c r="C225" s="50">
        <v>9076175</v>
      </c>
      <c r="D225" s="50"/>
      <c r="E225" s="8">
        <f t="shared" si="6"/>
        <v>2918.710000038147</v>
      </c>
      <c r="F225" s="14" t="s">
        <v>107</v>
      </c>
      <c r="G225" s="14" t="s">
        <v>144</v>
      </c>
    </row>
    <row r="226" spans="1:9" hidden="1">
      <c r="A226" s="3">
        <v>44517</v>
      </c>
      <c r="B226" t="s">
        <v>2128</v>
      </c>
      <c r="C226" s="8">
        <v>2900</v>
      </c>
      <c r="E226" s="8">
        <f t="shared" si="6"/>
        <v>18.710000038146973</v>
      </c>
      <c r="F226" t="s">
        <v>113</v>
      </c>
      <c r="G226" t="s">
        <v>114</v>
      </c>
    </row>
    <row r="227" spans="1:9" hidden="1">
      <c r="A227" s="3">
        <v>44518</v>
      </c>
      <c r="B227" t="s">
        <v>2127</v>
      </c>
      <c r="C227" s="8">
        <v>0</v>
      </c>
      <c r="D227" s="8">
        <v>247937100</v>
      </c>
      <c r="E227" s="8">
        <f t="shared" si="6"/>
        <v>247937118.71000004</v>
      </c>
      <c r="F227" t="s">
        <v>581</v>
      </c>
      <c r="G227" t="s">
        <v>582</v>
      </c>
      <c r="H227" s="14" t="s">
        <v>3039</v>
      </c>
      <c r="I227">
        <v>79</v>
      </c>
    </row>
    <row r="228" spans="1:9" hidden="1">
      <c r="A228" s="3">
        <v>44520</v>
      </c>
      <c r="B228" t="s">
        <v>2126</v>
      </c>
      <c r="C228" s="8">
        <v>200000</v>
      </c>
      <c r="E228" s="8">
        <f t="shared" si="6"/>
        <v>247737118.71000004</v>
      </c>
      <c r="F228" t="s">
        <v>113</v>
      </c>
      <c r="G228" t="s">
        <v>114</v>
      </c>
    </row>
    <row r="229" spans="1:9" hidden="1">
      <c r="A229" s="3">
        <v>44520</v>
      </c>
      <c r="B229" t="s">
        <v>2125</v>
      </c>
      <c r="C229" s="8">
        <v>200000</v>
      </c>
      <c r="E229" s="8">
        <f t="shared" si="6"/>
        <v>247537118.71000004</v>
      </c>
      <c r="F229" t="s">
        <v>113</v>
      </c>
      <c r="G229" t="s">
        <v>114</v>
      </c>
    </row>
    <row r="230" spans="1:9" hidden="1">
      <c r="A230" s="3">
        <v>44522</v>
      </c>
      <c r="B230" t="s">
        <v>2124</v>
      </c>
      <c r="C230" s="8">
        <v>247534218</v>
      </c>
      <c r="E230" s="8">
        <f t="shared" si="6"/>
        <v>2900.710000038147</v>
      </c>
      <c r="F230" t="s">
        <v>107</v>
      </c>
      <c r="G230" t="s">
        <v>254</v>
      </c>
    </row>
    <row r="231" spans="1:9" hidden="1">
      <c r="A231" s="3">
        <v>44522</v>
      </c>
      <c r="B231" t="s">
        <v>2123</v>
      </c>
      <c r="C231" s="8">
        <v>2900</v>
      </c>
      <c r="E231" s="8">
        <f t="shared" si="6"/>
        <v>0.71000003814697266</v>
      </c>
      <c r="F231" t="s">
        <v>113</v>
      </c>
      <c r="G231" t="s">
        <v>114</v>
      </c>
    </row>
    <row r="232" spans="1:9" hidden="1">
      <c r="A232" s="3">
        <v>44522</v>
      </c>
      <c r="B232" t="s">
        <v>2122</v>
      </c>
      <c r="C232" s="8">
        <v>0</v>
      </c>
      <c r="D232" s="8">
        <v>191454991</v>
      </c>
      <c r="E232" s="8">
        <f t="shared" si="6"/>
        <v>191454991.71000004</v>
      </c>
      <c r="F232" t="s">
        <v>581</v>
      </c>
      <c r="G232" t="s">
        <v>582</v>
      </c>
      <c r="H232" s="14" t="s">
        <v>3038</v>
      </c>
      <c r="I232">
        <v>75</v>
      </c>
    </row>
    <row r="233" spans="1:9" s="14" customFormat="1" hidden="1">
      <c r="A233" s="138">
        <v>44524</v>
      </c>
      <c r="B233" s="14" t="s">
        <v>2946</v>
      </c>
      <c r="C233" s="50">
        <v>191452091</v>
      </c>
      <c r="D233" s="50">
        <v>0</v>
      </c>
      <c r="E233" s="50">
        <f t="shared" ref="E233:E268" si="7">E232-C233+D233</f>
        <v>2900.710000038147</v>
      </c>
      <c r="F233" s="14" t="s">
        <v>107</v>
      </c>
      <c r="G233" s="14" t="s">
        <v>144</v>
      </c>
      <c r="I233" s="14" t="s">
        <v>64</v>
      </c>
    </row>
    <row r="234" spans="1:9" hidden="1">
      <c r="A234" s="3">
        <v>44524</v>
      </c>
      <c r="B234" t="s">
        <v>2945</v>
      </c>
      <c r="C234" s="8">
        <v>2900</v>
      </c>
      <c r="D234" s="8">
        <v>0</v>
      </c>
      <c r="E234" s="8">
        <f t="shared" si="7"/>
        <v>0.71000003814697266</v>
      </c>
      <c r="F234" t="s">
        <v>113</v>
      </c>
      <c r="G234" t="s">
        <v>114</v>
      </c>
    </row>
    <row r="235" spans="1:9" hidden="1">
      <c r="A235" s="3">
        <v>44525</v>
      </c>
      <c r="B235" t="s">
        <v>192</v>
      </c>
      <c r="D235" s="8">
        <v>121486</v>
      </c>
      <c r="E235" s="8">
        <f t="shared" si="7"/>
        <v>121486.71000003815</v>
      </c>
      <c r="F235" t="s">
        <v>252</v>
      </c>
      <c r="G235" t="s">
        <v>253</v>
      </c>
    </row>
    <row r="236" spans="1:9" hidden="1">
      <c r="A236" s="3">
        <v>44525</v>
      </c>
      <c r="B236" t="s">
        <v>191</v>
      </c>
      <c r="C236" s="8">
        <v>24297</v>
      </c>
      <c r="D236" s="8">
        <v>0</v>
      </c>
      <c r="E236" s="8">
        <f t="shared" si="7"/>
        <v>97189.710000038147</v>
      </c>
      <c r="F236" t="s">
        <v>252</v>
      </c>
      <c r="G236" t="s">
        <v>253</v>
      </c>
    </row>
    <row r="237" spans="1:9" hidden="1">
      <c r="A237" s="3">
        <v>44531</v>
      </c>
      <c r="B237" t="s">
        <v>4111</v>
      </c>
      <c r="C237" s="8">
        <v>0</v>
      </c>
      <c r="D237" s="8">
        <v>14902811</v>
      </c>
      <c r="E237" s="8">
        <f t="shared" si="7"/>
        <v>15000000.710000038</v>
      </c>
      <c r="F237" t="s">
        <v>107</v>
      </c>
      <c r="G237" t="s">
        <v>145</v>
      </c>
    </row>
    <row r="238" spans="1:9" hidden="1">
      <c r="A238" s="3">
        <v>44531</v>
      </c>
      <c r="B238" t="s">
        <v>4415</v>
      </c>
      <c r="C238" s="8">
        <v>15000000</v>
      </c>
      <c r="D238" s="8">
        <v>0</v>
      </c>
      <c r="E238" s="8">
        <f t="shared" si="7"/>
        <v>0.71000003814697266</v>
      </c>
      <c r="F238" t="s">
        <v>2883</v>
      </c>
      <c r="G238" t="s">
        <v>2883</v>
      </c>
      <c r="H238" s="14" t="s">
        <v>64</v>
      </c>
    </row>
    <row r="239" spans="1:9" hidden="1">
      <c r="A239" s="3">
        <v>44538</v>
      </c>
      <c r="B239" t="s">
        <v>4112</v>
      </c>
      <c r="C239" s="8">
        <v>0</v>
      </c>
      <c r="D239" s="8">
        <v>311803738</v>
      </c>
      <c r="E239" s="8">
        <f t="shared" si="7"/>
        <v>311803738.71000004</v>
      </c>
      <c r="F239" t="s">
        <v>581</v>
      </c>
      <c r="G239" t="s">
        <v>582</v>
      </c>
      <c r="H239" s="14" t="s">
        <v>3021</v>
      </c>
      <c r="I239">
        <v>100</v>
      </c>
    </row>
    <row r="240" spans="1:9" hidden="1">
      <c r="A240" s="3">
        <v>44539</v>
      </c>
      <c r="B240" t="s">
        <v>4113</v>
      </c>
      <c r="C240" s="8">
        <v>0</v>
      </c>
      <c r="D240" s="8">
        <v>40473510</v>
      </c>
      <c r="E240" s="8">
        <f t="shared" si="7"/>
        <v>352277248.71000004</v>
      </c>
      <c r="F240" t="s">
        <v>581</v>
      </c>
      <c r="G240" t="s">
        <v>582</v>
      </c>
      <c r="H240" s="14" t="s">
        <v>2990</v>
      </c>
      <c r="I240">
        <v>92</v>
      </c>
    </row>
    <row r="241" spans="1:9" hidden="1">
      <c r="A241" s="3">
        <v>44540</v>
      </c>
      <c r="B241" t="s">
        <v>5082</v>
      </c>
      <c r="C241" s="8">
        <v>24390600</v>
      </c>
      <c r="D241" s="8">
        <v>0</v>
      </c>
      <c r="E241" s="8">
        <f t="shared" si="7"/>
        <v>327886648.71000004</v>
      </c>
      <c r="F241" t="s">
        <v>581</v>
      </c>
      <c r="G241" t="s">
        <v>582</v>
      </c>
      <c r="H241" s="168" t="s">
        <v>3013</v>
      </c>
      <c r="I241">
        <v>44</v>
      </c>
    </row>
    <row r="242" spans="1:9" hidden="1">
      <c r="A242" s="3">
        <v>44540</v>
      </c>
      <c r="B242" t="s">
        <v>4114</v>
      </c>
      <c r="C242" s="8">
        <v>2600000</v>
      </c>
      <c r="D242" s="8">
        <v>0</v>
      </c>
      <c r="E242" s="8">
        <f t="shared" si="7"/>
        <v>325286648.71000004</v>
      </c>
      <c r="F242" t="s">
        <v>137</v>
      </c>
      <c r="G242" t="s">
        <v>138</v>
      </c>
      <c r="H242" s="168" t="s">
        <v>3021</v>
      </c>
    </row>
    <row r="243" spans="1:9" hidden="1">
      <c r="A243" s="3">
        <v>44544</v>
      </c>
      <c r="B243" t="s">
        <v>4900</v>
      </c>
      <c r="C243" s="8">
        <f>4400000-C244</f>
        <v>4000000</v>
      </c>
      <c r="D243" s="8">
        <v>0</v>
      </c>
      <c r="E243" s="8">
        <f t="shared" si="7"/>
        <v>321286648.71000004</v>
      </c>
      <c r="F243" t="s">
        <v>137</v>
      </c>
      <c r="G243" t="s">
        <v>138</v>
      </c>
      <c r="H243" t="s">
        <v>3049</v>
      </c>
    </row>
    <row r="244" spans="1:9">
      <c r="A244" s="3">
        <v>44544</v>
      </c>
      <c r="B244" t="s">
        <v>4900</v>
      </c>
      <c r="C244" s="8">
        <v>400000</v>
      </c>
      <c r="D244" s="8">
        <v>0</v>
      </c>
      <c r="E244" s="8">
        <f t="shared" si="7"/>
        <v>320886648.71000004</v>
      </c>
      <c r="F244" s="82" t="s">
        <v>110</v>
      </c>
      <c r="G244" t="s">
        <v>616</v>
      </c>
      <c r="H244" t="s">
        <v>4621</v>
      </c>
    </row>
    <row r="245" spans="1:9" hidden="1">
      <c r="A245" s="3">
        <v>44544</v>
      </c>
      <c r="B245" t="s">
        <v>4115</v>
      </c>
      <c r="C245" s="8">
        <v>1650000</v>
      </c>
      <c r="D245" s="8">
        <v>0</v>
      </c>
      <c r="E245" s="8">
        <f t="shared" si="7"/>
        <v>319236648.71000004</v>
      </c>
      <c r="F245" t="s">
        <v>137</v>
      </c>
      <c r="G245" t="s">
        <v>138</v>
      </c>
      <c r="H245" s="168" t="s">
        <v>3021</v>
      </c>
    </row>
    <row r="246" spans="1:9" s="14" customFormat="1" hidden="1">
      <c r="A246" s="138">
        <v>44546</v>
      </c>
      <c r="B246" s="14" t="s">
        <v>4487</v>
      </c>
      <c r="C246" s="53">
        <v>0</v>
      </c>
      <c r="D246" s="53">
        <v>91252700</v>
      </c>
      <c r="E246" s="8">
        <f t="shared" si="7"/>
        <v>410489348.71000004</v>
      </c>
      <c r="F246" s="14" t="s">
        <v>581</v>
      </c>
      <c r="G246" s="14" t="s">
        <v>582</v>
      </c>
      <c r="H246" s="14" t="s">
        <v>3025</v>
      </c>
      <c r="I246" s="14">
        <v>91</v>
      </c>
    </row>
    <row r="247" spans="1:9" s="14" customFormat="1" hidden="1">
      <c r="A247" s="138">
        <v>44546</v>
      </c>
      <c r="B247" s="14" t="s">
        <v>4487</v>
      </c>
      <c r="C247" s="53">
        <v>0</v>
      </c>
      <c r="D247" s="53">
        <v>44464281.68</v>
      </c>
      <c r="E247" s="8">
        <f t="shared" si="7"/>
        <v>454953630.39000005</v>
      </c>
      <c r="F247" s="14" t="s">
        <v>581</v>
      </c>
      <c r="G247" s="14" t="s">
        <v>582</v>
      </c>
      <c r="H247" s="14" t="s">
        <v>2998</v>
      </c>
      <c r="I247" s="14">
        <v>101</v>
      </c>
    </row>
    <row r="248" spans="1:9" s="14" customFormat="1" hidden="1">
      <c r="A248" s="138">
        <v>44546</v>
      </c>
      <c r="B248" s="14" t="s">
        <v>4487</v>
      </c>
      <c r="C248" s="53">
        <v>0</v>
      </c>
      <c r="D248" s="53">
        <v>6223000</v>
      </c>
      <c r="E248" s="8">
        <f t="shared" si="7"/>
        <v>461176630.39000005</v>
      </c>
      <c r="F248" s="14" t="s">
        <v>581</v>
      </c>
      <c r="G248" s="14" t="s">
        <v>582</v>
      </c>
      <c r="H248" s="14" t="s">
        <v>2990</v>
      </c>
      <c r="I248" s="14">
        <v>114</v>
      </c>
    </row>
    <row r="249" spans="1:9" s="168" customFormat="1" hidden="1">
      <c r="A249" s="174">
        <v>44546</v>
      </c>
      <c r="B249" s="168" t="s">
        <v>4487</v>
      </c>
      <c r="C249" s="170">
        <v>0</v>
      </c>
      <c r="D249" s="170">
        <f>265619200-D246-D247-D248</f>
        <v>123679218.31999999</v>
      </c>
      <c r="E249" s="170">
        <f t="shared" si="7"/>
        <v>584855848.71000004</v>
      </c>
      <c r="F249" s="168" t="s">
        <v>581</v>
      </c>
      <c r="G249" s="168" t="s">
        <v>582</v>
      </c>
      <c r="H249" s="168" t="s">
        <v>2278</v>
      </c>
      <c r="I249" s="168">
        <v>137</v>
      </c>
    </row>
    <row r="250" spans="1:9" hidden="1">
      <c r="A250" s="3">
        <v>44547</v>
      </c>
      <c r="B250" t="s">
        <v>4116</v>
      </c>
      <c r="C250" s="8">
        <v>388165504.80000001</v>
      </c>
      <c r="D250" s="8">
        <v>0</v>
      </c>
      <c r="E250" s="8">
        <f t="shared" si="7"/>
        <v>196690343.91000003</v>
      </c>
      <c r="F250" t="s">
        <v>137</v>
      </c>
      <c r="G250" t="s">
        <v>138</v>
      </c>
      <c r="H250" s="168" t="s">
        <v>3000</v>
      </c>
    </row>
    <row r="251" spans="1:9" hidden="1">
      <c r="A251" s="3">
        <v>44547</v>
      </c>
      <c r="B251" t="s">
        <v>4117</v>
      </c>
      <c r="C251" s="8">
        <v>217200</v>
      </c>
      <c r="D251" s="8">
        <v>0</v>
      </c>
      <c r="E251" s="8">
        <f t="shared" si="7"/>
        <v>196473143.91000003</v>
      </c>
      <c r="F251" t="s">
        <v>137</v>
      </c>
      <c r="G251" t="s">
        <v>138</v>
      </c>
      <c r="H251" s="168" t="s">
        <v>3000</v>
      </c>
    </row>
    <row r="252" spans="1:9" hidden="1">
      <c r="A252" s="3">
        <v>44547</v>
      </c>
      <c r="B252" t="s">
        <v>4118</v>
      </c>
      <c r="C252" s="8">
        <v>362000</v>
      </c>
      <c r="D252" s="8">
        <v>0</v>
      </c>
      <c r="E252" s="8">
        <f t="shared" si="7"/>
        <v>196111143.91000003</v>
      </c>
      <c r="F252" t="s">
        <v>137</v>
      </c>
      <c r="G252" t="s">
        <v>138</v>
      </c>
      <c r="H252" s="168" t="s">
        <v>3000</v>
      </c>
    </row>
    <row r="253" spans="1:9" hidden="1">
      <c r="A253" s="3">
        <v>44550</v>
      </c>
      <c r="B253" t="s">
        <v>4119</v>
      </c>
      <c r="C253" s="8">
        <v>200000</v>
      </c>
      <c r="D253" s="8">
        <v>0</v>
      </c>
      <c r="E253" s="8">
        <f t="shared" si="7"/>
        <v>195911143.91000003</v>
      </c>
      <c r="F253" t="s">
        <v>113</v>
      </c>
      <c r="G253" t="s">
        <v>114</v>
      </c>
    </row>
    <row r="254" spans="1:9" s="14" customFormat="1" hidden="1">
      <c r="A254" s="138">
        <v>44552</v>
      </c>
      <c r="B254" s="14" t="s">
        <v>4120</v>
      </c>
      <c r="C254" s="53">
        <v>0</v>
      </c>
      <c r="D254" s="53">
        <v>7992000</v>
      </c>
      <c r="E254" s="53">
        <f t="shared" si="7"/>
        <v>203903143.91000003</v>
      </c>
      <c r="F254" s="14" t="s">
        <v>581</v>
      </c>
      <c r="G254" s="14" t="s">
        <v>582</v>
      </c>
      <c r="H254" s="14" t="s">
        <v>3010</v>
      </c>
      <c r="I254" s="14">
        <v>108</v>
      </c>
    </row>
    <row r="255" spans="1:9" hidden="1">
      <c r="A255" s="3">
        <v>44552</v>
      </c>
      <c r="B255" t="s">
        <v>4121</v>
      </c>
      <c r="C255" s="8">
        <v>0</v>
      </c>
      <c r="D255" s="8">
        <v>27111187</v>
      </c>
      <c r="E255" s="8">
        <f t="shared" si="7"/>
        <v>231014330.91000003</v>
      </c>
      <c r="F255" t="s">
        <v>581</v>
      </c>
      <c r="G255" t="s">
        <v>582</v>
      </c>
      <c r="H255" s="14" t="s">
        <v>2996</v>
      </c>
      <c r="I255">
        <v>98</v>
      </c>
    </row>
    <row r="256" spans="1:9" hidden="1">
      <c r="A256" s="3">
        <v>44553</v>
      </c>
      <c r="B256" t="s">
        <v>4122</v>
      </c>
      <c r="C256" s="8">
        <v>200000000</v>
      </c>
      <c r="D256" s="8">
        <v>0</v>
      </c>
      <c r="E256" s="8">
        <f t="shared" si="7"/>
        <v>31014330.910000026</v>
      </c>
      <c r="F256" t="s">
        <v>107</v>
      </c>
      <c r="G256" t="s">
        <v>254</v>
      </c>
    </row>
    <row r="257" spans="1:9" hidden="1">
      <c r="A257" s="3">
        <v>44553</v>
      </c>
      <c r="B257" t="s">
        <v>4123</v>
      </c>
      <c r="C257" s="8">
        <v>2900</v>
      </c>
      <c r="D257" s="8">
        <v>0</v>
      </c>
      <c r="E257" s="8">
        <f t="shared" si="7"/>
        <v>31011430.910000026</v>
      </c>
      <c r="F257" t="s">
        <v>113</v>
      </c>
      <c r="G257" t="s">
        <v>114</v>
      </c>
    </row>
    <row r="258" spans="1:9" hidden="1">
      <c r="A258" s="3">
        <v>44555</v>
      </c>
      <c r="B258" t="s">
        <v>192</v>
      </c>
      <c r="C258" s="8">
        <v>0</v>
      </c>
      <c r="D258" s="8">
        <v>121178</v>
      </c>
      <c r="E258" s="8">
        <f t="shared" si="7"/>
        <v>31132608.910000026</v>
      </c>
      <c r="F258" t="s">
        <v>252</v>
      </c>
      <c r="G258" t="s">
        <v>253</v>
      </c>
    </row>
    <row r="259" spans="1:9" hidden="1">
      <c r="A259" s="3">
        <v>44555</v>
      </c>
      <c r="B259" t="s">
        <v>191</v>
      </c>
      <c r="C259" s="8">
        <v>24236</v>
      </c>
      <c r="D259" s="8">
        <v>0</v>
      </c>
      <c r="E259" s="8">
        <f t="shared" si="7"/>
        <v>31108372.910000026</v>
      </c>
      <c r="F259" t="s">
        <v>252</v>
      </c>
      <c r="G259" t="s">
        <v>253</v>
      </c>
    </row>
    <row r="260" spans="1:9" hidden="1">
      <c r="A260" s="3">
        <v>44558</v>
      </c>
      <c r="B260" t="s">
        <v>100</v>
      </c>
      <c r="C260" s="8">
        <v>30000000</v>
      </c>
      <c r="D260" s="8">
        <v>0</v>
      </c>
      <c r="E260" s="8">
        <f t="shared" si="7"/>
        <v>1108372.9100000262</v>
      </c>
      <c r="F260" t="s">
        <v>107</v>
      </c>
      <c r="G260" t="s">
        <v>144</v>
      </c>
    </row>
    <row r="261" spans="1:9" hidden="1">
      <c r="A261" s="3">
        <v>44558</v>
      </c>
      <c r="B261" t="s">
        <v>4198</v>
      </c>
      <c r="C261" s="8">
        <v>2900</v>
      </c>
      <c r="D261" s="8">
        <v>0</v>
      </c>
      <c r="E261" s="8">
        <f t="shared" si="7"/>
        <v>1105472.9100000262</v>
      </c>
      <c r="F261" t="s">
        <v>113</v>
      </c>
      <c r="G261" t="s">
        <v>114</v>
      </c>
    </row>
    <row r="262" spans="1:9" hidden="1">
      <c r="A262" s="3">
        <v>44560</v>
      </c>
      <c r="B262" t="s">
        <v>332</v>
      </c>
      <c r="C262" s="8">
        <v>0</v>
      </c>
      <c r="D262" s="8">
        <v>1131454546</v>
      </c>
      <c r="E262" s="8">
        <f t="shared" si="7"/>
        <v>1132560018.9100001</v>
      </c>
      <c r="F262" t="s">
        <v>581</v>
      </c>
      <c r="G262" t="s">
        <v>582</v>
      </c>
      <c r="H262" s="14" t="s">
        <v>3049</v>
      </c>
      <c r="I262">
        <v>112</v>
      </c>
    </row>
    <row r="263" spans="1:9" hidden="1">
      <c r="A263" s="3">
        <v>44560</v>
      </c>
      <c r="B263" t="s">
        <v>4199</v>
      </c>
      <c r="C263" s="8">
        <v>750000000</v>
      </c>
      <c r="D263" s="8">
        <v>0</v>
      </c>
      <c r="E263" s="8">
        <f t="shared" si="7"/>
        <v>382560018.91000009</v>
      </c>
      <c r="F263" t="s">
        <v>107</v>
      </c>
      <c r="G263" t="s">
        <v>144</v>
      </c>
    </row>
    <row r="264" spans="1:9" hidden="1">
      <c r="A264" s="3">
        <v>44560</v>
      </c>
      <c r="B264" t="s">
        <v>4200</v>
      </c>
      <c r="C264" s="8">
        <v>300000000</v>
      </c>
      <c r="D264" s="8">
        <v>0</v>
      </c>
      <c r="E264" s="8">
        <f t="shared" si="7"/>
        <v>82560018.910000086</v>
      </c>
      <c r="F264" t="s">
        <v>107</v>
      </c>
      <c r="G264" t="s">
        <v>254</v>
      </c>
    </row>
    <row r="265" spans="1:9" hidden="1">
      <c r="A265" s="3">
        <v>44560</v>
      </c>
      <c r="B265" t="s">
        <v>4201</v>
      </c>
      <c r="C265" s="8">
        <v>30000</v>
      </c>
      <c r="D265" s="8">
        <v>0</v>
      </c>
      <c r="E265" s="8">
        <f t="shared" si="7"/>
        <v>82530018.910000086</v>
      </c>
      <c r="F265" t="s">
        <v>113</v>
      </c>
      <c r="G265" t="s">
        <v>114</v>
      </c>
    </row>
    <row r="266" spans="1:9" hidden="1">
      <c r="A266" s="3">
        <v>44560</v>
      </c>
      <c r="B266" t="s">
        <v>4202</v>
      </c>
      <c r="C266" s="8">
        <v>30000</v>
      </c>
      <c r="D266" s="8">
        <v>0</v>
      </c>
      <c r="E266" s="8">
        <f t="shared" si="7"/>
        <v>82500018.910000086</v>
      </c>
      <c r="F266" t="s">
        <v>113</v>
      </c>
      <c r="G266" t="s">
        <v>114</v>
      </c>
    </row>
    <row r="267" spans="1:9" s="14" customFormat="1" hidden="1">
      <c r="A267" s="138">
        <v>44560</v>
      </c>
      <c r="B267" s="14" t="s">
        <v>4203</v>
      </c>
      <c r="C267" s="53">
        <v>0</v>
      </c>
      <c r="D267" s="53">
        <v>556818182</v>
      </c>
      <c r="E267" s="53">
        <f t="shared" si="7"/>
        <v>639318200.91000009</v>
      </c>
      <c r="F267" s="14" t="s">
        <v>581</v>
      </c>
      <c r="G267" s="14" t="s">
        <v>582</v>
      </c>
      <c r="H267" s="14" t="s">
        <v>2278</v>
      </c>
      <c r="I267" s="14">
        <v>81</v>
      </c>
    </row>
    <row r="268" spans="1:9" hidden="1">
      <c r="A268" s="3">
        <v>44560</v>
      </c>
      <c r="B268" t="s">
        <v>4204</v>
      </c>
      <c r="C268" s="8">
        <v>25805000</v>
      </c>
      <c r="D268" s="8">
        <v>0</v>
      </c>
      <c r="E268" s="8">
        <f t="shared" si="7"/>
        <v>613513200.91000009</v>
      </c>
      <c r="F268" t="s">
        <v>137</v>
      </c>
      <c r="G268" t="s">
        <v>138</v>
      </c>
      <c r="H268" s="168" t="s">
        <v>3021</v>
      </c>
    </row>
    <row r="269" spans="1:9">
      <c r="E269" s="8"/>
    </row>
    <row r="270" spans="1:9">
      <c r="E270" s="8"/>
    </row>
    <row r="271" spans="1:9">
      <c r="E271" s="8"/>
    </row>
    <row r="272" spans="1:9">
      <c r="E272" s="8"/>
    </row>
    <row r="273" spans="3:5">
      <c r="E273" s="8"/>
    </row>
    <row r="274" spans="3:5">
      <c r="E274" s="8"/>
    </row>
    <row r="275" spans="3:5">
      <c r="E275" s="8"/>
    </row>
    <row r="277" spans="3:5">
      <c r="C277" s="8">
        <f>SUBTOTAL(9,C5:C276)</f>
        <v>400000</v>
      </c>
      <c r="D277" s="8">
        <f>SUBTOTAL(9,D5:D276)</f>
        <v>0</v>
      </c>
    </row>
    <row r="278" spans="3:5">
      <c r="D278" s="8">
        <f>D277-C277</f>
        <v>-400000</v>
      </c>
    </row>
  </sheetData>
  <autoFilter ref="A4:I268" xr:uid="{1EB27728-FEE4-974B-8941-E6DFC4C20849}">
    <filterColumn colId="6">
      <filters>
        <filter val="AR Prepaid Tax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CDF0D-7F9B-004B-B064-F2D2072D24B3}">
  <dimension ref="A1:I49"/>
  <sheetViews>
    <sheetView workbookViewId="0">
      <selection activeCell="E46" sqref="E46"/>
    </sheetView>
  </sheetViews>
  <sheetFormatPr baseColWidth="10" defaultRowHeight="16"/>
  <cols>
    <col min="1" max="1" width="10.83203125" style="3"/>
    <col min="2" max="2" width="70" customWidth="1"/>
    <col min="3" max="5" width="18.6640625" style="8" customWidth="1"/>
    <col min="6" max="6" width="17.83203125" customWidth="1"/>
    <col min="7" max="7" width="23.83203125" customWidth="1"/>
    <col min="8" max="8" width="41.83203125" customWidth="1"/>
  </cols>
  <sheetData>
    <row r="1" spans="1:9">
      <c r="A1" s="6" t="s">
        <v>1125</v>
      </c>
      <c r="B1" s="1" t="s">
        <v>1538</v>
      </c>
    </row>
    <row r="2" spans="1:9">
      <c r="A2" s="6" t="s">
        <v>63</v>
      </c>
    </row>
    <row r="4" spans="1:9">
      <c r="A4" s="4" t="s">
        <v>3</v>
      </c>
      <c r="B4" s="1" t="s">
        <v>4</v>
      </c>
      <c r="C4" s="9"/>
      <c r="D4" s="9"/>
      <c r="E4" s="9">
        <v>0</v>
      </c>
    </row>
    <row r="5" spans="1:9">
      <c r="A5" s="3">
        <v>44308</v>
      </c>
      <c r="B5" s="7" t="s">
        <v>1539</v>
      </c>
      <c r="C5" s="8">
        <v>0</v>
      </c>
      <c r="D5" s="8">
        <v>1500000</v>
      </c>
      <c r="E5" s="8">
        <f>E4-C5+D5</f>
        <v>1500000</v>
      </c>
      <c r="F5" t="s">
        <v>107</v>
      </c>
      <c r="G5" t="s">
        <v>1523</v>
      </c>
      <c r="H5" t="s">
        <v>64</v>
      </c>
    </row>
    <row r="6" spans="1:9">
      <c r="A6" s="3">
        <v>44312</v>
      </c>
      <c r="B6" t="s">
        <v>1540</v>
      </c>
      <c r="C6" s="8">
        <v>50000</v>
      </c>
      <c r="D6" s="8">
        <v>0</v>
      </c>
      <c r="E6" s="8">
        <f t="shared" ref="E6:E46" si="0">E5-C6+D6</f>
        <v>1450000</v>
      </c>
      <c r="F6" t="s">
        <v>113</v>
      </c>
      <c r="G6" t="s">
        <v>2887</v>
      </c>
      <c r="H6" t="s">
        <v>64</v>
      </c>
    </row>
    <row r="7" spans="1:9">
      <c r="A7" s="3">
        <v>44312</v>
      </c>
      <c r="B7" t="s">
        <v>1541</v>
      </c>
      <c r="C7" s="8">
        <v>150000</v>
      </c>
      <c r="D7" s="8">
        <v>0</v>
      </c>
      <c r="E7" s="8">
        <f t="shared" si="0"/>
        <v>1300000</v>
      </c>
      <c r="F7" t="s">
        <v>113</v>
      </c>
      <c r="G7" t="s">
        <v>2887</v>
      </c>
      <c r="H7" t="s">
        <v>64</v>
      </c>
    </row>
    <row r="8" spans="1:9">
      <c r="A8" s="3">
        <v>44316</v>
      </c>
      <c r="B8" t="s">
        <v>270</v>
      </c>
      <c r="C8" s="8">
        <v>25000</v>
      </c>
      <c r="D8" s="8">
        <v>0</v>
      </c>
      <c r="E8" s="8">
        <f t="shared" si="0"/>
        <v>1275000</v>
      </c>
      <c r="F8" t="s">
        <v>113</v>
      </c>
      <c r="G8" t="s">
        <v>2887</v>
      </c>
    </row>
    <row r="9" spans="1:9">
      <c r="A9" s="3">
        <v>44322</v>
      </c>
      <c r="B9" t="s">
        <v>2084</v>
      </c>
      <c r="C9" s="8">
        <v>0</v>
      </c>
      <c r="D9" s="8">
        <v>837454546</v>
      </c>
      <c r="E9" s="8">
        <f t="shared" si="0"/>
        <v>838729546</v>
      </c>
      <c r="F9" t="s">
        <v>581</v>
      </c>
      <c r="G9" t="s">
        <v>582</v>
      </c>
      <c r="H9" s="14" t="s">
        <v>1015</v>
      </c>
      <c r="I9">
        <v>14</v>
      </c>
    </row>
    <row r="10" spans="1:9">
      <c r="A10" s="3">
        <v>44326</v>
      </c>
      <c r="B10" t="s">
        <v>3053</v>
      </c>
      <c r="C10" s="8">
        <v>400000000</v>
      </c>
      <c r="D10" s="8">
        <v>0</v>
      </c>
      <c r="E10" s="8">
        <f t="shared" si="0"/>
        <v>438729546</v>
      </c>
      <c r="F10" t="s">
        <v>107</v>
      </c>
      <c r="G10" t="s">
        <v>2947</v>
      </c>
    </row>
    <row r="11" spans="1:9">
      <c r="A11" s="3">
        <v>44326</v>
      </c>
      <c r="B11" t="s">
        <v>3053</v>
      </c>
      <c r="C11" s="8">
        <f>800000000-C10</f>
        <v>400000000</v>
      </c>
      <c r="D11" s="8">
        <v>0</v>
      </c>
      <c r="E11" s="8">
        <f t="shared" si="0"/>
        <v>38729546</v>
      </c>
      <c r="F11" t="s">
        <v>107</v>
      </c>
      <c r="G11" t="s">
        <v>2082</v>
      </c>
    </row>
    <row r="12" spans="1:9">
      <c r="A12" s="3">
        <v>44347</v>
      </c>
      <c r="B12" t="s">
        <v>192</v>
      </c>
      <c r="C12" s="8">
        <v>0</v>
      </c>
      <c r="D12" s="8">
        <v>149545.26999999999</v>
      </c>
      <c r="E12" s="8">
        <f t="shared" si="0"/>
        <v>38879091.270000003</v>
      </c>
      <c r="F12" t="s">
        <v>252</v>
      </c>
      <c r="G12" t="s">
        <v>253</v>
      </c>
    </row>
    <row r="13" spans="1:9">
      <c r="A13" s="3">
        <v>44347</v>
      </c>
      <c r="B13" t="s">
        <v>191</v>
      </c>
      <c r="C13" s="8">
        <v>29909.1</v>
      </c>
      <c r="D13" s="8">
        <v>0</v>
      </c>
      <c r="E13" s="8">
        <f t="shared" si="0"/>
        <v>38849182.170000002</v>
      </c>
      <c r="F13" t="s">
        <v>252</v>
      </c>
      <c r="G13" t="s">
        <v>253</v>
      </c>
      <c r="H13" s="10" t="s">
        <v>64</v>
      </c>
    </row>
    <row r="14" spans="1:9">
      <c r="A14" s="3">
        <v>44347</v>
      </c>
      <c r="B14" t="s">
        <v>270</v>
      </c>
      <c r="C14" s="8">
        <v>25000</v>
      </c>
      <c r="D14" s="8">
        <v>0</v>
      </c>
      <c r="E14" s="8">
        <f t="shared" si="0"/>
        <v>38824182.170000002</v>
      </c>
      <c r="F14" t="s">
        <v>113</v>
      </c>
      <c r="G14" t="s">
        <v>2887</v>
      </c>
    </row>
    <row r="15" spans="1:9">
      <c r="A15" s="3">
        <v>44347</v>
      </c>
      <c r="B15" t="s">
        <v>2085</v>
      </c>
      <c r="C15" s="8">
        <v>10000</v>
      </c>
      <c r="D15" s="8">
        <v>0</v>
      </c>
      <c r="E15" s="8">
        <f t="shared" si="0"/>
        <v>38814182.170000002</v>
      </c>
      <c r="F15" t="s">
        <v>113</v>
      </c>
      <c r="G15" t="s">
        <v>2887</v>
      </c>
    </row>
    <row r="16" spans="1:9">
      <c r="A16" s="3">
        <v>44362</v>
      </c>
      <c r="B16" t="s">
        <v>2087</v>
      </c>
      <c r="C16" s="8">
        <v>0</v>
      </c>
      <c r="D16" s="8">
        <v>385980056</v>
      </c>
      <c r="E16" s="8">
        <f t="shared" si="0"/>
        <v>424794238.17000002</v>
      </c>
      <c r="F16" t="s">
        <v>581</v>
      </c>
      <c r="G16" t="s">
        <v>582</v>
      </c>
      <c r="H16" s="14" t="s">
        <v>1015</v>
      </c>
      <c r="I16">
        <v>29</v>
      </c>
    </row>
    <row r="17" spans="1:7">
      <c r="A17" s="3">
        <v>44363</v>
      </c>
      <c r="B17" t="s">
        <v>2088</v>
      </c>
      <c r="C17" s="8">
        <v>385980056</v>
      </c>
      <c r="D17" s="8">
        <v>0</v>
      </c>
      <c r="E17" s="8">
        <f t="shared" si="0"/>
        <v>38814182.170000017</v>
      </c>
      <c r="F17" s="83" t="s">
        <v>107</v>
      </c>
      <c r="G17" s="14" t="s">
        <v>2947</v>
      </c>
    </row>
    <row r="18" spans="1:7">
      <c r="A18" s="3">
        <v>44377</v>
      </c>
      <c r="B18" t="s">
        <v>192</v>
      </c>
      <c r="D18" s="8">
        <v>27057.53</v>
      </c>
      <c r="E18" s="8">
        <f t="shared" si="0"/>
        <v>38841239.700000018</v>
      </c>
      <c r="F18" t="s">
        <v>252</v>
      </c>
      <c r="G18" t="s">
        <v>253</v>
      </c>
    </row>
    <row r="19" spans="1:7">
      <c r="A19" s="3">
        <v>44377</v>
      </c>
      <c r="B19" t="s">
        <v>191</v>
      </c>
      <c r="C19" s="8">
        <v>5411.5</v>
      </c>
      <c r="D19" s="8">
        <v>0</v>
      </c>
      <c r="E19" s="8">
        <f t="shared" si="0"/>
        <v>38835828.200000018</v>
      </c>
      <c r="F19" t="s">
        <v>252</v>
      </c>
      <c r="G19" t="s">
        <v>253</v>
      </c>
    </row>
    <row r="20" spans="1:7">
      <c r="A20" s="3">
        <v>44377</v>
      </c>
      <c r="B20" t="s">
        <v>2089</v>
      </c>
      <c r="C20" s="8">
        <v>25000</v>
      </c>
      <c r="D20" s="8">
        <v>0</v>
      </c>
      <c r="E20" s="8">
        <f t="shared" si="0"/>
        <v>38810828.200000018</v>
      </c>
      <c r="F20" t="s">
        <v>113</v>
      </c>
      <c r="G20" t="s">
        <v>2887</v>
      </c>
    </row>
    <row r="21" spans="1:7">
      <c r="A21" s="3">
        <v>44377</v>
      </c>
      <c r="B21" t="s">
        <v>2888</v>
      </c>
      <c r="C21" s="8">
        <v>10000</v>
      </c>
      <c r="D21" s="8">
        <v>0</v>
      </c>
      <c r="E21" s="8">
        <f t="shared" si="0"/>
        <v>38800828.200000018</v>
      </c>
      <c r="F21" t="s">
        <v>113</v>
      </c>
      <c r="G21" t="s">
        <v>2887</v>
      </c>
    </row>
    <row r="22" spans="1:7">
      <c r="A22" s="3">
        <v>44408</v>
      </c>
      <c r="B22" t="s">
        <v>192</v>
      </c>
      <c r="C22" s="8">
        <v>0</v>
      </c>
      <c r="D22" s="8">
        <v>16477.060000000001</v>
      </c>
      <c r="E22" s="8">
        <f t="shared" si="0"/>
        <v>38817305.26000002</v>
      </c>
      <c r="F22" t="s">
        <v>252</v>
      </c>
      <c r="G22" t="s">
        <v>253</v>
      </c>
    </row>
    <row r="23" spans="1:7">
      <c r="A23" s="3">
        <v>44408</v>
      </c>
      <c r="B23" t="s">
        <v>191</v>
      </c>
      <c r="C23" s="8">
        <v>3295.3</v>
      </c>
      <c r="D23" s="8">
        <v>0</v>
      </c>
      <c r="E23" s="8">
        <f t="shared" si="0"/>
        <v>38814009.960000023</v>
      </c>
      <c r="F23" t="s">
        <v>252</v>
      </c>
      <c r="G23" t="s">
        <v>253</v>
      </c>
    </row>
    <row r="24" spans="1:7">
      <c r="A24" s="3">
        <v>44408</v>
      </c>
      <c r="B24" t="s">
        <v>2089</v>
      </c>
      <c r="C24" s="8">
        <v>25000</v>
      </c>
      <c r="D24" s="8">
        <v>0</v>
      </c>
      <c r="E24" s="8">
        <f t="shared" si="0"/>
        <v>38789009.960000023</v>
      </c>
      <c r="F24" t="s">
        <v>113</v>
      </c>
      <c r="G24" t="s">
        <v>2887</v>
      </c>
    </row>
    <row r="25" spans="1:7">
      <c r="A25" s="3">
        <v>44408</v>
      </c>
      <c r="B25" t="s">
        <v>2090</v>
      </c>
      <c r="C25" s="8">
        <v>10000</v>
      </c>
      <c r="D25" s="8">
        <v>0</v>
      </c>
      <c r="E25" s="8">
        <f t="shared" si="0"/>
        <v>38779009.960000023</v>
      </c>
      <c r="F25" t="s">
        <v>113</v>
      </c>
      <c r="G25" t="s">
        <v>2887</v>
      </c>
    </row>
    <row r="26" spans="1:7">
      <c r="A26" s="3">
        <v>44439</v>
      </c>
      <c r="B26" t="s">
        <v>192</v>
      </c>
      <c r="C26" s="8">
        <v>0</v>
      </c>
      <c r="D26" s="8">
        <v>16467.8</v>
      </c>
      <c r="E26" s="8">
        <f t="shared" si="0"/>
        <v>38795477.76000002</v>
      </c>
      <c r="F26" t="s">
        <v>252</v>
      </c>
      <c r="G26" t="s">
        <v>253</v>
      </c>
    </row>
    <row r="27" spans="1:7">
      <c r="A27" s="3">
        <v>44439</v>
      </c>
      <c r="B27" t="s">
        <v>191</v>
      </c>
      <c r="C27" s="8">
        <v>3293.44</v>
      </c>
      <c r="D27" s="8">
        <v>0</v>
      </c>
      <c r="E27" s="8">
        <f t="shared" si="0"/>
        <v>38792184.320000023</v>
      </c>
      <c r="F27" t="s">
        <v>252</v>
      </c>
      <c r="G27" t="s">
        <v>253</v>
      </c>
    </row>
    <row r="28" spans="1:7">
      <c r="A28" s="3">
        <v>44439</v>
      </c>
      <c r="B28" t="s">
        <v>270</v>
      </c>
      <c r="C28" s="8">
        <v>25000</v>
      </c>
      <c r="D28" s="8">
        <v>0</v>
      </c>
      <c r="E28" s="8">
        <f t="shared" si="0"/>
        <v>38767184.320000023</v>
      </c>
      <c r="F28" t="s">
        <v>113</v>
      </c>
      <c r="G28" t="s">
        <v>2887</v>
      </c>
    </row>
    <row r="29" spans="1:7">
      <c r="A29" s="3">
        <v>44439</v>
      </c>
      <c r="B29" t="s">
        <v>2085</v>
      </c>
      <c r="C29" s="8">
        <v>10000</v>
      </c>
      <c r="D29" s="8">
        <v>0</v>
      </c>
      <c r="E29" s="8">
        <f t="shared" si="0"/>
        <v>38757184.320000023</v>
      </c>
      <c r="F29" t="s">
        <v>113</v>
      </c>
      <c r="G29" t="s">
        <v>2887</v>
      </c>
    </row>
    <row r="30" spans="1:7">
      <c r="A30" s="3">
        <v>44448</v>
      </c>
      <c r="B30" t="s">
        <v>2086</v>
      </c>
      <c r="C30" s="8">
        <v>7000</v>
      </c>
      <c r="D30" s="8">
        <v>0</v>
      </c>
      <c r="E30" s="8">
        <f t="shared" si="0"/>
        <v>38750184.320000023</v>
      </c>
      <c r="F30" t="s">
        <v>113</v>
      </c>
      <c r="G30" t="s">
        <v>2887</v>
      </c>
    </row>
    <row r="31" spans="1:7">
      <c r="A31" s="3">
        <v>44469</v>
      </c>
      <c r="B31" t="s">
        <v>192</v>
      </c>
      <c r="C31" s="8">
        <v>0</v>
      </c>
      <c r="D31" s="8">
        <v>15925.5</v>
      </c>
      <c r="E31" s="8">
        <f t="shared" si="0"/>
        <v>38766109.820000023</v>
      </c>
      <c r="F31" t="s">
        <v>252</v>
      </c>
      <c r="G31" t="s">
        <v>253</v>
      </c>
    </row>
    <row r="32" spans="1:7">
      <c r="A32" s="3">
        <v>44469</v>
      </c>
      <c r="B32" t="s">
        <v>191</v>
      </c>
      <c r="C32" s="8">
        <v>3184.96</v>
      </c>
      <c r="D32" s="8">
        <v>0</v>
      </c>
      <c r="E32" s="8">
        <f t="shared" si="0"/>
        <v>38762924.860000022</v>
      </c>
      <c r="F32" t="s">
        <v>252</v>
      </c>
      <c r="G32" t="s">
        <v>253</v>
      </c>
    </row>
    <row r="33" spans="1:7">
      <c r="A33" s="3">
        <v>44469</v>
      </c>
      <c r="B33" t="s">
        <v>270</v>
      </c>
      <c r="C33" s="8">
        <v>25000</v>
      </c>
      <c r="D33" s="8">
        <v>0</v>
      </c>
      <c r="E33" s="8">
        <f t="shared" si="0"/>
        <v>38737924.860000022</v>
      </c>
      <c r="F33" t="s">
        <v>113</v>
      </c>
      <c r="G33" t="s">
        <v>2887</v>
      </c>
    </row>
    <row r="34" spans="1:7">
      <c r="A34" s="3">
        <v>44469</v>
      </c>
      <c r="B34" t="s">
        <v>2085</v>
      </c>
      <c r="C34" s="8">
        <v>10000</v>
      </c>
      <c r="D34" s="8">
        <v>0</v>
      </c>
      <c r="E34" s="8">
        <f t="shared" si="0"/>
        <v>38727924.860000022</v>
      </c>
      <c r="F34" t="s">
        <v>113</v>
      </c>
      <c r="G34" t="s">
        <v>2887</v>
      </c>
    </row>
    <row r="35" spans="1:7">
      <c r="A35" s="3">
        <v>44500</v>
      </c>
      <c r="B35" t="s">
        <v>192</v>
      </c>
      <c r="C35" s="8">
        <v>0</v>
      </c>
      <c r="D35" s="8">
        <v>16446.11</v>
      </c>
      <c r="E35" s="8">
        <f t="shared" si="0"/>
        <v>38744370.970000021</v>
      </c>
      <c r="F35" t="s">
        <v>252</v>
      </c>
      <c r="G35" t="s">
        <v>253</v>
      </c>
    </row>
    <row r="36" spans="1:7">
      <c r="A36" s="3">
        <v>44500</v>
      </c>
      <c r="B36" t="s">
        <v>191</v>
      </c>
      <c r="C36" s="8">
        <v>3289.1</v>
      </c>
      <c r="D36" s="8">
        <v>0</v>
      </c>
      <c r="E36" s="8">
        <f t="shared" si="0"/>
        <v>38741081.87000002</v>
      </c>
      <c r="F36" t="s">
        <v>252</v>
      </c>
      <c r="G36" t="s">
        <v>253</v>
      </c>
    </row>
    <row r="37" spans="1:7">
      <c r="A37" s="3">
        <v>44500</v>
      </c>
      <c r="B37" t="s">
        <v>270</v>
      </c>
      <c r="C37" s="8">
        <v>25000</v>
      </c>
      <c r="D37" s="8">
        <v>0</v>
      </c>
      <c r="E37" s="8">
        <f t="shared" si="0"/>
        <v>38716081.87000002</v>
      </c>
      <c r="F37" t="s">
        <v>113</v>
      </c>
      <c r="G37" t="s">
        <v>2887</v>
      </c>
    </row>
    <row r="38" spans="1:7">
      <c r="A38" s="3">
        <v>44500</v>
      </c>
      <c r="B38" t="s">
        <v>2085</v>
      </c>
      <c r="C38" s="8">
        <v>10000</v>
      </c>
      <c r="D38" s="8">
        <v>0</v>
      </c>
      <c r="E38" s="8">
        <f t="shared" si="0"/>
        <v>38706081.87000002</v>
      </c>
      <c r="F38" t="s">
        <v>113</v>
      </c>
      <c r="G38" t="s">
        <v>2887</v>
      </c>
    </row>
    <row r="39" spans="1:7">
      <c r="A39" s="3">
        <v>44530</v>
      </c>
      <c r="B39" t="s">
        <v>192</v>
      </c>
      <c r="C39" s="8">
        <v>0</v>
      </c>
      <c r="D39" s="8">
        <v>15906.61</v>
      </c>
      <c r="E39" s="8">
        <f t="shared" si="0"/>
        <v>38721988.480000019</v>
      </c>
      <c r="F39" t="s">
        <v>252</v>
      </c>
      <c r="G39" t="s">
        <v>253</v>
      </c>
    </row>
    <row r="40" spans="1:7">
      <c r="A40" s="3">
        <v>44530</v>
      </c>
      <c r="B40" t="s">
        <v>191</v>
      </c>
      <c r="C40" s="8">
        <v>3181.2</v>
      </c>
      <c r="D40" s="8">
        <v>0</v>
      </c>
      <c r="E40" s="8">
        <f t="shared" si="0"/>
        <v>38718807.280000016</v>
      </c>
      <c r="F40" t="s">
        <v>252</v>
      </c>
      <c r="G40" t="s">
        <v>253</v>
      </c>
    </row>
    <row r="41" spans="1:7">
      <c r="A41" s="3">
        <v>44530</v>
      </c>
      <c r="B41" t="s">
        <v>270</v>
      </c>
      <c r="C41" s="8">
        <v>25000</v>
      </c>
      <c r="D41" s="8">
        <v>0</v>
      </c>
      <c r="E41" s="8">
        <f t="shared" si="0"/>
        <v>38693807.280000016</v>
      </c>
      <c r="F41" t="s">
        <v>113</v>
      </c>
      <c r="G41" t="s">
        <v>2887</v>
      </c>
    </row>
    <row r="42" spans="1:7">
      <c r="A42" s="3">
        <v>44530</v>
      </c>
      <c r="B42" t="s">
        <v>2085</v>
      </c>
      <c r="C42" s="8">
        <v>10000</v>
      </c>
      <c r="D42" s="8">
        <v>0</v>
      </c>
      <c r="E42" s="8">
        <f t="shared" si="0"/>
        <v>38683807.280000016</v>
      </c>
      <c r="F42" t="s">
        <v>113</v>
      </c>
      <c r="G42" t="s">
        <v>2887</v>
      </c>
    </row>
    <row r="43" spans="1:7">
      <c r="A43" s="3">
        <v>44561</v>
      </c>
      <c r="B43" t="s">
        <v>192</v>
      </c>
      <c r="C43" s="8">
        <v>0</v>
      </c>
      <c r="D43" s="8">
        <v>8213.68</v>
      </c>
      <c r="E43" s="8">
        <f t="shared" si="0"/>
        <v>38692020.960000016</v>
      </c>
      <c r="F43" t="s">
        <v>252</v>
      </c>
      <c r="G43" t="s">
        <v>253</v>
      </c>
    </row>
    <row r="44" spans="1:7">
      <c r="A44" s="3">
        <v>44561</v>
      </c>
      <c r="B44" t="s">
        <v>191</v>
      </c>
      <c r="C44" s="8">
        <v>1642.69</v>
      </c>
      <c r="D44" s="8">
        <v>0</v>
      </c>
      <c r="E44" s="8">
        <f t="shared" si="0"/>
        <v>38690378.270000018</v>
      </c>
      <c r="F44" t="s">
        <v>252</v>
      </c>
      <c r="G44" t="s">
        <v>253</v>
      </c>
    </row>
    <row r="45" spans="1:7">
      <c r="A45" s="3">
        <v>44561</v>
      </c>
      <c r="B45" t="s">
        <v>2089</v>
      </c>
      <c r="C45" s="8">
        <v>25000</v>
      </c>
      <c r="D45" s="8">
        <v>0</v>
      </c>
      <c r="E45" s="8">
        <f t="shared" si="0"/>
        <v>38665378.270000018</v>
      </c>
      <c r="F45" t="s">
        <v>113</v>
      </c>
      <c r="G45" t="s">
        <v>2887</v>
      </c>
    </row>
    <row r="46" spans="1:7">
      <c r="A46" s="3">
        <v>44561</v>
      </c>
      <c r="B46" t="s">
        <v>2085</v>
      </c>
      <c r="C46" s="8">
        <v>10000</v>
      </c>
      <c r="D46" s="8">
        <v>0</v>
      </c>
      <c r="E46" s="8">
        <f t="shared" si="0"/>
        <v>38655378.270000018</v>
      </c>
      <c r="F46" t="s">
        <v>113</v>
      </c>
      <c r="G46" t="s">
        <v>2887</v>
      </c>
    </row>
    <row r="48" spans="1:7">
      <c r="C48" s="8">
        <f>SUBTOTAL(9,C5:C47)</f>
        <v>1186545263.29</v>
      </c>
      <c r="D48" s="8">
        <f>SUBTOTAL(9,D5:D47)</f>
        <v>1225200641.5599997</v>
      </c>
    </row>
    <row r="49" spans="4:4">
      <c r="D49" s="8">
        <f>D48-C48</f>
        <v>38655378.269999743</v>
      </c>
    </row>
  </sheetData>
  <autoFilter ref="A4:I46" xr:uid="{87ACA4AA-1527-0E47-A722-08C8A90785D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BF08-7736-DA47-BE3F-737B32FF87AE}">
  <dimension ref="A1:I539"/>
  <sheetViews>
    <sheetView topLeftCell="A524" zoomScale="94" workbookViewId="0">
      <selection activeCell="F356" sqref="F356"/>
    </sheetView>
  </sheetViews>
  <sheetFormatPr baseColWidth="10" defaultRowHeight="16"/>
  <cols>
    <col min="1" max="1" width="10.83203125" style="3"/>
    <col min="2" max="2" width="68.83203125" customWidth="1"/>
    <col min="3" max="5" width="17.5" style="8" customWidth="1"/>
    <col min="6" max="6" width="19" customWidth="1"/>
    <col min="7" max="7" width="31.6640625" customWidth="1"/>
    <col min="8" max="8" width="39" customWidth="1"/>
  </cols>
  <sheetData>
    <row r="1" spans="1:8">
      <c r="A1" s="6" t="s">
        <v>104</v>
      </c>
    </row>
    <row r="2" spans="1:8">
      <c r="A2" s="6" t="s">
        <v>105</v>
      </c>
    </row>
    <row r="4" spans="1:8">
      <c r="A4" s="4" t="s">
        <v>3</v>
      </c>
      <c r="B4" s="1" t="s">
        <v>4</v>
      </c>
      <c r="C4" s="9"/>
      <c r="D4" s="9"/>
      <c r="E4" s="9">
        <v>75821</v>
      </c>
    </row>
    <row r="5" spans="1:8">
      <c r="A5" s="3">
        <v>44208</v>
      </c>
      <c r="B5" t="s">
        <v>24</v>
      </c>
      <c r="C5" s="8">
        <v>0</v>
      </c>
      <c r="D5" s="8">
        <v>2929129</v>
      </c>
      <c r="E5" s="8">
        <f>E4-C5+D5</f>
        <v>3004950</v>
      </c>
      <c r="F5" t="s">
        <v>107</v>
      </c>
      <c r="G5" t="s">
        <v>129</v>
      </c>
    </row>
    <row r="6" spans="1:8">
      <c r="A6" s="3">
        <v>44214</v>
      </c>
      <c r="B6" t="s">
        <v>631</v>
      </c>
      <c r="C6" s="8">
        <v>325000</v>
      </c>
      <c r="D6" s="8">
        <v>0</v>
      </c>
      <c r="E6" s="8">
        <f t="shared" ref="E6:E69" si="0">E5-C6+D6</f>
        <v>2679950</v>
      </c>
      <c r="F6" t="s">
        <v>115</v>
      </c>
      <c r="G6" t="s">
        <v>120</v>
      </c>
      <c r="H6" t="s">
        <v>371</v>
      </c>
    </row>
    <row r="7" spans="1:8">
      <c r="A7" s="3">
        <v>44214</v>
      </c>
      <c r="B7" t="s">
        <v>632</v>
      </c>
      <c r="C7" s="8">
        <v>185000</v>
      </c>
      <c r="D7" s="8">
        <v>0</v>
      </c>
      <c r="E7" s="8">
        <f t="shared" si="0"/>
        <v>2494950</v>
      </c>
      <c r="F7" t="s">
        <v>319</v>
      </c>
      <c r="G7" t="s">
        <v>647</v>
      </c>
    </row>
    <row r="8" spans="1:8">
      <c r="A8" s="3">
        <v>44214</v>
      </c>
      <c r="B8" t="s">
        <v>633</v>
      </c>
      <c r="C8" s="8">
        <v>500000</v>
      </c>
      <c r="D8" s="8">
        <v>0</v>
      </c>
      <c r="E8" s="8">
        <f t="shared" si="0"/>
        <v>1994950</v>
      </c>
      <c r="F8" t="s">
        <v>319</v>
      </c>
      <c r="G8" t="s">
        <v>117</v>
      </c>
    </row>
    <row r="9" spans="1:8">
      <c r="A9" s="3">
        <v>44214</v>
      </c>
      <c r="B9" t="s">
        <v>634</v>
      </c>
      <c r="C9" s="8">
        <v>242000</v>
      </c>
      <c r="D9" s="8">
        <v>0</v>
      </c>
      <c r="E9" s="8">
        <f t="shared" si="0"/>
        <v>1752950</v>
      </c>
      <c r="F9" t="s">
        <v>319</v>
      </c>
      <c r="G9" t="s">
        <v>117</v>
      </c>
    </row>
    <row r="10" spans="1:8">
      <c r="A10" s="3">
        <v>44214</v>
      </c>
      <c r="B10" t="s">
        <v>635</v>
      </c>
      <c r="C10" s="8">
        <v>100500</v>
      </c>
      <c r="D10" s="8">
        <v>0</v>
      </c>
      <c r="E10" s="8">
        <f t="shared" si="0"/>
        <v>1652450</v>
      </c>
      <c r="F10" t="s">
        <v>319</v>
      </c>
      <c r="G10" t="s">
        <v>117</v>
      </c>
    </row>
    <row r="11" spans="1:8">
      <c r="A11" s="3">
        <v>44214</v>
      </c>
      <c r="B11" t="s">
        <v>636</v>
      </c>
      <c r="C11" s="8">
        <v>114500</v>
      </c>
      <c r="D11" s="8">
        <v>0</v>
      </c>
      <c r="E11" s="8">
        <f t="shared" si="0"/>
        <v>1537950</v>
      </c>
      <c r="F11" t="s">
        <v>115</v>
      </c>
      <c r="G11" t="s">
        <v>120</v>
      </c>
      <c r="H11" t="s">
        <v>371</v>
      </c>
    </row>
    <row r="12" spans="1:8">
      <c r="A12" s="3">
        <v>44214</v>
      </c>
      <c r="B12" t="s">
        <v>637</v>
      </c>
      <c r="C12" s="8">
        <v>195000</v>
      </c>
      <c r="D12" s="8">
        <v>0</v>
      </c>
      <c r="E12" s="8">
        <f t="shared" si="0"/>
        <v>1342950</v>
      </c>
      <c r="F12" t="s">
        <v>248</v>
      </c>
      <c r="G12" t="s">
        <v>391</v>
      </c>
    </row>
    <row r="13" spans="1:8">
      <c r="A13" s="3">
        <v>44214</v>
      </c>
      <c r="B13" t="s">
        <v>638</v>
      </c>
      <c r="C13" s="8">
        <v>14000</v>
      </c>
      <c r="D13" s="8">
        <v>0</v>
      </c>
      <c r="E13" s="8">
        <f t="shared" si="0"/>
        <v>1328950</v>
      </c>
      <c r="F13" t="s">
        <v>319</v>
      </c>
      <c r="G13" t="s">
        <v>453</v>
      </c>
    </row>
    <row r="14" spans="1:8">
      <c r="A14" s="3">
        <v>44214</v>
      </c>
      <c r="B14" t="s">
        <v>639</v>
      </c>
      <c r="C14" s="8">
        <v>24000</v>
      </c>
      <c r="D14" s="8">
        <v>0</v>
      </c>
      <c r="E14" s="8">
        <f t="shared" si="0"/>
        <v>1304950</v>
      </c>
      <c r="F14" t="s">
        <v>115</v>
      </c>
      <c r="G14" t="s">
        <v>120</v>
      </c>
      <c r="H14" t="s">
        <v>371</v>
      </c>
    </row>
    <row r="15" spans="1:8">
      <c r="A15" s="3">
        <v>44214</v>
      </c>
      <c r="B15" t="s">
        <v>640</v>
      </c>
      <c r="C15" s="8">
        <v>15900</v>
      </c>
      <c r="D15" s="8">
        <v>0</v>
      </c>
      <c r="E15" s="8">
        <f t="shared" si="0"/>
        <v>1289050</v>
      </c>
      <c r="F15" t="s">
        <v>319</v>
      </c>
      <c r="G15" t="s">
        <v>453</v>
      </c>
    </row>
    <row r="16" spans="1:8">
      <c r="A16" s="3">
        <v>44214</v>
      </c>
      <c r="B16" t="s">
        <v>641</v>
      </c>
      <c r="C16" s="8">
        <v>40000</v>
      </c>
      <c r="D16" s="8">
        <v>0</v>
      </c>
      <c r="E16" s="8">
        <f t="shared" si="0"/>
        <v>1249050</v>
      </c>
      <c r="F16" t="s">
        <v>319</v>
      </c>
      <c r="G16" t="s">
        <v>453</v>
      </c>
    </row>
    <row r="17" spans="1:8">
      <c r="A17" s="3">
        <v>44214</v>
      </c>
      <c r="B17" t="s">
        <v>642</v>
      </c>
      <c r="C17" s="8">
        <v>180000</v>
      </c>
      <c r="D17" s="8">
        <v>0</v>
      </c>
      <c r="E17" s="8">
        <f t="shared" si="0"/>
        <v>1069050</v>
      </c>
      <c r="F17" t="s">
        <v>319</v>
      </c>
      <c r="G17" t="s">
        <v>648</v>
      </c>
    </row>
    <row r="18" spans="1:8">
      <c r="A18" s="3">
        <v>44214</v>
      </c>
      <c r="B18" t="s">
        <v>643</v>
      </c>
      <c r="C18" s="8">
        <v>140000</v>
      </c>
      <c r="D18" s="8">
        <v>0</v>
      </c>
      <c r="E18" s="8">
        <f t="shared" si="0"/>
        <v>929050</v>
      </c>
      <c r="F18" t="s">
        <v>248</v>
      </c>
      <c r="G18" t="s">
        <v>391</v>
      </c>
    </row>
    <row r="19" spans="1:8">
      <c r="A19" s="3">
        <v>44214</v>
      </c>
      <c r="B19" t="s">
        <v>644</v>
      </c>
      <c r="C19" s="8">
        <v>141000</v>
      </c>
      <c r="D19" s="8">
        <v>0</v>
      </c>
      <c r="E19" s="8">
        <f t="shared" si="0"/>
        <v>788050</v>
      </c>
      <c r="F19" t="s">
        <v>319</v>
      </c>
      <c r="G19" t="s">
        <v>117</v>
      </c>
    </row>
    <row r="20" spans="1:8">
      <c r="A20" s="3">
        <v>44214</v>
      </c>
      <c r="B20" t="s">
        <v>645</v>
      </c>
      <c r="C20" s="8">
        <v>300000</v>
      </c>
      <c r="D20" s="8">
        <v>0</v>
      </c>
      <c r="E20" s="8">
        <f t="shared" si="0"/>
        <v>488050</v>
      </c>
      <c r="F20" t="s">
        <v>319</v>
      </c>
      <c r="G20" t="s">
        <v>117</v>
      </c>
    </row>
    <row r="21" spans="1:8">
      <c r="A21" s="3">
        <v>44214</v>
      </c>
      <c r="B21" t="s">
        <v>646</v>
      </c>
      <c r="C21" s="8">
        <v>393500</v>
      </c>
      <c r="D21" s="8">
        <v>0</v>
      </c>
      <c r="E21" s="8">
        <f t="shared" si="0"/>
        <v>94550</v>
      </c>
      <c r="F21" t="s">
        <v>319</v>
      </c>
      <c r="G21" t="s">
        <v>117</v>
      </c>
    </row>
    <row r="22" spans="1:8">
      <c r="A22" s="3">
        <v>44216</v>
      </c>
      <c r="B22" s="7" t="s">
        <v>24</v>
      </c>
      <c r="C22" s="8">
        <v>0</v>
      </c>
      <c r="D22" s="8">
        <v>2910400</v>
      </c>
      <c r="E22" s="8">
        <f t="shared" si="0"/>
        <v>3004950</v>
      </c>
      <c r="F22" t="s">
        <v>107</v>
      </c>
      <c r="G22" t="s">
        <v>129</v>
      </c>
    </row>
    <row r="23" spans="1:8">
      <c r="A23" s="3">
        <v>44226</v>
      </c>
      <c r="B23" t="s">
        <v>649</v>
      </c>
      <c r="C23" s="8">
        <v>325000</v>
      </c>
      <c r="D23" s="8">
        <v>0</v>
      </c>
      <c r="E23" s="8">
        <f t="shared" si="0"/>
        <v>2679950</v>
      </c>
      <c r="F23" t="s">
        <v>137</v>
      </c>
      <c r="G23" t="s">
        <v>138</v>
      </c>
      <c r="H23" s="168" t="s">
        <v>173</v>
      </c>
    </row>
    <row r="24" spans="1:8">
      <c r="A24" s="3">
        <v>44226</v>
      </c>
      <c r="B24" t="s">
        <v>650</v>
      </c>
      <c r="C24" s="8">
        <v>375000</v>
      </c>
      <c r="D24" s="8">
        <v>0</v>
      </c>
      <c r="E24" s="8">
        <f t="shared" si="0"/>
        <v>2304950</v>
      </c>
      <c r="F24" t="s">
        <v>115</v>
      </c>
      <c r="G24" t="s">
        <v>120</v>
      </c>
      <c r="H24" t="s">
        <v>371</v>
      </c>
    </row>
    <row r="25" spans="1:8">
      <c r="A25" s="3">
        <v>44226</v>
      </c>
      <c r="B25" t="s">
        <v>651</v>
      </c>
      <c r="C25" s="8">
        <v>661500</v>
      </c>
      <c r="D25" s="8">
        <v>0</v>
      </c>
      <c r="E25" s="8">
        <f t="shared" si="0"/>
        <v>1643450</v>
      </c>
      <c r="F25" t="s">
        <v>319</v>
      </c>
      <c r="G25" t="s">
        <v>454</v>
      </c>
    </row>
    <row r="26" spans="1:8">
      <c r="A26" s="3">
        <v>44226</v>
      </c>
      <c r="B26" t="s">
        <v>652</v>
      </c>
      <c r="C26" s="8">
        <v>100000</v>
      </c>
      <c r="D26" s="8">
        <v>0</v>
      </c>
      <c r="E26" s="8">
        <f t="shared" si="0"/>
        <v>1543450</v>
      </c>
      <c r="F26" t="s">
        <v>319</v>
      </c>
      <c r="G26" t="s">
        <v>117</v>
      </c>
    </row>
    <row r="27" spans="1:8">
      <c r="A27" s="3">
        <v>44226</v>
      </c>
      <c r="B27" t="s">
        <v>653</v>
      </c>
      <c r="C27" s="8">
        <v>141000</v>
      </c>
      <c r="D27" s="8">
        <v>0</v>
      </c>
      <c r="E27" s="8">
        <f t="shared" si="0"/>
        <v>1402450</v>
      </c>
      <c r="F27" t="s">
        <v>319</v>
      </c>
      <c r="G27" t="s">
        <v>117</v>
      </c>
    </row>
    <row r="28" spans="1:8">
      <c r="A28" s="3">
        <v>44226</v>
      </c>
      <c r="B28" t="s">
        <v>654</v>
      </c>
      <c r="C28" s="8">
        <v>60000</v>
      </c>
      <c r="D28" s="8">
        <v>0</v>
      </c>
      <c r="E28" s="8">
        <f t="shared" si="0"/>
        <v>1342450</v>
      </c>
      <c r="F28" t="s">
        <v>319</v>
      </c>
      <c r="G28" t="s">
        <v>117</v>
      </c>
    </row>
    <row r="29" spans="1:8">
      <c r="A29" s="3">
        <v>44226</v>
      </c>
      <c r="B29" t="s">
        <v>655</v>
      </c>
      <c r="C29" s="8">
        <v>300000</v>
      </c>
      <c r="D29" s="8">
        <v>0</v>
      </c>
      <c r="E29" s="8">
        <f t="shared" si="0"/>
        <v>1042450</v>
      </c>
      <c r="F29" t="s">
        <v>319</v>
      </c>
      <c r="G29" t="s">
        <v>117</v>
      </c>
    </row>
    <row r="30" spans="1:8">
      <c r="A30" s="3">
        <v>44226</v>
      </c>
      <c r="B30" t="s">
        <v>656</v>
      </c>
      <c r="C30" s="8">
        <v>175500</v>
      </c>
      <c r="D30" s="8">
        <v>0</v>
      </c>
      <c r="E30" s="8">
        <f t="shared" si="0"/>
        <v>866950</v>
      </c>
      <c r="F30" t="s">
        <v>137</v>
      </c>
      <c r="G30" t="s">
        <v>138</v>
      </c>
      <c r="H30" t="s">
        <v>393</v>
      </c>
    </row>
    <row r="31" spans="1:8">
      <c r="A31" s="3">
        <v>44226</v>
      </c>
      <c r="B31" t="s">
        <v>657</v>
      </c>
      <c r="C31" s="8">
        <v>67800</v>
      </c>
      <c r="D31" s="8">
        <v>0</v>
      </c>
      <c r="E31" s="8">
        <f t="shared" si="0"/>
        <v>799150</v>
      </c>
      <c r="F31" t="s">
        <v>137</v>
      </c>
      <c r="G31" t="s">
        <v>138</v>
      </c>
      <c r="H31" t="s">
        <v>393</v>
      </c>
    </row>
    <row r="32" spans="1:8">
      <c r="A32" s="3">
        <v>44226</v>
      </c>
      <c r="B32" t="s">
        <v>658</v>
      </c>
      <c r="C32" s="8">
        <v>28300</v>
      </c>
      <c r="D32" s="8">
        <v>0</v>
      </c>
      <c r="E32" s="8">
        <f t="shared" si="0"/>
        <v>770850</v>
      </c>
      <c r="F32" t="s">
        <v>137</v>
      </c>
      <c r="G32" t="s">
        <v>138</v>
      </c>
      <c r="H32" s="168" t="s">
        <v>173</v>
      </c>
    </row>
    <row r="33" spans="1:8">
      <c r="A33" s="3">
        <v>44226</v>
      </c>
      <c r="B33" t="s">
        <v>659</v>
      </c>
      <c r="C33" s="8">
        <v>20000</v>
      </c>
      <c r="D33" s="8">
        <v>0</v>
      </c>
      <c r="E33" s="8">
        <f t="shared" si="0"/>
        <v>750850</v>
      </c>
      <c r="F33" t="s">
        <v>137</v>
      </c>
      <c r="G33" t="s">
        <v>138</v>
      </c>
      <c r="H33" t="s">
        <v>393</v>
      </c>
    </row>
    <row r="34" spans="1:8">
      <c r="A34" s="3">
        <v>44226</v>
      </c>
      <c r="B34" t="s">
        <v>660</v>
      </c>
      <c r="C34" s="8">
        <v>40000</v>
      </c>
      <c r="D34" s="8">
        <v>0</v>
      </c>
      <c r="E34" s="8">
        <f t="shared" si="0"/>
        <v>710850</v>
      </c>
      <c r="F34" t="s">
        <v>248</v>
      </c>
      <c r="G34" t="s">
        <v>407</v>
      </c>
    </row>
    <row r="35" spans="1:8">
      <c r="A35" s="3">
        <v>44226</v>
      </c>
      <c r="B35" t="s">
        <v>661</v>
      </c>
      <c r="C35" s="8">
        <v>236900</v>
      </c>
      <c r="D35" s="8">
        <v>0</v>
      </c>
      <c r="E35" s="8">
        <f t="shared" si="0"/>
        <v>473950</v>
      </c>
      <c r="F35" t="s">
        <v>319</v>
      </c>
      <c r="G35" t="s">
        <v>453</v>
      </c>
    </row>
    <row r="36" spans="1:8">
      <c r="A36" s="3">
        <v>44226</v>
      </c>
      <c r="B36" t="s">
        <v>662</v>
      </c>
      <c r="C36" s="8">
        <v>463000</v>
      </c>
      <c r="D36" s="8">
        <v>0</v>
      </c>
      <c r="E36" s="8">
        <f t="shared" si="0"/>
        <v>10950</v>
      </c>
      <c r="F36" t="s">
        <v>319</v>
      </c>
      <c r="G36" t="s">
        <v>117</v>
      </c>
    </row>
    <row r="37" spans="1:8">
      <c r="A37" s="3">
        <v>44230</v>
      </c>
      <c r="B37" s="7" t="s">
        <v>24</v>
      </c>
      <c r="C37" s="8">
        <v>0</v>
      </c>
      <c r="D37" s="8">
        <v>2994000</v>
      </c>
      <c r="E37" s="8">
        <f t="shared" si="0"/>
        <v>3004950</v>
      </c>
      <c r="F37" t="s">
        <v>107</v>
      </c>
      <c r="G37" t="s">
        <v>129</v>
      </c>
    </row>
    <row r="38" spans="1:8">
      <c r="A38" s="3">
        <v>44232</v>
      </c>
      <c r="B38" s="7" t="s">
        <v>857</v>
      </c>
      <c r="C38" s="8">
        <v>400000</v>
      </c>
      <c r="D38" s="8">
        <v>0</v>
      </c>
      <c r="E38" s="8">
        <f t="shared" si="0"/>
        <v>2604950</v>
      </c>
      <c r="F38" t="s">
        <v>137</v>
      </c>
      <c r="G38" t="s">
        <v>138</v>
      </c>
      <c r="H38" s="168" t="s">
        <v>173</v>
      </c>
    </row>
    <row r="39" spans="1:8">
      <c r="A39" s="3">
        <v>44232</v>
      </c>
      <c r="B39" s="7" t="s">
        <v>858</v>
      </c>
      <c r="C39" s="8">
        <v>44600</v>
      </c>
      <c r="D39" s="8">
        <v>0</v>
      </c>
      <c r="E39" s="8">
        <f t="shared" si="0"/>
        <v>2560350</v>
      </c>
      <c r="F39" t="s">
        <v>137</v>
      </c>
      <c r="G39" t="s">
        <v>138</v>
      </c>
      <c r="H39" s="168" t="s">
        <v>245</v>
      </c>
    </row>
    <row r="40" spans="1:8">
      <c r="A40" s="3">
        <v>44232</v>
      </c>
      <c r="B40" s="7" t="s">
        <v>859</v>
      </c>
      <c r="C40" s="8">
        <v>473740</v>
      </c>
      <c r="D40" s="8">
        <v>0</v>
      </c>
      <c r="E40" s="8">
        <f t="shared" si="0"/>
        <v>2086610</v>
      </c>
      <c r="F40" t="s">
        <v>137</v>
      </c>
      <c r="G40" t="s">
        <v>138</v>
      </c>
      <c r="H40" t="s">
        <v>173</v>
      </c>
    </row>
    <row r="41" spans="1:8">
      <c r="A41" s="3">
        <v>44232</v>
      </c>
      <c r="B41" s="7" t="s">
        <v>860</v>
      </c>
      <c r="C41" s="8">
        <v>398000</v>
      </c>
      <c r="D41" s="8">
        <v>0</v>
      </c>
      <c r="E41" s="8">
        <f t="shared" si="0"/>
        <v>1688610</v>
      </c>
      <c r="F41" t="s">
        <v>319</v>
      </c>
      <c r="G41" t="s">
        <v>648</v>
      </c>
    </row>
    <row r="42" spans="1:8">
      <c r="A42" s="3">
        <v>44232</v>
      </c>
      <c r="B42" s="7" t="s">
        <v>861</v>
      </c>
      <c r="C42" s="8">
        <v>200000</v>
      </c>
      <c r="D42" s="8">
        <v>0</v>
      </c>
      <c r="E42" s="8">
        <f t="shared" si="0"/>
        <v>1488610</v>
      </c>
      <c r="F42" t="s">
        <v>319</v>
      </c>
      <c r="G42" t="s">
        <v>454</v>
      </c>
    </row>
    <row r="43" spans="1:8">
      <c r="A43" s="3">
        <v>44232</v>
      </c>
      <c r="B43" s="7" t="s">
        <v>862</v>
      </c>
      <c r="C43" s="8">
        <v>125000</v>
      </c>
      <c r="D43" s="8">
        <v>0</v>
      </c>
      <c r="E43" s="8">
        <f t="shared" si="0"/>
        <v>1363610</v>
      </c>
      <c r="F43" t="s">
        <v>319</v>
      </c>
      <c r="G43" t="s">
        <v>453</v>
      </c>
    </row>
    <row r="44" spans="1:8">
      <c r="A44" s="3">
        <v>44232</v>
      </c>
      <c r="B44" s="7" t="s">
        <v>863</v>
      </c>
      <c r="C44" s="8">
        <v>148500</v>
      </c>
      <c r="D44" s="8">
        <v>0</v>
      </c>
      <c r="E44" s="8">
        <f t="shared" si="0"/>
        <v>1215110</v>
      </c>
      <c r="F44" t="s">
        <v>137</v>
      </c>
      <c r="G44" t="s">
        <v>138</v>
      </c>
      <c r="H44" t="s">
        <v>175</v>
      </c>
    </row>
    <row r="45" spans="1:8">
      <c r="A45" s="3">
        <v>44232</v>
      </c>
      <c r="B45" s="7" t="s">
        <v>864</v>
      </c>
      <c r="C45" s="8">
        <v>201520</v>
      </c>
      <c r="D45" s="8">
        <v>0</v>
      </c>
      <c r="E45" s="8">
        <f t="shared" si="0"/>
        <v>1013590</v>
      </c>
      <c r="F45" t="s">
        <v>319</v>
      </c>
      <c r="G45" t="s">
        <v>1016</v>
      </c>
    </row>
    <row r="46" spans="1:8">
      <c r="A46" s="3">
        <v>44232</v>
      </c>
      <c r="B46" s="7" t="s">
        <v>865</v>
      </c>
      <c r="C46" s="8">
        <v>562223</v>
      </c>
      <c r="D46" s="8">
        <v>0</v>
      </c>
      <c r="E46" s="8">
        <f t="shared" si="0"/>
        <v>451367</v>
      </c>
      <c r="F46" t="s">
        <v>319</v>
      </c>
      <c r="G46" t="s">
        <v>1016</v>
      </c>
    </row>
    <row r="47" spans="1:8">
      <c r="A47" s="3">
        <v>44232</v>
      </c>
      <c r="B47" s="7" t="s">
        <v>866</v>
      </c>
      <c r="C47" s="8">
        <v>268000</v>
      </c>
      <c r="D47" s="8">
        <v>0</v>
      </c>
      <c r="E47" s="8">
        <f t="shared" si="0"/>
        <v>183367</v>
      </c>
      <c r="F47" t="s">
        <v>319</v>
      </c>
      <c r="G47" t="s">
        <v>117</v>
      </c>
    </row>
    <row r="48" spans="1:8">
      <c r="A48" s="3">
        <v>44232</v>
      </c>
      <c r="B48" s="7" t="s">
        <v>867</v>
      </c>
      <c r="C48" s="8">
        <v>61000</v>
      </c>
      <c r="D48" s="8">
        <v>0</v>
      </c>
      <c r="E48" s="8">
        <f t="shared" si="0"/>
        <v>122367</v>
      </c>
      <c r="F48" t="s">
        <v>137</v>
      </c>
      <c r="G48" t="s">
        <v>138</v>
      </c>
      <c r="H48" t="s">
        <v>175</v>
      </c>
    </row>
    <row r="49" spans="1:8">
      <c r="A49" s="3">
        <v>44235</v>
      </c>
      <c r="B49" s="7" t="s">
        <v>24</v>
      </c>
      <c r="C49" s="8">
        <v>0</v>
      </c>
      <c r="D49" s="8">
        <v>2882583</v>
      </c>
      <c r="E49" s="8">
        <f t="shared" si="0"/>
        <v>3004950</v>
      </c>
      <c r="F49" t="s">
        <v>107</v>
      </c>
      <c r="G49" t="s">
        <v>129</v>
      </c>
    </row>
    <row r="50" spans="1:8">
      <c r="A50" s="3">
        <v>44240</v>
      </c>
      <c r="B50" s="7" t="s">
        <v>868</v>
      </c>
      <c r="C50" s="8">
        <v>686900</v>
      </c>
      <c r="D50" s="8">
        <v>0</v>
      </c>
      <c r="E50" s="8">
        <f t="shared" si="0"/>
        <v>2318050</v>
      </c>
      <c r="F50" t="s">
        <v>319</v>
      </c>
      <c r="G50" t="s">
        <v>117</v>
      </c>
    </row>
    <row r="51" spans="1:8">
      <c r="A51" s="3">
        <v>44240</v>
      </c>
      <c r="B51" s="7" t="s">
        <v>869</v>
      </c>
      <c r="C51" s="8">
        <v>108000</v>
      </c>
      <c r="D51" s="8">
        <v>0</v>
      </c>
      <c r="E51" s="8">
        <f t="shared" si="0"/>
        <v>2210050</v>
      </c>
      <c r="F51" t="s">
        <v>137</v>
      </c>
      <c r="G51" t="s">
        <v>138</v>
      </c>
      <c r="H51" t="s">
        <v>173</v>
      </c>
    </row>
    <row r="52" spans="1:8">
      <c r="A52" s="3">
        <v>44240</v>
      </c>
      <c r="B52" s="7" t="s">
        <v>870</v>
      </c>
      <c r="C52" s="8">
        <v>40000</v>
      </c>
      <c r="D52" s="8">
        <v>0</v>
      </c>
      <c r="E52" s="8">
        <f t="shared" si="0"/>
        <v>2170050</v>
      </c>
      <c r="F52" t="s">
        <v>137</v>
      </c>
      <c r="G52" t="s">
        <v>138</v>
      </c>
      <c r="H52" s="168" t="s">
        <v>245</v>
      </c>
    </row>
    <row r="53" spans="1:8">
      <c r="A53" s="3">
        <v>44240</v>
      </c>
      <c r="B53" s="7" t="s">
        <v>871</v>
      </c>
      <c r="C53" s="8">
        <v>13000</v>
      </c>
      <c r="D53" s="8">
        <v>0</v>
      </c>
      <c r="E53" s="8">
        <f t="shared" si="0"/>
        <v>2157050</v>
      </c>
      <c r="F53" t="s">
        <v>319</v>
      </c>
      <c r="G53" t="s">
        <v>117</v>
      </c>
    </row>
    <row r="54" spans="1:8" s="14" customFormat="1">
      <c r="A54" s="138">
        <v>44240</v>
      </c>
      <c r="B54" s="49" t="s">
        <v>872</v>
      </c>
      <c r="C54" s="50">
        <v>46000</v>
      </c>
      <c r="D54" s="50">
        <v>0</v>
      </c>
      <c r="E54" s="50">
        <f t="shared" si="0"/>
        <v>2111050</v>
      </c>
      <c r="F54" s="14" t="s">
        <v>115</v>
      </c>
      <c r="G54" s="14" t="s">
        <v>120</v>
      </c>
      <c r="H54" s="14" t="s">
        <v>133</v>
      </c>
    </row>
    <row r="55" spans="1:8" s="14" customFormat="1">
      <c r="A55" s="138">
        <v>44240</v>
      </c>
      <c r="B55" s="49" t="s">
        <v>873</v>
      </c>
      <c r="C55" s="50">
        <v>139000</v>
      </c>
      <c r="D55" s="50"/>
      <c r="E55" s="50">
        <f t="shared" si="0"/>
        <v>1972050</v>
      </c>
      <c r="F55" s="14" t="s">
        <v>115</v>
      </c>
      <c r="G55" s="14" t="s">
        <v>120</v>
      </c>
      <c r="H55" s="14" t="s">
        <v>133</v>
      </c>
    </row>
    <row r="56" spans="1:8">
      <c r="A56" s="3">
        <v>44240</v>
      </c>
      <c r="B56" s="7" t="s">
        <v>874</v>
      </c>
      <c r="C56" s="8">
        <v>260000</v>
      </c>
      <c r="D56" s="8">
        <v>0</v>
      </c>
      <c r="E56" s="8">
        <f t="shared" si="0"/>
        <v>1712050</v>
      </c>
      <c r="F56" t="s">
        <v>319</v>
      </c>
      <c r="G56" t="s">
        <v>117</v>
      </c>
    </row>
    <row r="57" spans="1:8">
      <c r="A57" s="3">
        <v>44240</v>
      </c>
      <c r="B57" s="7" t="s">
        <v>875</v>
      </c>
      <c r="C57" s="8">
        <v>335000</v>
      </c>
      <c r="D57" s="8">
        <v>0</v>
      </c>
      <c r="E57" s="8">
        <f t="shared" si="0"/>
        <v>1377050</v>
      </c>
      <c r="F57" t="s">
        <v>137</v>
      </c>
      <c r="G57" t="s">
        <v>138</v>
      </c>
      <c r="H57" t="s">
        <v>173</v>
      </c>
    </row>
    <row r="58" spans="1:8">
      <c r="A58" s="3">
        <v>44240</v>
      </c>
      <c r="B58" s="7" t="s">
        <v>876</v>
      </c>
      <c r="C58" s="8">
        <v>245000</v>
      </c>
      <c r="D58" s="8">
        <v>0</v>
      </c>
      <c r="E58" s="8">
        <f t="shared" si="0"/>
        <v>1132050</v>
      </c>
      <c r="F58" t="s">
        <v>137</v>
      </c>
      <c r="G58" t="s">
        <v>138</v>
      </c>
      <c r="H58" t="s">
        <v>173</v>
      </c>
    </row>
    <row r="59" spans="1:8">
      <c r="A59" s="3">
        <v>44240</v>
      </c>
      <c r="B59" s="7" t="s">
        <v>877</v>
      </c>
      <c r="C59" s="8">
        <v>52000</v>
      </c>
      <c r="D59" s="8">
        <v>0</v>
      </c>
      <c r="E59" s="8">
        <f t="shared" si="0"/>
        <v>1080050</v>
      </c>
      <c r="F59" t="s">
        <v>319</v>
      </c>
      <c r="G59" t="s">
        <v>117</v>
      </c>
    </row>
    <row r="60" spans="1:8">
      <c r="A60" s="3">
        <v>44240</v>
      </c>
      <c r="B60" s="7" t="s">
        <v>878</v>
      </c>
      <c r="C60" s="8">
        <v>20000</v>
      </c>
      <c r="D60" s="8">
        <v>0</v>
      </c>
      <c r="E60" s="8">
        <f t="shared" si="0"/>
        <v>1060050</v>
      </c>
      <c r="F60" t="s">
        <v>319</v>
      </c>
      <c r="G60" t="s">
        <v>117</v>
      </c>
    </row>
    <row r="61" spans="1:8">
      <c r="A61" s="3">
        <v>44240</v>
      </c>
      <c r="B61" s="7" t="s">
        <v>879</v>
      </c>
      <c r="C61" s="8">
        <v>490720</v>
      </c>
      <c r="D61" s="8">
        <v>0</v>
      </c>
      <c r="E61" s="8">
        <f t="shared" si="0"/>
        <v>569330</v>
      </c>
      <c r="F61" t="s">
        <v>137</v>
      </c>
      <c r="G61" t="s">
        <v>138</v>
      </c>
      <c r="H61" t="s">
        <v>251</v>
      </c>
    </row>
    <row r="62" spans="1:8">
      <c r="A62" s="3">
        <v>44240</v>
      </c>
      <c r="B62" s="7" t="s">
        <v>880</v>
      </c>
      <c r="C62" s="8">
        <v>350000</v>
      </c>
      <c r="D62" s="8">
        <v>0</v>
      </c>
      <c r="E62" s="8">
        <f t="shared" si="0"/>
        <v>219330</v>
      </c>
      <c r="F62" t="s">
        <v>319</v>
      </c>
      <c r="G62" t="s">
        <v>647</v>
      </c>
    </row>
    <row r="63" spans="1:8">
      <c r="A63" s="3">
        <v>44240</v>
      </c>
      <c r="B63" s="7" t="s">
        <v>881</v>
      </c>
      <c r="C63" s="8">
        <v>199950</v>
      </c>
      <c r="D63" s="8">
        <v>0</v>
      </c>
      <c r="E63" s="8">
        <f t="shared" si="0"/>
        <v>19380</v>
      </c>
      <c r="F63" t="s">
        <v>115</v>
      </c>
      <c r="G63" t="s">
        <v>116</v>
      </c>
      <c r="H63" t="s">
        <v>117</v>
      </c>
    </row>
    <row r="64" spans="1:8">
      <c r="A64" s="3">
        <v>44243</v>
      </c>
      <c r="B64" s="7" t="s">
        <v>798</v>
      </c>
      <c r="C64" s="8">
        <v>0</v>
      </c>
      <c r="D64" s="8">
        <v>2985570</v>
      </c>
      <c r="E64" s="8">
        <f t="shared" si="0"/>
        <v>3004950</v>
      </c>
      <c r="F64" t="s">
        <v>107</v>
      </c>
      <c r="G64" t="s">
        <v>129</v>
      </c>
    </row>
    <row r="65" spans="1:8">
      <c r="A65" s="3">
        <v>44252</v>
      </c>
      <c r="B65" s="7" t="s">
        <v>941</v>
      </c>
      <c r="C65" s="8">
        <v>54000</v>
      </c>
      <c r="D65" s="8">
        <v>0</v>
      </c>
      <c r="E65" s="8">
        <f t="shared" si="0"/>
        <v>2950950</v>
      </c>
      <c r="F65" t="s">
        <v>319</v>
      </c>
      <c r="G65" t="s">
        <v>454</v>
      </c>
    </row>
    <row r="66" spans="1:8">
      <c r="A66" s="3">
        <v>44252</v>
      </c>
      <c r="B66" s="7" t="s">
        <v>942</v>
      </c>
      <c r="C66" s="8">
        <v>640000</v>
      </c>
      <c r="D66" s="8">
        <v>0</v>
      </c>
      <c r="E66" s="8">
        <f t="shared" si="0"/>
        <v>2310950</v>
      </c>
      <c r="F66" t="s">
        <v>319</v>
      </c>
      <c r="G66" t="s">
        <v>647</v>
      </c>
    </row>
    <row r="67" spans="1:8">
      <c r="A67" s="3">
        <v>44252</v>
      </c>
      <c r="B67" s="7" t="s">
        <v>943</v>
      </c>
      <c r="C67" s="8">
        <v>303450</v>
      </c>
      <c r="D67" s="8">
        <v>0</v>
      </c>
      <c r="E67" s="8">
        <f t="shared" si="0"/>
        <v>2007500</v>
      </c>
      <c r="F67" t="s">
        <v>115</v>
      </c>
      <c r="G67" t="s">
        <v>116</v>
      </c>
      <c r="H67" t="s">
        <v>117</v>
      </c>
    </row>
    <row r="68" spans="1:8">
      <c r="A68" s="3">
        <v>44252</v>
      </c>
      <c r="B68" s="7" t="s">
        <v>944</v>
      </c>
      <c r="C68" s="8">
        <v>162500</v>
      </c>
      <c r="D68" s="8">
        <v>0</v>
      </c>
      <c r="E68" s="8">
        <f t="shared" si="0"/>
        <v>1845000</v>
      </c>
      <c r="F68" t="s">
        <v>115</v>
      </c>
      <c r="G68" t="s">
        <v>120</v>
      </c>
      <c r="H68" t="s">
        <v>371</v>
      </c>
    </row>
    <row r="69" spans="1:8">
      <c r="A69" s="3">
        <v>44252</v>
      </c>
      <c r="B69" s="7" t="s">
        <v>945</v>
      </c>
      <c r="C69" s="8">
        <v>45903</v>
      </c>
      <c r="D69" s="8">
        <v>0</v>
      </c>
      <c r="E69" s="8">
        <f t="shared" si="0"/>
        <v>1799097</v>
      </c>
      <c r="F69" t="s">
        <v>115</v>
      </c>
      <c r="G69" t="s">
        <v>116</v>
      </c>
      <c r="H69" t="s">
        <v>407</v>
      </c>
    </row>
    <row r="70" spans="1:8">
      <c r="A70" s="3">
        <v>44252</v>
      </c>
      <c r="B70" s="7" t="s">
        <v>946</v>
      </c>
      <c r="C70" s="8">
        <v>387000</v>
      </c>
      <c r="D70" s="8">
        <v>0</v>
      </c>
      <c r="E70" s="8">
        <f t="shared" ref="E70:E133" si="1">E69-C70+D70</f>
        <v>1412097</v>
      </c>
      <c r="F70" t="s">
        <v>115</v>
      </c>
      <c r="G70" t="s">
        <v>116</v>
      </c>
      <c r="H70" t="s">
        <v>407</v>
      </c>
    </row>
    <row r="71" spans="1:8">
      <c r="A71" s="3">
        <v>44252</v>
      </c>
      <c r="B71" s="7" t="s">
        <v>947</v>
      </c>
      <c r="C71" s="8">
        <v>124200</v>
      </c>
      <c r="D71" s="8">
        <v>0</v>
      </c>
      <c r="E71" s="8">
        <f t="shared" si="1"/>
        <v>1287897</v>
      </c>
      <c r="F71" t="s">
        <v>319</v>
      </c>
      <c r="G71" t="s">
        <v>453</v>
      </c>
    </row>
    <row r="72" spans="1:8">
      <c r="A72" s="3">
        <v>44252</v>
      </c>
      <c r="B72" s="7" t="s">
        <v>948</v>
      </c>
      <c r="C72" s="54">
        <v>150000</v>
      </c>
      <c r="D72" s="54">
        <v>0</v>
      </c>
      <c r="E72" s="54">
        <f t="shared" si="1"/>
        <v>1137897</v>
      </c>
      <c r="F72" t="s">
        <v>137</v>
      </c>
      <c r="G72" t="s">
        <v>138</v>
      </c>
      <c r="H72" s="168" t="s">
        <v>245</v>
      </c>
    </row>
    <row r="73" spans="1:8">
      <c r="A73" s="3">
        <v>44252</v>
      </c>
      <c r="B73" s="7" t="s">
        <v>949</v>
      </c>
      <c r="C73" s="8">
        <v>51000</v>
      </c>
      <c r="D73" s="8">
        <v>0</v>
      </c>
      <c r="E73" s="8">
        <f t="shared" si="1"/>
        <v>1086897</v>
      </c>
      <c r="F73" t="s">
        <v>319</v>
      </c>
      <c r="G73" t="s">
        <v>117</v>
      </c>
    </row>
    <row r="74" spans="1:8">
      <c r="A74" s="3">
        <v>44252</v>
      </c>
      <c r="B74" s="7" t="s">
        <v>950</v>
      </c>
      <c r="C74" s="8">
        <v>50000</v>
      </c>
      <c r="D74" s="8">
        <v>0</v>
      </c>
      <c r="E74" s="8">
        <f t="shared" si="1"/>
        <v>1036897</v>
      </c>
      <c r="F74" t="s">
        <v>319</v>
      </c>
      <c r="G74" t="s">
        <v>454</v>
      </c>
    </row>
    <row r="75" spans="1:8">
      <c r="A75" s="3">
        <v>44252</v>
      </c>
      <c r="B75" s="7" t="s">
        <v>951</v>
      </c>
      <c r="C75" s="8">
        <v>48000</v>
      </c>
      <c r="D75" s="8">
        <v>0</v>
      </c>
      <c r="E75" s="8">
        <f t="shared" si="1"/>
        <v>988897</v>
      </c>
      <c r="F75" t="s">
        <v>319</v>
      </c>
      <c r="G75" t="s">
        <v>648</v>
      </c>
    </row>
    <row r="76" spans="1:8">
      <c r="A76" s="3">
        <v>44252</v>
      </c>
      <c r="B76" s="7" t="s">
        <v>952</v>
      </c>
      <c r="C76" s="8">
        <v>31500</v>
      </c>
      <c r="D76" s="8">
        <v>0</v>
      </c>
      <c r="E76" s="8">
        <f t="shared" si="1"/>
        <v>957397</v>
      </c>
      <c r="F76" t="s">
        <v>319</v>
      </c>
      <c r="G76" t="s">
        <v>454</v>
      </c>
    </row>
    <row r="77" spans="1:8">
      <c r="A77" s="3">
        <v>44252</v>
      </c>
      <c r="B77" s="7" t="s">
        <v>953</v>
      </c>
      <c r="C77" s="8">
        <v>200000</v>
      </c>
      <c r="D77" s="8">
        <v>0</v>
      </c>
      <c r="E77" s="8">
        <f t="shared" si="1"/>
        <v>757397</v>
      </c>
      <c r="F77" t="s">
        <v>319</v>
      </c>
      <c r="G77" t="s">
        <v>648</v>
      </c>
    </row>
    <row r="78" spans="1:8">
      <c r="A78" s="3">
        <v>44252</v>
      </c>
      <c r="B78" s="7" t="s">
        <v>954</v>
      </c>
      <c r="C78" s="8">
        <v>25000</v>
      </c>
      <c r="D78" s="8">
        <v>0</v>
      </c>
      <c r="E78" s="8">
        <f t="shared" si="1"/>
        <v>732397</v>
      </c>
      <c r="F78" t="s">
        <v>319</v>
      </c>
      <c r="G78" t="s">
        <v>453</v>
      </c>
    </row>
    <row r="79" spans="1:8">
      <c r="A79" s="3">
        <v>44252</v>
      </c>
      <c r="B79" s="7" t="s">
        <v>955</v>
      </c>
      <c r="C79" s="8">
        <v>30000</v>
      </c>
      <c r="D79" s="8">
        <v>0</v>
      </c>
      <c r="E79" s="8">
        <f t="shared" si="1"/>
        <v>702397</v>
      </c>
      <c r="F79" t="s">
        <v>319</v>
      </c>
      <c r="G79" t="s">
        <v>453</v>
      </c>
    </row>
    <row r="80" spans="1:8">
      <c r="A80" s="3">
        <v>44252</v>
      </c>
      <c r="B80" s="7" t="s">
        <v>956</v>
      </c>
      <c r="C80" s="8">
        <v>152000</v>
      </c>
      <c r="D80" s="8">
        <v>0</v>
      </c>
      <c r="E80" s="8">
        <f t="shared" si="1"/>
        <v>550397</v>
      </c>
      <c r="F80" t="s">
        <v>319</v>
      </c>
      <c r="G80" t="s">
        <v>453</v>
      </c>
    </row>
    <row r="81" spans="1:9">
      <c r="A81" s="3">
        <v>44252</v>
      </c>
      <c r="B81" s="7" t="s">
        <v>957</v>
      </c>
      <c r="C81" s="8">
        <v>45000</v>
      </c>
      <c r="D81" s="8">
        <v>0</v>
      </c>
      <c r="E81" s="8">
        <f t="shared" si="1"/>
        <v>505397</v>
      </c>
      <c r="F81" t="s">
        <v>319</v>
      </c>
      <c r="G81" t="s">
        <v>453</v>
      </c>
    </row>
    <row r="82" spans="1:9">
      <c r="A82" s="3">
        <v>44252</v>
      </c>
      <c r="B82" s="7" t="s">
        <v>958</v>
      </c>
      <c r="C82" s="8">
        <v>5000</v>
      </c>
      <c r="D82" s="8">
        <v>0</v>
      </c>
      <c r="E82" s="8">
        <f t="shared" si="1"/>
        <v>500397</v>
      </c>
      <c r="F82" t="s">
        <v>319</v>
      </c>
      <c r="G82" t="s">
        <v>117</v>
      </c>
    </row>
    <row r="83" spans="1:9">
      <c r="A83" s="3">
        <v>44252</v>
      </c>
      <c r="B83" s="7" t="s">
        <v>959</v>
      </c>
      <c r="C83" s="8">
        <v>100000</v>
      </c>
      <c r="D83" s="8">
        <v>0</v>
      </c>
      <c r="E83" s="8">
        <f t="shared" si="1"/>
        <v>400397</v>
      </c>
      <c r="F83" t="s">
        <v>319</v>
      </c>
      <c r="G83" t="s">
        <v>117</v>
      </c>
    </row>
    <row r="84" spans="1:9">
      <c r="A84" s="3">
        <v>44252</v>
      </c>
      <c r="B84" s="7" t="s">
        <v>960</v>
      </c>
      <c r="C84" s="8">
        <v>134900</v>
      </c>
      <c r="D84" s="8">
        <v>0</v>
      </c>
      <c r="E84" s="8">
        <f t="shared" si="1"/>
        <v>265497</v>
      </c>
      <c r="F84" t="s">
        <v>736</v>
      </c>
      <c r="G84" t="s">
        <v>455</v>
      </c>
    </row>
    <row r="85" spans="1:9">
      <c r="A85" s="3">
        <v>44252</v>
      </c>
      <c r="B85" s="7" t="s">
        <v>961</v>
      </c>
      <c r="C85" s="8">
        <v>53000</v>
      </c>
      <c r="D85" s="8">
        <v>0</v>
      </c>
      <c r="E85" s="8">
        <f t="shared" si="1"/>
        <v>212497</v>
      </c>
      <c r="F85" t="s">
        <v>319</v>
      </c>
      <c r="G85" t="s">
        <v>117</v>
      </c>
    </row>
    <row r="86" spans="1:9">
      <c r="A86" s="3">
        <v>44252</v>
      </c>
      <c r="B86" s="7" t="s">
        <v>962</v>
      </c>
      <c r="C86" s="54">
        <v>150000</v>
      </c>
      <c r="D86" s="54">
        <v>0</v>
      </c>
      <c r="E86" s="54">
        <f t="shared" si="1"/>
        <v>62497</v>
      </c>
      <c r="F86" t="s">
        <v>115</v>
      </c>
      <c r="G86" t="s">
        <v>120</v>
      </c>
      <c r="H86" t="s">
        <v>127</v>
      </c>
      <c r="I86" t="s">
        <v>444</v>
      </c>
    </row>
    <row r="87" spans="1:9">
      <c r="A87" s="3">
        <v>44252</v>
      </c>
      <c r="B87" s="7" t="s">
        <v>963</v>
      </c>
      <c r="C87" s="8">
        <v>25000</v>
      </c>
      <c r="D87" s="8">
        <v>0</v>
      </c>
      <c r="E87" s="8">
        <f t="shared" si="1"/>
        <v>37497</v>
      </c>
      <c r="F87" t="s">
        <v>319</v>
      </c>
      <c r="G87" t="s">
        <v>117</v>
      </c>
    </row>
    <row r="88" spans="1:9">
      <c r="A88" s="3">
        <v>44252</v>
      </c>
      <c r="B88" s="7" t="s">
        <v>964</v>
      </c>
      <c r="C88" s="8">
        <v>16000</v>
      </c>
      <c r="D88" s="8">
        <v>0</v>
      </c>
      <c r="E88" s="8">
        <f t="shared" si="1"/>
        <v>21497</v>
      </c>
      <c r="F88" t="s">
        <v>319</v>
      </c>
      <c r="G88" t="s">
        <v>454</v>
      </c>
    </row>
    <row r="89" spans="1:9">
      <c r="A89" s="3">
        <v>44253</v>
      </c>
      <c r="B89" s="7" t="s">
        <v>24</v>
      </c>
      <c r="C89" s="8">
        <v>0</v>
      </c>
      <c r="D89" s="8">
        <v>2978503</v>
      </c>
      <c r="E89" s="8">
        <f t="shared" si="1"/>
        <v>3000000</v>
      </c>
      <c r="F89" s="14" t="s">
        <v>107</v>
      </c>
      <c r="G89" s="14" t="s">
        <v>129</v>
      </c>
    </row>
    <row r="90" spans="1:9">
      <c r="A90" s="3">
        <v>44257</v>
      </c>
      <c r="B90" s="7" t="s">
        <v>1067</v>
      </c>
      <c r="C90" s="8">
        <v>500000</v>
      </c>
      <c r="D90" s="8">
        <v>0</v>
      </c>
      <c r="E90" s="8">
        <f t="shared" si="1"/>
        <v>2500000</v>
      </c>
      <c r="F90" t="s">
        <v>137</v>
      </c>
      <c r="G90" t="s">
        <v>138</v>
      </c>
      <c r="H90" s="168" t="s">
        <v>1015</v>
      </c>
    </row>
    <row r="91" spans="1:9">
      <c r="A91" s="3">
        <v>44257</v>
      </c>
      <c r="B91" s="7" t="s">
        <v>1068</v>
      </c>
      <c r="C91" s="8">
        <v>95000</v>
      </c>
      <c r="D91" s="8">
        <v>0</v>
      </c>
      <c r="E91" s="8">
        <f t="shared" si="1"/>
        <v>2405000</v>
      </c>
      <c r="F91" t="s">
        <v>248</v>
      </c>
      <c r="G91" t="s">
        <v>391</v>
      </c>
    </row>
    <row r="92" spans="1:9">
      <c r="A92" s="3">
        <v>44257</v>
      </c>
      <c r="B92" s="7" t="s">
        <v>1069</v>
      </c>
      <c r="C92" s="8">
        <v>350000</v>
      </c>
      <c r="D92" s="8">
        <v>0</v>
      </c>
      <c r="E92" s="8">
        <f t="shared" si="1"/>
        <v>2055000</v>
      </c>
      <c r="F92" t="s">
        <v>319</v>
      </c>
      <c r="G92" t="s">
        <v>117</v>
      </c>
    </row>
    <row r="93" spans="1:9">
      <c r="A93" s="3">
        <v>44257</v>
      </c>
      <c r="B93" s="7" t="s">
        <v>1070</v>
      </c>
      <c r="C93" s="8">
        <v>327500</v>
      </c>
      <c r="D93" s="8">
        <v>0</v>
      </c>
      <c r="E93" s="8">
        <f t="shared" si="1"/>
        <v>1727500</v>
      </c>
      <c r="F93" t="s">
        <v>319</v>
      </c>
      <c r="G93" t="s">
        <v>117</v>
      </c>
    </row>
    <row r="94" spans="1:9">
      <c r="A94" s="3">
        <v>44257</v>
      </c>
      <c r="B94" s="7" t="s">
        <v>1071</v>
      </c>
      <c r="C94" s="8">
        <v>500000</v>
      </c>
      <c r="D94" s="8">
        <v>0</v>
      </c>
      <c r="E94" s="8">
        <f t="shared" si="1"/>
        <v>1227500</v>
      </c>
      <c r="F94" t="s">
        <v>319</v>
      </c>
      <c r="G94" t="s">
        <v>117</v>
      </c>
    </row>
    <row r="95" spans="1:9">
      <c r="A95" s="3">
        <v>44257</v>
      </c>
      <c r="B95" s="7" t="s">
        <v>1072</v>
      </c>
      <c r="C95" s="8">
        <v>267000</v>
      </c>
      <c r="D95" s="8">
        <v>0</v>
      </c>
      <c r="E95" s="8">
        <f t="shared" si="1"/>
        <v>960500</v>
      </c>
      <c r="F95" t="s">
        <v>319</v>
      </c>
      <c r="G95" t="s">
        <v>117</v>
      </c>
    </row>
    <row r="96" spans="1:9">
      <c r="A96" s="3">
        <v>44257</v>
      </c>
      <c r="B96" s="7" t="s">
        <v>1073</v>
      </c>
      <c r="C96" s="8">
        <v>728000</v>
      </c>
      <c r="D96" s="8">
        <v>0</v>
      </c>
      <c r="E96" s="8">
        <f t="shared" si="1"/>
        <v>232500</v>
      </c>
      <c r="F96" t="s">
        <v>319</v>
      </c>
      <c r="G96" t="s">
        <v>117</v>
      </c>
    </row>
    <row r="97" spans="1:8">
      <c r="A97" s="3">
        <v>44260</v>
      </c>
      <c r="B97" s="7" t="s">
        <v>24</v>
      </c>
      <c r="C97" s="8">
        <v>0</v>
      </c>
      <c r="D97" s="8">
        <v>2767500</v>
      </c>
      <c r="E97" s="8">
        <f t="shared" si="1"/>
        <v>3000000</v>
      </c>
      <c r="F97" s="14" t="s">
        <v>107</v>
      </c>
      <c r="G97" s="14" t="s">
        <v>129</v>
      </c>
    </row>
    <row r="98" spans="1:8" s="14" customFormat="1">
      <c r="A98" s="138">
        <v>44272</v>
      </c>
      <c r="B98" s="49" t="s">
        <v>1411</v>
      </c>
      <c r="C98" s="50">
        <v>202950</v>
      </c>
      <c r="D98" s="50">
        <v>0</v>
      </c>
      <c r="E98" s="50">
        <f t="shared" si="1"/>
        <v>2797050</v>
      </c>
      <c r="F98" s="14" t="s">
        <v>319</v>
      </c>
      <c r="G98" t="s">
        <v>1016</v>
      </c>
    </row>
    <row r="99" spans="1:8" s="14" customFormat="1">
      <c r="A99" s="138">
        <v>44272</v>
      </c>
      <c r="B99" s="49" t="s">
        <v>1412</v>
      </c>
      <c r="C99" s="50">
        <v>200000</v>
      </c>
      <c r="D99" s="50">
        <v>0</v>
      </c>
      <c r="E99" s="50">
        <f t="shared" si="1"/>
        <v>2597050</v>
      </c>
      <c r="F99" s="14" t="s">
        <v>319</v>
      </c>
      <c r="G99" s="14" t="s">
        <v>648</v>
      </c>
    </row>
    <row r="100" spans="1:8" s="14" customFormat="1">
      <c r="A100" s="138">
        <v>44272</v>
      </c>
      <c r="B100" s="49" t="s">
        <v>1413</v>
      </c>
      <c r="C100" s="50">
        <v>200000</v>
      </c>
      <c r="D100" s="50">
        <v>0</v>
      </c>
      <c r="E100" s="50">
        <f t="shared" si="1"/>
        <v>2397050</v>
      </c>
      <c r="F100" s="14" t="s">
        <v>319</v>
      </c>
      <c r="G100" s="14" t="s">
        <v>648</v>
      </c>
    </row>
    <row r="101" spans="1:8" s="14" customFormat="1">
      <c r="A101" s="138">
        <v>44272</v>
      </c>
      <c r="B101" s="49" t="s">
        <v>1414</v>
      </c>
      <c r="C101" s="50">
        <v>70000</v>
      </c>
      <c r="D101" s="50">
        <v>0</v>
      </c>
      <c r="E101" s="50">
        <f t="shared" si="1"/>
        <v>2327050</v>
      </c>
      <c r="F101" s="14" t="s">
        <v>319</v>
      </c>
      <c r="G101" s="14" t="s">
        <v>647</v>
      </c>
    </row>
    <row r="102" spans="1:8" s="14" customFormat="1">
      <c r="A102" s="138">
        <v>44272</v>
      </c>
      <c r="B102" s="49" t="s">
        <v>1415</v>
      </c>
      <c r="C102" s="50">
        <v>45000</v>
      </c>
      <c r="D102" s="50">
        <v>0</v>
      </c>
      <c r="E102" s="50">
        <f t="shared" si="1"/>
        <v>2282050</v>
      </c>
      <c r="F102" s="14" t="s">
        <v>137</v>
      </c>
      <c r="G102" s="14" t="s">
        <v>138</v>
      </c>
      <c r="H102" s="168" t="s">
        <v>1015</v>
      </c>
    </row>
    <row r="103" spans="1:8" s="14" customFormat="1">
      <c r="A103" s="138">
        <v>44272</v>
      </c>
      <c r="B103" s="49" t="s">
        <v>1416</v>
      </c>
      <c r="C103" s="50">
        <v>23500</v>
      </c>
      <c r="D103" s="50">
        <v>0</v>
      </c>
      <c r="E103" s="50">
        <f t="shared" si="1"/>
        <v>2258550</v>
      </c>
      <c r="F103" s="14" t="s">
        <v>137</v>
      </c>
      <c r="G103" s="14" t="s">
        <v>138</v>
      </c>
      <c r="H103" s="168" t="s">
        <v>1015</v>
      </c>
    </row>
    <row r="104" spans="1:8" s="14" customFormat="1">
      <c r="A104" s="138">
        <v>44272</v>
      </c>
      <c r="B104" s="49" t="s">
        <v>1417</v>
      </c>
      <c r="C104" s="50">
        <v>32000</v>
      </c>
      <c r="D104" s="50">
        <v>0</v>
      </c>
      <c r="E104" s="50">
        <f t="shared" si="1"/>
        <v>2226550</v>
      </c>
      <c r="F104" s="14" t="s">
        <v>137</v>
      </c>
      <c r="G104" s="14" t="s">
        <v>138</v>
      </c>
      <c r="H104" s="168" t="s">
        <v>1129</v>
      </c>
    </row>
    <row r="105" spans="1:8" s="14" customFormat="1">
      <c r="A105" s="138">
        <v>44272</v>
      </c>
      <c r="B105" s="49" t="s">
        <v>1418</v>
      </c>
      <c r="C105" s="50">
        <v>457000</v>
      </c>
      <c r="D105" s="50">
        <v>0</v>
      </c>
      <c r="E105" s="50">
        <f t="shared" si="1"/>
        <v>1769550</v>
      </c>
      <c r="F105" s="14" t="s">
        <v>736</v>
      </c>
      <c r="G105" s="14" t="s">
        <v>3994</v>
      </c>
    </row>
    <row r="106" spans="1:8" s="14" customFormat="1">
      <c r="A106" s="138">
        <v>44272</v>
      </c>
      <c r="B106" s="49" t="s">
        <v>1419</v>
      </c>
      <c r="C106" s="50">
        <v>500000</v>
      </c>
      <c r="D106" s="50">
        <v>0</v>
      </c>
      <c r="E106" s="50">
        <f t="shared" si="1"/>
        <v>1269550</v>
      </c>
      <c r="F106" s="14" t="s">
        <v>248</v>
      </c>
      <c r="G106" s="14" t="s">
        <v>391</v>
      </c>
    </row>
    <row r="107" spans="1:8" s="14" customFormat="1">
      <c r="A107" s="138">
        <v>44272</v>
      </c>
      <c r="B107" s="49" t="s">
        <v>1420</v>
      </c>
      <c r="C107" s="50">
        <v>48400</v>
      </c>
      <c r="D107" s="50">
        <v>0</v>
      </c>
      <c r="E107" s="50">
        <f t="shared" si="1"/>
        <v>1221150</v>
      </c>
      <c r="F107" s="14" t="s">
        <v>248</v>
      </c>
      <c r="G107" s="14" t="s">
        <v>407</v>
      </c>
    </row>
    <row r="108" spans="1:8" s="14" customFormat="1">
      <c r="A108" s="138">
        <v>44272</v>
      </c>
      <c r="B108" s="49" t="s">
        <v>1421</v>
      </c>
      <c r="C108" s="50">
        <v>60000</v>
      </c>
      <c r="D108" s="50">
        <v>0</v>
      </c>
      <c r="E108" s="50">
        <f t="shared" si="1"/>
        <v>1161150</v>
      </c>
      <c r="F108" s="14" t="s">
        <v>319</v>
      </c>
      <c r="G108" s="14" t="s">
        <v>117</v>
      </c>
    </row>
    <row r="109" spans="1:8" s="14" customFormat="1">
      <c r="A109" s="138">
        <v>44272</v>
      </c>
      <c r="B109" s="49" t="s">
        <v>1422</v>
      </c>
      <c r="C109" s="50">
        <v>119000</v>
      </c>
      <c r="D109" s="50">
        <v>0</v>
      </c>
      <c r="E109" s="50">
        <f t="shared" si="1"/>
        <v>1042150</v>
      </c>
      <c r="F109" s="14" t="s">
        <v>319</v>
      </c>
      <c r="G109" s="14" t="s">
        <v>453</v>
      </c>
    </row>
    <row r="110" spans="1:8" s="14" customFormat="1">
      <c r="A110" s="138">
        <v>44272</v>
      </c>
      <c r="B110" s="49" t="s">
        <v>1423</v>
      </c>
      <c r="C110" s="50">
        <v>74000</v>
      </c>
      <c r="D110" s="50">
        <v>0</v>
      </c>
      <c r="E110" s="50">
        <f t="shared" si="1"/>
        <v>968150</v>
      </c>
      <c r="F110" s="14" t="s">
        <v>137</v>
      </c>
      <c r="G110" s="14" t="s">
        <v>138</v>
      </c>
      <c r="H110" s="14" t="s">
        <v>251</v>
      </c>
    </row>
    <row r="111" spans="1:8" s="14" customFormat="1">
      <c r="A111" s="138">
        <v>44272</v>
      </c>
      <c r="B111" s="49" t="s">
        <v>1424</v>
      </c>
      <c r="C111" s="50">
        <v>208500</v>
      </c>
      <c r="D111" s="50">
        <v>0</v>
      </c>
      <c r="E111" s="50">
        <f t="shared" si="1"/>
        <v>759650</v>
      </c>
      <c r="F111" s="14" t="s">
        <v>319</v>
      </c>
      <c r="G111" s="14" t="s">
        <v>117</v>
      </c>
    </row>
    <row r="112" spans="1:8" s="14" customFormat="1">
      <c r="A112" s="138">
        <v>44272</v>
      </c>
      <c r="B112" s="49" t="s">
        <v>1425</v>
      </c>
      <c r="C112" s="50">
        <v>338355</v>
      </c>
      <c r="D112" s="50">
        <v>0</v>
      </c>
      <c r="E112" s="50">
        <f t="shared" si="1"/>
        <v>421295</v>
      </c>
      <c r="F112" s="14" t="s">
        <v>137</v>
      </c>
      <c r="G112" s="14" t="s">
        <v>138</v>
      </c>
      <c r="H112" s="14" t="s">
        <v>251</v>
      </c>
    </row>
    <row r="113" spans="1:8" s="14" customFormat="1">
      <c r="A113" s="138">
        <v>44272</v>
      </c>
      <c r="B113" s="49" t="s">
        <v>1426</v>
      </c>
      <c r="C113" s="50">
        <v>80500</v>
      </c>
      <c r="D113" s="50">
        <v>0</v>
      </c>
      <c r="E113" s="50">
        <f t="shared" si="1"/>
        <v>340795</v>
      </c>
      <c r="F113" s="14" t="s">
        <v>137</v>
      </c>
      <c r="G113" s="14" t="s">
        <v>138</v>
      </c>
      <c r="H113" s="168" t="s">
        <v>1015</v>
      </c>
    </row>
    <row r="114" spans="1:8" s="14" customFormat="1">
      <c r="A114" s="138">
        <v>44272</v>
      </c>
      <c r="B114" s="49" t="s">
        <v>1427</v>
      </c>
      <c r="C114" s="50">
        <v>292000</v>
      </c>
      <c r="D114" s="50">
        <v>0</v>
      </c>
      <c r="E114" s="50">
        <f t="shared" si="1"/>
        <v>48795</v>
      </c>
      <c r="F114" s="14" t="s">
        <v>319</v>
      </c>
      <c r="G114" s="14" t="s">
        <v>647</v>
      </c>
    </row>
    <row r="115" spans="1:8" s="14" customFormat="1">
      <c r="A115" s="138">
        <v>44277</v>
      </c>
      <c r="B115" s="49" t="s">
        <v>24</v>
      </c>
      <c r="C115" s="50">
        <v>0</v>
      </c>
      <c r="D115" s="50">
        <v>2951205</v>
      </c>
      <c r="E115" s="50">
        <f t="shared" si="1"/>
        <v>3000000</v>
      </c>
      <c r="F115" s="14" t="s">
        <v>107</v>
      </c>
      <c r="G115" s="14" t="s">
        <v>129</v>
      </c>
    </row>
    <row r="116" spans="1:8" s="14" customFormat="1">
      <c r="A116" s="138">
        <v>44278</v>
      </c>
      <c r="B116" s="49" t="s">
        <v>1428</v>
      </c>
      <c r="C116" s="50">
        <v>270000</v>
      </c>
      <c r="D116" s="50">
        <v>0</v>
      </c>
      <c r="E116" s="50">
        <f t="shared" si="1"/>
        <v>2730000</v>
      </c>
      <c r="F116" s="14" t="s">
        <v>137</v>
      </c>
      <c r="G116" s="14" t="s">
        <v>138</v>
      </c>
      <c r="H116" s="168" t="s">
        <v>1015</v>
      </c>
    </row>
    <row r="117" spans="1:8" s="14" customFormat="1">
      <c r="A117" s="138">
        <v>44278</v>
      </c>
      <c r="B117" s="49" t="s">
        <v>1429</v>
      </c>
      <c r="C117" s="50">
        <v>370000</v>
      </c>
      <c r="D117" s="50">
        <v>0</v>
      </c>
      <c r="E117" s="50">
        <f t="shared" si="1"/>
        <v>2360000</v>
      </c>
      <c r="F117" s="14" t="s">
        <v>137</v>
      </c>
      <c r="G117" s="14" t="s">
        <v>138</v>
      </c>
      <c r="H117" s="14" t="s">
        <v>251</v>
      </c>
    </row>
    <row r="118" spans="1:8" s="14" customFormat="1">
      <c r="A118" s="138">
        <v>44278</v>
      </c>
      <c r="B118" s="49" t="s">
        <v>1430</v>
      </c>
      <c r="C118" s="50">
        <v>201000</v>
      </c>
      <c r="D118" s="50">
        <v>0</v>
      </c>
      <c r="E118" s="50">
        <f t="shared" si="1"/>
        <v>2159000</v>
      </c>
      <c r="F118" s="14" t="s">
        <v>137</v>
      </c>
      <c r="G118" s="14" t="s">
        <v>138</v>
      </c>
      <c r="H118" s="14" t="s">
        <v>251</v>
      </c>
    </row>
    <row r="119" spans="1:8" s="14" customFormat="1">
      <c r="A119" s="138">
        <v>44278</v>
      </c>
      <c r="B119" s="49" t="s">
        <v>1431</v>
      </c>
      <c r="C119" s="50">
        <v>450000</v>
      </c>
      <c r="D119" s="50">
        <v>0</v>
      </c>
      <c r="E119" s="50">
        <f t="shared" si="1"/>
        <v>1709000</v>
      </c>
      <c r="F119" s="14" t="s">
        <v>137</v>
      </c>
      <c r="G119" s="14" t="s">
        <v>138</v>
      </c>
      <c r="H119" s="168" t="s">
        <v>1015</v>
      </c>
    </row>
    <row r="120" spans="1:8" s="14" customFormat="1">
      <c r="A120" s="138">
        <v>44278</v>
      </c>
      <c r="B120" s="49" t="s">
        <v>1432</v>
      </c>
      <c r="C120" s="50">
        <v>300000</v>
      </c>
      <c r="D120" s="50">
        <v>0</v>
      </c>
      <c r="E120" s="50">
        <f t="shared" si="1"/>
        <v>1409000</v>
      </c>
      <c r="F120" s="14" t="s">
        <v>137</v>
      </c>
      <c r="G120" s="14" t="s">
        <v>138</v>
      </c>
      <c r="H120" s="14" t="s">
        <v>1130</v>
      </c>
    </row>
    <row r="121" spans="1:8" s="14" customFormat="1">
      <c r="A121" s="138">
        <v>44278</v>
      </c>
      <c r="B121" s="49" t="s">
        <v>1433</v>
      </c>
      <c r="C121" s="50">
        <v>300000</v>
      </c>
      <c r="D121" s="50">
        <v>0</v>
      </c>
      <c r="E121" s="50">
        <f t="shared" si="1"/>
        <v>1109000</v>
      </c>
      <c r="F121" s="14" t="s">
        <v>137</v>
      </c>
      <c r="G121" s="14" t="s">
        <v>138</v>
      </c>
      <c r="H121" s="168" t="s">
        <v>1015</v>
      </c>
    </row>
    <row r="122" spans="1:8" s="14" customFormat="1">
      <c r="A122" s="138">
        <v>44278</v>
      </c>
      <c r="B122" s="49" t="s">
        <v>1434</v>
      </c>
      <c r="C122" s="50">
        <v>306500</v>
      </c>
      <c r="D122" s="50">
        <v>0</v>
      </c>
      <c r="E122" s="50">
        <f t="shared" si="1"/>
        <v>802500</v>
      </c>
      <c r="F122" s="14" t="s">
        <v>137</v>
      </c>
      <c r="G122" s="14" t="s">
        <v>138</v>
      </c>
      <c r="H122" s="168" t="s">
        <v>1015</v>
      </c>
    </row>
    <row r="123" spans="1:8" s="14" customFormat="1">
      <c r="A123" s="138">
        <v>44278</v>
      </c>
      <c r="B123" s="49" t="s">
        <v>1435</v>
      </c>
      <c r="C123" s="50">
        <v>379000</v>
      </c>
      <c r="D123" s="50">
        <v>0</v>
      </c>
      <c r="E123" s="50">
        <f t="shared" si="1"/>
        <v>423500</v>
      </c>
      <c r="F123" s="14" t="s">
        <v>137</v>
      </c>
      <c r="G123" s="14" t="s">
        <v>138</v>
      </c>
      <c r="H123" s="168" t="s">
        <v>1015</v>
      </c>
    </row>
    <row r="124" spans="1:8" s="14" customFormat="1">
      <c r="A124" s="138">
        <v>44278</v>
      </c>
      <c r="B124" s="49" t="s">
        <v>1436</v>
      </c>
      <c r="C124" s="50">
        <v>400000</v>
      </c>
      <c r="D124" s="50">
        <v>0</v>
      </c>
      <c r="E124" s="50">
        <f t="shared" si="1"/>
        <v>23500</v>
      </c>
      <c r="F124" s="14" t="s">
        <v>137</v>
      </c>
      <c r="G124" s="14" t="s">
        <v>138</v>
      </c>
      <c r="H124" s="168" t="s">
        <v>1015</v>
      </c>
    </row>
    <row r="125" spans="1:8" s="14" customFormat="1">
      <c r="A125" s="138">
        <v>44279</v>
      </c>
      <c r="B125" s="49" t="s">
        <v>1153</v>
      </c>
      <c r="C125" s="50">
        <v>0</v>
      </c>
      <c r="D125" s="50">
        <v>2976500</v>
      </c>
      <c r="E125" s="50">
        <f t="shared" si="1"/>
        <v>3000000</v>
      </c>
      <c r="F125" s="14" t="s">
        <v>107</v>
      </c>
      <c r="G125" s="14" t="s">
        <v>129</v>
      </c>
    </row>
    <row r="126" spans="1:8" s="14" customFormat="1">
      <c r="A126" s="138">
        <v>44281</v>
      </c>
      <c r="B126" s="49" t="s">
        <v>1437</v>
      </c>
      <c r="C126" s="50">
        <v>495000</v>
      </c>
      <c r="D126" s="50">
        <v>0</v>
      </c>
      <c r="E126" s="50">
        <f t="shared" si="1"/>
        <v>2505000</v>
      </c>
      <c r="F126" s="14" t="s">
        <v>319</v>
      </c>
      <c r="G126" s="14" t="s">
        <v>454</v>
      </c>
    </row>
    <row r="127" spans="1:8" s="14" customFormat="1">
      <c r="A127" s="138">
        <v>44281</v>
      </c>
      <c r="B127" s="49" t="s">
        <v>1438</v>
      </c>
      <c r="C127" s="50">
        <v>201575</v>
      </c>
      <c r="D127" s="50">
        <v>0</v>
      </c>
      <c r="E127" s="50">
        <f t="shared" si="1"/>
        <v>2303425</v>
      </c>
      <c r="F127" s="14" t="s">
        <v>319</v>
      </c>
      <c r="G127" t="s">
        <v>1016</v>
      </c>
    </row>
    <row r="128" spans="1:8" s="14" customFormat="1">
      <c r="A128" s="138">
        <v>44281</v>
      </c>
      <c r="B128" s="49" t="s">
        <v>1439</v>
      </c>
      <c r="C128" s="50">
        <v>440044</v>
      </c>
      <c r="D128" s="50">
        <v>0</v>
      </c>
      <c r="E128" s="50">
        <f t="shared" si="1"/>
        <v>1863381</v>
      </c>
      <c r="F128" s="14" t="s">
        <v>319</v>
      </c>
      <c r="G128" t="s">
        <v>1016</v>
      </c>
    </row>
    <row r="129" spans="1:8" s="14" customFormat="1">
      <c r="A129" s="138">
        <v>44281</v>
      </c>
      <c r="B129" s="49" t="s">
        <v>1440</v>
      </c>
      <c r="C129" s="50">
        <v>20800</v>
      </c>
      <c r="D129" s="50">
        <v>0</v>
      </c>
      <c r="E129" s="50">
        <f t="shared" si="1"/>
        <v>1842581</v>
      </c>
      <c r="F129" s="14" t="s">
        <v>319</v>
      </c>
      <c r="G129" s="14" t="s">
        <v>454</v>
      </c>
    </row>
    <row r="130" spans="1:8" s="14" customFormat="1">
      <c r="A130" s="138">
        <v>44281</v>
      </c>
      <c r="B130" s="49" t="s">
        <v>1441</v>
      </c>
      <c r="C130" s="50">
        <v>122500</v>
      </c>
      <c r="D130" s="50">
        <v>0</v>
      </c>
      <c r="E130" s="50">
        <f t="shared" si="1"/>
        <v>1720081</v>
      </c>
      <c r="F130" s="14" t="s">
        <v>137</v>
      </c>
      <c r="G130" s="14" t="s">
        <v>138</v>
      </c>
      <c r="H130" s="168" t="s">
        <v>1015</v>
      </c>
    </row>
    <row r="131" spans="1:8" s="14" customFormat="1">
      <c r="A131" s="138">
        <v>44281</v>
      </c>
      <c r="B131" s="49" t="s">
        <v>1442</v>
      </c>
      <c r="C131" s="50">
        <v>40000</v>
      </c>
      <c r="D131" s="50">
        <v>0</v>
      </c>
      <c r="E131" s="50">
        <f t="shared" si="1"/>
        <v>1680081</v>
      </c>
      <c r="F131" s="14" t="s">
        <v>137</v>
      </c>
      <c r="G131" s="14" t="s">
        <v>138</v>
      </c>
      <c r="H131" s="168" t="s">
        <v>1015</v>
      </c>
    </row>
    <row r="132" spans="1:8" s="14" customFormat="1">
      <c r="A132" s="138">
        <v>44281</v>
      </c>
      <c r="B132" s="49" t="s">
        <v>1443</v>
      </c>
      <c r="C132" s="50">
        <v>45000</v>
      </c>
      <c r="D132" s="50">
        <v>0</v>
      </c>
      <c r="E132" s="50">
        <f t="shared" si="1"/>
        <v>1635081</v>
      </c>
      <c r="F132" s="14" t="s">
        <v>319</v>
      </c>
      <c r="G132" s="14" t="s">
        <v>453</v>
      </c>
    </row>
    <row r="133" spans="1:8" s="14" customFormat="1">
      <c r="A133" s="138">
        <v>44281</v>
      </c>
      <c r="B133" s="49" t="s">
        <v>1444</v>
      </c>
      <c r="C133" s="50">
        <v>171000</v>
      </c>
      <c r="D133" s="50">
        <v>0</v>
      </c>
      <c r="E133" s="50">
        <f t="shared" si="1"/>
        <v>1464081</v>
      </c>
      <c r="F133" s="14" t="s">
        <v>319</v>
      </c>
      <c r="G133" s="14" t="s">
        <v>453</v>
      </c>
    </row>
    <row r="134" spans="1:8" s="14" customFormat="1">
      <c r="A134" s="138">
        <v>44281</v>
      </c>
      <c r="B134" s="49" t="s">
        <v>1445</v>
      </c>
      <c r="C134" s="50">
        <v>20000</v>
      </c>
      <c r="D134" s="50">
        <v>0</v>
      </c>
      <c r="E134" s="50">
        <f t="shared" ref="E134:E197" si="2">E133-C134+D134</f>
        <v>1444081</v>
      </c>
      <c r="F134" s="14" t="s">
        <v>319</v>
      </c>
      <c r="G134" s="14" t="s">
        <v>453</v>
      </c>
    </row>
    <row r="135" spans="1:8" s="14" customFormat="1">
      <c r="A135" s="138">
        <v>44281</v>
      </c>
      <c r="B135" s="49" t="s">
        <v>1446</v>
      </c>
      <c r="C135" s="50">
        <v>54000</v>
      </c>
      <c r="D135" s="50">
        <v>0</v>
      </c>
      <c r="E135" s="50">
        <f t="shared" si="2"/>
        <v>1390081</v>
      </c>
      <c r="F135" s="14" t="s">
        <v>319</v>
      </c>
      <c r="G135" s="14" t="s">
        <v>453</v>
      </c>
    </row>
    <row r="136" spans="1:8" s="14" customFormat="1">
      <c r="A136" s="138">
        <v>44281</v>
      </c>
      <c r="B136" s="49" t="s">
        <v>1447</v>
      </c>
      <c r="C136" s="50">
        <v>250000</v>
      </c>
      <c r="D136" s="50">
        <v>0</v>
      </c>
      <c r="E136" s="50">
        <f t="shared" si="2"/>
        <v>1140081</v>
      </c>
      <c r="F136" s="14" t="s">
        <v>319</v>
      </c>
      <c r="G136" s="14" t="s">
        <v>117</v>
      </c>
    </row>
    <row r="137" spans="1:8" s="14" customFormat="1">
      <c r="A137" s="138">
        <v>44281</v>
      </c>
      <c r="B137" s="49" t="s">
        <v>1448</v>
      </c>
      <c r="C137" s="50">
        <v>157700</v>
      </c>
      <c r="D137" s="50">
        <v>0</v>
      </c>
      <c r="E137" s="50">
        <f t="shared" si="2"/>
        <v>982381</v>
      </c>
      <c r="F137" s="14" t="s">
        <v>137</v>
      </c>
      <c r="G137" s="14" t="s">
        <v>138</v>
      </c>
      <c r="H137" s="168" t="s">
        <v>1015</v>
      </c>
    </row>
    <row r="138" spans="1:8" s="14" customFormat="1">
      <c r="A138" s="138">
        <v>44281</v>
      </c>
      <c r="B138" s="49" t="s">
        <v>1449</v>
      </c>
      <c r="C138" s="50">
        <v>597000</v>
      </c>
      <c r="D138" s="50">
        <v>0</v>
      </c>
      <c r="E138" s="50">
        <f t="shared" si="2"/>
        <v>385381</v>
      </c>
      <c r="F138" s="14" t="s">
        <v>319</v>
      </c>
      <c r="G138" s="14" t="s">
        <v>117</v>
      </c>
    </row>
    <row r="139" spans="1:8" s="14" customFormat="1">
      <c r="A139" s="138">
        <v>44281</v>
      </c>
      <c r="B139" s="49" t="s">
        <v>1450</v>
      </c>
      <c r="C139" s="50">
        <v>319000</v>
      </c>
      <c r="D139" s="50">
        <v>0</v>
      </c>
      <c r="E139" s="50">
        <f t="shared" si="2"/>
        <v>66381</v>
      </c>
      <c r="F139" s="14" t="s">
        <v>319</v>
      </c>
      <c r="G139" s="14" t="s">
        <v>117</v>
      </c>
    </row>
    <row r="140" spans="1:8" s="14" customFormat="1">
      <c r="A140" s="138">
        <v>44287</v>
      </c>
      <c r="B140" s="49" t="s">
        <v>1207</v>
      </c>
      <c r="C140" s="50">
        <v>0</v>
      </c>
      <c r="D140" s="50">
        <v>2933619</v>
      </c>
      <c r="E140" s="50">
        <f t="shared" si="2"/>
        <v>3000000</v>
      </c>
      <c r="F140" s="14" t="s">
        <v>107</v>
      </c>
      <c r="G140" s="14" t="s">
        <v>129</v>
      </c>
    </row>
    <row r="141" spans="1:8" s="14" customFormat="1">
      <c r="A141" s="138">
        <v>44291</v>
      </c>
      <c r="B141" s="49" t="s">
        <v>1451</v>
      </c>
      <c r="C141" s="50">
        <v>150000</v>
      </c>
      <c r="D141" s="50">
        <v>0</v>
      </c>
      <c r="E141" s="50">
        <f t="shared" si="2"/>
        <v>2850000</v>
      </c>
      <c r="F141" s="14" t="s">
        <v>137</v>
      </c>
      <c r="G141" s="14" t="s">
        <v>138</v>
      </c>
      <c r="H141" s="168" t="s">
        <v>1129</v>
      </c>
    </row>
    <row r="142" spans="1:8" s="14" customFormat="1">
      <c r="A142" s="138">
        <v>44291</v>
      </c>
      <c r="B142" s="49" t="s">
        <v>1452</v>
      </c>
      <c r="C142" s="50">
        <v>606500</v>
      </c>
      <c r="D142" s="50">
        <v>0</v>
      </c>
      <c r="E142" s="50">
        <f t="shared" si="2"/>
        <v>2243500</v>
      </c>
      <c r="F142" s="14" t="s">
        <v>137</v>
      </c>
      <c r="G142" s="14" t="s">
        <v>138</v>
      </c>
      <c r="H142" s="14" t="s">
        <v>1130</v>
      </c>
    </row>
    <row r="143" spans="1:8" s="14" customFormat="1">
      <c r="A143" s="138">
        <v>44291</v>
      </c>
      <c r="B143" s="49" t="s">
        <v>1453</v>
      </c>
      <c r="C143" s="50">
        <v>340000</v>
      </c>
      <c r="D143" s="50">
        <v>0</v>
      </c>
      <c r="E143" s="50">
        <f t="shared" si="2"/>
        <v>1903500</v>
      </c>
      <c r="F143" s="14" t="s">
        <v>319</v>
      </c>
      <c r="G143" s="14" t="s">
        <v>453</v>
      </c>
    </row>
    <row r="144" spans="1:8" s="14" customFormat="1">
      <c r="A144" s="138">
        <v>44291</v>
      </c>
      <c r="B144" s="49" t="s">
        <v>1454</v>
      </c>
      <c r="C144" s="50">
        <v>200000</v>
      </c>
      <c r="D144" s="50">
        <v>0</v>
      </c>
      <c r="E144" s="50">
        <f t="shared" si="2"/>
        <v>1703500</v>
      </c>
      <c r="F144" s="14" t="s">
        <v>319</v>
      </c>
      <c r="G144" s="14" t="s">
        <v>648</v>
      </c>
    </row>
    <row r="145" spans="1:8" s="14" customFormat="1">
      <c r="A145" s="138">
        <v>44291</v>
      </c>
      <c r="B145" s="49" t="s">
        <v>1455</v>
      </c>
      <c r="C145" s="50">
        <v>165000</v>
      </c>
      <c r="D145" s="50">
        <v>0</v>
      </c>
      <c r="E145" s="50">
        <f t="shared" si="2"/>
        <v>1538500</v>
      </c>
      <c r="F145" s="14" t="s">
        <v>319</v>
      </c>
      <c r="G145" s="14" t="s">
        <v>454</v>
      </c>
    </row>
    <row r="146" spans="1:8" s="14" customFormat="1">
      <c r="A146" s="138">
        <v>44291</v>
      </c>
      <c r="B146" s="49" t="s">
        <v>1456</v>
      </c>
      <c r="C146" s="50">
        <v>21600</v>
      </c>
      <c r="D146" s="50">
        <v>0</v>
      </c>
      <c r="E146" s="50">
        <f t="shared" si="2"/>
        <v>1516900</v>
      </c>
      <c r="F146" s="14" t="s">
        <v>319</v>
      </c>
      <c r="G146" s="14" t="s">
        <v>453</v>
      </c>
    </row>
    <row r="147" spans="1:8" s="14" customFormat="1">
      <c r="A147" s="138">
        <v>44291</v>
      </c>
      <c r="B147" s="49" t="s">
        <v>1457</v>
      </c>
      <c r="C147" s="50">
        <v>210000</v>
      </c>
      <c r="D147" s="50">
        <v>0</v>
      </c>
      <c r="E147" s="50">
        <f t="shared" si="2"/>
        <v>1306900</v>
      </c>
      <c r="F147" s="14" t="s">
        <v>319</v>
      </c>
      <c r="G147" s="14" t="s">
        <v>453</v>
      </c>
    </row>
    <row r="148" spans="1:8" s="14" customFormat="1">
      <c r="A148" s="138">
        <v>44291</v>
      </c>
      <c r="B148" s="49" t="s">
        <v>1458</v>
      </c>
      <c r="C148" s="50">
        <v>45000</v>
      </c>
      <c r="D148" s="50">
        <v>0</v>
      </c>
      <c r="E148" s="50">
        <f t="shared" si="2"/>
        <v>1261900</v>
      </c>
      <c r="F148" s="14" t="s">
        <v>137</v>
      </c>
      <c r="G148" s="14" t="s">
        <v>138</v>
      </c>
      <c r="H148" s="14" t="s">
        <v>2954</v>
      </c>
    </row>
    <row r="149" spans="1:8" s="14" customFormat="1">
      <c r="A149" s="138">
        <v>44291</v>
      </c>
      <c r="B149" s="49" t="s">
        <v>1459</v>
      </c>
      <c r="C149" s="50">
        <v>54800</v>
      </c>
      <c r="D149" s="50">
        <v>0</v>
      </c>
      <c r="E149" s="50">
        <f t="shared" si="2"/>
        <v>1207100</v>
      </c>
      <c r="F149" s="14" t="s">
        <v>248</v>
      </c>
      <c r="G149" s="14" t="s">
        <v>407</v>
      </c>
    </row>
    <row r="150" spans="1:8" s="14" customFormat="1">
      <c r="A150" s="138">
        <v>44291</v>
      </c>
      <c r="B150" s="49" t="s">
        <v>1460</v>
      </c>
      <c r="C150" s="50">
        <v>150000</v>
      </c>
      <c r="D150" s="50">
        <v>0</v>
      </c>
      <c r="E150" s="50">
        <f t="shared" si="2"/>
        <v>1057100</v>
      </c>
      <c r="F150" s="14" t="s">
        <v>248</v>
      </c>
      <c r="G150" s="14" t="s">
        <v>391</v>
      </c>
    </row>
    <row r="151" spans="1:8" s="14" customFormat="1">
      <c r="A151" s="138">
        <v>44291</v>
      </c>
      <c r="B151" s="49" t="s">
        <v>1461</v>
      </c>
      <c r="C151" s="50">
        <v>130000</v>
      </c>
      <c r="D151" s="50">
        <v>0</v>
      </c>
      <c r="E151" s="50">
        <f t="shared" si="2"/>
        <v>927100</v>
      </c>
      <c r="F151" s="14" t="s">
        <v>248</v>
      </c>
      <c r="G151" s="14" t="s">
        <v>391</v>
      </c>
    </row>
    <row r="152" spans="1:8" s="14" customFormat="1">
      <c r="A152" s="138">
        <v>44291</v>
      </c>
      <c r="B152" s="49" t="s">
        <v>1462</v>
      </c>
      <c r="C152" s="50">
        <v>300000</v>
      </c>
      <c r="D152" s="50">
        <v>0</v>
      </c>
      <c r="E152" s="50">
        <f t="shared" si="2"/>
        <v>627100</v>
      </c>
      <c r="F152" s="14" t="s">
        <v>319</v>
      </c>
      <c r="G152" s="14" t="s">
        <v>117</v>
      </c>
    </row>
    <row r="153" spans="1:8" s="14" customFormat="1">
      <c r="A153" s="138">
        <v>44291</v>
      </c>
      <c r="B153" s="49" t="s">
        <v>1463</v>
      </c>
      <c r="C153" s="50">
        <v>300000</v>
      </c>
      <c r="D153" s="50">
        <v>0</v>
      </c>
      <c r="E153" s="50">
        <f t="shared" si="2"/>
        <v>327100</v>
      </c>
      <c r="F153" s="14" t="s">
        <v>137</v>
      </c>
      <c r="G153" s="14" t="s">
        <v>138</v>
      </c>
      <c r="H153" s="168" t="s">
        <v>1015</v>
      </c>
    </row>
    <row r="154" spans="1:8" s="14" customFormat="1">
      <c r="A154" s="138">
        <v>44291</v>
      </c>
      <c r="B154" s="49" t="s">
        <v>1464</v>
      </c>
      <c r="C154" s="50">
        <v>300000</v>
      </c>
      <c r="D154" s="50">
        <v>0</v>
      </c>
      <c r="E154" s="50">
        <f t="shared" si="2"/>
        <v>27100</v>
      </c>
      <c r="F154" s="14" t="s">
        <v>137</v>
      </c>
      <c r="G154" s="14" t="s">
        <v>138</v>
      </c>
      <c r="H154" s="168" t="s">
        <v>1015</v>
      </c>
    </row>
    <row r="155" spans="1:8" s="14" customFormat="1">
      <c r="A155" s="138">
        <v>44293</v>
      </c>
      <c r="B155" s="49" t="s">
        <v>24</v>
      </c>
      <c r="C155" s="50">
        <v>0</v>
      </c>
      <c r="D155" s="50">
        <v>2972900</v>
      </c>
      <c r="E155" s="50">
        <f t="shared" si="2"/>
        <v>3000000</v>
      </c>
      <c r="F155" s="14" t="s">
        <v>107</v>
      </c>
      <c r="G155" s="14" t="s">
        <v>129</v>
      </c>
    </row>
    <row r="156" spans="1:8" s="14" customFormat="1">
      <c r="A156" s="138">
        <v>44298</v>
      </c>
      <c r="B156" s="49" t="s">
        <v>1465</v>
      </c>
      <c r="C156" s="50">
        <v>366500</v>
      </c>
      <c r="D156" s="50">
        <v>0</v>
      </c>
      <c r="E156" s="50">
        <f t="shared" si="2"/>
        <v>2633500</v>
      </c>
      <c r="F156" s="14" t="s">
        <v>319</v>
      </c>
      <c r="G156" s="14" t="s">
        <v>117</v>
      </c>
    </row>
    <row r="157" spans="1:8" s="14" customFormat="1">
      <c r="A157" s="138">
        <v>44298</v>
      </c>
      <c r="B157" s="49" t="s">
        <v>1466</v>
      </c>
      <c r="C157" s="50">
        <v>47000</v>
      </c>
      <c r="D157" s="50">
        <v>0</v>
      </c>
      <c r="E157" s="50">
        <f t="shared" si="2"/>
        <v>2586500</v>
      </c>
      <c r="F157" s="14" t="s">
        <v>248</v>
      </c>
      <c r="G157" s="14" t="s">
        <v>407</v>
      </c>
    </row>
    <row r="158" spans="1:8" s="14" customFormat="1">
      <c r="A158" s="138">
        <v>44298</v>
      </c>
      <c r="B158" s="49" t="s">
        <v>1467</v>
      </c>
      <c r="C158" s="50">
        <v>500000</v>
      </c>
      <c r="D158" s="50">
        <v>0</v>
      </c>
      <c r="E158" s="50">
        <f t="shared" si="2"/>
        <v>2086500</v>
      </c>
      <c r="F158" s="14" t="s">
        <v>319</v>
      </c>
      <c r="G158" s="14" t="s">
        <v>117</v>
      </c>
    </row>
    <row r="159" spans="1:8" s="14" customFormat="1">
      <c r="A159" s="138">
        <v>44298</v>
      </c>
      <c r="B159" s="49" t="s">
        <v>1468</v>
      </c>
      <c r="C159" s="50">
        <v>270000</v>
      </c>
      <c r="D159" s="50">
        <v>0</v>
      </c>
      <c r="E159" s="50">
        <f t="shared" si="2"/>
        <v>1816500</v>
      </c>
      <c r="F159" s="14" t="s">
        <v>319</v>
      </c>
      <c r="G159" s="14" t="s">
        <v>117</v>
      </c>
    </row>
    <row r="160" spans="1:8" s="14" customFormat="1">
      <c r="A160" s="138">
        <v>44298</v>
      </c>
      <c r="B160" s="49" t="s">
        <v>1469</v>
      </c>
      <c r="C160" s="50">
        <v>88000</v>
      </c>
      <c r="D160" s="50">
        <v>0</v>
      </c>
      <c r="E160" s="50">
        <f t="shared" si="2"/>
        <v>1728500</v>
      </c>
      <c r="F160" s="14" t="s">
        <v>319</v>
      </c>
      <c r="G160" s="14" t="s">
        <v>117</v>
      </c>
    </row>
    <row r="161" spans="1:8" s="14" customFormat="1">
      <c r="A161" s="138">
        <v>44298</v>
      </c>
      <c r="B161" s="49" t="s">
        <v>1470</v>
      </c>
      <c r="C161" s="50">
        <v>116500</v>
      </c>
      <c r="D161" s="50">
        <v>0</v>
      </c>
      <c r="E161" s="50">
        <f t="shared" si="2"/>
        <v>1612000</v>
      </c>
      <c r="F161" s="14" t="s">
        <v>736</v>
      </c>
      <c r="G161" s="14" t="s">
        <v>3994</v>
      </c>
    </row>
    <row r="162" spans="1:8" s="14" customFormat="1">
      <c r="A162" s="138">
        <v>44298</v>
      </c>
      <c r="B162" s="49" t="s">
        <v>1471</v>
      </c>
      <c r="C162" s="50">
        <v>166000</v>
      </c>
      <c r="D162" s="50">
        <v>0</v>
      </c>
      <c r="E162" s="50">
        <f t="shared" si="2"/>
        <v>1446000</v>
      </c>
      <c r="F162" s="14" t="s">
        <v>137</v>
      </c>
      <c r="G162" s="14" t="s">
        <v>138</v>
      </c>
      <c r="H162" s="14" t="s">
        <v>251</v>
      </c>
    </row>
    <row r="163" spans="1:8" s="14" customFormat="1">
      <c r="A163" s="138">
        <v>44298</v>
      </c>
      <c r="B163" s="49" t="s">
        <v>1472</v>
      </c>
      <c r="C163" s="50">
        <v>106000</v>
      </c>
      <c r="D163" s="50">
        <v>0</v>
      </c>
      <c r="E163" s="50">
        <f t="shared" si="2"/>
        <v>1340000</v>
      </c>
      <c r="F163" s="14" t="s">
        <v>137</v>
      </c>
      <c r="G163" s="14" t="s">
        <v>138</v>
      </c>
      <c r="H163" s="168" t="s">
        <v>1015</v>
      </c>
    </row>
    <row r="164" spans="1:8" s="14" customFormat="1">
      <c r="A164" s="138">
        <v>44298</v>
      </c>
      <c r="B164" s="49" t="s">
        <v>1473</v>
      </c>
      <c r="C164" s="50">
        <v>107000</v>
      </c>
      <c r="D164" s="50">
        <v>0</v>
      </c>
      <c r="E164" s="50">
        <f t="shared" si="2"/>
        <v>1233000</v>
      </c>
      <c r="F164" s="14" t="s">
        <v>137</v>
      </c>
      <c r="G164" s="14" t="s">
        <v>138</v>
      </c>
      <c r="H164" s="168" t="s">
        <v>1015</v>
      </c>
    </row>
    <row r="165" spans="1:8" s="14" customFormat="1">
      <c r="A165" s="138">
        <v>44298</v>
      </c>
      <c r="B165" s="49" t="s">
        <v>1474</v>
      </c>
      <c r="C165" s="50">
        <v>9000</v>
      </c>
      <c r="D165" s="50">
        <v>0</v>
      </c>
      <c r="E165" s="50">
        <f t="shared" si="2"/>
        <v>1224000</v>
      </c>
      <c r="F165" s="14" t="s">
        <v>319</v>
      </c>
      <c r="G165" s="14" t="s">
        <v>117</v>
      </c>
    </row>
    <row r="166" spans="1:8" s="14" customFormat="1">
      <c r="A166" s="138">
        <v>44298</v>
      </c>
      <c r="B166" s="49" t="s">
        <v>1475</v>
      </c>
      <c r="C166" s="50">
        <v>150000</v>
      </c>
      <c r="D166" s="50">
        <v>0</v>
      </c>
      <c r="E166" s="50">
        <f t="shared" si="2"/>
        <v>1074000</v>
      </c>
      <c r="F166" s="14" t="s">
        <v>137</v>
      </c>
      <c r="G166" s="14" t="s">
        <v>138</v>
      </c>
      <c r="H166" s="14" t="s">
        <v>2954</v>
      </c>
    </row>
    <row r="167" spans="1:8" s="14" customFormat="1">
      <c r="A167" s="138">
        <v>44298</v>
      </c>
      <c r="B167" s="49" t="s">
        <v>1476</v>
      </c>
      <c r="C167" s="50">
        <v>150000</v>
      </c>
      <c r="D167" s="50">
        <v>0</v>
      </c>
      <c r="E167" s="50">
        <f t="shared" si="2"/>
        <v>924000</v>
      </c>
      <c r="F167" s="14" t="s">
        <v>137</v>
      </c>
      <c r="G167" s="14" t="s">
        <v>138</v>
      </c>
      <c r="H167" s="14" t="s">
        <v>1961</v>
      </c>
    </row>
    <row r="168" spans="1:8" s="14" customFormat="1">
      <c r="A168" s="138">
        <v>44298</v>
      </c>
      <c r="B168" s="49" t="s">
        <v>1477</v>
      </c>
      <c r="C168" s="50">
        <v>300000</v>
      </c>
      <c r="D168" s="50">
        <v>0</v>
      </c>
      <c r="E168" s="50">
        <f t="shared" si="2"/>
        <v>624000</v>
      </c>
      <c r="F168" s="14" t="s">
        <v>137</v>
      </c>
      <c r="G168" s="14" t="s">
        <v>138</v>
      </c>
      <c r="H168" s="14" t="s">
        <v>1961</v>
      </c>
    </row>
    <row r="169" spans="1:8" s="14" customFormat="1">
      <c r="A169" s="138">
        <v>44298</v>
      </c>
      <c r="B169" s="49" t="s">
        <v>1478</v>
      </c>
      <c r="C169" s="50">
        <v>203000</v>
      </c>
      <c r="D169" s="50">
        <v>0</v>
      </c>
      <c r="E169" s="50">
        <f t="shared" si="2"/>
        <v>421000</v>
      </c>
      <c r="F169" s="14" t="s">
        <v>137</v>
      </c>
      <c r="G169" s="14" t="s">
        <v>138</v>
      </c>
      <c r="H169" s="14" t="s">
        <v>4390</v>
      </c>
    </row>
    <row r="170" spans="1:8" s="14" customFormat="1">
      <c r="A170" s="138">
        <v>44300</v>
      </c>
      <c r="B170" s="49" t="s">
        <v>24</v>
      </c>
      <c r="C170" s="50">
        <v>0</v>
      </c>
      <c r="D170" s="50">
        <v>2579000</v>
      </c>
      <c r="E170" s="50">
        <f t="shared" si="2"/>
        <v>3000000</v>
      </c>
      <c r="F170" s="14" t="s">
        <v>107</v>
      </c>
      <c r="G170" s="14" t="s">
        <v>129</v>
      </c>
    </row>
    <row r="171" spans="1:8" s="14" customFormat="1">
      <c r="A171" s="138">
        <v>44308</v>
      </c>
      <c r="B171" s="49" t="s">
        <v>1479</v>
      </c>
      <c r="C171" s="50">
        <v>482000</v>
      </c>
      <c r="D171" s="50">
        <v>0</v>
      </c>
      <c r="E171" s="50">
        <f t="shared" si="2"/>
        <v>2518000</v>
      </c>
      <c r="F171" s="14" t="s">
        <v>319</v>
      </c>
      <c r="G171" s="14" t="s">
        <v>117</v>
      </c>
    </row>
    <row r="172" spans="1:8" s="14" customFormat="1">
      <c r="A172" s="138">
        <v>44308</v>
      </c>
      <c r="B172" s="49" t="s">
        <v>1480</v>
      </c>
      <c r="C172" s="50">
        <v>253400</v>
      </c>
      <c r="D172" s="50">
        <v>0</v>
      </c>
      <c r="E172" s="50">
        <f t="shared" si="2"/>
        <v>2264600</v>
      </c>
      <c r="F172" s="14" t="s">
        <v>736</v>
      </c>
      <c r="G172" s="14" t="s">
        <v>3994</v>
      </c>
    </row>
    <row r="173" spans="1:8" s="14" customFormat="1">
      <c r="A173" s="138">
        <v>44308</v>
      </c>
      <c r="B173" s="49" t="s">
        <v>1481</v>
      </c>
      <c r="C173" s="50">
        <v>200000</v>
      </c>
      <c r="D173" s="50">
        <v>0</v>
      </c>
      <c r="E173" s="50">
        <f t="shared" si="2"/>
        <v>2064600</v>
      </c>
      <c r="F173" s="14" t="s">
        <v>319</v>
      </c>
      <c r="G173" s="14" t="s">
        <v>648</v>
      </c>
    </row>
    <row r="174" spans="1:8" s="14" customFormat="1">
      <c r="A174" s="138">
        <v>44308</v>
      </c>
      <c r="B174" s="49" t="s">
        <v>1482</v>
      </c>
      <c r="C174" s="50">
        <v>20900</v>
      </c>
      <c r="D174" s="50">
        <v>0</v>
      </c>
      <c r="E174" s="50">
        <f t="shared" si="2"/>
        <v>2043700</v>
      </c>
      <c r="F174" s="14" t="s">
        <v>319</v>
      </c>
      <c r="G174" s="14" t="s">
        <v>454</v>
      </c>
    </row>
    <row r="175" spans="1:8" s="14" customFormat="1">
      <c r="A175" s="138">
        <v>44308</v>
      </c>
      <c r="B175" s="49" t="s">
        <v>1483</v>
      </c>
      <c r="C175" s="50">
        <v>66000</v>
      </c>
      <c r="D175" s="50">
        <v>0</v>
      </c>
      <c r="E175" s="50">
        <f t="shared" si="2"/>
        <v>1977700</v>
      </c>
      <c r="F175" s="14" t="s">
        <v>137</v>
      </c>
      <c r="G175" s="14" t="s">
        <v>138</v>
      </c>
      <c r="H175" s="168" t="s">
        <v>3031</v>
      </c>
    </row>
    <row r="176" spans="1:8" s="14" customFormat="1">
      <c r="A176" s="138">
        <v>44308</v>
      </c>
      <c r="B176" s="49" t="s">
        <v>1484</v>
      </c>
      <c r="C176" s="50">
        <v>157000</v>
      </c>
      <c r="D176" s="50">
        <v>0</v>
      </c>
      <c r="E176" s="50">
        <f t="shared" si="2"/>
        <v>1820700</v>
      </c>
      <c r="F176" s="14" t="s">
        <v>137</v>
      </c>
      <c r="G176" s="14" t="s">
        <v>138</v>
      </c>
      <c r="H176" s="14" t="s">
        <v>4390</v>
      </c>
    </row>
    <row r="177" spans="1:8" s="14" customFormat="1">
      <c r="A177" s="138">
        <v>44308</v>
      </c>
      <c r="B177" s="49" t="s">
        <v>1485</v>
      </c>
      <c r="C177" s="50">
        <v>68000</v>
      </c>
      <c r="D177" s="50">
        <v>0</v>
      </c>
      <c r="E177" s="50">
        <f t="shared" si="2"/>
        <v>1752700</v>
      </c>
      <c r="F177" s="14" t="s">
        <v>736</v>
      </c>
      <c r="G177" s="14" t="s">
        <v>3994</v>
      </c>
    </row>
    <row r="178" spans="1:8" s="14" customFormat="1">
      <c r="A178" s="138">
        <v>44308</v>
      </c>
      <c r="B178" s="49" t="s">
        <v>1486</v>
      </c>
      <c r="C178" s="50">
        <v>29000</v>
      </c>
      <c r="D178" s="50">
        <v>0</v>
      </c>
      <c r="E178" s="50">
        <f t="shared" si="2"/>
        <v>1723700</v>
      </c>
      <c r="F178" s="14" t="s">
        <v>137</v>
      </c>
      <c r="G178" s="14" t="s">
        <v>138</v>
      </c>
      <c r="H178" s="168" t="s">
        <v>990</v>
      </c>
    </row>
    <row r="179" spans="1:8" s="14" customFormat="1">
      <c r="A179" s="138">
        <v>44308</v>
      </c>
      <c r="B179" s="49" t="s">
        <v>1487</v>
      </c>
      <c r="C179" s="50">
        <v>127000</v>
      </c>
      <c r="D179" s="50">
        <v>0</v>
      </c>
      <c r="E179" s="50">
        <f t="shared" si="2"/>
        <v>1596700</v>
      </c>
      <c r="F179" s="14" t="s">
        <v>137</v>
      </c>
      <c r="G179" s="14" t="s">
        <v>138</v>
      </c>
      <c r="H179" s="168" t="s">
        <v>1015</v>
      </c>
    </row>
    <row r="180" spans="1:8" s="14" customFormat="1">
      <c r="A180" s="138">
        <v>44308</v>
      </c>
      <c r="B180" s="49" t="s">
        <v>1488</v>
      </c>
      <c r="C180" s="50">
        <v>163000</v>
      </c>
      <c r="D180" s="50">
        <v>0</v>
      </c>
      <c r="E180" s="50">
        <f t="shared" si="2"/>
        <v>1433700</v>
      </c>
      <c r="F180" s="14" t="s">
        <v>137</v>
      </c>
      <c r="G180" s="14" t="s">
        <v>138</v>
      </c>
      <c r="H180" s="168" t="s">
        <v>1129</v>
      </c>
    </row>
    <row r="181" spans="1:8" s="14" customFormat="1">
      <c r="A181" s="138">
        <v>44308</v>
      </c>
      <c r="B181" s="49" t="s">
        <v>1489</v>
      </c>
      <c r="C181" s="50">
        <v>100000</v>
      </c>
      <c r="D181" s="50">
        <v>0</v>
      </c>
      <c r="E181" s="50">
        <f t="shared" si="2"/>
        <v>1333700</v>
      </c>
      <c r="F181" s="14" t="s">
        <v>137</v>
      </c>
      <c r="G181" s="14" t="s">
        <v>138</v>
      </c>
      <c r="H181" s="14" t="s">
        <v>1130</v>
      </c>
    </row>
    <row r="182" spans="1:8" s="14" customFormat="1">
      <c r="A182" s="138">
        <v>44308</v>
      </c>
      <c r="B182" s="49" t="s">
        <v>1490</v>
      </c>
      <c r="C182" s="50">
        <v>151000</v>
      </c>
      <c r="D182" s="50">
        <v>0</v>
      </c>
      <c r="E182" s="50">
        <f t="shared" si="2"/>
        <v>1182700</v>
      </c>
      <c r="F182" s="14" t="s">
        <v>137</v>
      </c>
      <c r="G182" s="14" t="s">
        <v>138</v>
      </c>
      <c r="H182" s="14" t="s">
        <v>251</v>
      </c>
    </row>
    <row r="183" spans="1:8" s="14" customFormat="1">
      <c r="A183" s="138">
        <v>44308</v>
      </c>
      <c r="B183" s="49" t="s">
        <v>1491</v>
      </c>
      <c r="C183" s="50">
        <v>204819</v>
      </c>
      <c r="D183" s="50">
        <v>0</v>
      </c>
      <c r="E183" s="50">
        <f t="shared" si="2"/>
        <v>977881</v>
      </c>
      <c r="F183" s="14" t="s">
        <v>137</v>
      </c>
      <c r="G183" s="14" t="s">
        <v>138</v>
      </c>
      <c r="H183" s="14" t="s">
        <v>1961</v>
      </c>
    </row>
    <row r="184" spans="1:8" s="14" customFormat="1">
      <c r="A184" s="138">
        <v>44308</v>
      </c>
      <c r="B184" s="49" t="s">
        <v>1492</v>
      </c>
      <c r="C184" s="50">
        <v>300000</v>
      </c>
      <c r="D184" s="50">
        <v>0</v>
      </c>
      <c r="E184" s="50">
        <f t="shared" si="2"/>
        <v>677881</v>
      </c>
      <c r="F184" s="14" t="s">
        <v>319</v>
      </c>
      <c r="G184" s="14" t="s">
        <v>117</v>
      </c>
    </row>
    <row r="185" spans="1:8" s="14" customFormat="1">
      <c r="A185" s="138">
        <v>44308</v>
      </c>
      <c r="B185" s="49" t="s">
        <v>1493</v>
      </c>
      <c r="C185" s="50">
        <v>315000</v>
      </c>
      <c r="D185" s="50">
        <v>0</v>
      </c>
      <c r="E185" s="50">
        <f t="shared" si="2"/>
        <v>362881</v>
      </c>
      <c r="F185" s="14" t="s">
        <v>319</v>
      </c>
      <c r="G185" s="14" t="s">
        <v>454</v>
      </c>
    </row>
    <row r="186" spans="1:8" s="14" customFormat="1">
      <c r="A186" s="138">
        <v>44308</v>
      </c>
      <c r="B186" s="49" t="s">
        <v>1494</v>
      </c>
      <c r="C186" s="50">
        <v>18000</v>
      </c>
      <c r="D186" s="50">
        <v>0</v>
      </c>
      <c r="E186" s="50">
        <f t="shared" si="2"/>
        <v>344881</v>
      </c>
      <c r="F186" s="14" t="s">
        <v>137</v>
      </c>
      <c r="G186" s="14" t="s">
        <v>138</v>
      </c>
      <c r="H186" s="14" t="s">
        <v>1961</v>
      </c>
    </row>
    <row r="187" spans="1:8" s="14" customFormat="1">
      <c r="A187" s="138">
        <v>44312</v>
      </c>
      <c r="B187" s="49" t="s">
        <v>24</v>
      </c>
      <c r="C187" s="50">
        <v>0</v>
      </c>
      <c r="D187" s="50">
        <v>2655119</v>
      </c>
      <c r="E187" s="50">
        <f t="shared" si="2"/>
        <v>3000000</v>
      </c>
      <c r="F187" s="14" t="s">
        <v>107</v>
      </c>
      <c r="G187" s="14" t="s">
        <v>129</v>
      </c>
    </row>
    <row r="188" spans="1:8" s="14" customFormat="1">
      <c r="A188" s="138">
        <v>44314</v>
      </c>
      <c r="B188" s="49" t="s">
        <v>1495</v>
      </c>
      <c r="C188" s="50">
        <v>497500</v>
      </c>
      <c r="D188" s="50">
        <v>0</v>
      </c>
      <c r="E188" s="50">
        <f t="shared" si="2"/>
        <v>2502500</v>
      </c>
      <c r="F188" s="14" t="s">
        <v>736</v>
      </c>
      <c r="G188" s="14" t="s">
        <v>3994</v>
      </c>
    </row>
    <row r="189" spans="1:8" s="14" customFormat="1">
      <c r="A189" s="138">
        <v>44314</v>
      </c>
      <c r="B189" s="49" t="s">
        <v>1496</v>
      </c>
      <c r="C189" s="50">
        <v>209000</v>
      </c>
      <c r="D189" s="50">
        <v>0</v>
      </c>
      <c r="E189" s="50">
        <f t="shared" si="2"/>
        <v>2293500</v>
      </c>
      <c r="F189" s="14" t="s">
        <v>319</v>
      </c>
      <c r="G189" s="14" t="s">
        <v>453</v>
      </c>
    </row>
    <row r="190" spans="1:8" s="14" customFormat="1">
      <c r="A190" s="138">
        <v>44314</v>
      </c>
      <c r="B190" s="49" t="s">
        <v>1497</v>
      </c>
      <c r="C190" s="50">
        <v>41500</v>
      </c>
      <c r="D190" s="50">
        <v>0</v>
      </c>
      <c r="E190" s="50">
        <f t="shared" si="2"/>
        <v>2252000</v>
      </c>
      <c r="F190" s="14" t="s">
        <v>319</v>
      </c>
      <c r="G190" s="14" t="s">
        <v>453</v>
      </c>
    </row>
    <row r="191" spans="1:8" s="14" customFormat="1">
      <c r="A191" s="138">
        <v>44314</v>
      </c>
      <c r="B191" s="49" t="s">
        <v>1498</v>
      </c>
      <c r="C191" s="50">
        <v>20900</v>
      </c>
      <c r="D191" s="50">
        <v>0</v>
      </c>
      <c r="E191" s="50">
        <f t="shared" si="2"/>
        <v>2231100</v>
      </c>
      <c r="F191" s="14" t="s">
        <v>319</v>
      </c>
      <c r="G191" s="14" t="s">
        <v>454</v>
      </c>
    </row>
    <row r="192" spans="1:8" s="14" customFormat="1">
      <c r="A192" s="138">
        <v>44314</v>
      </c>
      <c r="B192" s="49" t="s">
        <v>1499</v>
      </c>
      <c r="C192" s="50">
        <v>17000</v>
      </c>
      <c r="D192" s="50">
        <v>0</v>
      </c>
      <c r="E192" s="50">
        <f t="shared" si="2"/>
        <v>2214100</v>
      </c>
      <c r="F192" s="14" t="s">
        <v>736</v>
      </c>
      <c r="G192" s="14" t="s">
        <v>3994</v>
      </c>
    </row>
    <row r="193" spans="1:9" s="14" customFormat="1">
      <c r="A193" s="138">
        <v>44314</v>
      </c>
      <c r="B193" s="49" t="s">
        <v>1500</v>
      </c>
      <c r="C193" s="50">
        <v>204505</v>
      </c>
      <c r="D193" s="50">
        <v>0</v>
      </c>
      <c r="E193" s="50">
        <f t="shared" si="2"/>
        <v>2009595</v>
      </c>
      <c r="F193" s="14" t="s">
        <v>319</v>
      </c>
      <c r="G193" t="s">
        <v>1016</v>
      </c>
    </row>
    <row r="194" spans="1:9" s="14" customFormat="1">
      <c r="A194" s="138">
        <v>44314</v>
      </c>
      <c r="B194" s="49" t="s">
        <v>1501</v>
      </c>
      <c r="C194" s="50">
        <v>383284</v>
      </c>
      <c r="D194" s="50">
        <v>0</v>
      </c>
      <c r="E194" s="50">
        <f t="shared" si="2"/>
        <v>1626311</v>
      </c>
      <c r="F194" s="14" t="s">
        <v>319</v>
      </c>
      <c r="G194" t="s">
        <v>1016</v>
      </c>
    </row>
    <row r="195" spans="1:9" s="14" customFormat="1">
      <c r="A195" s="138">
        <v>44314</v>
      </c>
      <c r="B195" s="49" t="s">
        <v>1502</v>
      </c>
      <c r="C195" s="50">
        <v>300000</v>
      </c>
      <c r="D195" s="50">
        <v>0</v>
      </c>
      <c r="E195" s="50">
        <f t="shared" si="2"/>
        <v>1326311</v>
      </c>
      <c r="F195" s="14" t="s">
        <v>319</v>
      </c>
      <c r="G195" s="14" t="s">
        <v>117</v>
      </c>
    </row>
    <row r="196" spans="1:9" s="14" customFormat="1">
      <c r="A196" s="138">
        <v>44314</v>
      </c>
      <c r="B196" s="49" t="s">
        <v>1503</v>
      </c>
      <c r="C196" s="50">
        <v>225500</v>
      </c>
      <c r="D196" s="50">
        <v>0</v>
      </c>
      <c r="E196" s="50">
        <f t="shared" si="2"/>
        <v>1100811</v>
      </c>
      <c r="F196" s="14" t="s">
        <v>319</v>
      </c>
      <c r="G196" s="14" t="s">
        <v>117</v>
      </c>
    </row>
    <row r="197" spans="1:9" s="14" customFormat="1">
      <c r="A197" s="138">
        <v>44314</v>
      </c>
      <c r="B197" s="49" t="s">
        <v>1504</v>
      </c>
      <c r="C197" s="50">
        <v>400600</v>
      </c>
      <c r="D197" s="50">
        <v>0</v>
      </c>
      <c r="E197" s="50">
        <f t="shared" si="2"/>
        <v>700211</v>
      </c>
      <c r="F197" s="14" t="s">
        <v>137</v>
      </c>
      <c r="G197" s="14" t="s">
        <v>138</v>
      </c>
      <c r="H197" s="168" t="s">
        <v>3031</v>
      </c>
    </row>
    <row r="198" spans="1:9" s="14" customFormat="1">
      <c r="A198" s="138">
        <v>44314</v>
      </c>
      <c r="B198" s="49" t="s">
        <v>1505</v>
      </c>
      <c r="C198" s="50">
        <v>250000</v>
      </c>
      <c r="D198" s="50">
        <v>0</v>
      </c>
      <c r="E198" s="50">
        <f t="shared" ref="E198:E261" si="3">E197-C198+D198</f>
        <v>450211</v>
      </c>
      <c r="F198" s="14" t="s">
        <v>736</v>
      </c>
      <c r="G198" s="14" t="s">
        <v>3994</v>
      </c>
    </row>
    <row r="199" spans="1:9" s="14" customFormat="1">
      <c r="A199" s="138">
        <v>44314</v>
      </c>
      <c r="B199" s="49" t="s">
        <v>1506</v>
      </c>
      <c r="C199" s="50">
        <v>9000</v>
      </c>
      <c r="D199" s="50">
        <v>0</v>
      </c>
      <c r="E199" s="50">
        <f t="shared" si="3"/>
        <v>441211</v>
      </c>
      <c r="F199" s="14" t="s">
        <v>319</v>
      </c>
      <c r="G199" s="14" t="s">
        <v>117</v>
      </c>
    </row>
    <row r="200" spans="1:9" s="14" customFormat="1">
      <c r="A200" s="138">
        <v>44314</v>
      </c>
      <c r="B200" s="49" t="s">
        <v>1507</v>
      </c>
      <c r="C200" s="50">
        <v>5000</v>
      </c>
      <c r="D200" s="50">
        <v>0</v>
      </c>
      <c r="E200" s="50">
        <f t="shared" si="3"/>
        <v>436211</v>
      </c>
      <c r="F200" s="14" t="s">
        <v>319</v>
      </c>
      <c r="G200" s="14" t="s">
        <v>117</v>
      </c>
    </row>
    <row r="201" spans="1:9" s="14" customFormat="1">
      <c r="A201" s="138">
        <v>44314</v>
      </c>
      <c r="B201" s="49" t="s">
        <v>1508</v>
      </c>
      <c r="C201" s="50">
        <v>162500</v>
      </c>
      <c r="D201" s="50">
        <v>0</v>
      </c>
      <c r="E201" s="50">
        <f t="shared" si="3"/>
        <v>273711</v>
      </c>
      <c r="F201" s="14" t="s">
        <v>137</v>
      </c>
      <c r="G201" s="14" t="s">
        <v>138</v>
      </c>
      <c r="H201" s="14" t="s">
        <v>251</v>
      </c>
    </row>
    <row r="202" spans="1:9" s="14" customFormat="1">
      <c r="A202" s="138">
        <v>44314</v>
      </c>
      <c r="B202" s="49" t="s">
        <v>1509</v>
      </c>
      <c r="C202" s="50">
        <v>37000</v>
      </c>
      <c r="D202" s="50">
        <v>0</v>
      </c>
      <c r="E202" s="50">
        <f t="shared" si="3"/>
        <v>236711</v>
      </c>
      <c r="F202" s="14" t="s">
        <v>137</v>
      </c>
      <c r="G202" s="14" t="s">
        <v>138</v>
      </c>
      <c r="H202" s="168" t="s">
        <v>1015</v>
      </c>
    </row>
    <row r="203" spans="1:9" s="14" customFormat="1">
      <c r="A203" s="138">
        <v>44316</v>
      </c>
      <c r="B203" s="49" t="s">
        <v>24</v>
      </c>
      <c r="C203" s="50">
        <v>0</v>
      </c>
      <c r="D203" s="50">
        <v>2763289</v>
      </c>
      <c r="E203" s="50">
        <f t="shared" si="3"/>
        <v>3000000</v>
      </c>
      <c r="F203" s="14" t="s">
        <v>107</v>
      </c>
      <c r="G203" s="14" t="s">
        <v>129</v>
      </c>
    </row>
    <row r="204" spans="1:9" s="14" customFormat="1">
      <c r="A204" s="138">
        <v>44322</v>
      </c>
      <c r="B204" s="49" t="s">
        <v>1510</v>
      </c>
      <c r="C204" s="50">
        <v>200000</v>
      </c>
      <c r="D204" s="50">
        <v>0</v>
      </c>
      <c r="E204" s="50">
        <f t="shared" si="3"/>
        <v>2800000</v>
      </c>
      <c r="F204" s="14" t="s">
        <v>319</v>
      </c>
      <c r="G204" s="14" t="s">
        <v>648</v>
      </c>
    </row>
    <row r="205" spans="1:9" s="14" customFormat="1">
      <c r="A205" s="138">
        <v>44322</v>
      </c>
      <c r="B205" s="49" t="s">
        <v>1511</v>
      </c>
      <c r="C205" s="50">
        <v>383100</v>
      </c>
      <c r="D205" s="50">
        <v>0</v>
      </c>
      <c r="E205" s="50">
        <f t="shared" si="3"/>
        <v>2416900</v>
      </c>
      <c r="F205" s="14" t="s">
        <v>319</v>
      </c>
      <c r="G205" s="14" t="s">
        <v>453</v>
      </c>
    </row>
    <row r="206" spans="1:9" s="14" customFormat="1">
      <c r="A206" s="138">
        <v>44322</v>
      </c>
      <c r="B206" s="49" t="s">
        <v>1512</v>
      </c>
      <c r="C206" s="50">
        <v>35000</v>
      </c>
      <c r="D206" s="50">
        <v>0</v>
      </c>
      <c r="E206" s="50">
        <f t="shared" si="3"/>
        <v>2381900</v>
      </c>
      <c r="F206" s="14" t="s">
        <v>137</v>
      </c>
      <c r="G206" s="14" t="s">
        <v>138</v>
      </c>
      <c r="H206" s="14" t="s">
        <v>251</v>
      </c>
    </row>
    <row r="207" spans="1:9" s="14" customFormat="1">
      <c r="A207" s="138">
        <v>44322</v>
      </c>
      <c r="B207" s="49" t="s">
        <v>1513</v>
      </c>
      <c r="C207" s="50">
        <v>118800</v>
      </c>
      <c r="D207" s="50">
        <v>0</v>
      </c>
      <c r="E207" s="50">
        <f t="shared" si="3"/>
        <v>2263100</v>
      </c>
      <c r="F207" s="14" t="s">
        <v>115</v>
      </c>
      <c r="G207" s="14" t="s">
        <v>120</v>
      </c>
      <c r="H207" t="s">
        <v>127</v>
      </c>
      <c r="I207" s="14" t="s">
        <v>444</v>
      </c>
    </row>
    <row r="208" spans="1:9" s="14" customFormat="1">
      <c r="A208" s="138">
        <v>44322</v>
      </c>
      <c r="B208" s="49" t="s">
        <v>1514</v>
      </c>
      <c r="C208" s="50">
        <v>53000</v>
      </c>
      <c r="D208" s="50">
        <v>0</v>
      </c>
      <c r="E208" s="50">
        <f t="shared" si="3"/>
        <v>2210100</v>
      </c>
      <c r="F208" s="14" t="s">
        <v>319</v>
      </c>
      <c r="G208" s="14" t="s">
        <v>117</v>
      </c>
    </row>
    <row r="209" spans="1:8" s="14" customFormat="1">
      <c r="A209" s="138">
        <v>44322</v>
      </c>
      <c r="B209" s="49" t="s">
        <v>1515</v>
      </c>
      <c r="C209" s="50">
        <v>29000</v>
      </c>
      <c r="D209" s="50">
        <v>0</v>
      </c>
      <c r="E209" s="50">
        <f t="shared" si="3"/>
        <v>2181100</v>
      </c>
      <c r="F209" s="14" t="s">
        <v>137</v>
      </c>
      <c r="G209" s="14" t="s">
        <v>138</v>
      </c>
      <c r="H209" s="14" t="s">
        <v>603</v>
      </c>
    </row>
    <row r="210" spans="1:8" s="14" customFormat="1">
      <c r="A210" s="138">
        <v>44322</v>
      </c>
      <c r="B210" s="49" t="s">
        <v>1516</v>
      </c>
      <c r="C210" s="50">
        <v>500000</v>
      </c>
      <c r="D210" s="50">
        <v>0</v>
      </c>
      <c r="E210" s="50">
        <f t="shared" si="3"/>
        <v>1681100</v>
      </c>
      <c r="F210" s="14" t="s">
        <v>319</v>
      </c>
      <c r="G210" s="14" t="s">
        <v>117</v>
      </c>
    </row>
    <row r="211" spans="1:8" s="14" customFormat="1">
      <c r="A211" s="138">
        <v>44322</v>
      </c>
      <c r="B211" s="49" t="s">
        <v>1517</v>
      </c>
      <c r="C211" s="50">
        <v>303000</v>
      </c>
      <c r="D211" s="50">
        <v>0</v>
      </c>
      <c r="E211" s="50">
        <f t="shared" si="3"/>
        <v>1378100</v>
      </c>
      <c r="F211" s="14" t="s">
        <v>319</v>
      </c>
      <c r="G211" s="14" t="s">
        <v>117</v>
      </c>
    </row>
    <row r="212" spans="1:8" s="14" customFormat="1">
      <c r="A212" s="138">
        <v>44322</v>
      </c>
      <c r="B212" s="49" t="s">
        <v>1518</v>
      </c>
      <c r="C212" s="50">
        <v>277580</v>
      </c>
      <c r="D212" s="50">
        <v>0</v>
      </c>
      <c r="E212" s="50">
        <f t="shared" si="3"/>
        <v>1100520</v>
      </c>
      <c r="F212" s="14" t="s">
        <v>319</v>
      </c>
      <c r="G212" s="14" t="s">
        <v>117</v>
      </c>
    </row>
    <row r="213" spans="1:8" s="14" customFormat="1">
      <c r="A213" s="138">
        <v>44322</v>
      </c>
      <c r="B213" s="49" t="s">
        <v>1519</v>
      </c>
      <c r="C213" s="50">
        <v>400000</v>
      </c>
      <c r="D213" s="50">
        <v>0</v>
      </c>
      <c r="E213" s="50">
        <f t="shared" si="3"/>
        <v>700520</v>
      </c>
      <c r="F213" s="14" t="s">
        <v>137</v>
      </c>
      <c r="G213" s="14" t="s">
        <v>138</v>
      </c>
      <c r="H213" s="168" t="s">
        <v>3031</v>
      </c>
    </row>
    <row r="214" spans="1:8" s="14" customFormat="1">
      <c r="A214" s="138">
        <v>44322</v>
      </c>
      <c r="B214" s="49" t="s">
        <v>1520</v>
      </c>
      <c r="C214" s="50">
        <v>300000</v>
      </c>
      <c r="D214" s="50">
        <v>0</v>
      </c>
      <c r="E214" s="50">
        <f t="shared" si="3"/>
        <v>400520</v>
      </c>
      <c r="F214" s="14" t="s">
        <v>137</v>
      </c>
      <c r="G214" s="14" t="s">
        <v>138</v>
      </c>
      <c r="H214" s="168" t="s">
        <v>3031</v>
      </c>
    </row>
    <row r="215" spans="1:8" s="14" customFormat="1">
      <c r="A215" s="138">
        <v>44322</v>
      </c>
      <c r="B215" s="49" t="s">
        <v>1521</v>
      </c>
      <c r="C215" s="50">
        <v>400000</v>
      </c>
      <c r="D215" s="50">
        <v>0</v>
      </c>
      <c r="E215" s="50">
        <f t="shared" si="3"/>
        <v>520</v>
      </c>
      <c r="F215" s="14" t="s">
        <v>137</v>
      </c>
      <c r="G215" s="14" t="s">
        <v>138</v>
      </c>
      <c r="H215" s="168" t="s">
        <v>3031</v>
      </c>
    </row>
    <row r="216" spans="1:8" s="14" customFormat="1">
      <c r="A216" s="138">
        <v>44323</v>
      </c>
      <c r="B216" s="49" t="s">
        <v>24</v>
      </c>
      <c r="C216" s="50">
        <v>0</v>
      </c>
      <c r="D216" s="50">
        <v>2999480</v>
      </c>
      <c r="E216" s="50">
        <f t="shared" si="3"/>
        <v>3000000</v>
      </c>
      <c r="F216" s="14" t="s">
        <v>107</v>
      </c>
      <c r="G216" s="14" t="s">
        <v>129</v>
      </c>
    </row>
    <row r="217" spans="1:8" s="14" customFormat="1">
      <c r="A217" s="138">
        <v>44330</v>
      </c>
      <c r="B217" s="49" t="s">
        <v>1955</v>
      </c>
      <c r="C217" s="50">
        <v>424000</v>
      </c>
      <c r="D217" s="50">
        <v>0</v>
      </c>
      <c r="E217" s="50">
        <f t="shared" si="3"/>
        <v>2576000</v>
      </c>
      <c r="F217" s="14" t="s">
        <v>137</v>
      </c>
      <c r="G217" s="14" t="s">
        <v>138</v>
      </c>
      <c r="H217" s="168" t="s">
        <v>1127</v>
      </c>
    </row>
    <row r="218" spans="1:8" s="14" customFormat="1">
      <c r="A218" s="138">
        <v>44330</v>
      </c>
      <c r="B218" s="49" t="s">
        <v>1956</v>
      </c>
      <c r="C218" s="50">
        <v>95000</v>
      </c>
      <c r="D218" s="50">
        <v>0</v>
      </c>
      <c r="E218" s="50">
        <f t="shared" si="3"/>
        <v>2481000</v>
      </c>
      <c r="F218" s="14" t="s">
        <v>319</v>
      </c>
      <c r="G218" s="14" t="s">
        <v>453</v>
      </c>
    </row>
    <row r="219" spans="1:8" s="14" customFormat="1">
      <c r="A219" s="138">
        <v>44330</v>
      </c>
      <c r="B219" s="49" t="s">
        <v>1957</v>
      </c>
      <c r="C219" s="50">
        <v>10000</v>
      </c>
      <c r="D219" s="50">
        <v>0</v>
      </c>
      <c r="E219" s="50">
        <f t="shared" si="3"/>
        <v>2471000</v>
      </c>
      <c r="F219" s="14" t="s">
        <v>319</v>
      </c>
      <c r="G219" s="14" t="s">
        <v>453</v>
      </c>
    </row>
    <row r="220" spans="1:8" s="14" customFormat="1">
      <c r="A220" s="138">
        <v>44330</v>
      </c>
      <c r="B220" s="49" t="s">
        <v>1958</v>
      </c>
      <c r="C220" s="50">
        <v>220000</v>
      </c>
      <c r="D220" s="50">
        <v>0</v>
      </c>
      <c r="E220" s="50">
        <f t="shared" si="3"/>
        <v>2251000</v>
      </c>
      <c r="F220" s="14" t="s">
        <v>137</v>
      </c>
      <c r="G220" s="14" t="s">
        <v>138</v>
      </c>
      <c r="H220" s="168" t="s">
        <v>3020</v>
      </c>
    </row>
    <row r="221" spans="1:8" s="14" customFormat="1">
      <c r="A221" s="138">
        <v>44330</v>
      </c>
      <c r="B221" s="49" t="s">
        <v>1959</v>
      </c>
      <c r="C221" s="50">
        <v>72000</v>
      </c>
      <c r="D221" s="50">
        <v>0</v>
      </c>
      <c r="E221" s="50">
        <f t="shared" si="3"/>
        <v>2179000</v>
      </c>
      <c r="F221" s="14" t="s">
        <v>248</v>
      </c>
      <c r="G221" s="14" t="s">
        <v>407</v>
      </c>
    </row>
    <row r="222" spans="1:8" s="14" customFormat="1">
      <c r="A222" s="138">
        <v>44330</v>
      </c>
      <c r="B222" s="49" t="s">
        <v>1960</v>
      </c>
      <c r="C222" s="50">
        <v>18000</v>
      </c>
      <c r="D222" s="50">
        <v>0</v>
      </c>
      <c r="E222" s="50">
        <f t="shared" si="3"/>
        <v>2161000</v>
      </c>
      <c r="F222" s="14" t="s">
        <v>137</v>
      </c>
      <c r="G222" s="14" t="s">
        <v>138</v>
      </c>
      <c r="H222" s="14" t="s">
        <v>1961</v>
      </c>
    </row>
    <row r="223" spans="1:8" s="14" customFormat="1">
      <c r="A223" s="138">
        <v>44330</v>
      </c>
      <c r="B223" s="49" t="s">
        <v>1962</v>
      </c>
      <c r="C223" s="50">
        <v>60000</v>
      </c>
      <c r="D223" s="50">
        <v>0</v>
      </c>
      <c r="E223" s="50">
        <f t="shared" si="3"/>
        <v>2101000</v>
      </c>
      <c r="F223" s="14" t="s">
        <v>319</v>
      </c>
      <c r="G223" s="14" t="s">
        <v>454</v>
      </c>
    </row>
    <row r="224" spans="1:8" s="14" customFormat="1">
      <c r="A224" s="138">
        <v>44330</v>
      </c>
      <c r="B224" s="49" t="s">
        <v>1963</v>
      </c>
      <c r="C224" s="50">
        <v>60000</v>
      </c>
      <c r="D224" s="50">
        <v>0</v>
      </c>
      <c r="E224" s="50">
        <f t="shared" si="3"/>
        <v>2041000</v>
      </c>
      <c r="F224" s="14" t="s">
        <v>113</v>
      </c>
      <c r="G224" s="14" t="s">
        <v>114</v>
      </c>
    </row>
    <row r="225" spans="1:8" s="14" customFormat="1">
      <c r="A225" s="138">
        <v>44330</v>
      </c>
      <c r="B225" s="49" t="s">
        <v>1964</v>
      </c>
      <c r="C225" s="50">
        <v>432280</v>
      </c>
      <c r="D225" s="50">
        <v>0</v>
      </c>
      <c r="E225" s="50">
        <f t="shared" si="3"/>
        <v>1608720</v>
      </c>
      <c r="F225" s="14" t="s">
        <v>137</v>
      </c>
      <c r="G225" s="14" t="s">
        <v>138</v>
      </c>
      <c r="H225" s="14" t="s">
        <v>4390</v>
      </c>
    </row>
    <row r="226" spans="1:8" s="14" customFormat="1">
      <c r="A226" s="138">
        <v>44330</v>
      </c>
      <c r="B226" s="49" t="s">
        <v>1965</v>
      </c>
      <c r="C226" s="50">
        <v>300000</v>
      </c>
      <c r="D226" s="50">
        <v>0</v>
      </c>
      <c r="E226" s="50">
        <f t="shared" si="3"/>
        <v>1308720</v>
      </c>
      <c r="F226" s="14" t="s">
        <v>319</v>
      </c>
      <c r="G226" s="14" t="s">
        <v>117</v>
      </c>
    </row>
    <row r="227" spans="1:8" s="14" customFormat="1">
      <c r="A227" s="138">
        <v>44330</v>
      </c>
      <c r="B227" s="49" t="s">
        <v>1966</v>
      </c>
      <c r="C227" s="50">
        <v>67000</v>
      </c>
      <c r="D227" s="50">
        <v>0</v>
      </c>
      <c r="E227" s="50">
        <f t="shared" si="3"/>
        <v>1241720</v>
      </c>
      <c r="F227" s="14" t="s">
        <v>319</v>
      </c>
      <c r="G227" s="14" t="s">
        <v>117</v>
      </c>
    </row>
    <row r="228" spans="1:8" s="14" customFormat="1">
      <c r="A228" s="138">
        <v>44330</v>
      </c>
      <c r="B228" s="49" t="s">
        <v>1967</v>
      </c>
      <c r="C228" s="50">
        <v>396000</v>
      </c>
      <c r="D228" s="50">
        <v>0</v>
      </c>
      <c r="E228" s="50">
        <f t="shared" si="3"/>
        <v>845720</v>
      </c>
      <c r="F228" s="14" t="s">
        <v>319</v>
      </c>
      <c r="G228" s="14" t="s">
        <v>117</v>
      </c>
    </row>
    <row r="229" spans="1:8" s="14" customFormat="1">
      <c r="A229" s="138">
        <v>44330</v>
      </c>
      <c r="B229" s="49" t="s">
        <v>1968</v>
      </c>
      <c r="C229" s="50">
        <v>636400</v>
      </c>
      <c r="D229" s="50">
        <v>0</v>
      </c>
      <c r="E229" s="50">
        <f t="shared" si="3"/>
        <v>209320</v>
      </c>
      <c r="F229" s="14" t="s">
        <v>319</v>
      </c>
      <c r="G229" s="14" t="s">
        <v>117</v>
      </c>
    </row>
    <row r="230" spans="1:8" s="14" customFormat="1">
      <c r="A230" s="138">
        <v>44334</v>
      </c>
      <c r="B230" s="49" t="s">
        <v>24</v>
      </c>
      <c r="C230" s="50">
        <v>0</v>
      </c>
      <c r="D230" s="50">
        <v>2790680</v>
      </c>
      <c r="E230" s="50">
        <f t="shared" si="3"/>
        <v>3000000</v>
      </c>
      <c r="F230" s="14" t="s">
        <v>107</v>
      </c>
      <c r="G230" s="14" t="s">
        <v>129</v>
      </c>
    </row>
    <row r="231" spans="1:8" s="14" customFormat="1">
      <c r="A231" s="138">
        <v>44341</v>
      </c>
      <c r="B231" s="49" t="s">
        <v>1969</v>
      </c>
      <c r="C231" s="50">
        <v>300000</v>
      </c>
      <c r="D231" s="50">
        <v>0</v>
      </c>
      <c r="E231" s="50">
        <f t="shared" si="3"/>
        <v>2700000</v>
      </c>
      <c r="F231" s="14" t="s">
        <v>319</v>
      </c>
      <c r="G231" s="14" t="s">
        <v>117</v>
      </c>
    </row>
    <row r="232" spans="1:8" s="14" customFormat="1">
      <c r="A232" s="138">
        <v>44341</v>
      </c>
      <c r="B232" s="49" t="s">
        <v>1970</v>
      </c>
      <c r="C232" s="50">
        <v>156000</v>
      </c>
      <c r="D232" s="50">
        <v>0</v>
      </c>
      <c r="E232" s="50">
        <f t="shared" si="3"/>
        <v>2544000</v>
      </c>
      <c r="F232" s="14" t="s">
        <v>319</v>
      </c>
      <c r="G232" s="14" t="s">
        <v>117</v>
      </c>
    </row>
    <row r="233" spans="1:8" s="14" customFormat="1">
      <c r="A233" s="138">
        <v>44341</v>
      </c>
      <c r="B233" s="49" t="s">
        <v>1971</v>
      </c>
      <c r="C233" s="50">
        <v>329000</v>
      </c>
      <c r="D233" s="50">
        <v>0</v>
      </c>
      <c r="E233" s="50">
        <f t="shared" si="3"/>
        <v>2215000</v>
      </c>
      <c r="F233" s="14" t="s">
        <v>137</v>
      </c>
      <c r="G233" s="14" t="s">
        <v>138</v>
      </c>
      <c r="H233" s="168" t="s">
        <v>1128</v>
      </c>
    </row>
    <row r="234" spans="1:8" s="14" customFormat="1">
      <c r="A234" s="138">
        <v>44341</v>
      </c>
      <c r="B234" s="49" t="s">
        <v>1972</v>
      </c>
      <c r="C234" s="50">
        <v>300000</v>
      </c>
      <c r="D234" s="50">
        <v>0</v>
      </c>
      <c r="E234" s="50">
        <f t="shared" si="3"/>
        <v>1915000</v>
      </c>
      <c r="F234" s="14" t="s">
        <v>137</v>
      </c>
      <c r="G234" s="14" t="s">
        <v>138</v>
      </c>
      <c r="H234" s="168" t="s">
        <v>3020</v>
      </c>
    </row>
    <row r="235" spans="1:8" s="14" customFormat="1">
      <c r="A235" s="138">
        <v>44341</v>
      </c>
      <c r="B235" s="49" t="s">
        <v>1973</v>
      </c>
      <c r="C235" s="50">
        <v>306500</v>
      </c>
      <c r="D235" s="50">
        <v>0</v>
      </c>
      <c r="E235" s="50">
        <f t="shared" si="3"/>
        <v>1608500</v>
      </c>
      <c r="F235" s="14" t="s">
        <v>137</v>
      </c>
      <c r="G235" s="14" t="s">
        <v>138</v>
      </c>
      <c r="H235" s="168" t="s">
        <v>3020</v>
      </c>
    </row>
    <row r="236" spans="1:8" s="14" customFormat="1">
      <c r="A236" s="138">
        <v>44341</v>
      </c>
      <c r="B236" s="49" t="s">
        <v>1974</v>
      </c>
      <c r="C236" s="50">
        <v>400000</v>
      </c>
      <c r="D236" s="50">
        <v>0</v>
      </c>
      <c r="E236" s="50">
        <f t="shared" si="3"/>
        <v>1208500</v>
      </c>
      <c r="F236" s="14" t="s">
        <v>137</v>
      </c>
      <c r="G236" s="14" t="s">
        <v>138</v>
      </c>
      <c r="H236" s="168" t="s">
        <v>3020</v>
      </c>
    </row>
    <row r="237" spans="1:8" s="14" customFormat="1">
      <c r="A237" s="138">
        <v>44341</v>
      </c>
      <c r="B237" s="49" t="s">
        <v>1975</v>
      </c>
      <c r="C237" s="50">
        <v>259369</v>
      </c>
      <c r="D237" s="50">
        <v>0</v>
      </c>
      <c r="E237" s="50">
        <f t="shared" si="3"/>
        <v>949131</v>
      </c>
      <c r="F237" s="14" t="s">
        <v>319</v>
      </c>
      <c r="G237" t="s">
        <v>1016</v>
      </c>
    </row>
    <row r="238" spans="1:8" s="14" customFormat="1">
      <c r="A238" s="138">
        <v>44341</v>
      </c>
      <c r="B238" s="49" t="s">
        <v>1976</v>
      </c>
      <c r="C238" s="50">
        <v>203790</v>
      </c>
      <c r="D238" s="50">
        <v>0</v>
      </c>
      <c r="E238" s="50">
        <f t="shared" si="3"/>
        <v>745341</v>
      </c>
      <c r="F238" s="14" t="s">
        <v>319</v>
      </c>
      <c r="G238" t="s">
        <v>1016</v>
      </c>
    </row>
    <row r="239" spans="1:8" s="14" customFormat="1">
      <c r="A239" s="138">
        <v>44341</v>
      </c>
      <c r="B239" s="14" t="s">
        <v>1977</v>
      </c>
      <c r="C239" s="50">
        <v>80000</v>
      </c>
      <c r="D239" s="50">
        <v>0</v>
      </c>
      <c r="E239" s="50">
        <f t="shared" si="3"/>
        <v>665341</v>
      </c>
      <c r="F239" s="14" t="s">
        <v>248</v>
      </c>
      <c r="G239" s="14" t="s">
        <v>391</v>
      </c>
    </row>
    <row r="240" spans="1:8" s="14" customFormat="1">
      <c r="A240" s="138">
        <v>44341</v>
      </c>
      <c r="B240" s="14" t="s">
        <v>1978</v>
      </c>
      <c r="C240" s="50">
        <v>380000</v>
      </c>
      <c r="D240" s="50">
        <v>0</v>
      </c>
      <c r="E240" s="50">
        <f t="shared" si="3"/>
        <v>285341</v>
      </c>
      <c r="F240" s="14" t="s">
        <v>319</v>
      </c>
      <c r="G240" s="14" t="s">
        <v>647</v>
      </c>
    </row>
    <row r="241" spans="1:8" s="14" customFormat="1">
      <c r="A241" s="138">
        <v>44344</v>
      </c>
      <c r="B241" s="49" t="s">
        <v>24</v>
      </c>
      <c r="C241" s="50">
        <v>0</v>
      </c>
      <c r="D241" s="50">
        <v>2714659</v>
      </c>
      <c r="E241" s="50">
        <f t="shared" si="3"/>
        <v>3000000</v>
      </c>
      <c r="F241" s="14" t="s">
        <v>107</v>
      </c>
      <c r="G241" s="14" t="s">
        <v>129</v>
      </c>
    </row>
    <row r="242" spans="1:8" s="14" customFormat="1">
      <c r="A242" s="138">
        <v>44356</v>
      </c>
      <c r="B242" s="14" t="s">
        <v>1979</v>
      </c>
      <c r="C242" s="50">
        <v>150000</v>
      </c>
      <c r="D242" s="50">
        <v>0</v>
      </c>
      <c r="E242" s="50">
        <f t="shared" si="3"/>
        <v>2850000</v>
      </c>
      <c r="F242" s="14" t="s">
        <v>137</v>
      </c>
      <c r="G242" s="14" t="s">
        <v>138</v>
      </c>
      <c r="H242" s="168" t="s">
        <v>3032</v>
      </c>
    </row>
    <row r="243" spans="1:8" s="14" customFormat="1">
      <c r="A243" s="138">
        <v>44356</v>
      </c>
      <c r="B243" s="14" t="s">
        <v>1980</v>
      </c>
      <c r="C243" s="50">
        <v>190000</v>
      </c>
      <c r="D243" s="50">
        <v>0</v>
      </c>
      <c r="E243" s="50">
        <f t="shared" si="3"/>
        <v>2660000</v>
      </c>
      <c r="F243" s="14" t="s">
        <v>248</v>
      </c>
      <c r="G243" s="14" t="s">
        <v>407</v>
      </c>
    </row>
    <row r="244" spans="1:8" s="14" customFormat="1">
      <c r="A244" s="138">
        <v>44356</v>
      </c>
      <c r="B244" s="14" t="s">
        <v>1981</v>
      </c>
      <c r="C244" s="50">
        <v>336000</v>
      </c>
      <c r="D244" s="50">
        <v>0</v>
      </c>
      <c r="E244" s="50">
        <f t="shared" si="3"/>
        <v>2324000</v>
      </c>
      <c r="F244" s="14" t="s">
        <v>319</v>
      </c>
      <c r="G244" s="14" t="s">
        <v>117</v>
      </c>
    </row>
    <row r="245" spans="1:8" s="14" customFormat="1">
      <c r="A245" s="138">
        <v>44356</v>
      </c>
      <c r="B245" s="14" t="s">
        <v>1982</v>
      </c>
      <c r="C245" s="53">
        <v>460000</v>
      </c>
      <c r="D245" s="53">
        <v>0</v>
      </c>
      <c r="E245" s="53">
        <f t="shared" si="3"/>
        <v>1864000</v>
      </c>
      <c r="F245" s="14" t="s">
        <v>319</v>
      </c>
      <c r="G245" s="14" t="s">
        <v>117</v>
      </c>
    </row>
    <row r="246" spans="1:8" s="14" customFormat="1">
      <c r="A246" s="138">
        <v>44356</v>
      </c>
      <c r="B246" s="14" t="s">
        <v>1983</v>
      </c>
      <c r="C246" s="50">
        <v>145000</v>
      </c>
      <c r="D246" s="50">
        <v>0</v>
      </c>
      <c r="E246" s="50">
        <f t="shared" si="3"/>
        <v>1719000</v>
      </c>
      <c r="F246" s="14" t="s">
        <v>248</v>
      </c>
      <c r="G246" s="14" t="s">
        <v>391</v>
      </c>
    </row>
    <row r="247" spans="1:8" s="14" customFormat="1">
      <c r="A247" s="138">
        <v>44356</v>
      </c>
      <c r="B247" s="14" t="s">
        <v>1984</v>
      </c>
      <c r="C247" s="53">
        <v>450000</v>
      </c>
      <c r="D247" s="53">
        <v>0</v>
      </c>
      <c r="E247" s="53">
        <f t="shared" si="3"/>
        <v>1269000</v>
      </c>
      <c r="F247" s="14" t="s">
        <v>319</v>
      </c>
      <c r="G247" s="14" t="s">
        <v>117</v>
      </c>
    </row>
    <row r="248" spans="1:8" s="14" customFormat="1">
      <c r="A248" s="138">
        <v>44356</v>
      </c>
      <c r="B248" s="14" t="s">
        <v>1985</v>
      </c>
      <c r="C248" s="53">
        <v>166000</v>
      </c>
      <c r="D248" s="53">
        <v>0</v>
      </c>
      <c r="E248" s="53">
        <f t="shared" si="3"/>
        <v>1103000</v>
      </c>
      <c r="F248" s="14" t="s">
        <v>319</v>
      </c>
      <c r="G248" s="14" t="s">
        <v>117</v>
      </c>
    </row>
    <row r="249" spans="1:8" s="14" customFormat="1">
      <c r="A249" s="138">
        <v>44356</v>
      </c>
      <c r="B249" s="14" t="s">
        <v>1986</v>
      </c>
      <c r="C249" s="50">
        <v>30000</v>
      </c>
      <c r="D249" s="50">
        <v>0</v>
      </c>
      <c r="E249" s="50">
        <f t="shared" si="3"/>
        <v>1073000</v>
      </c>
      <c r="F249" s="14" t="s">
        <v>137</v>
      </c>
      <c r="G249" s="14" t="s">
        <v>138</v>
      </c>
      <c r="H249" s="168" t="s">
        <v>3020</v>
      </c>
    </row>
    <row r="250" spans="1:8" s="14" customFormat="1">
      <c r="A250" s="138">
        <v>44356</v>
      </c>
      <c r="B250" s="14" t="s">
        <v>1987</v>
      </c>
      <c r="C250" s="50">
        <v>46000</v>
      </c>
      <c r="D250" s="50">
        <v>0</v>
      </c>
      <c r="E250" s="50">
        <f t="shared" si="3"/>
        <v>1027000</v>
      </c>
      <c r="F250" s="14" t="s">
        <v>137</v>
      </c>
      <c r="G250" s="14" t="s">
        <v>138</v>
      </c>
      <c r="H250" s="168" t="s">
        <v>3012</v>
      </c>
    </row>
    <row r="251" spans="1:8" s="14" customFormat="1">
      <c r="A251" s="138">
        <v>44356</v>
      </c>
      <c r="B251" s="14" t="s">
        <v>1988</v>
      </c>
      <c r="C251" s="50">
        <v>27000</v>
      </c>
      <c r="D251" s="50">
        <v>0</v>
      </c>
      <c r="E251" s="50">
        <f t="shared" si="3"/>
        <v>1000000</v>
      </c>
      <c r="F251" s="14" t="s">
        <v>319</v>
      </c>
      <c r="G251" s="14" t="s">
        <v>117</v>
      </c>
    </row>
    <row r="252" spans="1:8" s="14" customFormat="1">
      <c r="A252" s="138">
        <v>44356</v>
      </c>
      <c r="B252" s="14" t="s">
        <v>1989</v>
      </c>
      <c r="C252" s="50">
        <v>171250</v>
      </c>
      <c r="D252" s="50">
        <v>0</v>
      </c>
      <c r="E252" s="50">
        <f t="shared" si="3"/>
        <v>828750</v>
      </c>
      <c r="F252" s="14" t="s">
        <v>319</v>
      </c>
      <c r="G252" s="14" t="s">
        <v>453</v>
      </c>
    </row>
    <row r="253" spans="1:8" s="14" customFormat="1">
      <c r="A253" s="138">
        <v>44356</v>
      </c>
      <c r="B253" s="14" t="s">
        <v>1990</v>
      </c>
      <c r="C253" s="50">
        <v>12500</v>
      </c>
      <c r="D253" s="50">
        <v>0</v>
      </c>
      <c r="E253" s="50">
        <f t="shared" si="3"/>
        <v>816250</v>
      </c>
      <c r="F253" s="14" t="s">
        <v>248</v>
      </c>
      <c r="G253" s="14" t="s">
        <v>391</v>
      </c>
    </row>
    <row r="254" spans="1:8" s="14" customFormat="1">
      <c r="A254" s="138">
        <v>44356</v>
      </c>
      <c r="B254" s="14" t="s">
        <v>1991</v>
      </c>
      <c r="C254" s="50">
        <v>200000</v>
      </c>
      <c r="D254" s="50">
        <v>0</v>
      </c>
      <c r="E254" s="50">
        <f t="shared" si="3"/>
        <v>616250</v>
      </c>
      <c r="F254" s="14" t="s">
        <v>319</v>
      </c>
      <c r="G254" s="14" t="s">
        <v>648</v>
      </c>
    </row>
    <row r="255" spans="1:8" s="14" customFormat="1">
      <c r="A255" s="138">
        <v>44356</v>
      </c>
      <c r="B255" s="14" t="s">
        <v>1992</v>
      </c>
      <c r="C255" s="50">
        <v>171000</v>
      </c>
      <c r="D255" s="50">
        <v>0</v>
      </c>
      <c r="E255" s="50">
        <f t="shared" si="3"/>
        <v>445250</v>
      </c>
      <c r="F255" s="14" t="s">
        <v>319</v>
      </c>
      <c r="G255" s="14" t="s">
        <v>453</v>
      </c>
    </row>
    <row r="256" spans="1:8" s="14" customFormat="1">
      <c r="A256" s="138">
        <v>44356</v>
      </c>
      <c r="B256" s="14" t="s">
        <v>1993</v>
      </c>
      <c r="C256" s="50">
        <v>90000</v>
      </c>
      <c r="D256" s="50">
        <v>0</v>
      </c>
      <c r="E256" s="50">
        <f t="shared" si="3"/>
        <v>355250</v>
      </c>
      <c r="F256" s="14" t="s">
        <v>319</v>
      </c>
      <c r="G256" s="14" t="s">
        <v>453</v>
      </c>
    </row>
    <row r="257" spans="1:9" s="14" customFormat="1">
      <c r="A257" s="138">
        <v>44356</v>
      </c>
      <c r="B257" s="14" t="s">
        <v>1994</v>
      </c>
      <c r="C257" s="50">
        <v>16000</v>
      </c>
      <c r="D257" s="50">
        <v>0</v>
      </c>
      <c r="E257" s="50">
        <f t="shared" si="3"/>
        <v>339250</v>
      </c>
      <c r="F257" s="14" t="s">
        <v>137</v>
      </c>
      <c r="G257" s="14" t="s">
        <v>138</v>
      </c>
      <c r="H257" s="168" t="s">
        <v>3014</v>
      </c>
    </row>
    <row r="258" spans="1:9" s="14" customFormat="1">
      <c r="A258" s="138">
        <v>44356</v>
      </c>
      <c r="B258" s="14" t="s">
        <v>1995</v>
      </c>
      <c r="C258" s="50">
        <v>136500</v>
      </c>
      <c r="D258" s="50">
        <v>0</v>
      </c>
      <c r="E258" s="50">
        <f t="shared" si="3"/>
        <v>202750</v>
      </c>
      <c r="F258" s="14" t="s">
        <v>115</v>
      </c>
      <c r="G258" s="14" t="s">
        <v>120</v>
      </c>
      <c r="H258" t="s">
        <v>127</v>
      </c>
      <c r="I258" s="14" t="s">
        <v>444</v>
      </c>
    </row>
    <row r="259" spans="1:9" s="14" customFormat="1">
      <c r="A259" s="138">
        <v>44363</v>
      </c>
      <c r="B259" s="49" t="s">
        <v>24</v>
      </c>
      <c r="C259" s="50">
        <v>0</v>
      </c>
      <c r="D259" s="50">
        <v>2797250</v>
      </c>
      <c r="E259" s="50">
        <f t="shared" si="3"/>
        <v>3000000</v>
      </c>
      <c r="F259" s="14" t="s">
        <v>107</v>
      </c>
      <c r="G259" s="14" t="s">
        <v>129</v>
      </c>
    </row>
    <row r="260" spans="1:9" s="14" customFormat="1">
      <c r="A260" s="138">
        <v>44368</v>
      </c>
      <c r="B260" s="14" t="s">
        <v>1996</v>
      </c>
      <c r="C260" s="50">
        <v>30000</v>
      </c>
      <c r="D260" s="50">
        <v>0</v>
      </c>
      <c r="E260" s="50">
        <f t="shared" si="3"/>
        <v>2970000</v>
      </c>
      <c r="F260" s="14" t="s">
        <v>113</v>
      </c>
      <c r="G260" s="14" t="s">
        <v>114</v>
      </c>
    </row>
    <row r="261" spans="1:9" s="14" customFormat="1">
      <c r="A261" s="138">
        <v>44368</v>
      </c>
      <c r="B261" s="14" t="s">
        <v>1997</v>
      </c>
      <c r="C261" s="50">
        <v>30000</v>
      </c>
      <c r="D261" s="50">
        <v>0</v>
      </c>
      <c r="E261" s="50">
        <f t="shared" si="3"/>
        <v>2940000</v>
      </c>
      <c r="F261" s="14" t="s">
        <v>248</v>
      </c>
      <c r="G261" s="14" t="s">
        <v>391</v>
      </c>
    </row>
    <row r="262" spans="1:9" s="14" customFormat="1">
      <c r="A262" s="138">
        <v>44368</v>
      </c>
      <c r="B262" s="14" t="s">
        <v>1998</v>
      </c>
      <c r="C262" s="50">
        <v>107000</v>
      </c>
      <c r="D262" s="50">
        <v>0</v>
      </c>
      <c r="E262" s="50">
        <f t="shared" ref="E262:E325" si="4">E261-C262+D262</f>
        <v>2833000</v>
      </c>
      <c r="F262" s="14" t="s">
        <v>248</v>
      </c>
      <c r="G262" s="14" t="s">
        <v>407</v>
      </c>
    </row>
    <row r="263" spans="1:9" s="14" customFormat="1">
      <c r="A263" s="138">
        <v>44368</v>
      </c>
      <c r="B263" s="14" t="s">
        <v>1999</v>
      </c>
      <c r="C263" s="50">
        <v>16000</v>
      </c>
      <c r="D263" s="50">
        <v>0</v>
      </c>
      <c r="E263" s="50">
        <f t="shared" si="4"/>
        <v>2817000</v>
      </c>
      <c r="F263" s="14" t="s">
        <v>319</v>
      </c>
      <c r="G263" s="14" t="s">
        <v>454</v>
      </c>
    </row>
    <row r="264" spans="1:9" s="14" customFormat="1">
      <c r="A264" s="138">
        <v>44368</v>
      </c>
      <c r="B264" s="14" t="s">
        <v>2000</v>
      </c>
      <c r="C264" s="50">
        <v>14600</v>
      </c>
      <c r="D264" s="50">
        <v>0</v>
      </c>
      <c r="E264" s="50">
        <f t="shared" si="4"/>
        <v>2802400</v>
      </c>
      <c r="F264" s="14" t="s">
        <v>115</v>
      </c>
      <c r="G264" s="14" t="s">
        <v>120</v>
      </c>
      <c r="H264" t="s">
        <v>127</v>
      </c>
      <c r="I264" s="14" t="s">
        <v>444</v>
      </c>
    </row>
    <row r="265" spans="1:9" s="14" customFormat="1">
      <c r="A265" s="138">
        <v>44368</v>
      </c>
      <c r="B265" s="14" t="s">
        <v>2001</v>
      </c>
      <c r="C265" s="50">
        <v>19500</v>
      </c>
      <c r="D265" s="50">
        <v>0</v>
      </c>
      <c r="E265" s="50">
        <f t="shared" si="4"/>
        <v>2782900</v>
      </c>
      <c r="F265" s="14" t="s">
        <v>115</v>
      </c>
      <c r="G265" s="14" t="s">
        <v>120</v>
      </c>
      <c r="H265" t="s">
        <v>127</v>
      </c>
      <c r="I265" s="14" t="s">
        <v>444</v>
      </c>
    </row>
    <row r="266" spans="1:9" s="14" customFormat="1">
      <c r="A266" s="138">
        <v>44368</v>
      </c>
      <c r="B266" s="14" t="s">
        <v>2002</v>
      </c>
      <c r="C266" s="50">
        <v>247500</v>
      </c>
      <c r="D266" s="50">
        <v>0</v>
      </c>
      <c r="E266" s="50">
        <f t="shared" si="4"/>
        <v>2535400</v>
      </c>
      <c r="F266" s="14" t="s">
        <v>319</v>
      </c>
      <c r="G266" s="14" t="s">
        <v>454</v>
      </c>
    </row>
    <row r="267" spans="1:9" s="14" customFormat="1">
      <c r="A267" s="138">
        <v>44368</v>
      </c>
      <c r="B267" s="14" t="s">
        <v>2003</v>
      </c>
      <c r="C267" s="50">
        <v>30000</v>
      </c>
      <c r="D267" s="50">
        <v>0</v>
      </c>
      <c r="E267" s="50">
        <f t="shared" si="4"/>
        <v>2505400</v>
      </c>
      <c r="F267" s="14" t="s">
        <v>319</v>
      </c>
      <c r="G267" s="14" t="s">
        <v>454</v>
      </c>
    </row>
    <row r="268" spans="1:9" s="14" customFormat="1">
      <c r="A268" s="138">
        <v>44368</v>
      </c>
      <c r="B268" s="14" t="s">
        <v>2004</v>
      </c>
      <c r="C268" s="50">
        <v>300000</v>
      </c>
      <c r="D268" s="50">
        <v>0</v>
      </c>
      <c r="E268" s="50">
        <f t="shared" si="4"/>
        <v>2205400</v>
      </c>
      <c r="F268" s="14" t="s">
        <v>319</v>
      </c>
      <c r="G268" s="14" t="s">
        <v>117</v>
      </c>
    </row>
    <row r="269" spans="1:9" s="14" customFormat="1">
      <c r="A269" s="138">
        <v>44368</v>
      </c>
      <c r="B269" s="14" t="s">
        <v>2005</v>
      </c>
      <c r="C269" s="50">
        <v>222500</v>
      </c>
      <c r="D269" s="50">
        <v>0</v>
      </c>
      <c r="E269" s="50">
        <f t="shared" si="4"/>
        <v>1982900</v>
      </c>
      <c r="F269" s="14" t="s">
        <v>137</v>
      </c>
      <c r="G269" s="14" t="s">
        <v>138</v>
      </c>
      <c r="H269" s="168" t="s">
        <v>3014</v>
      </c>
    </row>
    <row r="270" spans="1:9" s="14" customFormat="1">
      <c r="A270" s="138">
        <v>44368</v>
      </c>
      <c r="B270" s="14" t="s">
        <v>2006</v>
      </c>
      <c r="C270" s="50">
        <v>328500</v>
      </c>
      <c r="D270" s="50">
        <v>0</v>
      </c>
      <c r="E270" s="50">
        <f t="shared" si="4"/>
        <v>1654400</v>
      </c>
      <c r="F270" s="14" t="s">
        <v>319</v>
      </c>
      <c r="G270" s="14" t="s">
        <v>117</v>
      </c>
    </row>
    <row r="271" spans="1:9" s="14" customFormat="1">
      <c r="A271" s="138">
        <v>44368</v>
      </c>
      <c r="B271" s="14" t="s">
        <v>2007</v>
      </c>
      <c r="C271" s="50">
        <v>25000</v>
      </c>
      <c r="D271" s="50">
        <v>0</v>
      </c>
      <c r="E271" s="50">
        <f t="shared" si="4"/>
        <v>1629400</v>
      </c>
      <c r="F271" s="14" t="s">
        <v>137</v>
      </c>
      <c r="G271" s="14" t="s">
        <v>138</v>
      </c>
      <c r="H271" s="168" t="s">
        <v>3013</v>
      </c>
    </row>
    <row r="272" spans="1:9" s="14" customFormat="1">
      <c r="A272" s="138">
        <v>44368</v>
      </c>
      <c r="B272" s="14" t="s">
        <v>2008</v>
      </c>
      <c r="C272" s="50">
        <v>28000</v>
      </c>
      <c r="D272" s="50">
        <v>0</v>
      </c>
      <c r="E272" s="50">
        <f t="shared" si="4"/>
        <v>1601400</v>
      </c>
      <c r="F272" s="14" t="s">
        <v>137</v>
      </c>
      <c r="G272" s="14" t="s">
        <v>138</v>
      </c>
      <c r="H272" s="168" t="s">
        <v>3013</v>
      </c>
    </row>
    <row r="273" spans="1:8" s="14" customFormat="1">
      <c r="A273" s="138">
        <v>44368</v>
      </c>
      <c r="B273" s="14" t="s">
        <v>2009</v>
      </c>
      <c r="C273" s="50">
        <v>30000</v>
      </c>
      <c r="D273" s="50">
        <v>0</v>
      </c>
      <c r="E273" s="50">
        <f t="shared" si="4"/>
        <v>1571400</v>
      </c>
      <c r="F273" s="14" t="s">
        <v>137</v>
      </c>
      <c r="G273" s="14" t="s">
        <v>138</v>
      </c>
      <c r="H273" s="168" t="s">
        <v>3015</v>
      </c>
    </row>
    <row r="274" spans="1:8" s="14" customFormat="1">
      <c r="A274" s="138">
        <v>44368</v>
      </c>
      <c r="B274" s="14" t="s">
        <v>2010</v>
      </c>
      <c r="C274" s="50">
        <v>33500</v>
      </c>
      <c r="D274" s="50">
        <v>0</v>
      </c>
      <c r="E274" s="50">
        <f t="shared" si="4"/>
        <v>1537900</v>
      </c>
      <c r="F274" s="14" t="s">
        <v>137</v>
      </c>
      <c r="G274" s="14" t="s">
        <v>138</v>
      </c>
      <c r="H274" s="168" t="s">
        <v>3015</v>
      </c>
    </row>
    <row r="275" spans="1:8" s="14" customFormat="1">
      <c r="A275" s="138">
        <v>44368</v>
      </c>
      <c r="B275" s="14" t="s">
        <v>2011</v>
      </c>
      <c r="C275" s="50">
        <v>500000</v>
      </c>
      <c r="D275" s="50">
        <v>0</v>
      </c>
      <c r="E275" s="50">
        <f t="shared" si="4"/>
        <v>1037900</v>
      </c>
      <c r="F275" s="14" t="s">
        <v>319</v>
      </c>
      <c r="G275" s="14" t="s">
        <v>117</v>
      </c>
    </row>
    <row r="276" spans="1:8" s="14" customFormat="1">
      <c r="A276" s="138">
        <v>44368</v>
      </c>
      <c r="B276" s="14" t="s">
        <v>2012</v>
      </c>
      <c r="C276" s="50">
        <v>221000</v>
      </c>
      <c r="D276" s="50">
        <v>0</v>
      </c>
      <c r="E276" s="50">
        <f t="shared" si="4"/>
        <v>816900</v>
      </c>
      <c r="F276" s="14" t="s">
        <v>319</v>
      </c>
      <c r="G276" s="14" t="s">
        <v>117</v>
      </c>
    </row>
    <row r="277" spans="1:8" s="14" customFormat="1">
      <c r="A277" s="138">
        <v>44368</v>
      </c>
      <c r="B277" s="14" t="s">
        <v>2013</v>
      </c>
      <c r="C277" s="50">
        <v>578000</v>
      </c>
      <c r="D277" s="50">
        <v>0</v>
      </c>
      <c r="E277" s="50">
        <f t="shared" si="4"/>
        <v>238900</v>
      </c>
      <c r="F277" s="14" t="s">
        <v>319</v>
      </c>
      <c r="G277" s="14" t="s">
        <v>117</v>
      </c>
    </row>
    <row r="278" spans="1:8" s="14" customFormat="1">
      <c r="A278" s="138">
        <v>44368</v>
      </c>
      <c r="B278" s="14" t="s">
        <v>2014</v>
      </c>
      <c r="C278" s="50">
        <v>150000</v>
      </c>
      <c r="D278" s="50">
        <v>0</v>
      </c>
      <c r="E278" s="50">
        <f t="shared" si="4"/>
        <v>88900</v>
      </c>
      <c r="F278" s="14" t="s">
        <v>137</v>
      </c>
      <c r="G278" s="14" t="s">
        <v>138</v>
      </c>
      <c r="H278" s="168" t="s">
        <v>3012</v>
      </c>
    </row>
    <row r="279" spans="1:8" s="14" customFormat="1">
      <c r="A279" s="138">
        <v>44369</v>
      </c>
      <c r="B279" s="49" t="s">
        <v>24</v>
      </c>
      <c r="C279" s="50">
        <v>0</v>
      </c>
      <c r="D279" s="50">
        <v>2911100</v>
      </c>
      <c r="E279" s="50">
        <f t="shared" si="4"/>
        <v>3000000</v>
      </c>
      <c r="F279" s="14" t="s">
        <v>107</v>
      </c>
      <c r="G279" s="14" t="s">
        <v>129</v>
      </c>
    </row>
    <row r="280" spans="1:8" s="14" customFormat="1">
      <c r="A280" s="138">
        <v>44371</v>
      </c>
      <c r="B280" s="14" t="s">
        <v>2015</v>
      </c>
      <c r="C280" s="50">
        <v>110000</v>
      </c>
      <c r="D280" s="50">
        <v>0</v>
      </c>
      <c r="E280" s="50">
        <f t="shared" si="4"/>
        <v>2890000</v>
      </c>
      <c r="F280" s="14" t="s">
        <v>248</v>
      </c>
      <c r="G280" s="14" t="s">
        <v>391</v>
      </c>
    </row>
    <row r="281" spans="1:8" s="14" customFormat="1">
      <c r="A281" s="138">
        <v>44371</v>
      </c>
      <c r="B281" s="14" t="s">
        <v>2016</v>
      </c>
      <c r="C281" s="50">
        <v>67500</v>
      </c>
      <c r="D281" s="50">
        <v>0</v>
      </c>
      <c r="E281" s="50">
        <f t="shared" si="4"/>
        <v>2822500</v>
      </c>
      <c r="F281" s="14" t="s">
        <v>319</v>
      </c>
      <c r="G281" s="14" t="s">
        <v>453</v>
      </c>
    </row>
    <row r="282" spans="1:8" s="14" customFormat="1">
      <c r="A282" s="138">
        <v>44371</v>
      </c>
      <c r="B282" s="14" t="s">
        <v>2017</v>
      </c>
      <c r="C282" s="50">
        <v>150000</v>
      </c>
      <c r="D282" s="50">
        <v>0</v>
      </c>
      <c r="E282" s="50">
        <f t="shared" si="4"/>
        <v>2672500</v>
      </c>
      <c r="F282" s="14" t="s">
        <v>137</v>
      </c>
      <c r="G282" s="14" t="s">
        <v>138</v>
      </c>
      <c r="H282" s="168" t="s">
        <v>3013</v>
      </c>
    </row>
    <row r="283" spans="1:8" s="14" customFormat="1">
      <c r="A283" s="138">
        <v>44371</v>
      </c>
      <c r="B283" s="14" t="s">
        <v>2018</v>
      </c>
      <c r="C283" s="50">
        <v>150000</v>
      </c>
      <c r="D283" s="50">
        <v>0</v>
      </c>
      <c r="E283" s="50">
        <f t="shared" si="4"/>
        <v>2522500</v>
      </c>
      <c r="F283" s="14" t="s">
        <v>137</v>
      </c>
      <c r="G283" s="14" t="s">
        <v>138</v>
      </c>
      <c r="H283" s="168" t="s">
        <v>3013</v>
      </c>
    </row>
    <row r="284" spans="1:8" s="14" customFormat="1">
      <c r="A284" s="138">
        <v>44371</v>
      </c>
      <c r="B284" s="14" t="s">
        <v>2019</v>
      </c>
      <c r="C284" s="50">
        <v>400000</v>
      </c>
      <c r="D284" s="50">
        <v>0</v>
      </c>
      <c r="E284" s="50">
        <f t="shared" si="4"/>
        <v>2122500</v>
      </c>
      <c r="F284" s="14" t="s">
        <v>137</v>
      </c>
      <c r="G284" s="14" t="s">
        <v>138</v>
      </c>
      <c r="H284" s="168" t="s">
        <v>3012</v>
      </c>
    </row>
    <row r="285" spans="1:8" s="14" customFormat="1">
      <c r="A285" s="138">
        <v>44371</v>
      </c>
      <c r="B285" s="14" t="s">
        <v>2020</v>
      </c>
      <c r="C285" s="50">
        <v>250000</v>
      </c>
      <c r="D285" s="50">
        <v>0</v>
      </c>
      <c r="E285" s="50">
        <f t="shared" si="4"/>
        <v>1872500</v>
      </c>
      <c r="F285" s="14" t="s">
        <v>137</v>
      </c>
      <c r="G285" s="14" t="s">
        <v>138</v>
      </c>
      <c r="H285" s="168" t="s">
        <v>3012</v>
      </c>
    </row>
    <row r="286" spans="1:8" s="14" customFormat="1">
      <c r="A286" s="138">
        <v>44371</v>
      </c>
      <c r="B286" s="14" t="s">
        <v>2021</v>
      </c>
      <c r="C286" s="50">
        <v>400000</v>
      </c>
      <c r="D286" s="50">
        <v>0</v>
      </c>
      <c r="E286" s="50">
        <f t="shared" si="4"/>
        <v>1472500</v>
      </c>
      <c r="F286" s="14" t="s">
        <v>137</v>
      </c>
      <c r="G286" s="14" t="s">
        <v>138</v>
      </c>
      <c r="H286" s="168" t="s">
        <v>3012</v>
      </c>
    </row>
    <row r="287" spans="1:8" s="14" customFormat="1">
      <c r="A287" s="138">
        <v>44371</v>
      </c>
      <c r="B287" s="14" t="s">
        <v>2022</v>
      </c>
      <c r="C287" s="50">
        <v>400000</v>
      </c>
      <c r="D287" s="50">
        <v>0</v>
      </c>
      <c r="E287" s="50">
        <f t="shared" si="4"/>
        <v>1072500</v>
      </c>
      <c r="F287" s="14" t="s">
        <v>137</v>
      </c>
      <c r="G287" s="14" t="s">
        <v>138</v>
      </c>
      <c r="H287" s="168" t="s">
        <v>3012</v>
      </c>
    </row>
    <row r="288" spans="1:8" s="14" customFormat="1">
      <c r="A288" s="138">
        <v>44371</v>
      </c>
      <c r="B288" s="14" t="s">
        <v>2023</v>
      </c>
      <c r="C288" s="50">
        <v>300000</v>
      </c>
      <c r="D288" s="50">
        <v>0</v>
      </c>
      <c r="E288" s="50">
        <f t="shared" si="4"/>
        <v>772500</v>
      </c>
      <c r="F288" s="14" t="s">
        <v>137</v>
      </c>
      <c r="G288" s="14" t="s">
        <v>138</v>
      </c>
      <c r="H288" s="168" t="s">
        <v>3013</v>
      </c>
    </row>
    <row r="289" spans="1:8" s="14" customFormat="1">
      <c r="A289" s="138">
        <v>44371</v>
      </c>
      <c r="B289" s="14" t="s">
        <v>2024</v>
      </c>
      <c r="C289" s="50">
        <v>208700</v>
      </c>
      <c r="D289" s="50">
        <v>0</v>
      </c>
      <c r="E289" s="50">
        <f t="shared" si="4"/>
        <v>563800</v>
      </c>
      <c r="F289" s="14" t="s">
        <v>137</v>
      </c>
      <c r="G289" s="14" t="s">
        <v>138</v>
      </c>
      <c r="H289" s="168" t="s">
        <v>3013</v>
      </c>
    </row>
    <row r="290" spans="1:8" s="14" customFormat="1">
      <c r="A290" s="138">
        <v>44371</v>
      </c>
      <c r="B290" s="14" t="s">
        <v>2025</v>
      </c>
      <c r="C290" s="50">
        <v>295530</v>
      </c>
      <c r="D290" s="50">
        <v>0</v>
      </c>
      <c r="E290" s="50">
        <f t="shared" si="4"/>
        <v>268270</v>
      </c>
      <c r="F290" s="14" t="s">
        <v>137</v>
      </c>
      <c r="G290" s="14" t="s">
        <v>138</v>
      </c>
      <c r="H290" s="168" t="s">
        <v>1127</v>
      </c>
    </row>
    <row r="291" spans="1:8" s="14" customFormat="1">
      <c r="A291" s="138">
        <v>44371</v>
      </c>
      <c r="B291" s="14" t="s">
        <v>2026</v>
      </c>
      <c r="C291" s="50">
        <v>239500</v>
      </c>
      <c r="D291" s="50">
        <v>0</v>
      </c>
      <c r="E291" s="50">
        <f t="shared" si="4"/>
        <v>28770</v>
      </c>
      <c r="F291" s="14" t="s">
        <v>137</v>
      </c>
      <c r="G291" s="14" t="s">
        <v>138</v>
      </c>
      <c r="H291" s="168" t="s">
        <v>1127</v>
      </c>
    </row>
    <row r="292" spans="1:8" s="14" customFormat="1">
      <c r="A292" s="138">
        <v>44383</v>
      </c>
      <c r="B292" s="49" t="s">
        <v>1720</v>
      </c>
      <c r="C292" s="50">
        <v>0</v>
      </c>
      <c r="D292" s="50">
        <v>2971230</v>
      </c>
      <c r="E292" s="50">
        <f t="shared" si="4"/>
        <v>3000000</v>
      </c>
      <c r="F292" s="14" t="s">
        <v>107</v>
      </c>
      <c r="G292" s="14" t="s">
        <v>129</v>
      </c>
    </row>
    <row r="293" spans="1:8" s="14" customFormat="1">
      <c r="A293" s="138">
        <v>44390</v>
      </c>
      <c r="B293" s="14" t="s">
        <v>2027</v>
      </c>
      <c r="C293" s="50">
        <v>238898</v>
      </c>
      <c r="D293" s="50">
        <v>0</v>
      </c>
      <c r="E293" s="50">
        <f t="shared" si="4"/>
        <v>2761102</v>
      </c>
      <c r="F293" s="14" t="s">
        <v>319</v>
      </c>
      <c r="G293" t="s">
        <v>1016</v>
      </c>
    </row>
    <row r="294" spans="1:8" s="14" customFormat="1">
      <c r="A294" s="138">
        <v>44390</v>
      </c>
      <c r="B294" s="14" t="s">
        <v>2028</v>
      </c>
      <c r="C294" s="50">
        <v>199500</v>
      </c>
      <c r="D294" s="50">
        <v>0</v>
      </c>
      <c r="E294" s="50">
        <f t="shared" si="4"/>
        <v>2561602</v>
      </c>
      <c r="F294" s="14" t="s">
        <v>319</v>
      </c>
      <c r="G294" t="s">
        <v>1016</v>
      </c>
    </row>
    <row r="295" spans="1:8" s="14" customFormat="1">
      <c r="A295" s="138">
        <v>44390</v>
      </c>
      <c r="B295" s="14" t="s">
        <v>2029</v>
      </c>
      <c r="C295" s="50">
        <v>200000</v>
      </c>
      <c r="D295" s="50">
        <v>0</v>
      </c>
      <c r="E295" s="50">
        <f t="shared" si="4"/>
        <v>2361602</v>
      </c>
      <c r="F295" s="14" t="s">
        <v>319</v>
      </c>
      <c r="G295" s="14" t="s">
        <v>648</v>
      </c>
    </row>
    <row r="296" spans="1:8" s="14" customFormat="1">
      <c r="A296" s="138">
        <v>44390</v>
      </c>
      <c r="B296" s="14" t="s">
        <v>2030</v>
      </c>
      <c r="C296" s="50">
        <v>300000</v>
      </c>
      <c r="D296" s="50">
        <v>0</v>
      </c>
      <c r="E296" s="50">
        <f t="shared" si="4"/>
        <v>2061602</v>
      </c>
      <c r="F296" s="14" t="s">
        <v>137</v>
      </c>
      <c r="G296" s="14" t="s">
        <v>138</v>
      </c>
      <c r="H296" s="168" t="s">
        <v>3015</v>
      </c>
    </row>
    <row r="297" spans="1:8" s="223" customFormat="1">
      <c r="A297" s="224">
        <v>44390</v>
      </c>
      <c r="B297" s="223" t="s">
        <v>2031</v>
      </c>
      <c r="C297" s="202">
        <v>400000</v>
      </c>
      <c r="D297" s="202">
        <v>0</v>
      </c>
      <c r="E297" s="202">
        <f t="shared" si="4"/>
        <v>1661602</v>
      </c>
      <c r="F297" s="223" t="s">
        <v>137</v>
      </c>
      <c r="G297" s="223" t="s">
        <v>138</v>
      </c>
      <c r="H297" s="223" t="s">
        <v>3027</v>
      </c>
    </row>
    <row r="298" spans="1:8" s="223" customFormat="1">
      <c r="A298" s="224">
        <v>44390</v>
      </c>
      <c r="B298" s="223" t="s">
        <v>2032</v>
      </c>
      <c r="C298" s="202">
        <v>400000</v>
      </c>
      <c r="D298" s="202">
        <v>0</v>
      </c>
      <c r="E298" s="202">
        <f t="shared" si="4"/>
        <v>1261602</v>
      </c>
      <c r="F298" s="223" t="s">
        <v>137</v>
      </c>
      <c r="G298" s="223" t="s">
        <v>138</v>
      </c>
      <c r="H298" s="223" t="s">
        <v>3027</v>
      </c>
    </row>
    <row r="299" spans="1:8" s="223" customFormat="1">
      <c r="A299" s="224">
        <v>44390</v>
      </c>
      <c r="B299" s="223" t="s">
        <v>2033</v>
      </c>
      <c r="C299" s="202">
        <v>400000</v>
      </c>
      <c r="D299" s="202">
        <v>0</v>
      </c>
      <c r="E299" s="202">
        <f t="shared" si="4"/>
        <v>861602</v>
      </c>
      <c r="F299" s="223" t="s">
        <v>137</v>
      </c>
      <c r="G299" s="223" t="s">
        <v>138</v>
      </c>
      <c r="H299" s="223" t="s">
        <v>3027</v>
      </c>
    </row>
    <row r="300" spans="1:8" s="14" customFormat="1">
      <c r="A300" s="138">
        <v>44390</v>
      </c>
      <c r="B300" s="14" t="s">
        <v>2034</v>
      </c>
      <c r="C300" s="50">
        <v>256500</v>
      </c>
      <c r="D300" s="50">
        <v>0</v>
      </c>
      <c r="E300" s="50">
        <f t="shared" si="4"/>
        <v>605102</v>
      </c>
      <c r="F300" s="14" t="s">
        <v>137</v>
      </c>
      <c r="G300" s="14" t="s">
        <v>138</v>
      </c>
      <c r="H300" s="168" t="s">
        <v>1127</v>
      </c>
    </row>
    <row r="301" spans="1:8" s="14" customFormat="1">
      <c r="A301" s="138">
        <v>44390</v>
      </c>
      <c r="B301" s="14" t="s">
        <v>2035</v>
      </c>
      <c r="C301" s="50">
        <v>151000</v>
      </c>
      <c r="D301" s="50">
        <v>0</v>
      </c>
      <c r="E301" s="50">
        <f t="shared" si="4"/>
        <v>454102</v>
      </c>
      <c r="F301" s="14" t="s">
        <v>137</v>
      </c>
      <c r="G301" s="14" t="s">
        <v>138</v>
      </c>
      <c r="H301" s="168" t="s">
        <v>1127</v>
      </c>
    </row>
    <row r="302" spans="1:8" s="14" customFormat="1">
      <c r="A302" s="138">
        <v>44390</v>
      </c>
      <c r="B302" s="14" t="s">
        <v>2036</v>
      </c>
      <c r="C302" s="50">
        <v>300000</v>
      </c>
      <c r="D302" s="50">
        <v>0</v>
      </c>
      <c r="E302" s="50">
        <f t="shared" si="4"/>
        <v>154102</v>
      </c>
      <c r="F302" s="14" t="s">
        <v>319</v>
      </c>
      <c r="G302" s="14" t="s">
        <v>117</v>
      </c>
    </row>
    <row r="303" spans="1:8" s="14" customFormat="1">
      <c r="A303" s="138">
        <v>44390</v>
      </c>
      <c r="B303" s="49" t="s">
        <v>24</v>
      </c>
      <c r="C303" s="50">
        <v>0</v>
      </c>
      <c r="D303" s="50">
        <v>2845898</v>
      </c>
      <c r="E303" s="50">
        <f t="shared" si="4"/>
        <v>3000000</v>
      </c>
      <c r="F303" s="14" t="s">
        <v>107</v>
      </c>
      <c r="G303" s="14" t="s">
        <v>129</v>
      </c>
    </row>
    <row r="304" spans="1:8" s="14" customFormat="1">
      <c r="A304" s="138">
        <v>44397</v>
      </c>
      <c r="B304" s="14" t="s">
        <v>2037</v>
      </c>
      <c r="C304" s="50">
        <v>373000</v>
      </c>
      <c r="D304" s="50">
        <v>0</v>
      </c>
      <c r="E304" s="50">
        <f t="shared" si="4"/>
        <v>2627000</v>
      </c>
      <c r="F304" s="14" t="s">
        <v>137</v>
      </c>
      <c r="G304" s="14" t="s">
        <v>138</v>
      </c>
      <c r="H304" s="168" t="s">
        <v>3052</v>
      </c>
    </row>
    <row r="305" spans="1:8" s="14" customFormat="1">
      <c r="A305" s="138">
        <v>44397</v>
      </c>
      <c r="B305" s="14" t="s">
        <v>2038</v>
      </c>
      <c r="C305" s="50">
        <v>448000</v>
      </c>
      <c r="D305" s="50">
        <v>0</v>
      </c>
      <c r="E305" s="50">
        <f t="shared" si="4"/>
        <v>2179000</v>
      </c>
      <c r="F305" s="14" t="s">
        <v>137</v>
      </c>
      <c r="G305" s="14" t="s">
        <v>138</v>
      </c>
      <c r="H305" s="168" t="s">
        <v>3052</v>
      </c>
    </row>
    <row r="306" spans="1:8" s="14" customFormat="1">
      <c r="A306" s="138">
        <v>44397</v>
      </c>
      <c r="B306" s="14" t="s">
        <v>2039</v>
      </c>
      <c r="C306" s="50">
        <v>48000</v>
      </c>
      <c r="D306" s="50">
        <v>0</v>
      </c>
      <c r="E306" s="50">
        <f t="shared" si="4"/>
        <v>2131000</v>
      </c>
      <c r="F306" s="14" t="s">
        <v>248</v>
      </c>
      <c r="G306" s="14" t="s">
        <v>407</v>
      </c>
    </row>
    <row r="307" spans="1:8" s="14" customFormat="1">
      <c r="A307" s="138">
        <v>44397</v>
      </c>
      <c r="B307" s="14" t="s">
        <v>2040</v>
      </c>
      <c r="C307" s="50">
        <v>23000</v>
      </c>
      <c r="D307" s="50">
        <v>0</v>
      </c>
      <c r="E307" s="50">
        <f t="shared" si="4"/>
        <v>2108000</v>
      </c>
      <c r="F307" s="14" t="s">
        <v>248</v>
      </c>
      <c r="G307" s="14" t="s">
        <v>407</v>
      </c>
    </row>
    <row r="308" spans="1:8" s="14" customFormat="1">
      <c r="A308" s="138">
        <v>44397</v>
      </c>
      <c r="B308" s="14" t="s">
        <v>2041</v>
      </c>
      <c r="C308" s="50">
        <v>60000</v>
      </c>
      <c r="D308" s="50">
        <v>0</v>
      </c>
      <c r="E308" s="50">
        <f t="shared" si="4"/>
        <v>2048000</v>
      </c>
      <c r="F308" s="14" t="s">
        <v>248</v>
      </c>
      <c r="G308" s="14" t="s">
        <v>407</v>
      </c>
    </row>
    <row r="309" spans="1:8" s="14" customFormat="1">
      <c r="A309" s="138">
        <v>44397</v>
      </c>
      <c r="B309" s="14" t="s">
        <v>2042</v>
      </c>
      <c r="C309" s="50">
        <v>33900</v>
      </c>
      <c r="D309" s="50">
        <v>0</v>
      </c>
      <c r="E309" s="50">
        <f t="shared" si="4"/>
        <v>2014100</v>
      </c>
      <c r="F309" s="14" t="s">
        <v>137</v>
      </c>
      <c r="G309" s="14" t="s">
        <v>138</v>
      </c>
      <c r="H309" s="168" t="s">
        <v>2043</v>
      </c>
    </row>
    <row r="310" spans="1:8" s="14" customFormat="1">
      <c r="A310" s="138">
        <v>44397</v>
      </c>
      <c r="B310" s="14" t="s">
        <v>2044</v>
      </c>
      <c r="C310" s="50">
        <v>250000</v>
      </c>
      <c r="D310" s="50">
        <v>0</v>
      </c>
      <c r="E310" s="50">
        <f t="shared" si="4"/>
        <v>1764100</v>
      </c>
      <c r="F310" s="14" t="s">
        <v>319</v>
      </c>
      <c r="G310" s="14" t="s">
        <v>648</v>
      </c>
    </row>
    <row r="311" spans="1:8" s="14" customFormat="1">
      <c r="A311" s="138">
        <v>44397</v>
      </c>
      <c r="B311" s="14" t="s">
        <v>2045</v>
      </c>
      <c r="C311" s="50">
        <v>400000</v>
      </c>
      <c r="D311" s="50">
        <v>0</v>
      </c>
      <c r="E311" s="50">
        <f t="shared" si="4"/>
        <v>1364100</v>
      </c>
      <c r="F311" s="14" t="s">
        <v>137</v>
      </c>
      <c r="G311" s="14" t="s">
        <v>138</v>
      </c>
      <c r="H311" s="168" t="s">
        <v>3013</v>
      </c>
    </row>
    <row r="312" spans="1:8" s="14" customFormat="1">
      <c r="A312" s="138">
        <v>44397</v>
      </c>
      <c r="B312" s="14" t="s">
        <v>2046</v>
      </c>
      <c r="C312" s="50">
        <v>300000</v>
      </c>
      <c r="D312" s="50">
        <v>0</v>
      </c>
      <c r="E312" s="50">
        <f t="shared" si="4"/>
        <v>1064100</v>
      </c>
      <c r="F312" s="14" t="s">
        <v>137</v>
      </c>
      <c r="G312" s="14" t="s">
        <v>138</v>
      </c>
      <c r="H312" s="168" t="s">
        <v>3033</v>
      </c>
    </row>
    <row r="313" spans="1:8" s="14" customFormat="1">
      <c r="A313" s="138">
        <v>44397</v>
      </c>
      <c r="B313" s="14" t="s">
        <v>2047</v>
      </c>
      <c r="C313" s="50">
        <v>300000</v>
      </c>
      <c r="D313" s="50">
        <v>0</v>
      </c>
      <c r="E313" s="50">
        <f t="shared" si="4"/>
        <v>764100</v>
      </c>
      <c r="F313" s="14" t="s">
        <v>137</v>
      </c>
      <c r="G313" s="14" t="s">
        <v>138</v>
      </c>
      <c r="H313" s="168" t="s">
        <v>3033</v>
      </c>
    </row>
    <row r="314" spans="1:8" s="14" customFormat="1">
      <c r="A314" s="138">
        <v>44397</v>
      </c>
      <c r="B314" s="14" t="s">
        <v>2048</v>
      </c>
      <c r="C314" s="50">
        <v>300000</v>
      </c>
      <c r="D314" s="50">
        <v>0</v>
      </c>
      <c r="E314" s="50">
        <f t="shared" si="4"/>
        <v>464100</v>
      </c>
      <c r="F314" s="14" t="s">
        <v>137</v>
      </c>
      <c r="G314" s="14" t="s">
        <v>138</v>
      </c>
      <c r="H314" s="168" t="s">
        <v>2043</v>
      </c>
    </row>
    <row r="315" spans="1:8" s="14" customFormat="1">
      <c r="A315" s="138">
        <v>44397</v>
      </c>
      <c r="B315" s="14" t="s">
        <v>2049</v>
      </c>
      <c r="C315" s="50">
        <v>300000</v>
      </c>
      <c r="D315" s="50">
        <v>0</v>
      </c>
      <c r="E315" s="50">
        <f t="shared" si="4"/>
        <v>164100</v>
      </c>
      <c r="F315" s="14" t="s">
        <v>137</v>
      </c>
      <c r="G315" s="14" t="s">
        <v>138</v>
      </c>
      <c r="H315" s="14" t="s">
        <v>2050</v>
      </c>
    </row>
    <row r="316" spans="1:8" s="14" customFormat="1">
      <c r="A316" s="138">
        <v>44398</v>
      </c>
      <c r="B316" s="49" t="s">
        <v>1745</v>
      </c>
      <c r="C316" s="50">
        <v>0</v>
      </c>
      <c r="D316" s="50">
        <v>2835900</v>
      </c>
      <c r="E316" s="50">
        <f t="shared" si="4"/>
        <v>3000000</v>
      </c>
      <c r="F316" s="14" t="s">
        <v>107</v>
      </c>
      <c r="G316" s="14" t="s">
        <v>129</v>
      </c>
    </row>
    <row r="317" spans="1:8" s="14" customFormat="1">
      <c r="A317" s="138">
        <v>44403</v>
      </c>
      <c r="B317" s="14" t="s">
        <v>2051</v>
      </c>
      <c r="C317" s="50">
        <v>199500</v>
      </c>
      <c r="D317" s="50">
        <v>0</v>
      </c>
      <c r="E317" s="50">
        <f t="shared" si="4"/>
        <v>2800500</v>
      </c>
      <c r="F317" s="14" t="s">
        <v>319</v>
      </c>
      <c r="G317" t="s">
        <v>1016</v>
      </c>
    </row>
    <row r="318" spans="1:8" s="14" customFormat="1">
      <c r="A318" s="138">
        <v>44403</v>
      </c>
      <c r="B318" s="14" t="s">
        <v>2052</v>
      </c>
      <c r="C318" s="50">
        <v>36000</v>
      </c>
      <c r="D318" s="50">
        <v>0</v>
      </c>
      <c r="E318" s="50">
        <f t="shared" si="4"/>
        <v>2764500</v>
      </c>
      <c r="F318" s="14" t="s">
        <v>319</v>
      </c>
      <c r="G318" s="14" t="s">
        <v>453</v>
      </c>
    </row>
    <row r="319" spans="1:8" s="14" customFormat="1">
      <c r="A319" s="138">
        <v>44403</v>
      </c>
      <c r="B319" s="14" t="s">
        <v>2053</v>
      </c>
      <c r="C319" s="50">
        <v>90000</v>
      </c>
      <c r="D319" s="50">
        <v>0</v>
      </c>
      <c r="E319" s="50">
        <f t="shared" si="4"/>
        <v>2674500</v>
      </c>
      <c r="F319" s="14" t="s">
        <v>319</v>
      </c>
      <c r="G319" s="14" t="s">
        <v>453</v>
      </c>
    </row>
    <row r="320" spans="1:8" s="14" customFormat="1">
      <c r="A320" s="138">
        <v>44403</v>
      </c>
      <c r="B320" s="14" t="s">
        <v>2054</v>
      </c>
      <c r="C320" s="50">
        <v>48000</v>
      </c>
      <c r="D320" s="50">
        <v>0</v>
      </c>
      <c r="E320" s="50">
        <f t="shared" si="4"/>
        <v>2626500</v>
      </c>
      <c r="F320" s="14" t="s">
        <v>248</v>
      </c>
      <c r="G320" s="14" t="s">
        <v>407</v>
      </c>
    </row>
    <row r="321" spans="1:8" s="14" customFormat="1">
      <c r="A321" s="138">
        <v>44403</v>
      </c>
      <c r="B321" s="14" t="s">
        <v>2055</v>
      </c>
      <c r="C321" s="50">
        <v>95000</v>
      </c>
      <c r="D321" s="50">
        <v>0</v>
      </c>
      <c r="E321" s="50">
        <f t="shared" si="4"/>
        <v>2531500</v>
      </c>
      <c r="F321" s="14" t="s">
        <v>319</v>
      </c>
      <c r="G321" s="14" t="s">
        <v>453</v>
      </c>
    </row>
    <row r="322" spans="1:8" s="14" customFormat="1">
      <c r="A322" s="138">
        <v>44403</v>
      </c>
      <c r="B322" s="14" t="s">
        <v>2056</v>
      </c>
      <c r="C322" s="50">
        <v>45000</v>
      </c>
      <c r="D322" s="50">
        <v>0</v>
      </c>
      <c r="E322" s="50">
        <f t="shared" si="4"/>
        <v>2486500</v>
      </c>
      <c r="F322" s="14" t="s">
        <v>319</v>
      </c>
      <c r="G322" s="14" t="s">
        <v>453</v>
      </c>
    </row>
    <row r="323" spans="1:8" s="14" customFormat="1">
      <c r="A323" s="138">
        <v>44403</v>
      </c>
      <c r="B323" s="14" t="s">
        <v>2057</v>
      </c>
      <c r="C323" s="50">
        <v>63500</v>
      </c>
      <c r="D323" s="50">
        <v>0</v>
      </c>
      <c r="E323" s="50">
        <f t="shared" si="4"/>
        <v>2423000</v>
      </c>
      <c r="F323" s="14" t="s">
        <v>319</v>
      </c>
      <c r="G323" s="14" t="s">
        <v>453</v>
      </c>
    </row>
    <row r="324" spans="1:8" s="14" customFormat="1">
      <c r="A324" s="138">
        <v>44403</v>
      </c>
      <c r="B324" s="14" t="s">
        <v>2058</v>
      </c>
      <c r="C324" s="50">
        <v>377500</v>
      </c>
      <c r="D324" s="50">
        <v>0</v>
      </c>
      <c r="E324" s="50">
        <f t="shared" si="4"/>
        <v>2045500</v>
      </c>
      <c r="F324" s="14" t="s">
        <v>319</v>
      </c>
      <c r="G324" s="14" t="s">
        <v>453</v>
      </c>
    </row>
    <row r="325" spans="1:8" s="14" customFormat="1">
      <c r="A325" s="138">
        <v>44403</v>
      </c>
      <c r="B325" s="14" t="s">
        <v>2059</v>
      </c>
      <c r="C325" s="50">
        <v>120000</v>
      </c>
      <c r="D325" s="50">
        <v>0</v>
      </c>
      <c r="E325" s="50">
        <f t="shared" si="4"/>
        <v>1925500</v>
      </c>
      <c r="F325" s="14" t="s">
        <v>319</v>
      </c>
      <c r="G325" s="14" t="s">
        <v>453</v>
      </c>
    </row>
    <row r="326" spans="1:8" s="14" customFormat="1">
      <c r="A326" s="138">
        <v>44403</v>
      </c>
      <c r="B326" s="14" t="s">
        <v>2060</v>
      </c>
      <c r="C326" s="50">
        <v>280000</v>
      </c>
      <c r="D326" s="50">
        <v>0</v>
      </c>
      <c r="E326" s="50">
        <f t="shared" ref="E326:E390" si="5">E325-C326+D326</f>
        <v>1645500</v>
      </c>
      <c r="F326" s="14" t="s">
        <v>248</v>
      </c>
      <c r="G326" s="14" t="s">
        <v>391</v>
      </c>
    </row>
    <row r="327" spans="1:8" s="14" customFormat="1">
      <c r="A327" s="138">
        <v>44403</v>
      </c>
      <c r="B327" s="14" t="s">
        <v>2061</v>
      </c>
      <c r="C327" s="50">
        <v>95000</v>
      </c>
      <c r="D327" s="50">
        <v>0</v>
      </c>
      <c r="E327" s="50">
        <f t="shared" si="5"/>
        <v>1550500</v>
      </c>
      <c r="F327" s="14" t="s">
        <v>248</v>
      </c>
      <c r="G327" s="14" t="s">
        <v>391</v>
      </c>
    </row>
    <row r="328" spans="1:8" s="14" customFormat="1">
      <c r="A328" s="138">
        <v>44403</v>
      </c>
      <c r="B328" s="14" t="s">
        <v>2062</v>
      </c>
      <c r="C328" s="50">
        <v>500000</v>
      </c>
      <c r="D328" s="50">
        <v>0</v>
      </c>
      <c r="E328" s="50">
        <f t="shared" si="5"/>
        <v>1050500</v>
      </c>
      <c r="F328" s="14" t="s">
        <v>319</v>
      </c>
      <c r="G328" s="14" t="s">
        <v>117</v>
      </c>
    </row>
    <row r="329" spans="1:8" s="14" customFormat="1">
      <c r="A329" s="138">
        <v>44403</v>
      </c>
      <c r="B329" s="14" t="s">
        <v>2063</v>
      </c>
      <c r="C329" s="50">
        <v>253000</v>
      </c>
      <c r="D329" s="50">
        <v>0</v>
      </c>
      <c r="E329" s="50">
        <f t="shared" si="5"/>
        <v>797500</v>
      </c>
      <c r="F329" s="14" t="s">
        <v>319</v>
      </c>
      <c r="G329" s="14" t="s">
        <v>117</v>
      </c>
    </row>
    <row r="330" spans="1:8" s="14" customFormat="1">
      <c r="A330" s="138">
        <v>44403</v>
      </c>
      <c r="B330" s="14" t="s">
        <v>2064</v>
      </c>
      <c r="C330" s="50">
        <v>524500</v>
      </c>
      <c r="D330" s="50">
        <v>0</v>
      </c>
      <c r="E330" s="50">
        <f t="shared" si="5"/>
        <v>273000</v>
      </c>
      <c r="F330" s="14" t="s">
        <v>319</v>
      </c>
      <c r="G330" s="14" t="s">
        <v>117</v>
      </c>
    </row>
    <row r="331" spans="1:8" s="14" customFormat="1">
      <c r="A331" s="138">
        <v>44403</v>
      </c>
      <c r="B331" s="14" t="s">
        <v>2065</v>
      </c>
      <c r="C331" s="50">
        <v>49000</v>
      </c>
      <c r="D331" s="50">
        <v>0</v>
      </c>
      <c r="E331" s="50">
        <f t="shared" si="5"/>
        <v>224000</v>
      </c>
      <c r="F331" s="14" t="s">
        <v>319</v>
      </c>
      <c r="G331" s="14" t="s">
        <v>117</v>
      </c>
    </row>
    <row r="332" spans="1:8">
      <c r="A332" s="3">
        <v>44404</v>
      </c>
      <c r="B332" s="7" t="s">
        <v>1153</v>
      </c>
      <c r="C332" s="8">
        <v>0</v>
      </c>
      <c r="D332" s="8">
        <v>2776000</v>
      </c>
      <c r="E332" s="50">
        <f t="shared" si="5"/>
        <v>3000000</v>
      </c>
      <c r="F332" s="14" t="s">
        <v>107</v>
      </c>
      <c r="G332" s="14" t="s">
        <v>129</v>
      </c>
    </row>
    <row r="333" spans="1:8">
      <c r="A333" s="3">
        <v>44408</v>
      </c>
      <c r="B333" t="s">
        <v>2139</v>
      </c>
      <c r="C333" s="8">
        <v>300000</v>
      </c>
      <c r="D333" s="8">
        <v>0</v>
      </c>
      <c r="E333" s="50">
        <f t="shared" si="5"/>
        <v>2700000</v>
      </c>
      <c r="F333" t="s">
        <v>137</v>
      </c>
      <c r="G333" t="s">
        <v>138</v>
      </c>
      <c r="H333" s="168" t="s">
        <v>3052</v>
      </c>
    </row>
    <row r="334" spans="1:8">
      <c r="A334" s="3">
        <v>44408</v>
      </c>
      <c r="B334" t="s">
        <v>2140</v>
      </c>
      <c r="C334" s="8">
        <v>300000</v>
      </c>
      <c r="D334" s="8">
        <v>0</v>
      </c>
      <c r="E334" s="50">
        <f t="shared" si="5"/>
        <v>2400000</v>
      </c>
      <c r="F334" t="s">
        <v>137</v>
      </c>
      <c r="G334" t="s">
        <v>138</v>
      </c>
      <c r="H334" s="168" t="s">
        <v>3052</v>
      </c>
    </row>
    <row r="335" spans="1:8">
      <c r="A335" s="3">
        <v>44408</v>
      </c>
      <c r="B335" t="s">
        <v>2141</v>
      </c>
      <c r="C335" s="8">
        <v>7000</v>
      </c>
      <c r="D335" s="8">
        <v>0</v>
      </c>
      <c r="E335" s="50">
        <f t="shared" si="5"/>
        <v>2393000</v>
      </c>
      <c r="F335" t="s">
        <v>137</v>
      </c>
      <c r="G335" t="s">
        <v>138</v>
      </c>
      <c r="H335" t="s">
        <v>2275</v>
      </c>
    </row>
    <row r="336" spans="1:8">
      <c r="A336" s="3">
        <v>44408</v>
      </c>
      <c r="B336" t="s">
        <v>2142</v>
      </c>
      <c r="C336" s="8">
        <v>1100000</v>
      </c>
      <c r="D336" s="8">
        <v>0</v>
      </c>
      <c r="E336" s="50">
        <f t="shared" si="5"/>
        <v>1293000</v>
      </c>
      <c r="F336" t="s">
        <v>107</v>
      </c>
      <c r="G336" t="s">
        <v>4282</v>
      </c>
      <c r="H336" t="s">
        <v>64</v>
      </c>
    </row>
    <row r="337" spans="1:9">
      <c r="A337" s="3">
        <v>44408</v>
      </c>
      <c r="B337" t="s">
        <v>2142</v>
      </c>
      <c r="C337" s="8">
        <f>1106500-C336</f>
        <v>6500</v>
      </c>
      <c r="D337" s="8">
        <v>0</v>
      </c>
      <c r="E337" s="50">
        <f t="shared" si="5"/>
        <v>1286500</v>
      </c>
      <c r="F337" t="s">
        <v>113</v>
      </c>
      <c r="G337" t="s">
        <v>114</v>
      </c>
      <c r="H337" t="s">
        <v>64</v>
      </c>
    </row>
    <row r="338" spans="1:9">
      <c r="A338" s="3">
        <v>44408</v>
      </c>
      <c r="B338" t="s">
        <v>2143</v>
      </c>
      <c r="C338" s="8">
        <v>280500</v>
      </c>
      <c r="D338" s="8">
        <v>0</v>
      </c>
      <c r="E338" s="50">
        <f t="shared" si="5"/>
        <v>1006000</v>
      </c>
      <c r="F338" t="s">
        <v>248</v>
      </c>
      <c r="G338" t="s">
        <v>407</v>
      </c>
    </row>
    <row r="339" spans="1:9">
      <c r="A339" s="3">
        <v>44408</v>
      </c>
      <c r="B339" t="s">
        <v>2144</v>
      </c>
      <c r="C339" s="8">
        <v>569000</v>
      </c>
      <c r="D339" s="8">
        <v>0</v>
      </c>
      <c r="E339" s="50">
        <f t="shared" si="5"/>
        <v>437000</v>
      </c>
      <c r="F339" t="s">
        <v>319</v>
      </c>
      <c r="G339" t="s">
        <v>117</v>
      </c>
    </row>
    <row r="340" spans="1:9">
      <c r="A340" s="3">
        <v>44408</v>
      </c>
      <c r="B340" t="s">
        <v>2145</v>
      </c>
      <c r="C340" s="8">
        <v>346200</v>
      </c>
      <c r="D340" s="8">
        <v>0</v>
      </c>
      <c r="E340" s="50">
        <f t="shared" si="5"/>
        <v>90800</v>
      </c>
      <c r="F340" t="s">
        <v>137</v>
      </c>
      <c r="G340" t="s">
        <v>138</v>
      </c>
      <c r="H340" s="168" t="s">
        <v>3052</v>
      </c>
    </row>
    <row r="341" spans="1:9">
      <c r="A341" s="3">
        <v>44408</v>
      </c>
      <c r="B341" t="s">
        <v>2146</v>
      </c>
      <c r="C341" s="8">
        <v>60000</v>
      </c>
      <c r="D341" s="8">
        <v>0</v>
      </c>
      <c r="E341" s="50">
        <f t="shared" si="5"/>
        <v>30800</v>
      </c>
      <c r="F341" t="s">
        <v>736</v>
      </c>
      <c r="G341" s="14" t="s">
        <v>3994</v>
      </c>
    </row>
    <row r="342" spans="1:9">
      <c r="A342" s="3">
        <v>44414</v>
      </c>
      <c r="B342" s="7" t="s">
        <v>24</v>
      </c>
      <c r="D342" s="8">
        <v>2969200</v>
      </c>
      <c r="E342" s="50">
        <f t="shared" si="5"/>
        <v>3000000</v>
      </c>
      <c r="F342" s="14" t="s">
        <v>107</v>
      </c>
      <c r="G342" s="14" t="s">
        <v>129</v>
      </c>
    </row>
    <row r="343" spans="1:9">
      <c r="A343" s="3">
        <v>44416</v>
      </c>
      <c r="B343" t="s">
        <v>2147</v>
      </c>
      <c r="C343" s="8">
        <v>300000</v>
      </c>
      <c r="D343" s="8">
        <v>0</v>
      </c>
      <c r="E343" s="50">
        <f t="shared" si="5"/>
        <v>2700000</v>
      </c>
      <c r="F343" t="s">
        <v>115</v>
      </c>
      <c r="G343" t="s">
        <v>120</v>
      </c>
      <c r="H343" t="s">
        <v>127</v>
      </c>
      <c r="I343" t="s">
        <v>444</v>
      </c>
    </row>
    <row r="344" spans="1:9">
      <c r="A344" s="3">
        <v>44416</v>
      </c>
      <c r="B344" t="s">
        <v>2148</v>
      </c>
      <c r="C344" s="8">
        <v>306500</v>
      </c>
      <c r="D344" s="8">
        <v>0</v>
      </c>
      <c r="E344" s="50">
        <f t="shared" si="5"/>
        <v>2393500</v>
      </c>
      <c r="F344" t="s">
        <v>115</v>
      </c>
      <c r="G344" t="s">
        <v>120</v>
      </c>
      <c r="H344" t="s">
        <v>127</v>
      </c>
      <c r="I344" t="s">
        <v>444</v>
      </c>
    </row>
    <row r="345" spans="1:9">
      <c r="A345" s="3">
        <v>44416</v>
      </c>
      <c r="B345" t="s">
        <v>2149</v>
      </c>
      <c r="C345" s="8">
        <v>300000</v>
      </c>
      <c r="D345" s="8">
        <v>0</v>
      </c>
      <c r="E345" s="50">
        <f t="shared" si="5"/>
        <v>2093500</v>
      </c>
      <c r="F345" t="s">
        <v>115</v>
      </c>
      <c r="G345" t="s">
        <v>120</v>
      </c>
      <c r="H345" t="s">
        <v>127</v>
      </c>
      <c r="I345" t="s">
        <v>444</v>
      </c>
    </row>
    <row r="346" spans="1:9">
      <c r="A346" s="3">
        <v>44416</v>
      </c>
      <c r="B346" t="s">
        <v>2150</v>
      </c>
      <c r="C346" s="8">
        <v>341550</v>
      </c>
      <c r="D346" s="8">
        <v>0</v>
      </c>
      <c r="E346" s="50">
        <f t="shared" si="5"/>
        <v>1751950</v>
      </c>
      <c r="F346" t="s">
        <v>319</v>
      </c>
      <c r="G346" t="s">
        <v>1016</v>
      </c>
    </row>
    <row r="347" spans="1:9">
      <c r="A347" s="3">
        <v>44416</v>
      </c>
      <c r="B347" t="s">
        <v>2151</v>
      </c>
      <c r="C347" s="8">
        <v>175000</v>
      </c>
      <c r="D347" s="8">
        <v>0</v>
      </c>
      <c r="E347" s="50">
        <f t="shared" si="5"/>
        <v>1576950</v>
      </c>
      <c r="F347" t="s">
        <v>319</v>
      </c>
      <c r="G347" t="s">
        <v>454</v>
      </c>
    </row>
    <row r="348" spans="1:9">
      <c r="A348" s="3">
        <v>44416</v>
      </c>
      <c r="B348" t="s">
        <v>2152</v>
      </c>
      <c r="C348" s="8">
        <v>200000</v>
      </c>
      <c r="D348" s="8">
        <v>0</v>
      </c>
      <c r="E348" s="50">
        <f t="shared" si="5"/>
        <v>1376950</v>
      </c>
      <c r="F348" t="s">
        <v>319</v>
      </c>
      <c r="G348" t="s">
        <v>648</v>
      </c>
    </row>
    <row r="349" spans="1:9">
      <c r="A349" s="3">
        <v>44416</v>
      </c>
      <c r="B349" t="s">
        <v>2153</v>
      </c>
      <c r="C349" s="8">
        <v>119500</v>
      </c>
      <c r="D349" s="8">
        <v>0</v>
      </c>
      <c r="E349" s="50">
        <f t="shared" si="5"/>
        <v>1257450</v>
      </c>
      <c r="F349" t="s">
        <v>319</v>
      </c>
      <c r="G349" t="s">
        <v>117</v>
      </c>
    </row>
    <row r="350" spans="1:9">
      <c r="A350" s="3">
        <v>44416</v>
      </c>
      <c r="B350" t="s">
        <v>2154</v>
      </c>
      <c r="C350" s="8">
        <v>420000</v>
      </c>
      <c r="D350" s="8">
        <v>0</v>
      </c>
      <c r="E350" s="50">
        <f t="shared" ref="E350:E355" si="6">E349-C350+D350</f>
        <v>837450</v>
      </c>
      <c r="F350" t="s">
        <v>736</v>
      </c>
      <c r="G350" s="14" t="s">
        <v>3994</v>
      </c>
    </row>
    <row r="351" spans="1:9">
      <c r="A351" s="3">
        <v>44416</v>
      </c>
      <c r="B351" t="s">
        <v>2155</v>
      </c>
      <c r="C351" s="8">
        <v>10000</v>
      </c>
      <c r="D351" s="8">
        <v>0</v>
      </c>
      <c r="E351" s="50">
        <f t="shared" si="6"/>
        <v>827450</v>
      </c>
      <c r="F351" t="s">
        <v>137</v>
      </c>
      <c r="G351" t="s">
        <v>138</v>
      </c>
      <c r="H351" s="168" t="s">
        <v>3033</v>
      </c>
    </row>
    <row r="352" spans="1:9">
      <c r="A352" s="3">
        <v>44416</v>
      </c>
      <c r="B352" t="s">
        <v>2156</v>
      </c>
      <c r="C352" s="8">
        <v>100000</v>
      </c>
      <c r="D352" s="8">
        <v>0</v>
      </c>
      <c r="E352" s="50">
        <f t="shared" si="6"/>
        <v>727450</v>
      </c>
      <c r="F352" t="s">
        <v>137</v>
      </c>
      <c r="G352" t="s">
        <v>138</v>
      </c>
      <c r="H352" t="s">
        <v>603</v>
      </c>
    </row>
    <row r="353" spans="1:9">
      <c r="A353" s="3">
        <v>44416</v>
      </c>
      <c r="B353" t="s">
        <v>2157</v>
      </c>
      <c r="C353" s="8">
        <v>50000</v>
      </c>
      <c r="D353" s="8">
        <v>0</v>
      </c>
      <c r="E353" s="50">
        <f t="shared" si="6"/>
        <v>677450</v>
      </c>
      <c r="F353" t="s">
        <v>137</v>
      </c>
      <c r="G353" t="s">
        <v>138</v>
      </c>
      <c r="H353" t="s">
        <v>603</v>
      </c>
    </row>
    <row r="354" spans="1:9">
      <c r="A354" s="3">
        <v>44416</v>
      </c>
      <c r="B354" t="s">
        <v>2158</v>
      </c>
      <c r="C354" s="8">
        <v>100000</v>
      </c>
      <c r="D354" s="8">
        <v>0</v>
      </c>
      <c r="E354" s="50">
        <f t="shared" si="6"/>
        <v>577450</v>
      </c>
      <c r="F354" t="s">
        <v>115</v>
      </c>
      <c r="G354" t="s">
        <v>120</v>
      </c>
      <c r="H354" t="s">
        <v>127</v>
      </c>
      <c r="I354" t="s">
        <v>444</v>
      </c>
    </row>
    <row r="355" spans="1:9">
      <c r="A355" s="3">
        <v>44416</v>
      </c>
      <c r="B355" t="s">
        <v>2159</v>
      </c>
      <c r="C355" s="8">
        <v>29000</v>
      </c>
      <c r="D355" s="8">
        <v>0</v>
      </c>
      <c r="E355" s="50">
        <f t="shared" si="6"/>
        <v>548450</v>
      </c>
      <c r="F355" t="s">
        <v>115</v>
      </c>
      <c r="G355" t="s">
        <v>120</v>
      </c>
      <c r="H355" t="s">
        <v>127</v>
      </c>
      <c r="I355" t="s">
        <v>444</v>
      </c>
    </row>
    <row r="356" spans="1:9">
      <c r="A356" s="3">
        <v>44416</v>
      </c>
      <c r="B356" t="s">
        <v>2160</v>
      </c>
      <c r="C356" s="8">
        <v>54000</v>
      </c>
      <c r="D356" s="8">
        <v>0</v>
      </c>
      <c r="E356" s="50">
        <f t="shared" si="5"/>
        <v>494450</v>
      </c>
      <c r="F356" t="s">
        <v>115</v>
      </c>
      <c r="G356" t="s">
        <v>120</v>
      </c>
      <c r="H356" t="s">
        <v>127</v>
      </c>
      <c r="I356" t="s">
        <v>444</v>
      </c>
    </row>
    <row r="357" spans="1:9">
      <c r="A357" s="3">
        <v>44416</v>
      </c>
      <c r="B357" t="s">
        <v>2161</v>
      </c>
      <c r="C357" s="8">
        <v>9000</v>
      </c>
      <c r="D357" s="8">
        <v>0</v>
      </c>
      <c r="E357" s="50">
        <f t="shared" si="5"/>
        <v>485450</v>
      </c>
      <c r="F357" t="s">
        <v>115</v>
      </c>
      <c r="G357" t="s">
        <v>120</v>
      </c>
      <c r="H357" t="s">
        <v>127</v>
      </c>
      <c r="I357" t="s">
        <v>444</v>
      </c>
    </row>
    <row r="358" spans="1:9">
      <c r="A358" s="3">
        <v>44416</v>
      </c>
      <c r="B358" t="s">
        <v>2162</v>
      </c>
      <c r="C358" s="8">
        <v>150000</v>
      </c>
      <c r="D358" s="8">
        <v>0</v>
      </c>
      <c r="E358" s="50">
        <f t="shared" si="5"/>
        <v>335450</v>
      </c>
      <c r="F358" t="s">
        <v>115</v>
      </c>
      <c r="G358" t="s">
        <v>120</v>
      </c>
      <c r="H358" t="s">
        <v>127</v>
      </c>
      <c r="I358" t="s">
        <v>444</v>
      </c>
    </row>
    <row r="359" spans="1:9">
      <c r="A359" s="3">
        <v>44416</v>
      </c>
      <c r="B359" t="s">
        <v>2163</v>
      </c>
      <c r="C359" s="8">
        <v>20000</v>
      </c>
      <c r="D359" s="8">
        <v>0</v>
      </c>
      <c r="E359" s="50">
        <f t="shared" si="5"/>
        <v>315450</v>
      </c>
      <c r="F359" t="s">
        <v>115</v>
      </c>
      <c r="G359" t="s">
        <v>120</v>
      </c>
      <c r="H359" t="s">
        <v>127</v>
      </c>
      <c r="I359" t="s">
        <v>444</v>
      </c>
    </row>
    <row r="360" spans="1:9">
      <c r="A360" s="3">
        <v>44416</v>
      </c>
      <c r="B360" t="s">
        <v>2164</v>
      </c>
      <c r="C360" s="8">
        <v>5000</v>
      </c>
      <c r="D360" s="8">
        <v>0</v>
      </c>
      <c r="E360" s="50">
        <f t="shared" si="5"/>
        <v>310450</v>
      </c>
      <c r="F360" t="s">
        <v>115</v>
      </c>
      <c r="G360" t="s">
        <v>120</v>
      </c>
      <c r="H360" t="s">
        <v>127</v>
      </c>
      <c r="I360" t="s">
        <v>444</v>
      </c>
    </row>
    <row r="361" spans="1:9">
      <c r="A361" s="3">
        <v>44416</v>
      </c>
      <c r="B361" t="s">
        <v>2165</v>
      </c>
      <c r="C361" s="8">
        <v>5000</v>
      </c>
      <c r="D361" s="8">
        <v>0</v>
      </c>
      <c r="E361" s="50">
        <f t="shared" si="5"/>
        <v>305450</v>
      </c>
      <c r="F361" t="s">
        <v>115</v>
      </c>
      <c r="G361" t="s">
        <v>120</v>
      </c>
      <c r="H361" t="s">
        <v>127</v>
      </c>
      <c r="I361" t="s">
        <v>444</v>
      </c>
    </row>
    <row r="362" spans="1:9">
      <c r="A362" s="3">
        <v>44416</v>
      </c>
      <c r="B362" t="s">
        <v>2166</v>
      </c>
      <c r="C362" s="8">
        <v>146300</v>
      </c>
      <c r="D362" s="8">
        <v>0</v>
      </c>
      <c r="E362" s="50">
        <f t="shared" si="5"/>
        <v>159150</v>
      </c>
      <c r="F362" t="s">
        <v>115</v>
      </c>
      <c r="G362" t="s">
        <v>120</v>
      </c>
      <c r="H362" t="s">
        <v>127</v>
      </c>
      <c r="I362" t="s">
        <v>444</v>
      </c>
    </row>
    <row r="363" spans="1:9">
      <c r="A363" s="3">
        <v>44416</v>
      </c>
      <c r="B363" t="s">
        <v>2167</v>
      </c>
      <c r="C363" s="8">
        <v>15000</v>
      </c>
      <c r="D363" s="8">
        <v>0</v>
      </c>
      <c r="E363" s="50">
        <f t="shared" si="5"/>
        <v>144150</v>
      </c>
      <c r="F363" t="s">
        <v>115</v>
      </c>
      <c r="G363" t="s">
        <v>120</v>
      </c>
      <c r="H363" t="s">
        <v>127</v>
      </c>
      <c r="I363" t="s">
        <v>444</v>
      </c>
    </row>
    <row r="364" spans="1:9">
      <c r="A364" s="3">
        <v>44421</v>
      </c>
      <c r="B364" t="s">
        <v>2302</v>
      </c>
      <c r="D364" s="8">
        <v>2855850</v>
      </c>
      <c r="E364" s="50">
        <f t="shared" si="5"/>
        <v>3000000</v>
      </c>
      <c r="F364" s="14" t="s">
        <v>107</v>
      </c>
      <c r="G364" s="14" t="s">
        <v>129</v>
      </c>
    </row>
    <row r="365" spans="1:9">
      <c r="A365" s="3">
        <v>44428</v>
      </c>
      <c r="B365" t="s">
        <v>2168</v>
      </c>
      <c r="C365" s="8">
        <v>300000</v>
      </c>
      <c r="D365" s="8">
        <v>0</v>
      </c>
      <c r="E365" s="50">
        <f t="shared" si="5"/>
        <v>2700000</v>
      </c>
      <c r="F365" t="s">
        <v>137</v>
      </c>
      <c r="G365" t="s">
        <v>138</v>
      </c>
      <c r="H365" s="168" t="s">
        <v>3024</v>
      </c>
    </row>
    <row r="366" spans="1:9">
      <c r="A366" s="3">
        <v>44428</v>
      </c>
      <c r="B366" t="s">
        <v>2169</v>
      </c>
      <c r="C366" s="8">
        <v>193050</v>
      </c>
      <c r="D366" s="8">
        <v>0</v>
      </c>
      <c r="E366" s="50">
        <f t="shared" si="5"/>
        <v>2506950</v>
      </c>
      <c r="F366" t="s">
        <v>319</v>
      </c>
      <c r="G366" t="s">
        <v>370</v>
      </c>
    </row>
    <row r="367" spans="1:9">
      <c r="A367" s="3">
        <v>44428</v>
      </c>
      <c r="B367" t="s">
        <v>2170</v>
      </c>
      <c r="C367" s="8">
        <v>200000</v>
      </c>
      <c r="D367" s="8">
        <v>0</v>
      </c>
      <c r="E367" s="50">
        <f t="shared" si="5"/>
        <v>2306950</v>
      </c>
      <c r="F367" t="s">
        <v>319</v>
      </c>
      <c r="G367" t="s">
        <v>648</v>
      </c>
    </row>
    <row r="368" spans="1:9">
      <c r="A368" s="3">
        <v>44428</v>
      </c>
      <c r="B368" t="s">
        <v>2171</v>
      </c>
      <c r="C368" s="8">
        <v>10000</v>
      </c>
      <c r="D368" s="8">
        <v>0</v>
      </c>
      <c r="E368" s="50">
        <f t="shared" si="5"/>
        <v>2296950</v>
      </c>
      <c r="F368" t="s">
        <v>137</v>
      </c>
      <c r="G368" t="s">
        <v>138</v>
      </c>
      <c r="H368" s="168" t="s">
        <v>3024</v>
      </c>
    </row>
    <row r="369" spans="1:9">
      <c r="A369" s="3">
        <v>44428</v>
      </c>
      <c r="B369" t="s">
        <v>2172</v>
      </c>
      <c r="C369" s="8">
        <v>40000</v>
      </c>
      <c r="D369" s="8">
        <v>0</v>
      </c>
      <c r="E369" s="50">
        <f t="shared" si="5"/>
        <v>2256950</v>
      </c>
      <c r="F369" t="s">
        <v>137</v>
      </c>
      <c r="G369" t="s">
        <v>138</v>
      </c>
      <c r="H369" s="168" t="s">
        <v>3024</v>
      </c>
    </row>
    <row r="370" spans="1:9">
      <c r="A370" s="3">
        <v>44428</v>
      </c>
      <c r="B370" t="s">
        <v>2173</v>
      </c>
      <c r="C370" s="8">
        <v>160500</v>
      </c>
      <c r="D370" s="8">
        <v>0</v>
      </c>
      <c r="E370" s="50">
        <f t="shared" si="5"/>
        <v>2096450</v>
      </c>
      <c r="F370" t="s">
        <v>319</v>
      </c>
      <c r="G370" t="s">
        <v>117</v>
      </c>
    </row>
    <row r="371" spans="1:9">
      <c r="A371" s="3">
        <v>44428</v>
      </c>
      <c r="B371" t="s">
        <v>2174</v>
      </c>
      <c r="C371" s="8">
        <v>220000</v>
      </c>
      <c r="D371" s="8">
        <v>0</v>
      </c>
      <c r="E371" s="50">
        <f t="shared" si="5"/>
        <v>1876450</v>
      </c>
      <c r="F371" t="s">
        <v>319</v>
      </c>
      <c r="G371" t="s">
        <v>117</v>
      </c>
    </row>
    <row r="372" spans="1:9">
      <c r="A372" s="3">
        <v>44428</v>
      </c>
      <c r="B372" t="s">
        <v>2175</v>
      </c>
      <c r="C372" s="8">
        <v>500000</v>
      </c>
      <c r="D372" s="8">
        <v>0</v>
      </c>
      <c r="E372" s="50">
        <f t="shared" si="5"/>
        <v>1376450</v>
      </c>
      <c r="F372" t="s">
        <v>319</v>
      </c>
      <c r="G372" t="s">
        <v>117</v>
      </c>
    </row>
    <row r="373" spans="1:9">
      <c r="A373" s="3">
        <v>44428</v>
      </c>
      <c r="B373" t="s">
        <v>2176</v>
      </c>
      <c r="C373" s="8">
        <v>136000</v>
      </c>
      <c r="D373" s="8">
        <v>0</v>
      </c>
      <c r="E373" s="50">
        <f t="shared" si="5"/>
        <v>1240450</v>
      </c>
      <c r="F373" t="s">
        <v>319</v>
      </c>
      <c r="G373" t="s">
        <v>117</v>
      </c>
    </row>
    <row r="374" spans="1:9">
      <c r="A374" s="3">
        <v>44428</v>
      </c>
      <c r="B374" t="s">
        <v>2177</v>
      </c>
      <c r="C374" s="8">
        <v>150000</v>
      </c>
      <c r="D374" s="8">
        <v>0</v>
      </c>
      <c r="E374" s="50">
        <f t="shared" si="5"/>
        <v>1090450</v>
      </c>
      <c r="F374" t="s">
        <v>137</v>
      </c>
      <c r="G374" t="s">
        <v>138</v>
      </c>
      <c r="H374" s="168" t="s">
        <v>3017</v>
      </c>
    </row>
    <row r="375" spans="1:9">
      <c r="A375" s="3">
        <v>44428</v>
      </c>
      <c r="B375" t="s">
        <v>2178</v>
      </c>
      <c r="C375" s="8">
        <v>18000</v>
      </c>
      <c r="D375" s="8">
        <v>0</v>
      </c>
      <c r="E375" s="50">
        <f t="shared" si="5"/>
        <v>1072450</v>
      </c>
      <c r="F375" t="s">
        <v>248</v>
      </c>
      <c r="G375" t="s">
        <v>407</v>
      </c>
    </row>
    <row r="376" spans="1:9">
      <c r="A376" s="3">
        <v>44428</v>
      </c>
      <c r="B376" t="s">
        <v>2179</v>
      </c>
      <c r="C376" s="8">
        <v>159000</v>
      </c>
      <c r="D376" s="8">
        <v>0</v>
      </c>
      <c r="E376" s="50">
        <f t="shared" si="5"/>
        <v>913450</v>
      </c>
      <c r="F376" t="s">
        <v>319</v>
      </c>
      <c r="G376" t="s">
        <v>117</v>
      </c>
    </row>
    <row r="377" spans="1:9">
      <c r="A377" s="3">
        <v>44428</v>
      </c>
      <c r="B377" t="s">
        <v>2180</v>
      </c>
      <c r="C377" s="8">
        <v>162900</v>
      </c>
      <c r="D377" s="8">
        <v>0</v>
      </c>
      <c r="E377" s="50">
        <f t="shared" si="5"/>
        <v>750550</v>
      </c>
      <c r="F377" t="s">
        <v>248</v>
      </c>
      <c r="G377" t="s">
        <v>407</v>
      </c>
    </row>
    <row r="378" spans="1:9">
      <c r="A378" s="3">
        <v>44428</v>
      </c>
      <c r="B378" t="s">
        <v>2181</v>
      </c>
      <c r="C378" s="8">
        <v>25000</v>
      </c>
      <c r="D378" s="8">
        <v>0</v>
      </c>
      <c r="E378" s="50">
        <f t="shared" si="5"/>
        <v>725550</v>
      </c>
      <c r="F378" t="s">
        <v>248</v>
      </c>
      <c r="G378" t="s">
        <v>407</v>
      </c>
    </row>
    <row r="379" spans="1:9">
      <c r="A379" s="3">
        <v>44428</v>
      </c>
      <c r="B379" t="s">
        <v>2182</v>
      </c>
      <c r="C379" s="8">
        <v>300000</v>
      </c>
      <c r="D379" s="8">
        <v>0</v>
      </c>
      <c r="E379" s="50">
        <f t="shared" si="5"/>
        <v>425550</v>
      </c>
      <c r="F379" t="s">
        <v>115</v>
      </c>
      <c r="G379" t="s">
        <v>120</v>
      </c>
      <c r="H379" t="s">
        <v>127</v>
      </c>
      <c r="I379" t="s">
        <v>444</v>
      </c>
    </row>
    <row r="380" spans="1:9">
      <c r="A380" s="3">
        <v>44428</v>
      </c>
      <c r="B380" t="s">
        <v>2183</v>
      </c>
      <c r="C380" s="8">
        <v>306500</v>
      </c>
      <c r="D380" s="8">
        <v>0</v>
      </c>
      <c r="E380" s="50">
        <f t="shared" si="5"/>
        <v>119050</v>
      </c>
      <c r="F380" t="s">
        <v>115</v>
      </c>
      <c r="G380" t="s">
        <v>120</v>
      </c>
      <c r="H380" t="s">
        <v>127</v>
      </c>
      <c r="I380" t="s">
        <v>444</v>
      </c>
    </row>
    <row r="381" spans="1:9">
      <c r="A381" s="3">
        <v>44428</v>
      </c>
      <c r="B381" t="s">
        <v>2184</v>
      </c>
      <c r="C381" s="8">
        <v>37900</v>
      </c>
      <c r="D381" s="8">
        <v>0</v>
      </c>
      <c r="E381" s="50">
        <f t="shared" si="5"/>
        <v>81150</v>
      </c>
      <c r="F381" t="s">
        <v>319</v>
      </c>
      <c r="G381" t="s">
        <v>454</v>
      </c>
    </row>
    <row r="382" spans="1:9">
      <c r="A382" s="3">
        <v>44428</v>
      </c>
      <c r="B382" t="s">
        <v>2185</v>
      </c>
      <c r="C382" s="8">
        <v>57000</v>
      </c>
      <c r="D382" s="8">
        <v>0</v>
      </c>
      <c r="E382" s="50">
        <f t="shared" si="5"/>
        <v>24150</v>
      </c>
      <c r="F382" t="s">
        <v>319</v>
      </c>
      <c r="G382" t="s">
        <v>453</v>
      </c>
    </row>
    <row r="383" spans="1:9">
      <c r="A383" s="3">
        <v>44428</v>
      </c>
      <c r="B383" t="s">
        <v>2186</v>
      </c>
      <c r="C383" s="8">
        <v>15000</v>
      </c>
      <c r="D383" s="8">
        <v>0</v>
      </c>
      <c r="E383" s="50">
        <f t="shared" si="5"/>
        <v>9150</v>
      </c>
      <c r="F383" t="s">
        <v>137</v>
      </c>
      <c r="G383" t="s">
        <v>138</v>
      </c>
      <c r="H383" s="168" t="s">
        <v>4389</v>
      </c>
    </row>
    <row r="384" spans="1:9">
      <c r="A384" s="3">
        <v>44434</v>
      </c>
      <c r="B384" t="s">
        <v>24</v>
      </c>
      <c r="D384" s="8">
        <v>2990850</v>
      </c>
      <c r="E384" s="50">
        <f t="shared" si="5"/>
        <v>3000000</v>
      </c>
      <c r="F384" s="14" t="s">
        <v>107</v>
      </c>
      <c r="G384" s="14" t="s">
        <v>129</v>
      </c>
    </row>
    <row r="385" spans="1:8">
      <c r="A385" s="3">
        <v>44438</v>
      </c>
      <c r="B385" t="s">
        <v>2187</v>
      </c>
      <c r="C385" s="8">
        <v>315000</v>
      </c>
      <c r="D385" s="8">
        <v>0</v>
      </c>
      <c r="E385" s="50">
        <f t="shared" si="5"/>
        <v>2685000</v>
      </c>
      <c r="F385" t="s">
        <v>319</v>
      </c>
      <c r="G385" t="s">
        <v>454</v>
      </c>
    </row>
    <row r="386" spans="1:8">
      <c r="A386" s="3">
        <v>44438</v>
      </c>
      <c r="B386" t="s">
        <v>2188</v>
      </c>
      <c r="C386" s="8">
        <v>80000</v>
      </c>
      <c r="D386" s="8">
        <v>0</v>
      </c>
      <c r="E386" s="50">
        <f t="shared" si="5"/>
        <v>2605000</v>
      </c>
      <c r="F386" t="s">
        <v>736</v>
      </c>
      <c r="G386" s="14" t="s">
        <v>3994</v>
      </c>
    </row>
    <row r="387" spans="1:8">
      <c r="A387" s="3">
        <v>44438</v>
      </c>
      <c r="B387" t="s">
        <v>2189</v>
      </c>
      <c r="C387" s="8">
        <v>188000</v>
      </c>
      <c r="D387" s="8">
        <v>0</v>
      </c>
      <c r="E387" s="50">
        <f t="shared" si="5"/>
        <v>2417000</v>
      </c>
      <c r="F387" t="s">
        <v>319</v>
      </c>
      <c r="G387" t="s">
        <v>453</v>
      </c>
    </row>
    <row r="388" spans="1:8">
      <c r="A388" s="3">
        <v>44438</v>
      </c>
      <c r="B388" t="s">
        <v>2190</v>
      </c>
      <c r="C388" s="8">
        <v>63500</v>
      </c>
      <c r="D388" s="8">
        <v>0</v>
      </c>
      <c r="E388" s="50">
        <f t="shared" si="5"/>
        <v>2353500</v>
      </c>
      <c r="F388" t="s">
        <v>736</v>
      </c>
      <c r="G388" s="14" t="s">
        <v>3994</v>
      </c>
    </row>
    <row r="389" spans="1:8">
      <c r="A389" s="3">
        <v>44438</v>
      </c>
      <c r="B389" t="s">
        <v>2191</v>
      </c>
      <c r="C389" s="8">
        <v>538000</v>
      </c>
      <c r="D389" s="8">
        <v>0</v>
      </c>
      <c r="E389" s="50">
        <f t="shared" si="5"/>
        <v>1815500</v>
      </c>
      <c r="F389" t="s">
        <v>319</v>
      </c>
      <c r="G389" t="s">
        <v>117</v>
      </c>
    </row>
    <row r="390" spans="1:8">
      <c r="A390" s="3">
        <v>44438</v>
      </c>
      <c r="B390" t="s">
        <v>2192</v>
      </c>
      <c r="C390" s="8">
        <v>297000</v>
      </c>
      <c r="D390" s="8">
        <v>0</v>
      </c>
      <c r="E390" s="50">
        <f t="shared" si="5"/>
        <v>1518500</v>
      </c>
      <c r="F390" t="s">
        <v>319</v>
      </c>
      <c r="G390" t="s">
        <v>117</v>
      </c>
    </row>
    <row r="391" spans="1:8">
      <c r="A391" s="3">
        <v>44438</v>
      </c>
      <c r="B391" t="s">
        <v>2193</v>
      </c>
      <c r="C391" s="8">
        <v>541500</v>
      </c>
      <c r="D391" s="8">
        <v>0</v>
      </c>
      <c r="E391" s="50">
        <f t="shared" ref="E391:E454" si="7">E390-C391+D391</f>
        <v>977000</v>
      </c>
      <c r="F391" t="s">
        <v>319</v>
      </c>
      <c r="G391" t="s">
        <v>453</v>
      </c>
    </row>
    <row r="392" spans="1:8">
      <c r="A392" s="3">
        <v>44438</v>
      </c>
      <c r="B392" t="s">
        <v>2194</v>
      </c>
      <c r="C392" s="8">
        <v>199500</v>
      </c>
      <c r="D392" s="8">
        <v>0</v>
      </c>
      <c r="E392" s="50">
        <f t="shared" si="7"/>
        <v>777500</v>
      </c>
      <c r="F392" t="s">
        <v>319</v>
      </c>
      <c r="G392" t="s">
        <v>1016</v>
      </c>
    </row>
    <row r="393" spans="1:8">
      <c r="A393" s="3">
        <v>44438</v>
      </c>
      <c r="B393" t="s">
        <v>2195</v>
      </c>
      <c r="C393" s="8">
        <v>200000</v>
      </c>
      <c r="D393" s="8">
        <v>0</v>
      </c>
      <c r="E393" s="50">
        <f t="shared" si="7"/>
        <v>577500</v>
      </c>
      <c r="F393" t="s">
        <v>319</v>
      </c>
      <c r="G393" t="s">
        <v>648</v>
      </c>
    </row>
    <row r="394" spans="1:8">
      <c r="A394" s="3">
        <v>44438</v>
      </c>
      <c r="B394" t="s">
        <v>2196</v>
      </c>
      <c r="C394" s="8">
        <v>262500</v>
      </c>
      <c r="D394" s="8">
        <v>0</v>
      </c>
      <c r="E394" s="50">
        <f t="shared" si="7"/>
        <v>315000</v>
      </c>
      <c r="F394" t="s">
        <v>319</v>
      </c>
      <c r="G394" t="s">
        <v>117</v>
      </c>
    </row>
    <row r="395" spans="1:8">
      <c r="A395" s="3">
        <v>44438</v>
      </c>
      <c r="B395" t="s">
        <v>2197</v>
      </c>
      <c r="C395" s="8">
        <v>300000</v>
      </c>
      <c r="D395" s="8">
        <v>0</v>
      </c>
      <c r="E395" s="50">
        <f t="shared" si="7"/>
        <v>15000</v>
      </c>
      <c r="F395" t="s">
        <v>137</v>
      </c>
      <c r="G395" t="s">
        <v>138</v>
      </c>
      <c r="H395" s="168" t="s">
        <v>2277</v>
      </c>
    </row>
    <row r="396" spans="1:8">
      <c r="A396" s="3">
        <v>44445</v>
      </c>
      <c r="B396" s="7" t="s">
        <v>24</v>
      </c>
      <c r="D396" s="8">
        <v>2985000</v>
      </c>
      <c r="E396" s="50">
        <f t="shared" si="7"/>
        <v>3000000</v>
      </c>
      <c r="F396" s="14" t="s">
        <v>107</v>
      </c>
      <c r="G396" s="14" t="s">
        <v>129</v>
      </c>
    </row>
    <row r="397" spans="1:8">
      <c r="A397" s="3">
        <v>44448</v>
      </c>
      <c r="B397" t="s">
        <v>2198</v>
      </c>
      <c r="C397" s="8">
        <v>300000</v>
      </c>
      <c r="D397" s="8">
        <v>0</v>
      </c>
      <c r="E397" s="50">
        <f t="shared" si="7"/>
        <v>2700000</v>
      </c>
      <c r="F397" t="s">
        <v>137</v>
      </c>
      <c r="G397" t="s">
        <v>138</v>
      </c>
      <c r="H397" s="168" t="s">
        <v>2277</v>
      </c>
    </row>
    <row r="398" spans="1:8">
      <c r="A398" s="3">
        <v>44448</v>
      </c>
      <c r="B398" t="s">
        <v>2199</v>
      </c>
      <c r="C398" s="8">
        <v>300000</v>
      </c>
      <c r="D398" s="8">
        <v>0</v>
      </c>
      <c r="E398" s="50">
        <f t="shared" si="7"/>
        <v>2400000</v>
      </c>
      <c r="F398" t="s">
        <v>319</v>
      </c>
      <c r="G398" t="s">
        <v>117</v>
      </c>
    </row>
    <row r="399" spans="1:8">
      <c r="A399" s="3">
        <v>44448</v>
      </c>
      <c r="B399" t="s">
        <v>2200</v>
      </c>
      <c r="C399" s="8">
        <v>640002</v>
      </c>
      <c r="D399" s="8">
        <v>0</v>
      </c>
      <c r="E399" s="50">
        <f t="shared" si="7"/>
        <v>1759998</v>
      </c>
      <c r="F399" t="s">
        <v>319</v>
      </c>
      <c r="G399" t="s">
        <v>1016</v>
      </c>
    </row>
    <row r="400" spans="1:8">
      <c r="A400" s="3">
        <v>44448</v>
      </c>
      <c r="B400" t="s">
        <v>2201</v>
      </c>
      <c r="C400" s="8">
        <v>260000</v>
      </c>
      <c r="D400" s="8">
        <v>0</v>
      </c>
      <c r="E400" s="50">
        <f t="shared" si="7"/>
        <v>1499998</v>
      </c>
      <c r="F400" t="s">
        <v>137</v>
      </c>
      <c r="G400" t="s">
        <v>138</v>
      </c>
      <c r="H400" s="168" t="s">
        <v>3036</v>
      </c>
    </row>
    <row r="401" spans="1:9">
      <c r="A401" s="3">
        <v>44448</v>
      </c>
      <c r="B401" t="s">
        <v>2202</v>
      </c>
      <c r="C401" s="8">
        <v>60500</v>
      </c>
      <c r="D401" s="8">
        <v>0</v>
      </c>
      <c r="E401" s="50">
        <f t="shared" si="7"/>
        <v>1439498</v>
      </c>
      <c r="F401" t="s">
        <v>248</v>
      </c>
      <c r="G401" t="s">
        <v>407</v>
      </c>
    </row>
    <row r="402" spans="1:9">
      <c r="A402" s="3">
        <v>44448</v>
      </c>
      <c r="B402" t="s">
        <v>2203</v>
      </c>
      <c r="C402" s="8">
        <v>311000</v>
      </c>
      <c r="D402" s="8">
        <v>0</v>
      </c>
      <c r="E402" s="50">
        <f t="shared" si="7"/>
        <v>1128498</v>
      </c>
      <c r="F402" t="s">
        <v>319</v>
      </c>
      <c r="G402" t="s">
        <v>117</v>
      </c>
    </row>
    <row r="403" spans="1:9">
      <c r="A403" s="3">
        <v>44448</v>
      </c>
      <c r="B403" t="s">
        <v>2204</v>
      </c>
      <c r="C403" s="8">
        <v>232800</v>
      </c>
      <c r="D403" s="8">
        <v>0</v>
      </c>
      <c r="E403" s="50">
        <f t="shared" si="7"/>
        <v>895698</v>
      </c>
      <c r="F403" t="s">
        <v>137</v>
      </c>
      <c r="G403" t="s">
        <v>138</v>
      </c>
      <c r="H403" s="168" t="s">
        <v>3036</v>
      </c>
    </row>
    <row r="404" spans="1:9">
      <c r="A404" s="3">
        <v>44448</v>
      </c>
      <c r="B404" t="s">
        <v>2205</v>
      </c>
      <c r="C404" s="8">
        <v>82500</v>
      </c>
      <c r="D404" s="8">
        <v>0</v>
      </c>
      <c r="E404" s="50">
        <f t="shared" si="7"/>
        <v>813198</v>
      </c>
      <c r="F404" t="s">
        <v>137</v>
      </c>
      <c r="G404" t="s">
        <v>138</v>
      </c>
      <c r="H404" s="168" t="s">
        <v>3036</v>
      </c>
    </row>
    <row r="405" spans="1:9">
      <c r="A405" s="3">
        <v>44448</v>
      </c>
      <c r="B405" t="s">
        <v>2206</v>
      </c>
      <c r="C405" s="8">
        <v>90000</v>
      </c>
      <c r="D405" s="8">
        <v>0</v>
      </c>
      <c r="E405" s="50">
        <f t="shared" si="7"/>
        <v>723198</v>
      </c>
      <c r="F405" t="s">
        <v>248</v>
      </c>
      <c r="G405" t="s">
        <v>391</v>
      </c>
    </row>
    <row r="406" spans="1:9">
      <c r="A406" s="3">
        <v>44448</v>
      </c>
      <c r="B406" t="s">
        <v>2207</v>
      </c>
      <c r="C406" s="8">
        <v>199956</v>
      </c>
      <c r="D406" s="8">
        <v>0</v>
      </c>
      <c r="E406" s="50">
        <f t="shared" si="7"/>
        <v>523242</v>
      </c>
      <c r="F406" s="83" t="s">
        <v>107</v>
      </c>
      <c r="G406" s="14" t="s">
        <v>3699</v>
      </c>
      <c r="H406" s="14" t="s">
        <v>3405</v>
      </c>
      <c r="I406" t="s">
        <v>3700</v>
      </c>
    </row>
    <row r="407" spans="1:9">
      <c r="A407" s="3">
        <v>44448</v>
      </c>
      <c r="B407" t="s">
        <v>2208</v>
      </c>
      <c r="C407" s="8">
        <v>175000</v>
      </c>
      <c r="D407" s="8">
        <v>0</v>
      </c>
      <c r="E407" s="50">
        <f t="shared" si="7"/>
        <v>348242</v>
      </c>
      <c r="F407" t="s">
        <v>319</v>
      </c>
      <c r="G407" t="s">
        <v>454</v>
      </c>
    </row>
    <row r="408" spans="1:9">
      <c r="A408" s="3">
        <v>44448</v>
      </c>
      <c r="B408" t="s">
        <v>2209</v>
      </c>
      <c r="C408" s="8">
        <v>273000</v>
      </c>
      <c r="D408" s="8">
        <v>0</v>
      </c>
      <c r="E408" s="50">
        <f t="shared" si="7"/>
        <v>75242</v>
      </c>
      <c r="F408" t="s">
        <v>137</v>
      </c>
      <c r="G408" t="s">
        <v>138</v>
      </c>
      <c r="H408" t="s">
        <v>3042</v>
      </c>
    </row>
    <row r="409" spans="1:9">
      <c r="A409" s="3">
        <v>44449</v>
      </c>
      <c r="B409" s="7" t="s">
        <v>24</v>
      </c>
      <c r="D409" s="8">
        <v>2924758</v>
      </c>
      <c r="E409" s="50">
        <f t="shared" si="7"/>
        <v>3000000</v>
      </c>
      <c r="F409" s="14" t="s">
        <v>107</v>
      </c>
      <c r="G409" s="14" t="s">
        <v>129</v>
      </c>
    </row>
    <row r="410" spans="1:9">
      <c r="A410" s="3">
        <v>44455</v>
      </c>
      <c r="B410" t="s">
        <v>2210</v>
      </c>
      <c r="C410" s="8">
        <v>110000</v>
      </c>
      <c r="D410" s="8">
        <v>0</v>
      </c>
      <c r="E410" s="50">
        <f t="shared" si="7"/>
        <v>2890000</v>
      </c>
      <c r="F410" t="s">
        <v>248</v>
      </c>
      <c r="G410" t="s">
        <v>391</v>
      </c>
    </row>
    <row r="411" spans="1:9">
      <c r="A411" s="3">
        <v>44455</v>
      </c>
      <c r="B411" t="s">
        <v>2211</v>
      </c>
      <c r="C411" s="8">
        <v>500000</v>
      </c>
      <c r="D411" s="8">
        <v>0</v>
      </c>
      <c r="E411" s="50">
        <f t="shared" si="7"/>
        <v>2390000</v>
      </c>
      <c r="F411" t="s">
        <v>319</v>
      </c>
      <c r="G411" t="s">
        <v>117</v>
      </c>
    </row>
    <row r="412" spans="1:9">
      <c r="A412" s="3">
        <v>44455</v>
      </c>
      <c r="B412" t="s">
        <v>2212</v>
      </c>
      <c r="C412" s="8">
        <v>275500</v>
      </c>
      <c r="D412" s="8">
        <v>0</v>
      </c>
      <c r="E412" s="50">
        <f t="shared" si="7"/>
        <v>2114500</v>
      </c>
      <c r="F412" t="s">
        <v>319</v>
      </c>
      <c r="G412" t="s">
        <v>117</v>
      </c>
    </row>
    <row r="413" spans="1:9">
      <c r="A413" s="3">
        <v>44455</v>
      </c>
      <c r="B413" t="s">
        <v>2213</v>
      </c>
      <c r="C413" s="8">
        <v>343700</v>
      </c>
      <c r="D413" s="8">
        <v>0</v>
      </c>
      <c r="E413" s="50">
        <f t="shared" si="7"/>
        <v>1770800</v>
      </c>
      <c r="F413" t="s">
        <v>137</v>
      </c>
      <c r="G413" t="s">
        <v>138</v>
      </c>
      <c r="H413" t="s">
        <v>3037</v>
      </c>
    </row>
    <row r="414" spans="1:9">
      <c r="A414" s="3">
        <v>44455</v>
      </c>
      <c r="B414" t="s">
        <v>2214</v>
      </c>
      <c r="C414" s="8">
        <v>663000</v>
      </c>
      <c r="D414" s="8">
        <v>0</v>
      </c>
      <c r="E414" s="50">
        <f t="shared" si="7"/>
        <v>1107800</v>
      </c>
      <c r="F414" t="s">
        <v>319</v>
      </c>
      <c r="G414" t="s">
        <v>117</v>
      </c>
    </row>
    <row r="415" spans="1:9">
      <c r="A415" s="3">
        <v>44455</v>
      </c>
      <c r="B415" t="s">
        <v>2215</v>
      </c>
      <c r="C415" s="8">
        <v>103700</v>
      </c>
      <c r="D415" s="8">
        <v>0</v>
      </c>
      <c r="E415" s="50">
        <f t="shared" si="7"/>
        <v>1004100</v>
      </c>
      <c r="F415" s="83" t="s">
        <v>107</v>
      </c>
      <c r="G415" s="14" t="s">
        <v>3699</v>
      </c>
      <c r="H415" s="14" t="s">
        <v>3405</v>
      </c>
      <c r="I415" t="s">
        <v>3680</v>
      </c>
    </row>
    <row r="416" spans="1:9">
      <c r="A416" s="3">
        <v>44455</v>
      </c>
      <c r="B416" t="s">
        <v>2216</v>
      </c>
      <c r="C416" s="8">
        <v>300000</v>
      </c>
      <c r="D416" s="8">
        <v>0</v>
      </c>
      <c r="E416" s="50">
        <f t="shared" si="7"/>
        <v>704100</v>
      </c>
      <c r="F416" t="s">
        <v>137</v>
      </c>
      <c r="G416" t="s">
        <v>138</v>
      </c>
      <c r="H416" s="168" t="s">
        <v>3036</v>
      </c>
    </row>
    <row r="417" spans="1:8">
      <c r="A417" s="3">
        <v>44455</v>
      </c>
      <c r="B417" t="s">
        <v>2217</v>
      </c>
      <c r="C417" s="8">
        <v>150000</v>
      </c>
      <c r="D417" s="8">
        <v>0</v>
      </c>
      <c r="E417" s="50">
        <f t="shared" si="7"/>
        <v>554100</v>
      </c>
      <c r="F417" t="s">
        <v>137</v>
      </c>
      <c r="G417" t="s">
        <v>138</v>
      </c>
      <c r="H417" s="168" t="s">
        <v>3036</v>
      </c>
    </row>
    <row r="418" spans="1:8">
      <c r="A418" s="3">
        <v>44455</v>
      </c>
      <c r="B418" t="s">
        <v>2218</v>
      </c>
      <c r="C418" s="8">
        <v>300000</v>
      </c>
      <c r="D418" s="8">
        <v>0</v>
      </c>
      <c r="E418" s="50">
        <f t="shared" si="7"/>
        <v>254100</v>
      </c>
      <c r="F418" t="s">
        <v>319</v>
      </c>
      <c r="G418" t="s">
        <v>117</v>
      </c>
    </row>
    <row r="419" spans="1:8">
      <c r="A419" s="3">
        <v>44455</v>
      </c>
      <c r="B419" t="s">
        <v>2219</v>
      </c>
      <c r="C419" s="8">
        <v>250000</v>
      </c>
      <c r="D419" s="8">
        <v>0</v>
      </c>
      <c r="E419" s="50">
        <f t="shared" si="7"/>
        <v>4100</v>
      </c>
      <c r="F419" t="s">
        <v>319</v>
      </c>
      <c r="G419" t="s">
        <v>648</v>
      </c>
    </row>
    <row r="420" spans="1:8">
      <c r="A420" s="3">
        <v>44459</v>
      </c>
      <c r="B420" s="7" t="s">
        <v>24</v>
      </c>
      <c r="D420" s="8">
        <v>2995900</v>
      </c>
      <c r="E420" s="50">
        <f t="shared" si="7"/>
        <v>3000000</v>
      </c>
      <c r="F420" s="14" t="s">
        <v>107</v>
      </c>
      <c r="G420" s="14" t="s">
        <v>129</v>
      </c>
    </row>
    <row r="421" spans="1:8">
      <c r="A421" s="3">
        <v>44470</v>
      </c>
      <c r="B421" t="s">
        <v>2220</v>
      </c>
      <c r="C421" s="8">
        <v>152000</v>
      </c>
      <c r="D421" s="8">
        <v>0</v>
      </c>
      <c r="E421" s="50">
        <f t="shared" si="7"/>
        <v>2848000</v>
      </c>
      <c r="F421" t="s">
        <v>319</v>
      </c>
      <c r="G421" t="s">
        <v>453</v>
      </c>
    </row>
    <row r="422" spans="1:8">
      <c r="A422" s="3">
        <v>44470</v>
      </c>
      <c r="B422" t="s">
        <v>2221</v>
      </c>
      <c r="C422" s="8">
        <v>600000</v>
      </c>
      <c r="D422" s="8">
        <v>0</v>
      </c>
      <c r="E422" s="50">
        <f t="shared" si="7"/>
        <v>2248000</v>
      </c>
      <c r="F422" t="s">
        <v>319</v>
      </c>
      <c r="G422" t="s">
        <v>117</v>
      </c>
    </row>
    <row r="423" spans="1:8">
      <c r="A423" s="3">
        <v>44470</v>
      </c>
      <c r="B423" t="s">
        <v>2222</v>
      </c>
      <c r="C423" s="8">
        <v>182000</v>
      </c>
      <c r="D423" s="8">
        <v>0</v>
      </c>
      <c r="E423" s="50">
        <f t="shared" si="7"/>
        <v>2066000</v>
      </c>
      <c r="F423" t="s">
        <v>319</v>
      </c>
      <c r="G423" t="s">
        <v>117</v>
      </c>
    </row>
    <row r="424" spans="1:8">
      <c r="A424" s="3">
        <v>44470</v>
      </c>
      <c r="B424" t="s">
        <v>2223</v>
      </c>
      <c r="C424" s="8">
        <v>150000</v>
      </c>
      <c r="D424" s="8">
        <v>0</v>
      </c>
      <c r="E424" s="50">
        <f t="shared" si="7"/>
        <v>1916000</v>
      </c>
      <c r="F424" t="s">
        <v>137</v>
      </c>
      <c r="G424" t="s">
        <v>138</v>
      </c>
      <c r="H424" t="s">
        <v>3041</v>
      </c>
    </row>
    <row r="425" spans="1:8">
      <c r="A425" s="3">
        <v>44470</v>
      </c>
      <c r="B425" t="s">
        <v>2224</v>
      </c>
      <c r="C425" s="8">
        <v>325000</v>
      </c>
      <c r="D425" s="8">
        <v>0</v>
      </c>
      <c r="E425" s="50">
        <f t="shared" si="7"/>
        <v>1591000</v>
      </c>
      <c r="F425" t="s">
        <v>736</v>
      </c>
      <c r="G425" s="14" t="s">
        <v>3994</v>
      </c>
    </row>
    <row r="426" spans="1:8">
      <c r="A426" s="3">
        <v>44470</v>
      </c>
      <c r="B426" t="s">
        <v>2225</v>
      </c>
      <c r="C426" s="8">
        <v>150000</v>
      </c>
      <c r="D426" s="8">
        <v>0</v>
      </c>
      <c r="E426" s="50">
        <f t="shared" si="7"/>
        <v>1441000</v>
      </c>
      <c r="F426" t="s">
        <v>248</v>
      </c>
      <c r="G426" t="s">
        <v>391</v>
      </c>
    </row>
    <row r="427" spans="1:8">
      <c r="A427" s="3">
        <v>44470</v>
      </c>
      <c r="B427" t="s">
        <v>2226</v>
      </c>
      <c r="C427" s="8">
        <v>249161</v>
      </c>
      <c r="D427" s="8">
        <v>0</v>
      </c>
      <c r="E427" s="50">
        <f t="shared" si="7"/>
        <v>1191839</v>
      </c>
      <c r="F427" t="s">
        <v>319</v>
      </c>
      <c r="G427" t="s">
        <v>1016</v>
      </c>
    </row>
    <row r="428" spans="1:8">
      <c r="A428" s="3">
        <v>44470</v>
      </c>
      <c r="B428" t="s">
        <v>2227</v>
      </c>
      <c r="C428" s="8">
        <v>42000</v>
      </c>
      <c r="D428" s="8">
        <v>0</v>
      </c>
      <c r="E428" s="50">
        <f t="shared" si="7"/>
        <v>1149839</v>
      </c>
      <c r="F428" t="s">
        <v>248</v>
      </c>
      <c r="G428" t="s">
        <v>407</v>
      </c>
    </row>
    <row r="429" spans="1:8">
      <c r="A429" s="3">
        <v>44470</v>
      </c>
      <c r="B429" t="s">
        <v>2228</v>
      </c>
      <c r="C429" s="8">
        <v>41000</v>
      </c>
      <c r="D429" s="8">
        <v>0</v>
      </c>
      <c r="E429" s="50">
        <f t="shared" si="7"/>
        <v>1108839</v>
      </c>
      <c r="F429" t="s">
        <v>319</v>
      </c>
      <c r="G429" t="s">
        <v>454</v>
      </c>
    </row>
    <row r="430" spans="1:8">
      <c r="A430" s="3">
        <v>44470</v>
      </c>
      <c r="B430" t="s">
        <v>2229</v>
      </c>
      <c r="C430" s="8">
        <v>300000</v>
      </c>
      <c r="D430" s="8">
        <v>0</v>
      </c>
      <c r="E430" s="50">
        <f t="shared" si="7"/>
        <v>808839</v>
      </c>
      <c r="F430" t="s">
        <v>319</v>
      </c>
      <c r="G430" t="s">
        <v>648</v>
      </c>
    </row>
    <row r="431" spans="1:8">
      <c r="A431" s="3">
        <v>44470</v>
      </c>
      <c r="B431" t="s">
        <v>2230</v>
      </c>
      <c r="C431" s="8">
        <v>754900</v>
      </c>
      <c r="D431" s="8">
        <v>0</v>
      </c>
      <c r="E431" s="50">
        <f t="shared" si="7"/>
        <v>53939</v>
      </c>
      <c r="F431" t="s">
        <v>319</v>
      </c>
      <c r="G431" t="s">
        <v>117</v>
      </c>
    </row>
    <row r="432" spans="1:8">
      <c r="A432" s="3">
        <v>44475</v>
      </c>
      <c r="B432" s="7" t="s">
        <v>24</v>
      </c>
      <c r="D432" s="8">
        <v>2946061</v>
      </c>
      <c r="E432" s="50">
        <f t="shared" si="7"/>
        <v>3000000</v>
      </c>
      <c r="F432" s="14" t="s">
        <v>107</v>
      </c>
      <c r="G432" s="14" t="s">
        <v>129</v>
      </c>
    </row>
    <row r="433" spans="1:8">
      <c r="A433" s="3">
        <v>44483</v>
      </c>
      <c r="B433" t="s">
        <v>2231</v>
      </c>
      <c r="C433" s="8">
        <v>98000</v>
      </c>
      <c r="D433" s="8">
        <v>0</v>
      </c>
      <c r="E433" s="50">
        <f t="shared" si="7"/>
        <v>2902000</v>
      </c>
      <c r="F433" t="s">
        <v>137</v>
      </c>
      <c r="G433" t="s">
        <v>138</v>
      </c>
      <c r="H433" s="168" t="s">
        <v>3039</v>
      </c>
    </row>
    <row r="434" spans="1:8">
      <c r="A434" s="3">
        <v>44483</v>
      </c>
      <c r="B434" t="s">
        <v>2232</v>
      </c>
      <c r="C434" s="8">
        <v>202000</v>
      </c>
      <c r="D434" s="8">
        <v>0</v>
      </c>
      <c r="E434" s="50">
        <f t="shared" si="7"/>
        <v>2700000</v>
      </c>
      <c r="F434" t="s">
        <v>319</v>
      </c>
      <c r="G434" t="s">
        <v>453</v>
      </c>
    </row>
    <row r="435" spans="1:8">
      <c r="A435" s="3">
        <v>44483</v>
      </c>
      <c r="B435" t="s">
        <v>2233</v>
      </c>
      <c r="C435" s="8">
        <v>83000</v>
      </c>
      <c r="D435" s="8">
        <v>0</v>
      </c>
      <c r="E435" s="50">
        <f t="shared" si="7"/>
        <v>2617000</v>
      </c>
      <c r="F435" t="s">
        <v>319</v>
      </c>
      <c r="G435" t="s">
        <v>117</v>
      </c>
    </row>
    <row r="436" spans="1:8">
      <c r="A436" s="3">
        <v>44483</v>
      </c>
      <c r="B436" t="s">
        <v>2234</v>
      </c>
      <c r="C436" s="8">
        <v>269204</v>
      </c>
      <c r="D436" s="8">
        <v>0</v>
      </c>
      <c r="E436" s="50">
        <f t="shared" si="7"/>
        <v>2347796</v>
      </c>
      <c r="F436" t="s">
        <v>319</v>
      </c>
      <c r="G436" t="s">
        <v>117</v>
      </c>
    </row>
    <row r="437" spans="1:8">
      <c r="A437" s="3">
        <v>44483</v>
      </c>
      <c r="B437" t="s">
        <v>2235</v>
      </c>
      <c r="C437" s="8">
        <v>300000</v>
      </c>
      <c r="D437" s="8">
        <v>0</v>
      </c>
      <c r="E437" s="50">
        <f t="shared" si="7"/>
        <v>2047796</v>
      </c>
      <c r="F437" t="s">
        <v>319</v>
      </c>
      <c r="G437" t="s">
        <v>117</v>
      </c>
    </row>
    <row r="438" spans="1:8">
      <c r="A438" s="3">
        <v>44483</v>
      </c>
      <c r="B438" t="s">
        <v>2236</v>
      </c>
      <c r="C438" s="8">
        <v>275000</v>
      </c>
      <c r="D438" s="8">
        <v>0</v>
      </c>
      <c r="E438" s="50">
        <f t="shared" si="7"/>
        <v>1772796</v>
      </c>
      <c r="F438" t="s">
        <v>319</v>
      </c>
      <c r="G438" t="s">
        <v>117</v>
      </c>
    </row>
    <row r="439" spans="1:8">
      <c r="A439" s="3">
        <v>44483</v>
      </c>
      <c r="B439" t="s">
        <v>2237</v>
      </c>
      <c r="C439" s="8">
        <v>500000</v>
      </c>
      <c r="D439" s="8">
        <v>0</v>
      </c>
      <c r="E439" s="50">
        <f t="shared" si="7"/>
        <v>1272796</v>
      </c>
      <c r="F439" t="s">
        <v>319</v>
      </c>
      <c r="G439" t="s">
        <v>117</v>
      </c>
    </row>
    <row r="440" spans="1:8">
      <c r="A440" s="3">
        <v>44483</v>
      </c>
      <c r="B440" t="s">
        <v>2238</v>
      </c>
      <c r="C440" s="8">
        <v>285500</v>
      </c>
      <c r="D440" s="8">
        <v>0</v>
      </c>
      <c r="E440" s="50">
        <f t="shared" si="7"/>
        <v>987296</v>
      </c>
      <c r="F440" t="s">
        <v>319</v>
      </c>
      <c r="G440" t="s">
        <v>117</v>
      </c>
    </row>
    <row r="441" spans="1:8">
      <c r="A441" s="3">
        <v>44483</v>
      </c>
      <c r="B441" t="s">
        <v>2239</v>
      </c>
      <c r="C441" s="8">
        <v>403440</v>
      </c>
      <c r="D441" s="8">
        <v>0</v>
      </c>
      <c r="E441" s="50">
        <f t="shared" si="7"/>
        <v>583856</v>
      </c>
      <c r="F441" t="s">
        <v>319</v>
      </c>
      <c r="G441" t="s">
        <v>1016</v>
      </c>
    </row>
    <row r="442" spans="1:8">
      <c r="A442" s="3">
        <v>44483</v>
      </c>
      <c r="B442" t="s">
        <v>2240</v>
      </c>
      <c r="C442" s="8">
        <v>98000</v>
      </c>
      <c r="D442" s="8">
        <v>0</v>
      </c>
      <c r="E442" s="50">
        <f t="shared" si="7"/>
        <v>485856</v>
      </c>
      <c r="F442" t="s">
        <v>137</v>
      </c>
      <c r="G442" t="s">
        <v>138</v>
      </c>
      <c r="H442" t="s">
        <v>2278</v>
      </c>
    </row>
    <row r="443" spans="1:8">
      <c r="A443" s="3">
        <v>44483</v>
      </c>
      <c r="B443" t="s">
        <v>2241</v>
      </c>
      <c r="C443" s="8">
        <v>150000</v>
      </c>
      <c r="D443" s="8">
        <v>0</v>
      </c>
      <c r="E443" s="50">
        <f t="shared" si="7"/>
        <v>335856</v>
      </c>
      <c r="F443" t="s">
        <v>137</v>
      </c>
      <c r="G443" t="s">
        <v>138</v>
      </c>
      <c r="H443" s="168" t="s">
        <v>3039</v>
      </c>
    </row>
    <row r="444" spans="1:8">
      <c r="A444" s="3">
        <v>44483</v>
      </c>
      <c r="B444" t="s">
        <v>2242</v>
      </c>
      <c r="C444" s="8">
        <v>258500</v>
      </c>
      <c r="D444" s="8">
        <v>0</v>
      </c>
      <c r="E444" s="50">
        <f t="shared" si="7"/>
        <v>77356</v>
      </c>
      <c r="F444" t="s">
        <v>248</v>
      </c>
      <c r="G444" t="s">
        <v>407</v>
      </c>
    </row>
    <row r="445" spans="1:8">
      <c r="A445" s="3">
        <v>44483</v>
      </c>
      <c r="B445" t="s">
        <v>2243</v>
      </c>
      <c r="C445" s="8">
        <v>66000</v>
      </c>
      <c r="D445" s="8">
        <v>0</v>
      </c>
      <c r="E445" s="50">
        <f t="shared" si="7"/>
        <v>11356</v>
      </c>
      <c r="F445" t="s">
        <v>319</v>
      </c>
      <c r="G445" t="s">
        <v>454</v>
      </c>
    </row>
    <row r="446" spans="1:8">
      <c r="A446" s="3">
        <v>44487</v>
      </c>
      <c r="B446" s="7" t="s">
        <v>2604</v>
      </c>
      <c r="D446" s="8">
        <v>2988644</v>
      </c>
      <c r="E446" s="50">
        <f t="shared" si="7"/>
        <v>3000000</v>
      </c>
      <c r="F446" s="14" t="s">
        <v>107</v>
      </c>
      <c r="G446" s="14" t="s">
        <v>129</v>
      </c>
    </row>
    <row r="447" spans="1:8">
      <c r="A447" s="3">
        <v>44497</v>
      </c>
      <c r="B447" t="s">
        <v>2244</v>
      </c>
      <c r="C447" s="8">
        <v>247500</v>
      </c>
      <c r="D447" s="8">
        <v>0</v>
      </c>
      <c r="E447" s="50">
        <f t="shared" si="7"/>
        <v>2752500</v>
      </c>
      <c r="F447" t="s">
        <v>319</v>
      </c>
      <c r="G447" t="s">
        <v>454</v>
      </c>
    </row>
    <row r="448" spans="1:8">
      <c r="A448" s="3">
        <v>44497</v>
      </c>
      <c r="B448" t="s">
        <v>2245</v>
      </c>
      <c r="C448" s="8">
        <v>250000</v>
      </c>
      <c r="D448" s="8">
        <v>0</v>
      </c>
      <c r="E448" s="50">
        <f t="shared" si="7"/>
        <v>2502500</v>
      </c>
      <c r="F448" t="s">
        <v>319</v>
      </c>
      <c r="G448" t="s">
        <v>648</v>
      </c>
    </row>
    <row r="449" spans="1:8">
      <c r="A449" s="3">
        <v>44497</v>
      </c>
      <c r="B449" t="s">
        <v>2246</v>
      </c>
      <c r="C449" s="8">
        <v>236000</v>
      </c>
      <c r="D449" s="8">
        <v>0</v>
      </c>
      <c r="E449" s="50">
        <f t="shared" si="7"/>
        <v>2266500</v>
      </c>
      <c r="F449" t="s">
        <v>319</v>
      </c>
      <c r="G449" t="s">
        <v>453</v>
      </c>
    </row>
    <row r="450" spans="1:8">
      <c r="A450" s="3">
        <v>44497</v>
      </c>
      <c r="B450" t="s">
        <v>2247</v>
      </c>
      <c r="C450" s="8">
        <v>170000</v>
      </c>
      <c r="D450" s="8">
        <v>0</v>
      </c>
      <c r="E450" s="50">
        <f t="shared" si="7"/>
        <v>2096500</v>
      </c>
      <c r="F450" t="s">
        <v>319</v>
      </c>
      <c r="G450" t="s">
        <v>454</v>
      </c>
    </row>
    <row r="451" spans="1:8">
      <c r="A451" s="3">
        <v>44497</v>
      </c>
      <c r="B451" t="s">
        <v>2248</v>
      </c>
      <c r="C451" s="8">
        <v>56000</v>
      </c>
      <c r="D451" s="8">
        <v>0</v>
      </c>
      <c r="E451" s="50">
        <f t="shared" si="7"/>
        <v>2040500</v>
      </c>
      <c r="F451" t="s">
        <v>319</v>
      </c>
      <c r="G451" t="s">
        <v>454</v>
      </c>
    </row>
    <row r="452" spans="1:8">
      <c r="A452" s="3">
        <v>44497</v>
      </c>
      <c r="B452" t="s">
        <v>2249</v>
      </c>
      <c r="C452" s="8">
        <v>120000</v>
      </c>
      <c r="D452" s="8">
        <v>0</v>
      </c>
      <c r="E452" s="50">
        <f t="shared" si="7"/>
        <v>1920500</v>
      </c>
      <c r="F452" t="s">
        <v>137</v>
      </c>
      <c r="G452" t="s">
        <v>138</v>
      </c>
      <c r="H452" t="s">
        <v>2279</v>
      </c>
    </row>
    <row r="453" spans="1:8">
      <c r="A453" s="3">
        <v>44497</v>
      </c>
      <c r="B453" t="s">
        <v>2250</v>
      </c>
      <c r="C453" s="8">
        <v>24000</v>
      </c>
      <c r="D453" s="8">
        <v>0</v>
      </c>
      <c r="E453" s="50">
        <f t="shared" si="7"/>
        <v>1896500</v>
      </c>
      <c r="F453" t="s">
        <v>736</v>
      </c>
      <c r="G453" s="14" t="s">
        <v>3994</v>
      </c>
    </row>
    <row r="454" spans="1:8">
      <c r="A454" s="3">
        <v>44497</v>
      </c>
      <c r="B454" t="s">
        <v>2251</v>
      </c>
      <c r="C454" s="8">
        <v>20000</v>
      </c>
      <c r="D454" s="8">
        <v>0</v>
      </c>
      <c r="E454" s="50">
        <f t="shared" si="7"/>
        <v>1876500</v>
      </c>
      <c r="F454" t="s">
        <v>137</v>
      </c>
      <c r="G454" t="s">
        <v>138</v>
      </c>
      <c r="H454" s="168" t="s">
        <v>2952</v>
      </c>
    </row>
    <row r="455" spans="1:8">
      <c r="A455" s="3">
        <v>44497</v>
      </c>
      <c r="B455" t="s">
        <v>2252</v>
      </c>
      <c r="C455" s="8">
        <v>45000</v>
      </c>
      <c r="D455" s="8">
        <v>0</v>
      </c>
      <c r="E455" s="50">
        <f t="shared" ref="E455:E518" si="8">E454-C455+D455</f>
        <v>1831500</v>
      </c>
      <c r="F455" t="s">
        <v>319</v>
      </c>
      <c r="G455" t="s">
        <v>453</v>
      </c>
    </row>
    <row r="456" spans="1:8">
      <c r="A456" s="3">
        <v>44497</v>
      </c>
      <c r="B456" t="s">
        <v>2253</v>
      </c>
      <c r="C456" s="8">
        <v>190000</v>
      </c>
      <c r="D456" s="8">
        <v>0</v>
      </c>
      <c r="E456" s="50">
        <f t="shared" si="8"/>
        <v>1641500</v>
      </c>
      <c r="F456" t="s">
        <v>319</v>
      </c>
      <c r="G456" t="s">
        <v>453</v>
      </c>
    </row>
    <row r="457" spans="1:8">
      <c r="A457" s="3">
        <v>44497</v>
      </c>
      <c r="B457" t="s">
        <v>2254</v>
      </c>
      <c r="C457" s="8">
        <v>80000</v>
      </c>
      <c r="D457" s="8">
        <v>0</v>
      </c>
      <c r="E457" s="50">
        <f t="shared" si="8"/>
        <v>1561500</v>
      </c>
      <c r="F457" t="s">
        <v>319</v>
      </c>
      <c r="G457" t="s">
        <v>453</v>
      </c>
    </row>
    <row r="458" spans="1:8">
      <c r="A458" s="3">
        <v>44497</v>
      </c>
      <c r="B458" t="s">
        <v>2255</v>
      </c>
      <c r="C458" s="8">
        <v>40000</v>
      </c>
      <c r="D458" s="8">
        <v>0</v>
      </c>
      <c r="E458" s="50">
        <f t="shared" si="8"/>
        <v>1521500</v>
      </c>
      <c r="F458" t="s">
        <v>248</v>
      </c>
      <c r="G458" t="s">
        <v>407</v>
      </c>
    </row>
    <row r="459" spans="1:8">
      <c r="A459" s="3">
        <v>44497</v>
      </c>
      <c r="B459" t="s">
        <v>2256</v>
      </c>
      <c r="C459" s="8">
        <v>128000</v>
      </c>
      <c r="D459" s="8">
        <v>0</v>
      </c>
      <c r="E459" s="50">
        <f t="shared" si="8"/>
        <v>1393500</v>
      </c>
      <c r="F459" t="s">
        <v>137</v>
      </c>
      <c r="G459" t="s">
        <v>138</v>
      </c>
      <c r="H459" t="s">
        <v>2279</v>
      </c>
    </row>
    <row r="460" spans="1:8">
      <c r="A460" s="3">
        <v>44497</v>
      </c>
      <c r="B460" t="s">
        <v>2257</v>
      </c>
      <c r="C460" s="8">
        <v>103000</v>
      </c>
      <c r="D460" s="8">
        <v>0</v>
      </c>
      <c r="E460" s="50">
        <f t="shared" si="8"/>
        <v>1290500</v>
      </c>
      <c r="F460" t="s">
        <v>248</v>
      </c>
      <c r="G460" t="s">
        <v>407</v>
      </c>
    </row>
    <row r="461" spans="1:8">
      <c r="A461" s="3">
        <v>44497</v>
      </c>
      <c r="B461" t="s">
        <v>2258</v>
      </c>
      <c r="C461" s="8">
        <v>443000</v>
      </c>
      <c r="D461" s="8">
        <v>0</v>
      </c>
      <c r="E461" s="50">
        <f t="shared" si="8"/>
        <v>847500</v>
      </c>
      <c r="F461" t="s">
        <v>319</v>
      </c>
      <c r="G461" t="s">
        <v>117</v>
      </c>
    </row>
    <row r="462" spans="1:8">
      <c r="A462" s="3">
        <v>44497</v>
      </c>
      <c r="B462" t="s">
        <v>2259</v>
      </c>
      <c r="C462" s="8">
        <v>36000</v>
      </c>
      <c r="D462" s="8">
        <v>0</v>
      </c>
      <c r="E462" s="50">
        <f t="shared" si="8"/>
        <v>811500</v>
      </c>
      <c r="F462" t="s">
        <v>137</v>
      </c>
      <c r="G462" t="s">
        <v>138</v>
      </c>
      <c r="H462" t="s">
        <v>2279</v>
      </c>
    </row>
    <row r="463" spans="1:8">
      <c r="A463" s="3">
        <v>44497</v>
      </c>
      <c r="B463" t="s">
        <v>2260</v>
      </c>
      <c r="C463" s="8">
        <v>200000</v>
      </c>
      <c r="D463" s="8">
        <v>0</v>
      </c>
      <c r="E463" s="50">
        <f t="shared" si="8"/>
        <v>611500</v>
      </c>
      <c r="F463" t="s">
        <v>319</v>
      </c>
      <c r="G463" t="s">
        <v>454</v>
      </c>
    </row>
    <row r="464" spans="1:8">
      <c r="A464" s="3">
        <v>44497</v>
      </c>
      <c r="B464" t="s">
        <v>2261</v>
      </c>
      <c r="C464" s="8">
        <v>155000</v>
      </c>
      <c r="D464" s="8">
        <v>0</v>
      </c>
      <c r="E464" s="50">
        <f t="shared" si="8"/>
        <v>456500</v>
      </c>
      <c r="F464" t="s">
        <v>248</v>
      </c>
      <c r="G464" t="s">
        <v>391</v>
      </c>
    </row>
    <row r="465" spans="1:8">
      <c r="A465" s="3">
        <v>44497</v>
      </c>
      <c r="B465" t="s">
        <v>2262</v>
      </c>
      <c r="C465" s="8">
        <v>382500</v>
      </c>
      <c r="D465" s="8">
        <v>0</v>
      </c>
      <c r="E465" s="50">
        <f t="shared" si="8"/>
        <v>74000</v>
      </c>
      <c r="F465" t="s">
        <v>319</v>
      </c>
      <c r="G465" t="s">
        <v>117</v>
      </c>
    </row>
    <row r="466" spans="1:8">
      <c r="A466" s="3">
        <v>44497</v>
      </c>
      <c r="B466" t="s">
        <v>2263</v>
      </c>
      <c r="C466" s="8">
        <v>60000</v>
      </c>
      <c r="D466" s="8">
        <v>0</v>
      </c>
      <c r="E466" s="50">
        <f t="shared" si="8"/>
        <v>14000</v>
      </c>
      <c r="F466" t="s">
        <v>319</v>
      </c>
      <c r="G466" t="s">
        <v>117</v>
      </c>
    </row>
    <row r="467" spans="1:8">
      <c r="A467" s="3">
        <v>44498</v>
      </c>
      <c r="B467" s="7" t="s">
        <v>24</v>
      </c>
      <c r="D467" s="8">
        <v>2986000</v>
      </c>
      <c r="E467" s="50">
        <f t="shared" si="8"/>
        <v>3000000</v>
      </c>
      <c r="F467" s="14" t="s">
        <v>107</v>
      </c>
      <c r="G467" s="14" t="s">
        <v>129</v>
      </c>
    </row>
    <row r="468" spans="1:8">
      <c r="A468" s="3">
        <v>44509</v>
      </c>
      <c r="B468" t="s">
        <v>2264</v>
      </c>
      <c r="C468" s="8">
        <v>30000</v>
      </c>
      <c r="D468" s="8">
        <v>0</v>
      </c>
      <c r="E468" s="50">
        <f t="shared" si="8"/>
        <v>2970000</v>
      </c>
      <c r="F468" t="s">
        <v>137</v>
      </c>
      <c r="G468" t="s">
        <v>138</v>
      </c>
      <c r="H468" t="s">
        <v>2279</v>
      </c>
    </row>
    <row r="469" spans="1:8">
      <c r="A469" s="3">
        <v>44509</v>
      </c>
      <c r="B469" t="s">
        <v>2265</v>
      </c>
      <c r="C469" s="8">
        <v>814000</v>
      </c>
      <c r="D469" s="8">
        <v>0</v>
      </c>
      <c r="E469" s="50">
        <f t="shared" si="8"/>
        <v>2156000</v>
      </c>
      <c r="F469" t="s">
        <v>319</v>
      </c>
      <c r="G469" t="s">
        <v>117</v>
      </c>
    </row>
    <row r="470" spans="1:8">
      <c r="A470" s="3">
        <v>44509</v>
      </c>
      <c r="B470" t="s">
        <v>2266</v>
      </c>
      <c r="C470" s="8">
        <v>100000</v>
      </c>
      <c r="D470" s="8">
        <v>0</v>
      </c>
      <c r="E470" s="50">
        <f t="shared" si="8"/>
        <v>2056000</v>
      </c>
      <c r="F470" t="s">
        <v>137</v>
      </c>
      <c r="G470" t="s">
        <v>138</v>
      </c>
      <c r="H470" s="168" t="s">
        <v>3025</v>
      </c>
    </row>
    <row r="471" spans="1:8">
      <c r="A471" s="3">
        <v>44509</v>
      </c>
      <c r="B471" t="s">
        <v>2267</v>
      </c>
      <c r="C471" s="8">
        <v>300000</v>
      </c>
      <c r="D471" s="8">
        <v>0</v>
      </c>
      <c r="E471" s="50">
        <f t="shared" si="8"/>
        <v>1756000</v>
      </c>
      <c r="F471" t="s">
        <v>319</v>
      </c>
      <c r="G471" t="s">
        <v>117</v>
      </c>
    </row>
    <row r="472" spans="1:8">
      <c r="A472" s="3">
        <v>44509</v>
      </c>
      <c r="B472" t="s">
        <v>2268</v>
      </c>
      <c r="C472" s="8">
        <v>500000</v>
      </c>
      <c r="D472" s="8">
        <v>0</v>
      </c>
      <c r="E472" s="50">
        <f t="shared" si="8"/>
        <v>1256000</v>
      </c>
      <c r="F472" t="s">
        <v>319</v>
      </c>
      <c r="G472" t="s">
        <v>117</v>
      </c>
    </row>
    <row r="473" spans="1:8">
      <c r="A473" s="3">
        <v>44509</v>
      </c>
      <c r="B473" t="s">
        <v>2269</v>
      </c>
      <c r="C473" s="8">
        <v>421000</v>
      </c>
      <c r="D473" s="8">
        <v>0</v>
      </c>
      <c r="E473" s="50">
        <f t="shared" si="8"/>
        <v>835000</v>
      </c>
      <c r="F473" t="s">
        <v>319</v>
      </c>
      <c r="G473" t="s">
        <v>117</v>
      </c>
    </row>
    <row r="474" spans="1:8">
      <c r="A474" s="3">
        <v>44509</v>
      </c>
      <c r="B474" t="s">
        <v>2270</v>
      </c>
      <c r="C474" s="8">
        <v>85900</v>
      </c>
      <c r="D474" s="8">
        <v>0</v>
      </c>
      <c r="E474" s="50">
        <f t="shared" si="8"/>
        <v>749100</v>
      </c>
      <c r="F474" t="s">
        <v>137</v>
      </c>
      <c r="G474" t="s">
        <v>138</v>
      </c>
      <c r="H474" s="168" t="s">
        <v>3036</v>
      </c>
    </row>
    <row r="475" spans="1:8">
      <c r="A475" s="3">
        <v>44509</v>
      </c>
      <c r="B475" t="s">
        <v>2271</v>
      </c>
      <c r="C475" s="8">
        <v>150000</v>
      </c>
      <c r="D475" s="8">
        <v>0</v>
      </c>
      <c r="E475" s="50">
        <f t="shared" si="8"/>
        <v>599100</v>
      </c>
      <c r="F475" t="s">
        <v>137</v>
      </c>
      <c r="G475" t="s">
        <v>138</v>
      </c>
      <c r="H475" t="s">
        <v>2279</v>
      </c>
    </row>
    <row r="476" spans="1:8">
      <c r="A476" s="3">
        <v>44509</v>
      </c>
      <c r="B476" t="s">
        <v>2272</v>
      </c>
      <c r="C476" s="8">
        <v>238777</v>
      </c>
      <c r="D476" s="8">
        <v>0</v>
      </c>
      <c r="E476" s="50">
        <f t="shared" si="8"/>
        <v>360323</v>
      </c>
      <c r="F476" t="s">
        <v>319</v>
      </c>
      <c r="G476" t="s">
        <v>1016</v>
      </c>
    </row>
    <row r="477" spans="1:8">
      <c r="A477" s="3">
        <v>44509</v>
      </c>
      <c r="B477" t="s">
        <v>2273</v>
      </c>
      <c r="C477" s="8">
        <v>199940</v>
      </c>
      <c r="D477" s="8">
        <v>0</v>
      </c>
      <c r="E477" s="50">
        <f t="shared" si="8"/>
        <v>160383</v>
      </c>
      <c r="F477" t="s">
        <v>319</v>
      </c>
      <c r="G477" t="s">
        <v>1016</v>
      </c>
    </row>
    <row r="478" spans="1:8">
      <c r="A478" s="3">
        <v>44509</v>
      </c>
      <c r="B478" t="s">
        <v>2274</v>
      </c>
      <c r="C478" s="8">
        <v>95000</v>
      </c>
      <c r="D478" s="8">
        <v>0</v>
      </c>
      <c r="E478" s="50">
        <f t="shared" si="8"/>
        <v>65383</v>
      </c>
      <c r="F478" t="s">
        <v>248</v>
      </c>
      <c r="G478" t="s">
        <v>391</v>
      </c>
    </row>
    <row r="479" spans="1:8">
      <c r="A479" s="3">
        <v>44516</v>
      </c>
      <c r="B479" t="s">
        <v>24</v>
      </c>
      <c r="C479" s="8">
        <v>0</v>
      </c>
      <c r="D479" s="8">
        <v>2934617</v>
      </c>
      <c r="E479" s="50">
        <f t="shared" si="8"/>
        <v>3000000</v>
      </c>
      <c r="F479" t="s">
        <v>107</v>
      </c>
      <c r="G479" t="s">
        <v>129</v>
      </c>
    </row>
    <row r="480" spans="1:8">
      <c r="A480" s="3">
        <v>44532</v>
      </c>
      <c r="B480" t="s">
        <v>3074</v>
      </c>
      <c r="C480" s="8">
        <v>500000</v>
      </c>
      <c r="D480" s="8">
        <v>0</v>
      </c>
      <c r="E480" s="50">
        <f t="shared" si="8"/>
        <v>2500000</v>
      </c>
      <c r="F480" t="s">
        <v>319</v>
      </c>
      <c r="G480" t="s">
        <v>648</v>
      </c>
    </row>
    <row r="481" spans="1:8">
      <c r="A481" s="3">
        <v>44532</v>
      </c>
      <c r="B481" t="s">
        <v>3075</v>
      </c>
      <c r="C481" s="8">
        <v>22000</v>
      </c>
      <c r="D481" s="8">
        <v>0</v>
      </c>
      <c r="E481" s="50">
        <f t="shared" si="8"/>
        <v>2478000</v>
      </c>
      <c r="F481" t="s">
        <v>319</v>
      </c>
      <c r="G481" t="s">
        <v>117</v>
      </c>
    </row>
    <row r="482" spans="1:8">
      <c r="A482" s="3">
        <v>44532</v>
      </c>
      <c r="B482" t="s">
        <v>3076</v>
      </c>
      <c r="C482" s="8">
        <v>15000</v>
      </c>
      <c r="D482" s="8">
        <v>0</v>
      </c>
      <c r="E482" s="50">
        <f t="shared" si="8"/>
        <v>2463000</v>
      </c>
      <c r="F482" t="s">
        <v>736</v>
      </c>
      <c r="G482" s="14" t="s">
        <v>3994</v>
      </c>
    </row>
    <row r="483" spans="1:8">
      <c r="A483" s="3">
        <v>44532</v>
      </c>
      <c r="B483" t="s">
        <v>3077</v>
      </c>
      <c r="C483" s="8">
        <v>30000</v>
      </c>
      <c r="D483" s="8">
        <v>0</v>
      </c>
      <c r="E483" s="50">
        <f t="shared" si="8"/>
        <v>2433000</v>
      </c>
      <c r="F483" t="s">
        <v>137</v>
      </c>
      <c r="G483" t="s">
        <v>138</v>
      </c>
      <c r="H483" s="168" t="s">
        <v>3025</v>
      </c>
    </row>
    <row r="484" spans="1:8">
      <c r="A484" s="3">
        <v>44532</v>
      </c>
      <c r="B484" t="s">
        <v>3078</v>
      </c>
      <c r="C484" s="8">
        <v>16000</v>
      </c>
      <c r="D484" s="8">
        <v>0</v>
      </c>
      <c r="E484" s="50">
        <f t="shared" si="8"/>
        <v>2417000</v>
      </c>
      <c r="F484" t="s">
        <v>137</v>
      </c>
      <c r="G484" t="s">
        <v>138</v>
      </c>
      <c r="H484" t="s">
        <v>2279</v>
      </c>
    </row>
    <row r="485" spans="1:8">
      <c r="A485" s="3">
        <v>44532</v>
      </c>
      <c r="B485" t="s">
        <v>3079</v>
      </c>
      <c r="C485" s="8">
        <v>17500</v>
      </c>
      <c r="D485" s="8">
        <v>0</v>
      </c>
      <c r="E485" s="50">
        <f t="shared" si="8"/>
        <v>2399500</v>
      </c>
      <c r="F485" t="s">
        <v>319</v>
      </c>
      <c r="G485" t="s">
        <v>453</v>
      </c>
    </row>
    <row r="486" spans="1:8">
      <c r="A486" s="3">
        <v>44532</v>
      </c>
      <c r="B486" t="s">
        <v>3080</v>
      </c>
      <c r="C486" s="8">
        <v>45000</v>
      </c>
      <c r="D486" s="8">
        <v>0</v>
      </c>
      <c r="E486" s="50">
        <f t="shared" si="8"/>
        <v>2354500</v>
      </c>
      <c r="F486" t="s">
        <v>319</v>
      </c>
      <c r="G486" t="s">
        <v>453</v>
      </c>
    </row>
    <row r="487" spans="1:8">
      <c r="A487" s="3">
        <v>44532</v>
      </c>
      <c r="B487" t="s">
        <v>3081</v>
      </c>
      <c r="C487" s="8">
        <v>15000</v>
      </c>
      <c r="D487" s="8">
        <v>0</v>
      </c>
      <c r="E487" s="50">
        <f t="shared" si="8"/>
        <v>2339500</v>
      </c>
      <c r="F487" t="s">
        <v>319</v>
      </c>
      <c r="G487" t="s">
        <v>453</v>
      </c>
    </row>
    <row r="488" spans="1:8">
      <c r="A488" s="3">
        <v>44532</v>
      </c>
      <c r="B488" t="s">
        <v>3082</v>
      </c>
      <c r="C488" s="8">
        <v>40000</v>
      </c>
      <c r="D488" s="8">
        <v>0</v>
      </c>
      <c r="E488" s="50">
        <f t="shared" si="8"/>
        <v>2299500</v>
      </c>
      <c r="F488" t="s">
        <v>319</v>
      </c>
      <c r="G488" t="s">
        <v>453</v>
      </c>
    </row>
    <row r="489" spans="1:8">
      <c r="A489" s="3">
        <v>44532</v>
      </c>
      <c r="B489" t="s">
        <v>3083</v>
      </c>
      <c r="C489" s="8">
        <v>171000</v>
      </c>
      <c r="D489" s="8">
        <v>0</v>
      </c>
      <c r="E489" s="50">
        <f t="shared" si="8"/>
        <v>2128500</v>
      </c>
      <c r="F489" t="s">
        <v>319</v>
      </c>
      <c r="G489" t="s">
        <v>453</v>
      </c>
    </row>
    <row r="490" spans="1:8">
      <c r="A490" s="3">
        <v>44532</v>
      </c>
      <c r="B490" t="s">
        <v>3084</v>
      </c>
      <c r="C490" s="8">
        <v>101000</v>
      </c>
      <c r="D490" s="8">
        <v>0</v>
      </c>
      <c r="E490" s="50">
        <f t="shared" si="8"/>
        <v>2027500</v>
      </c>
      <c r="F490" t="s">
        <v>319</v>
      </c>
      <c r="G490" t="s">
        <v>117</v>
      </c>
    </row>
    <row r="491" spans="1:8">
      <c r="A491" s="3">
        <v>44532</v>
      </c>
      <c r="B491" t="s">
        <v>3085</v>
      </c>
      <c r="C491" s="8">
        <v>572500</v>
      </c>
      <c r="D491" s="8">
        <v>0</v>
      </c>
      <c r="E491" s="50">
        <f t="shared" si="8"/>
        <v>1455000</v>
      </c>
      <c r="F491" t="s">
        <v>319</v>
      </c>
      <c r="G491" t="s">
        <v>117</v>
      </c>
    </row>
    <row r="492" spans="1:8">
      <c r="A492" s="3">
        <v>44532</v>
      </c>
      <c r="B492" t="s">
        <v>3086</v>
      </c>
      <c r="C492" s="8">
        <v>437500</v>
      </c>
      <c r="D492" s="8">
        <v>0</v>
      </c>
      <c r="E492" s="50">
        <f t="shared" si="8"/>
        <v>1017500</v>
      </c>
      <c r="F492" t="s">
        <v>319</v>
      </c>
      <c r="G492" t="s">
        <v>453</v>
      </c>
    </row>
    <row r="493" spans="1:8">
      <c r="A493" s="3">
        <v>44532</v>
      </c>
      <c r="B493" t="s">
        <v>3087</v>
      </c>
      <c r="C493" s="8">
        <v>45000</v>
      </c>
      <c r="D493" s="8">
        <v>0</v>
      </c>
      <c r="E493" s="50">
        <f t="shared" si="8"/>
        <v>972500</v>
      </c>
      <c r="F493" t="s">
        <v>319</v>
      </c>
      <c r="G493" t="s">
        <v>453</v>
      </c>
    </row>
    <row r="494" spans="1:8">
      <c r="A494" s="3">
        <v>44532</v>
      </c>
      <c r="B494" t="s">
        <v>3088</v>
      </c>
      <c r="C494" s="8">
        <v>114000</v>
      </c>
      <c r="D494" s="8">
        <v>0</v>
      </c>
      <c r="E494" s="50">
        <f t="shared" si="8"/>
        <v>858500</v>
      </c>
      <c r="F494" t="s">
        <v>319</v>
      </c>
      <c r="G494" t="s">
        <v>453</v>
      </c>
    </row>
    <row r="495" spans="1:8">
      <c r="A495" s="3">
        <v>44532</v>
      </c>
      <c r="B495" t="s">
        <v>3089</v>
      </c>
      <c r="C495" s="8">
        <v>96000</v>
      </c>
      <c r="D495" s="8">
        <v>0</v>
      </c>
      <c r="E495" s="50">
        <f t="shared" si="8"/>
        <v>762500</v>
      </c>
      <c r="F495" t="s">
        <v>319</v>
      </c>
      <c r="G495" t="s">
        <v>453</v>
      </c>
    </row>
    <row r="496" spans="1:8">
      <c r="A496" s="3">
        <v>44532</v>
      </c>
      <c r="B496" t="s">
        <v>3090</v>
      </c>
      <c r="C496" s="8">
        <v>13000</v>
      </c>
      <c r="D496" s="8">
        <v>0</v>
      </c>
      <c r="E496" s="50">
        <f t="shared" si="8"/>
        <v>749500</v>
      </c>
      <c r="F496" t="s">
        <v>137</v>
      </c>
      <c r="G496" t="s">
        <v>138</v>
      </c>
      <c r="H496" s="168" t="s">
        <v>3021</v>
      </c>
    </row>
    <row r="497" spans="1:8">
      <c r="A497" s="3">
        <v>44532</v>
      </c>
      <c r="B497" t="s">
        <v>3091</v>
      </c>
      <c r="C497" s="8">
        <v>50000</v>
      </c>
      <c r="D497" s="8">
        <v>0</v>
      </c>
      <c r="E497" s="50">
        <f t="shared" si="8"/>
        <v>699500</v>
      </c>
      <c r="F497" t="s">
        <v>319</v>
      </c>
      <c r="G497" t="s">
        <v>453</v>
      </c>
    </row>
    <row r="498" spans="1:8">
      <c r="A498" s="3">
        <v>44532</v>
      </c>
      <c r="B498" t="s">
        <v>3092</v>
      </c>
      <c r="C498" s="8">
        <v>30000</v>
      </c>
      <c r="D498" s="8">
        <v>0</v>
      </c>
      <c r="E498" s="50">
        <f t="shared" si="8"/>
        <v>669500</v>
      </c>
      <c r="F498" t="s">
        <v>319</v>
      </c>
      <c r="G498" t="s">
        <v>453</v>
      </c>
    </row>
    <row r="499" spans="1:8">
      <c r="A499" s="3">
        <v>44532</v>
      </c>
      <c r="B499" t="s">
        <v>3093</v>
      </c>
      <c r="C499" s="8">
        <v>60000</v>
      </c>
      <c r="D499" s="8">
        <v>0</v>
      </c>
      <c r="E499" s="50">
        <f t="shared" si="8"/>
        <v>609500</v>
      </c>
      <c r="F499" t="s">
        <v>248</v>
      </c>
      <c r="G499" t="s">
        <v>407</v>
      </c>
    </row>
    <row r="500" spans="1:8">
      <c r="A500" s="3">
        <v>44532</v>
      </c>
      <c r="B500" t="s">
        <v>3094</v>
      </c>
      <c r="C500" s="8">
        <v>49650</v>
      </c>
      <c r="D500" s="8">
        <v>0</v>
      </c>
      <c r="E500" s="50">
        <f t="shared" si="8"/>
        <v>559850</v>
      </c>
      <c r="F500" t="s">
        <v>248</v>
      </c>
      <c r="G500" t="s">
        <v>391</v>
      </c>
    </row>
    <row r="501" spans="1:8">
      <c r="A501" s="3">
        <v>44532</v>
      </c>
      <c r="B501" t="s">
        <v>3095</v>
      </c>
      <c r="C501" s="8">
        <v>21000</v>
      </c>
      <c r="D501" s="8">
        <v>0</v>
      </c>
      <c r="E501" s="50">
        <f t="shared" si="8"/>
        <v>538850</v>
      </c>
      <c r="F501" t="s">
        <v>248</v>
      </c>
      <c r="G501" t="s">
        <v>407</v>
      </c>
    </row>
    <row r="502" spans="1:8">
      <c r="A502" s="3">
        <v>44532</v>
      </c>
      <c r="B502" t="s">
        <v>3096</v>
      </c>
      <c r="C502" s="8">
        <v>109000</v>
      </c>
      <c r="D502" s="8">
        <v>0</v>
      </c>
      <c r="E502" s="50">
        <f t="shared" si="8"/>
        <v>429850</v>
      </c>
      <c r="F502" t="s">
        <v>248</v>
      </c>
      <c r="G502" t="s">
        <v>407</v>
      </c>
    </row>
    <row r="503" spans="1:8">
      <c r="A503" s="3">
        <v>44532</v>
      </c>
      <c r="B503" t="s">
        <v>3097</v>
      </c>
      <c r="C503" s="8">
        <v>50000</v>
      </c>
      <c r="D503" s="8">
        <v>0</v>
      </c>
      <c r="E503" s="50">
        <f t="shared" si="8"/>
        <v>379850</v>
      </c>
      <c r="F503" t="s">
        <v>319</v>
      </c>
      <c r="G503" t="s">
        <v>117</v>
      </c>
    </row>
    <row r="504" spans="1:8">
      <c r="A504" s="3">
        <v>44532</v>
      </c>
      <c r="B504" t="s">
        <v>3098</v>
      </c>
      <c r="C504" s="8">
        <v>310500</v>
      </c>
      <c r="D504" s="8">
        <v>0</v>
      </c>
      <c r="E504" s="50">
        <f t="shared" si="8"/>
        <v>69350</v>
      </c>
      <c r="F504" t="s">
        <v>319</v>
      </c>
      <c r="G504" t="s">
        <v>117</v>
      </c>
    </row>
    <row r="505" spans="1:8">
      <c r="A505" s="3">
        <v>44533</v>
      </c>
      <c r="B505" t="s">
        <v>24</v>
      </c>
      <c r="C505" s="8">
        <v>0</v>
      </c>
      <c r="D505" s="8">
        <v>2930650</v>
      </c>
      <c r="E505" s="50">
        <f t="shared" si="8"/>
        <v>3000000</v>
      </c>
      <c r="F505" t="s">
        <v>107</v>
      </c>
      <c r="G505" t="s">
        <v>129</v>
      </c>
    </row>
    <row r="506" spans="1:8">
      <c r="A506" s="3">
        <v>44544</v>
      </c>
      <c r="B506" t="s">
        <v>4124</v>
      </c>
      <c r="C506" s="8">
        <v>18000</v>
      </c>
      <c r="D506" s="8">
        <v>0</v>
      </c>
      <c r="E506" s="50">
        <f t="shared" si="8"/>
        <v>2982000</v>
      </c>
      <c r="F506" t="s">
        <v>137</v>
      </c>
      <c r="G506" t="s">
        <v>138</v>
      </c>
      <c r="H506" t="s">
        <v>2994</v>
      </c>
    </row>
    <row r="507" spans="1:8">
      <c r="A507" s="3">
        <v>44544</v>
      </c>
      <c r="B507" t="s">
        <v>4125</v>
      </c>
      <c r="C507" s="8">
        <v>250000</v>
      </c>
      <c r="D507" s="8">
        <v>0</v>
      </c>
      <c r="E507" s="50">
        <f t="shared" si="8"/>
        <v>2732000</v>
      </c>
      <c r="F507" t="s">
        <v>319</v>
      </c>
      <c r="G507" t="s">
        <v>648</v>
      </c>
    </row>
    <row r="508" spans="1:8">
      <c r="A508" s="3">
        <v>44544</v>
      </c>
      <c r="B508" t="s">
        <v>4126</v>
      </c>
      <c r="C508" s="8">
        <v>500000</v>
      </c>
      <c r="D508" s="8">
        <v>0</v>
      </c>
      <c r="E508" s="50">
        <f t="shared" si="8"/>
        <v>2232000</v>
      </c>
      <c r="F508" t="s">
        <v>319</v>
      </c>
      <c r="G508" t="s">
        <v>117</v>
      </c>
    </row>
    <row r="509" spans="1:8">
      <c r="A509" s="3">
        <v>44544</v>
      </c>
      <c r="B509" t="s">
        <v>4127</v>
      </c>
      <c r="C509" s="8">
        <v>325000</v>
      </c>
      <c r="D509" s="8">
        <v>0</v>
      </c>
      <c r="E509" s="50">
        <f t="shared" si="8"/>
        <v>1907000</v>
      </c>
      <c r="F509" t="s">
        <v>319</v>
      </c>
      <c r="G509" t="s">
        <v>117</v>
      </c>
    </row>
    <row r="510" spans="1:8">
      <c r="A510" s="3">
        <v>44544</v>
      </c>
      <c r="B510" t="s">
        <v>4128</v>
      </c>
      <c r="C510" s="8">
        <v>300000</v>
      </c>
      <c r="D510" s="8">
        <v>0</v>
      </c>
      <c r="E510" s="50">
        <f t="shared" si="8"/>
        <v>1607000</v>
      </c>
      <c r="F510" t="s">
        <v>319</v>
      </c>
      <c r="G510" t="s">
        <v>117</v>
      </c>
    </row>
    <row r="511" spans="1:8">
      <c r="A511" s="3">
        <v>44544</v>
      </c>
      <c r="B511" t="s">
        <v>4129</v>
      </c>
      <c r="C511" s="8">
        <v>518000</v>
      </c>
      <c r="D511" s="8">
        <v>0</v>
      </c>
      <c r="E511" s="50">
        <f t="shared" si="8"/>
        <v>1089000</v>
      </c>
      <c r="F511" t="s">
        <v>319</v>
      </c>
      <c r="G511" t="s">
        <v>117</v>
      </c>
    </row>
    <row r="512" spans="1:8">
      <c r="A512" s="3">
        <v>44544</v>
      </c>
      <c r="B512" t="s">
        <v>4130</v>
      </c>
      <c r="C512" s="8">
        <v>219000</v>
      </c>
      <c r="D512" s="8">
        <v>0</v>
      </c>
      <c r="E512" s="50">
        <f t="shared" si="8"/>
        <v>870000</v>
      </c>
      <c r="F512" t="s">
        <v>248</v>
      </c>
      <c r="G512" t="s">
        <v>407</v>
      </c>
    </row>
    <row r="513" spans="1:8">
      <c r="A513" s="3">
        <v>44544</v>
      </c>
      <c r="B513" t="s">
        <v>4131</v>
      </c>
      <c r="C513" s="8">
        <v>172500</v>
      </c>
      <c r="D513" s="8">
        <v>0</v>
      </c>
      <c r="E513" s="50">
        <f t="shared" si="8"/>
        <v>697500</v>
      </c>
      <c r="F513" t="s">
        <v>319</v>
      </c>
      <c r="G513" t="s">
        <v>454</v>
      </c>
    </row>
    <row r="514" spans="1:8">
      <c r="A514" s="3">
        <v>44544</v>
      </c>
      <c r="B514" t="s">
        <v>4132</v>
      </c>
      <c r="C514" s="8">
        <v>40000</v>
      </c>
      <c r="D514" s="8">
        <v>0</v>
      </c>
      <c r="E514" s="50">
        <f t="shared" si="8"/>
        <v>657500</v>
      </c>
      <c r="F514" t="s">
        <v>319</v>
      </c>
      <c r="G514" t="s">
        <v>117</v>
      </c>
    </row>
    <row r="515" spans="1:8">
      <c r="A515" s="3">
        <v>44544</v>
      </c>
      <c r="B515" t="s">
        <v>4133</v>
      </c>
      <c r="C515" s="8">
        <v>100000</v>
      </c>
      <c r="D515" s="8">
        <v>0</v>
      </c>
      <c r="E515" s="50">
        <f t="shared" si="8"/>
        <v>557500</v>
      </c>
      <c r="F515" t="s">
        <v>319</v>
      </c>
      <c r="G515" t="s">
        <v>117</v>
      </c>
    </row>
    <row r="516" spans="1:8">
      <c r="A516" s="3">
        <v>44544</v>
      </c>
      <c r="B516" t="s">
        <v>4134</v>
      </c>
      <c r="C516" s="8">
        <v>70600</v>
      </c>
      <c r="D516" s="8">
        <v>0</v>
      </c>
      <c r="E516" s="50">
        <f t="shared" si="8"/>
        <v>486900</v>
      </c>
      <c r="F516" t="s">
        <v>137</v>
      </c>
      <c r="G516" t="s">
        <v>138</v>
      </c>
      <c r="H516" t="s">
        <v>3046</v>
      </c>
    </row>
    <row r="517" spans="1:8">
      <c r="A517" s="3">
        <v>44544</v>
      </c>
      <c r="B517" t="s">
        <v>4135</v>
      </c>
      <c r="C517" s="8">
        <v>476500</v>
      </c>
      <c r="D517" s="8">
        <v>0</v>
      </c>
      <c r="E517" s="50">
        <f t="shared" si="8"/>
        <v>10400</v>
      </c>
      <c r="F517" t="s">
        <v>319</v>
      </c>
      <c r="G517" t="s">
        <v>117</v>
      </c>
    </row>
    <row r="518" spans="1:8">
      <c r="A518" s="3">
        <v>44552</v>
      </c>
      <c r="B518" s="7" t="s">
        <v>24</v>
      </c>
      <c r="C518" s="8">
        <v>0</v>
      </c>
      <c r="D518" s="8">
        <v>2989600</v>
      </c>
      <c r="E518" s="50">
        <f t="shared" si="8"/>
        <v>3000000</v>
      </c>
      <c r="F518" s="83" t="s">
        <v>107</v>
      </c>
      <c r="G518" s="14" t="s">
        <v>129</v>
      </c>
      <c r="H518" s="14"/>
    </row>
    <row r="519" spans="1:8">
      <c r="A519" s="3">
        <v>44559</v>
      </c>
      <c r="B519" s="7" t="s">
        <v>4461</v>
      </c>
      <c r="C519" s="54">
        <v>250000</v>
      </c>
      <c r="D519" s="54"/>
      <c r="E519" s="53">
        <f t="shared" ref="E519:E536" si="9">E518-C519+D519</f>
        <v>2750000</v>
      </c>
      <c r="F519" s="80" t="s">
        <v>319</v>
      </c>
      <c r="G519" s="14" t="s">
        <v>648</v>
      </c>
      <c r="H519" s="14"/>
    </row>
    <row r="520" spans="1:8">
      <c r="A520" s="3">
        <v>44559</v>
      </c>
      <c r="B520" s="7" t="s">
        <v>4462</v>
      </c>
      <c r="C520" s="54">
        <v>80000</v>
      </c>
      <c r="D520" s="54"/>
      <c r="E520" s="53">
        <f t="shared" si="9"/>
        <v>2670000</v>
      </c>
      <c r="F520" s="80" t="s">
        <v>319</v>
      </c>
      <c r="G520" s="14" t="s">
        <v>370</v>
      </c>
      <c r="H520" s="14"/>
    </row>
    <row r="521" spans="1:8">
      <c r="A521" s="3">
        <v>44559</v>
      </c>
      <c r="B521" s="7" t="s">
        <v>4463</v>
      </c>
      <c r="C521" s="54">
        <v>35000</v>
      </c>
      <c r="D521" s="54"/>
      <c r="E521" s="53">
        <f t="shared" si="9"/>
        <v>2635000</v>
      </c>
      <c r="F521" s="80" t="s">
        <v>137</v>
      </c>
      <c r="G521" s="14" t="s">
        <v>138</v>
      </c>
      <c r="H521" s="14" t="s">
        <v>2278</v>
      </c>
    </row>
    <row r="522" spans="1:8">
      <c r="A522" s="3">
        <v>44559</v>
      </c>
      <c r="B522" s="7" t="s">
        <v>4464</v>
      </c>
      <c r="C522" s="54">
        <v>245920</v>
      </c>
      <c r="D522" s="54"/>
      <c r="E522" s="53">
        <f t="shared" si="9"/>
        <v>2389080</v>
      </c>
      <c r="F522" s="80" t="s">
        <v>319</v>
      </c>
      <c r="G522" s="14" t="s">
        <v>1016</v>
      </c>
      <c r="H522" s="14"/>
    </row>
    <row r="523" spans="1:8">
      <c r="A523" s="3">
        <v>44559</v>
      </c>
      <c r="B523" s="7" t="s">
        <v>4465</v>
      </c>
      <c r="C523" s="54">
        <v>199500</v>
      </c>
      <c r="D523" s="54"/>
      <c r="E523" s="53">
        <f t="shared" si="9"/>
        <v>2189580</v>
      </c>
      <c r="F523" s="80" t="s">
        <v>319</v>
      </c>
      <c r="G523" s="14" t="s">
        <v>1016</v>
      </c>
      <c r="H523" s="14"/>
    </row>
    <row r="524" spans="1:8">
      <c r="A524" s="3">
        <v>44559</v>
      </c>
      <c r="B524" s="7" t="s">
        <v>4466</v>
      </c>
      <c r="C524" s="54">
        <v>45000</v>
      </c>
      <c r="D524" s="54"/>
      <c r="E524" s="53">
        <f t="shared" si="9"/>
        <v>2144580</v>
      </c>
      <c r="F524" s="80" t="s">
        <v>319</v>
      </c>
      <c r="G524" s="14" t="s">
        <v>453</v>
      </c>
      <c r="H524" s="14"/>
    </row>
    <row r="525" spans="1:8">
      <c r="A525" s="3">
        <v>44559</v>
      </c>
      <c r="B525" s="7" t="s">
        <v>4467</v>
      </c>
      <c r="C525" s="54">
        <v>152000</v>
      </c>
      <c r="D525" s="54"/>
      <c r="E525" s="53">
        <f t="shared" si="9"/>
        <v>1992580</v>
      </c>
      <c r="F525" s="80" t="s">
        <v>319</v>
      </c>
      <c r="G525" s="14" t="s">
        <v>453</v>
      </c>
      <c r="H525" s="14"/>
    </row>
    <row r="526" spans="1:8">
      <c r="A526" s="3">
        <v>44559</v>
      </c>
      <c r="B526" s="7" t="s">
        <v>4468</v>
      </c>
      <c r="C526" s="54">
        <v>50000</v>
      </c>
      <c r="D526" s="54"/>
      <c r="E526" s="53">
        <f t="shared" si="9"/>
        <v>1942580</v>
      </c>
      <c r="F526" s="80" t="s">
        <v>319</v>
      </c>
      <c r="G526" s="14" t="s">
        <v>453</v>
      </c>
      <c r="H526" s="14"/>
    </row>
    <row r="527" spans="1:8">
      <c r="A527" s="3">
        <v>44559</v>
      </c>
      <c r="B527" s="7" t="s">
        <v>4469</v>
      </c>
      <c r="C527" s="54">
        <v>15000</v>
      </c>
      <c r="D527" s="54"/>
      <c r="E527" s="53">
        <f t="shared" si="9"/>
        <v>1927580</v>
      </c>
      <c r="F527" s="80" t="s">
        <v>319</v>
      </c>
      <c r="G527" s="14" t="s">
        <v>453</v>
      </c>
      <c r="H527" s="14"/>
    </row>
    <row r="528" spans="1:8">
      <c r="A528" s="3">
        <v>44559</v>
      </c>
      <c r="B528" s="7" t="s">
        <v>4470</v>
      </c>
      <c r="C528" s="54">
        <v>25000</v>
      </c>
      <c r="D528" s="54"/>
      <c r="E528" s="53">
        <f t="shared" si="9"/>
        <v>1902580</v>
      </c>
      <c r="F528" s="80" t="s">
        <v>319</v>
      </c>
      <c r="G528" s="14" t="s">
        <v>647</v>
      </c>
      <c r="H528" s="14"/>
    </row>
    <row r="529" spans="1:8">
      <c r="A529" s="3">
        <v>44559</v>
      </c>
      <c r="B529" s="7" t="s">
        <v>4471</v>
      </c>
      <c r="C529" s="54">
        <v>70000</v>
      </c>
      <c r="D529" s="54"/>
      <c r="E529" s="53">
        <f t="shared" si="9"/>
        <v>1832580</v>
      </c>
      <c r="F529" s="80" t="s">
        <v>137</v>
      </c>
      <c r="G529" s="14" t="s">
        <v>138</v>
      </c>
      <c r="H529" s="14" t="s">
        <v>4479</v>
      </c>
    </row>
    <row r="530" spans="1:8">
      <c r="A530" s="3">
        <v>44559</v>
      </c>
      <c r="B530" s="7" t="s">
        <v>4472</v>
      </c>
      <c r="C530" s="54">
        <v>30000</v>
      </c>
      <c r="D530" s="54"/>
      <c r="E530" s="53">
        <f t="shared" si="9"/>
        <v>1802580</v>
      </c>
      <c r="F530" s="80" t="s">
        <v>137</v>
      </c>
      <c r="G530" s="14" t="s">
        <v>138</v>
      </c>
      <c r="H530" s="14" t="s">
        <v>2279</v>
      </c>
    </row>
    <row r="531" spans="1:8">
      <c r="A531" s="3">
        <v>44559</v>
      </c>
      <c r="B531" s="7" t="s">
        <v>4473</v>
      </c>
      <c r="C531" s="54">
        <v>32000</v>
      </c>
      <c r="D531" s="54"/>
      <c r="E531" s="53">
        <f t="shared" si="9"/>
        <v>1770580</v>
      </c>
      <c r="F531" s="80" t="s">
        <v>319</v>
      </c>
      <c r="G531" s="14" t="s">
        <v>117</v>
      </c>
      <c r="H531" s="14"/>
    </row>
    <row r="532" spans="1:8">
      <c r="A532" s="3">
        <v>44559</v>
      </c>
      <c r="B532" s="7" t="s">
        <v>4474</v>
      </c>
      <c r="C532" s="54">
        <v>7000</v>
      </c>
      <c r="D532" s="54"/>
      <c r="E532" s="53">
        <f t="shared" si="9"/>
        <v>1763580</v>
      </c>
      <c r="F532" s="80" t="s">
        <v>319</v>
      </c>
      <c r="G532" s="14" t="s">
        <v>648</v>
      </c>
      <c r="H532" s="14"/>
    </row>
    <row r="533" spans="1:8">
      <c r="A533" s="3">
        <v>44559</v>
      </c>
      <c r="B533" s="7" t="s">
        <v>4475</v>
      </c>
      <c r="C533" s="54">
        <v>480500</v>
      </c>
      <c r="D533" s="54"/>
      <c r="E533" s="53">
        <f t="shared" si="9"/>
        <v>1283080</v>
      </c>
      <c r="F533" s="80" t="s">
        <v>319</v>
      </c>
      <c r="G533" s="14" t="s">
        <v>117</v>
      </c>
      <c r="H533" s="14"/>
    </row>
    <row r="534" spans="1:8">
      <c r="A534" s="3">
        <v>44559</v>
      </c>
      <c r="B534" s="7" t="s">
        <v>4476</v>
      </c>
      <c r="C534" s="54">
        <v>731000</v>
      </c>
      <c r="D534" s="54"/>
      <c r="E534" s="53">
        <f t="shared" si="9"/>
        <v>552080</v>
      </c>
      <c r="F534" s="80" t="s">
        <v>319</v>
      </c>
      <c r="G534" s="14" t="s">
        <v>117</v>
      </c>
      <c r="H534" s="14"/>
    </row>
    <row r="535" spans="1:8">
      <c r="A535" s="3">
        <v>44559</v>
      </c>
      <c r="B535" s="7" t="s">
        <v>4477</v>
      </c>
      <c r="C535" s="54">
        <v>243527</v>
      </c>
      <c r="D535" s="54"/>
      <c r="E535" s="53">
        <f t="shared" si="9"/>
        <v>308553</v>
      </c>
      <c r="F535" s="80" t="s">
        <v>137</v>
      </c>
      <c r="G535" s="14" t="s">
        <v>138</v>
      </c>
      <c r="H535" s="14" t="s">
        <v>1961</v>
      </c>
    </row>
    <row r="536" spans="1:8">
      <c r="A536" s="3">
        <v>44559</v>
      </c>
      <c r="B536" s="7" t="s">
        <v>4478</v>
      </c>
      <c r="C536" s="54">
        <v>243527</v>
      </c>
      <c r="D536" s="54"/>
      <c r="E536" s="53">
        <f t="shared" si="9"/>
        <v>65026</v>
      </c>
      <c r="F536" s="80" t="s">
        <v>137</v>
      </c>
      <c r="G536" s="14" t="s">
        <v>138</v>
      </c>
      <c r="H536" s="14" t="s">
        <v>3031</v>
      </c>
    </row>
    <row r="538" spans="1:8">
      <c r="C538" s="8">
        <f>SUBTOTAL(9,C5:C537)</f>
        <v>101429439</v>
      </c>
      <c r="D538" s="8">
        <f>SUBTOTAL(9,D5:D537)</f>
        <v>101418644</v>
      </c>
    </row>
    <row r="539" spans="1:8">
      <c r="D539" s="8">
        <f>D538-C538</f>
        <v>-10795</v>
      </c>
    </row>
  </sheetData>
  <autoFilter ref="A4:H536" xr:uid="{F9DF7FEE-2EA5-F647-99AE-63CDFAF9150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1613-7414-0D43-B23D-14C1A1A55393}">
  <dimension ref="A1:L2528"/>
  <sheetViews>
    <sheetView topLeftCell="A1208" zoomScale="91" zoomScaleNormal="91" workbookViewId="0">
      <selection activeCell="B2215" sqref="B2215"/>
    </sheetView>
  </sheetViews>
  <sheetFormatPr baseColWidth="10" defaultRowHeight="16"/>
  <cols>
    <col min="1" max="1" width="10.83203125" style="3"/>
    <col min="2" max="2" width="77" customWidth="1"/>
    <col min="3" max="5" width="18" style="8" customWidth="1"/>
    <col min="6" max="6" width="20.83203125" customWidth="1"/>
    <col min="7" max="7" width="31.5" customWidth="1"/>
    <col min="8" max="8" width="46.1640625" customWidth="1"/>
    <col min="9" max="9" width="40.83203125" customWidth="1"/>
  </cols>
  <sheetData>
    <row r="1" spans="1:8">
      <c r="A1" s="6" t="s">
        <v>106</v>
      </c>
    </row>
    <row r="2" spans="1:8">
      <c r="D2" s="8">
        <f>D2323+D2417</f>
        <v>31502715</v>
      </c>
      <c r="E2" s="8" t="s">
        <v>64</v>
      </c>
      <c r="G2" t="s">
        <v>64</v>
      </c>
      <c r="H2" s="168" t="s">
        <v>64</v>
      </c>
    </row>
    <row r="4" spans="1:8">
      <c r="A4" s="4" t="s">
        <v>3</v>
      </c>
      <c r="B4" s="1" t="s">
        <v>4</v>
      </c>
      <c r="C4" s="9"/>
      <c r="D4" s="9"/>
      <c r="E4" s="9">
        <v>0</v>
      </c>
    </row>
    <row r="5" spans="1:8" s="215" customFormat="1">
      <c r="A5" s="217">
        <v>44562</v>
      </c>
      <c r="B5" s="215" t="s">
        <v>5027</v>
      </c>
      <c r="C5" s="216">
        <v>0</v>
      </c>
      <c r="D5" s="216">
        <v>3500000</v>
      </c>
      <c r="E5" s="218">
        <f>E4-C5+D5</f>
        <v>3500000</v>
      </c>
      <c r="F5" s="14" t="s">
        <v>110</v>
      </c>
      <c r="G5" s="14" t="s">
        <v>321</v>
      </c>
      <c r="H5" s="14" t="s">
        <v>64</v>
      </c>
    </row>
    <row r="6" spans="1:8" s="215" customFormat="1">
      <c r="A6" s="217"/>
      <c r="B6" s="215" t="s">
        <v>3371</v>
      </c>
      <c r="C6" s="227">
        <v>3500000</v>
      </c>
      <c r="D6" s="227">
        <v>0</v>
      </c>
      <c r="E6" s="218">
        <f t="shared" ref="E6:E41" si="0">E5-C6+D6</f>
        <v>0</v>
      </c>
      <c r="F6" t="s">
        <v>137</v>
      </c>
      <c r="G6" t="s">
        <v>138</v>
      </c>
      <c r="H6" s="168" t="s">
        <v>4862</v>
      </c>
    </row>
    <row r="7" spans="1:8" s="215" customFormat="1">
      <c r="A7" s="217">
        <v>44562</v>
      </c>
      <c r="B7" s="215" t="s">
        <v>5027</v>
      </c>
      <c r="C7" s="216">
        <v>0</v>
      </c>
      <c r="D7" s="216">
        <v>1001000</v>
      </c>
      <c r="E7" s="218">
        <f t="shared" si="0"/>
        <v>1001000</v>
      </c>
      <c r="F7" s="14" t="s">
        <v>110</v>
      </c>
      <c r="G7" s="14" t="s">
        <v>321</v>
      </c>
      <c r="H7" s="168"/>
    </row>
    <row r="8" spans="1:8" s="215" customFormat="1">
      <c r="A8" s="217"/>
      <c r="B8" s="215" t="s">
        <v>3372</v>
      </c>
      <c r="C8" s="227">
        <v>1001000</v>
      </c>
      <c r="D8" s="227">
        <v>0</v>
      </c>
      <c r="E8" s="218">
        <f t="shared" si="0"/>
        <v>0</v>
      </c>
      <c r="F8" t="s">
        <v>137</v>
      </c>
      <c r="G8" t="s">
        <v>138</v>
      </c>
      <c r="H8" s="168" t="s">
        <v>4862</v>
      </c>
    </row>
    <row r="9" spans="1:8" s="215" customFormat="1">
      <c r="A9" s="217">
        <v>44562</v>
      </c>
      <c r="B9" s="215" t="s">
        <v>5027</v>
      </c>
      <c r="C9" s="216">
        <v>0</v>
      </c>
      <c r="D9" s="216">
        <v>1001000</v>
      </c>
      <c r="E9" s="218">
        <f t="shared" si="0"/>
        <v>1001000</v>
      </c>
      <c r="F9" s="14" t="s">
        <v>110</v>
      </c>
      <c r="G9" s="14" t="s">
        <v>321</v>
      </c>
      <c r="H9" s="168"/>
    </row>
    <row r="10" spans="1:8" s="215" customFormat="1">
      <c r="A10" s="217"/>
      <c r="B10" s="215" t="s">
        <v>3373</v>
      </c>
      <c r="C10" s="227">
        <v>1001000</v>
      </c>
      <c r="D10" s="227">
        <v>0</v>
      </c>
      <c r="E10" s="218">
        <f t="shared" si="0"/>
        <v>0</v>
      </c>
      <c r="F10" t="s">
        <v>137</v>
      </c>
      <c r="G10" t="s">
        <v>138</v>
      </c>
      <c r="H10" s="168" t="s">
        <v>4862</v>
      </c>
    </row>
    <row r="11" spans="1:8" s="215" customFormat="1">
      <c r="A11" s="217">
        <v>44562</v>
      </c>
      <c r="B11" s="215" t="s">
        <v>5027</v>
      </c>
      <c r="C11" s="216">
        <v>0</v>
      </c>
      <c r="D11" s="216">
        <v>1001000</v>
      </c>
      <c r="E11" s="218">
        <f t="shared" si="0"/>
        <v>1001000</v>
      </c>
      <c r="F11" s="14" t="s">
        <v>110</v>
      </c>
      <c r="G11" s="14" t="s">
        <v>321</v>
      </c>
      <c r="H11" s="168"/>
    </row>
    <row r="12" spans="1:8" s="215" customFormat="1">
      <c r="A12" s="217"/>
      <c r="B12" s="215" t="s">
        <v>3374</v>
      </c>
      <c r="C12" s="227">
        <v>1001000</v>
      </c>
      <c r="D12" s="227">
        <v>0</v>
      </c>
      <c r="E12" s="218">
        <f t="shared" si="0"/>
        <v>0</v>
      </c>
      <c r="F12" t="s">
        <v>137</v>
      </c>
      <c r="G12" t="s">
        <v>138</v>
      </c>
      <c r="H12" s="168" t="s">
        <v>4862</v>
      </c>
    </row>
    <row r="13" spans="1:8" s="215" customFormat="1">
      <c r="A13" s="217">
        <v>44562</v>
      </c>
      <c r="B13" s="215" t="s">
        <v>5027</v>
      </c>
      <c r="C13" s="216">
        <v>0</v>
      </c>
      <c r="D13" s="216">
        <v>1001000</v>
      </c>
      <c r="E13" s="218">
        <f t="shared" si="0"/>
        <v>1001000</v>
      </c>
      <c r="F13" s="14" t="s">
        <v>110</v>
      </c>
      <c r="G13" s="14" t="s">
        <v>321</v>
      </c>
      <c r="H13" s="168"/>
    </row>
    <row r="14" spans="1:8" s="215" customFormat="1">
      <c r="A14" s="217"/>
      <c r="B14" s="215" t="s">
        <v>3375</v>
      </c>
      <c r="C14" s="227">
        <v>1001000</v>
      </c>
      <c r="D14" s="227">
        <v>0</v>
      </c>
      <c r="E14" s="218">
        <f t="shared" si="0"/>
        <v>0</v>
      </c>
      <c r="F14" t="s">
        <v>137</v>
      </c>
      <c r="G14" t="s">
        <v>138</v>
      </c>
      <c r="H14" s="168" t="s">
        <v>4862</v>
      </c>
    </row>
    <row r="15" spans="1:8" s="215" customFormat="1">
      <c r="A15" s="217">
        <v>44562</v>
      </c>
      <c r="B15" s="215" t="s">
        <v>5027</v>
      </c>
      <c r="C15" s="216">
        <v>0</v>
      </c>
      <c r="D15" s="216">
        <v>1001000</v>
      </c>
      <c r="E15" s="218">
        <f t="shared" si="0"/>
        <v>1001000</v>
      </c>
      <c r="F15" s="14" t="s">
        <v>110</v>
      </c>
      <c r="G15" s="14" t="s">
        <v>321</v>
      </c>
      <c r="H15" s="168"/>
    </row>
    <row r="16" spans="1:8" s="215" customFormat="1">
      <c r="A16" s="217"/>
      <c r="B16" s="215" t="s">
        <v>3376</v>
      </c>
      <c r="C16" s="227">
        <v>1001000</v>
      </c>
      <c r="D16" s="227">
        <v>0</v>
      </c>
      <c r="E16" s="218">
        <f t="shared" si="0"/>
        <v>0</v>
      </c>
      <c r="F16" t="s">
        <v>137</v>
      </c>
      <c r="G16" t="s">
        <v>138</v>
      </c>
      <c r="H16" s="168" t="s">
        <v>4862</v>
      </c>
    </row>
    <row r="17" spans="1:9" s="215" customFormat="1">
      <c r="A17" s="217">
        <v>44562</v>
      </c>
      <c r="B17" s="215" t="s">
        <v>5027</v>
      </c>
      <c r="C17" s="216">
        <v>0</v>
      </c>
      <c r="D17" s="216">
        <v>1001000</v>
      </c>
      <c r="E17" s="218">
        <f t="shared" si="0"/>
        <v>1001000</v>
      </c>
      <c r="F17" s="14" t="s">
        <v>110</v>
      </c>
      <c r="G17" s="14" t="s">
        <v>321</v>
      </c>
      <c r="H17" s="168"/>
    </row>
    <row r="18" spans="1:9" s="215" customFormat="1">
      <c r="A18" s="217"/>
      <c r="B18" s="215" t="s">
        <v>3377</v>
      </c>
      <c r="C18" s="227">
        <v>1001000</v>
      </c>
      <c r="D18" s="227">
        <v>0</v>
      </c>
      <c r="E18" s="218">
        <f t="shared" si="0"/>
        <v>0</v>
      </c>
      <c r="F18" t="s">
        <v>137</v>
      </c>
      <c r="G18" t="s">
        <v>138</v>
      </c>
      <c r="H18" s="168" t="s">
        <v>4862</v>
      </c>
    </row>
    <row r="19" spans="1:9" s="215" customFormat="1">
      <c r="A19" s="217">
        <v>44562</v>
      </c>
      <c r="B19" s="215" t="s">
        <v>5027</v>
      </c>
      <c r="C19" s="216">
        <v>0</v>
      </c>
      <c r="D19" s="216">
        <v>1001000</v>
      </c>
      <c r="E19" s="218">
        <f t="shared" si="0"/>
        <v>1001000</v>
      </c>
      <c r="F19" s="14" t="s">
        <v>110</v>
      </c>
      <c r="G19" s="14" t="s">
        <v>321</v>
      </c>
      <c r="H19" s="168"/>
    </row>
    <row r="20" spans="1:9" s="215" customFormat="1">
      <c r="A20" s="217"/>
      <c r="B20" s="215" t="s">
        <v>3378</v>
      </c>
      <c r="C20" s="227">
        <v>1001000</v>
      </c>
      <c r="D20" s="227">
        <v>0</v>
      </c>
      <c r="E20" s="218">
        <f t="shared" si="0"/>
        <v>0</v>
      </c>
      <c r="F20" t="s">
        <v>137</v>
      </c>
      <c r="G20" t="s">
        <v>138</v>
      </c>
      <c r="H20" s="168" t="s">
        <v>4862</v>
      </c>
    </row>
    <row r="21" spans="1:9" s="215" customFormat="1">
      <c r="A21" s="217">
        <v>44562</v>
      </c>
      <c r="B21" s="215" t="s">
        <v>5027</v>
      </c>
      <c r="C21" s="216">
        <v>0</v>
      </c>
      <c r="D21" s="216">
        <v>1001000</v>
      </c>
      <c r="E21" s="218">
        <f t="shared" si="0"/>
        <v>1001000</v>
      </c>
      <c r="F21" s="14" t="s">
        <v>110</v>
      </c>
      <c r="G21" s="14" t="s">
        <v>321</v>
      </c>
      <c r="H21" s="168"/>
    </row>
    <row r="22" spans="1:9" s="215" customFormat="1">
      <c r="A22" s="217"/>
      <c r="B22" s="215" t="s">
        <v>3379</v>
      </c>
      <c r="C22" s="227">
        <v>1001000</v>
      </c>
      <c r="D22" s="227">
        <v>0</v>
      </c>
      <c r="E22" s="218">
        <f t="shared" si="0"/>
        <v>0</v>
      </c>
      <c r="F22" t="s">
        <v>137</v>
      </c>
      <c r="G22" t="s">
        <v>138</v>
      </c>
      <c r="H22" s="168" t="s">
        <v>4862</v>
      </c>
    </row>
    <row r="23" spans="1:9" s="215" customFormat="1">
      <c r="A23" s="217">
        <v>44562</v>
      </c>
      <c r="B23" s="215" t="s">
        <v>5027</v>
      </c>
      <c r="C23" s="216">
        <v>0</v>
      </c>
      <c r="D23" s="216">
        <v>1001000</v>
      </c>
      <c r="E23" s="218">
        <f t="shared" si="0"/>
        <v>1001000</v>
      </c>
      <c r="F23" s="14" t="s">
        <v>110</v>
      </c>
      <c r="G23" s="14" t="s">
        <v>321</v>
      </c>
      <c r="H23" s="168"/>
    </row>
    <row r="24" spans="1:9" s="215" customFormat="1">
      <c r="A24" s="217"/>
      <c r="B24" s="215" t="s">
        <v>3380</v>
      </c>
      <c r="C24" s="227">
        <v>1001000</v>
      </c>
      <c r="D24" s="227">
        <v>0</v>
      </c>
      <c r="E24" s="218">
        <f t="shared" si="0"/>
        <v>0</v>
      </c>
      <c r="F24" t="s">
        <v>137</v>
      </c>
      <c r="G24" t="s">
        <v>138</v>
      </c>
      <c r="H24" s="168" t="s">
        <v>4862</v>
      </c>
    </row>
    <row r="25" spans="1:9" s="215" customFormat="1">
      <c r="A25" s="217">
        <v>44562</v>
      </c>
      <c r="B25" s="215" t="s">
        <v>5027</v>
      </c>
      <c r="C25" s="216">
        <v>0</v>
      </c>
      <c r="D25" s="97">
        <v>123750</v>
      </c>
      <c r="E25" s="218">
        <f t="shared" ref="E25:E26" si="1">E24-C25+D25</f>
        <v>123750</v>
      </c>
      <c r="F25" s="14" t="s">
        <v>110</v>
      </c>
      <c r="G25" s="14" t="s">
        <v>321</v>
      </c>
      <c r="H25" s="168"/>
    </row>
    <row r="26" spans="1:9" s="215" customFormat="1">
      <c r="A26" s="217"/>
      <c r="B26" s="14" t="s">
        <v>3381</v>
      </c>
      <c r="C26" s="97">
        <v>123750</v>
      </c>
      <c r="D26" s="227">
        <v>0</v>
      </c>
      <c r="E26" s="218">
        <f t="shared" si="1"/>
        <v>0</v>
      </c>
      <c r="F26" t="s">
        <v>137</v>
      </c>
      <c r="G26" t="s">
        <v>138</v>
      </c>
      <c r="H26" s="168" t="s">
        <v>4862</v>
      </c>
    </row>
    <row r="27" spans="1:9">
      <c r="A27" s="3">
        <v>44201</v>
      </c>
      <c r="B27" s="7" t="s">
        <v>9</v>
      </c>
      <c r="C27" s="8">
        <v>0</v>
      </c>
      <c r="D27" s="8">
        <v>5000000</v>
      </c>
      <c r="E27" s="218">
        <f>E24-C27+D27</f>
        <v>5000000</v>
      </c>
      <c r="F27" t="s">
        <v>107</v>
      </c>
      <c r="G27" t="s">
        <v>666</v>
      </c>
      <c r="H27" t="s">
        <v>3405</v>
      </c>
      <c r="I27" s="124" t="s">
        <v>667</v>
      </c>
    </row>
    <row r="28" spans="1:9">
      <c r="A28" s="3" t="s">
        <v>64</v>
      </c>
      <c r="B28" s="7" t="s">
        <v>292</v>
      </c>
      <c r="C28" s="8">
        <v>5000000</v>
      </c>
      <c r="D28" s="8">
        <v>0</v>
      </c>
      <c r="E28" s="218">
        <f t="shared" si="0"/>
        <v>0</v>
      </c>
      <c r="F28" t="s">
        <v>107</v>
      </c>
      <c r="G28" t="s">
        <v>668</v>
      </c>
      <c r="H28" t="s">
        <v>3405</v>
      </c>
      <c r="I28" s="124" t="s">
        <v>667</v>
      </c>
    </row>
    <row r="29" spans="1:9">
      <c r="A29" s="3">
        <v>44207</v>
      </c>
      <c r="B29" s="7" t="s">
        <v>18</v>
      </c>
      <c r="C29" s="8">
        <v>0</v>
      </c>
      <c r="D29" s="8">
        <v>9800000</v>
      </c>
      <c r="E29" s="218">
        <f t="shared" si="0"/>
        <v>9800000</v>
      </c>
      <c r="F29" t="s">
        <v>107</v>
      </c>
      <c r="G29" t="s">
        <v>666</v>
      </c>
      <c r="H29" t="s">
        <v>3405</v>
      </c>
      <c r="I29" t="s">
        <v>669</v>
      </c>
    </row>
    <row r="30" spans="1:9">
      <c r="B30" t="s">
        <v>670</v>
      </c>
      <c r="C30" s="8">
        <v>9800000</v>
      </c>
      <c r="D30" s="8">
        <v>0</v>
      </c>
      <c r="E30" s="218">
        <f t="shared" si="0"/>
        <v>0</v>
      </c>
      <c r="F30" t="s">
        <v>115</v>
      </c>
      <c r="G30" t="s">
        <v>120</v>
      </c>
      <c r="H30" t="s">
        <v>418</v>
      </c>
      <c r="I30" t="s">
        <v>444</v>
      </c>
    </row>
    <row r="31" spans="1:9">
      <c r="A31" s="3">
        <v>44211</v>
      </c>
      <c r="B31" t="s">
        <v>994</v>
      </c>
      <c r="C31" s="54">
        <v>0</v>
      </c>
      <c r="D31" s="54">
        <v>11000000</v>
      </c>
      <c r="E31" s="218">
        <f t="shared" si="0"/>
        <v>11000000</v>
      </c>
      <c r="F31" s="14" t="s">
        <v>115</v>
      </c>
      <c r="G31" s="14" t="s">
        <v>439</v>
      </c>
      <c r="H31" s="14" t="s">
        <v>247</v>
      </c>
    </row>
    <row r="32" spans="1:9">
      <c r="B32" t="s">
        <v>994</v>
      </c>
      <c r="C32" s="54">
        <v>11000000</v>
      </c>
      <c r="D32" s="54">
        <v>0</v>
      </c>
      <c r="E32" s="218">
        <f t="shared" si="0"/>
        <v>0</v>
      </c>
      <c r="F32" s="14" t="s">
        <v>110</v>
      </c>
      <c r="G32" s="14" t="s">
        <v>616</v>
      </c>
      <c r="H32" s="14" t="s">
        <v>4621</v>
      </c>
    </row>
    <row r="33" spans="1:10">
      <c r="A33" s="3">
        <v>44216</v>
      </c>
      <c r="B33" s="7" t="s">
        <v>162</v>
      </c>
      <c r="C33" s="8">
        <v>0</v>
      </c>
      <c r="D33" s="8">
        <v>4093000</v>
      </c>
      <c r="E33" s="218">
        <f t="shared" si="0"/>
        <v>4093000</v>
      </c>
      <c r="F33" t="s">
        <v>107</v>
      </c>
      <c r="G33" t="s">
        <v>666</v>
      </c>
      <c r="H33" t="s">
        <v>3405</v>
      </c>
      <c r="I33" t="s">
        <v>671</v>
      </c>
    </row>
    <row r="34" spans="1:10">
      <c r="B34" s="7" t="s">
        <v>675</v>
      </c>
      <c r="C34" s="8">
        <v>3530000</v>
      </c>
      <c r="D34" s="8">
        <v>0</v>
      </c>
      <c r="E34" s="218">
        <f t="shared" si="0"/>
        <v>563000</v>
      </c>
      <c r="F34" t="s">
        <v>319</v>
      </c>
      <c r="G34" t="s">
        <v>676</v>
      </c>
    </row>
    <row r="35" spans="1:10">
      <c r="B35" s="7" t="s">
        <v>672</v>
      </c>
      <c r="C35" s="8">
        <v>150000</v>
      </c>
      <c r="D35" s="8">
        <v>0</v>
      </c>
      <c r="E35" s="218">
        <f t="shared" si="0"/>
        <v>413000</v>
      </c>
      <c r="F35" t="s">
        <v>319</v>
      </c>
      <c r="G35" t="s">
        <v>676</v>
      </c>
    </row>
    <row r="36" spans="1:10">
      <c r="B36" t="s">
        <v>673</v>
      </c>
      <c r="C36" s="8">
        <v>100000</v>
      </c>
      <c r="D36" s="8">
        <v>0</v>
      </c>
      <c r="E36" s="218">
        <f t="shared" si="0"/>
        <v>313000</v>
      </c>
      <c r="F36" t="s">
        <v>319</v>
      </c>
      <c r="G36" t="s">
        <v>676</v>
      </c>
    </row>
    <row r="37" spans="1:10">
      <c r="B37" t="s">
        <v>674</v>
      </c>
      <c r="C37" s="8">
        <v>250000</v>
      </c>
      <c r="D37" s="8">
        <v>0</v>
      </c>
      <c r="E37" s="218">
        <f t="shared" si="0"/>
        <v>63000</v>
      </c>
      <c r="F37" t="s">
        <v>319</v>
      </c>
      <c r="G37" t="s">
        <v>676</v>
      </c>
    </row>
    <row r="38" spans="1:10">
      <c r="B38" s="7" t="s">
        <v>227</v>
      </c>
      <c r="C38" s="8">
        <v>63000</v>
      </c>
      <c r="D38" s="8">
        <v>0</v>
      </c>
      <c r="E38" s="218">
        <f t="shared" si="0"/>
        <v>0</v>
      </c>
      <c r="F38" t="s">
        <v>107</v>
      </c>
      <c r="G38" t="s">
        <v>668</v>
      </c>
      <c r="H38" t="s">
        <v>3405</v>
      </c>
      <c r="I38" t="s">
        <v>671</v>
      </c>
    </row>
    <row r="39" spans="1:10">
      <c r="A39" s="3">
        <v>44216</v>
      </c>
      <c r="B39" t="s">
        <v>663</v>
      </c>
      <c r="C39" s="8">
        <v>0</v>
      </c>
      <c r="D39" s="8">
        <v>10818720</v>
      </c>
      <c r="E39" s="218">
        <f t="shared" si="0"/>
        <v>10818720</v>
      </c>
      <c r="F39" t="s">
        <v>110</v>
      </c>
      <c r="G39" t="s">
        <v>188</v>
      </c>
      <c r="H39" t="s">
        <v>134</v>
      </c>
      <c r="I39">
        <v>51</v>
      </c>
    </row>
    <row r="40" spans="1:10">
      <c r="A40" s="3" t="s">
        <v>64</v>
      </c>
      <c r="B40" t="s">
        <v>663</v>
      </c>
      <c r="C40" s="8">
        <v>9015600</v>
      </c>
      <c r="D40" s="8">
        <v>0</v>
      </c>
      <c r="E40" s="218">
        <f t="shared" si="0"/>
        <v>1803120</v>
      </c>
      <c r="F40" t="s">
        <v>115</v>
      </c>
      <c r="G40" t="s">
        <v>441</v>
      </c>
      <c r="H40" t="s">
        <v>567</v>
      </c>
      <c r="I40" t="s">
        <v>134</v>
      </c>
      <c r="J40">
        <v>51</v>
      </c>
    </row>
    <row r="41" spans="1:10">
      <c r="B41" t="s">
        <v>663</v>
      </c>
      <c r="C41" s="20">
        <v>1803120</v>
      </c>
      <c r="D41" s="8">
        <v>0</v>
      </c>
      <c r="E41" s="218">
        <f t="shared" si="0"/>
        <v>0</v>
      </c>
      <c r="F41" t="s">
        <v>115</v>
      </c>
      <c r="G41" t="s">
        <v>441</v>
      </c>
      <c r="H41" t="s">
        <v>442</v>
      </c>
      <c r="I41" t="s">
        <v>134</v>
      </c>
      <c r="J41">
        <v>51</v>
      </c>
    </row>
    <row r="42" spans="1:10">
      <c r="A42" s="3">
        <v>44216</v>
      </c>
      <c r="B42" t="s">
        <v>663</v>
      </c>
      <c r="C42" s="8">
        <v>0</v>
      </c>
      <c r="D42" s="8">
        <v>63602576.889999986</v>
      </c>
      <c r="E42" s="8">
        <f t="shared" ref="E42:E91" si="2">E41-C42+D42</f>
        <v>63602576.889999986</v>
      </c>
      <c r="F42" t="s">
        <v>110</v>
      </c>
      <c r="G42" t="s">
        <v>188</v>
      </c>
      <c r="H42" t="s">
        <v>576</v>
      </c>
      <c r="I42">
        <v>80</v>
      </c>
    </row>
    <row r="43" spans="1:10">
      <c r="B43" t="s">
        <v>663</v>
      </c>
      <c r="C43" s="20">
        <v>53002147.990000002</v>
      </c>
      <c r="E43" s="8">
        <f t="shared" si="2"/>
        <v>10600428.899999984</v>
      </c>
      <c r="F43" t="s">
        <v>115</v>
      </c>
      <c r="G43" t="s">
        <v>441</v>
      </c>
      <c r="H43" t="s">
        <v>567</v>
      </c>
      <c r="I43" t="s">
        <v>576</v>
      </c>
      <c r="J43">
        <v>80</v>
      </c>
    </row>
    <row r="44" spans="1:10">
      <c r="B44" t="s">
        <v>663</v>
      </c>
      <c r="C44" s="20">
        <v>10600429.597999999</v>
      </c>
      <c r="E44" s="8">
        <f t="shared" si="2"/>
        <v>-0.69800001569092274</v>
      </c>
      <c r="F44" t="s">
        <v>115</v>
      </c>
      <c r="G44" t="s">
        <v>441</v>
      </c>
      <c r="H44" t="s">
        <v>442</v>
      </c>
      <c r="I44" t="s">
        <v>576</v>
      </c>
      <c r="J44">
        <v>80</v>
      </c>
    </row>
    <row r="45" spans="1:10">
      <c r="B45" t="s">
        <v>663</v>
      </c>
      <c r="C45" s="20">
        <v>0</v>
      </c>
      <c r="D45" s="8">
        <v>0.69800001569092296</v>
      </c>
      <c r="E45" s="8">
        <f t="shared" si="2"/>
        <v>0</v>
      </c>
      <c r="F45" t="s">
        <v>252</v>
      </c>
      <c r="G45" t="s">
        <v>664</v>
      </c>
      <c r="H45" t="s">
        <v>64</v>
      </c>
      <c r="I45" t="s">
        <v>64</v>
      </c>
    </row>
    <row r="46" spans="1:10">
      <c r="A46" s="3">
        <v>44217</v>
      </c>
      <c r="B46" t="s">
        <v>190</v>
      </c>
      <c r="C46" s="8">
        <v>0</v>
      </c>
      <c r="D46" s="8">
        <v>11866799.999999985</v>
      </c>
      <c r="E46" s="8">
        <f t="shared" si="2"/>
        <v>11866799.999999985</v>
      </c>
      <c r="F46" t="s">
        <v>110</v>
      </c>
      <c r="G46" t="s">
        <v>188</v>
      </c>
      <c r="H46" t="s">
        <v>121</v>
      </c>
      <c r="I46">
        <v>79</v>
      </c>
    </row>
    <row r="47" spans="1:10">
      <c r="B47" t="s">
        <v>190</v>
      </c>
      <c r="C47" s="8">
        <v>9888999.9999999981</v>
      </c>
      <c r="D47" s="8">
        <v>0</v>
      </c>
      <c r="E47" s="8">
        <f t="shared" si="2"/>
        <v>1977799.999999987</v>
      </c>
      <c r="F47" t="s">
        <v>115</v>
      </c>
      <c r="G47" t="s">
        <v>441</v>
      </c>
      <c r="H47" t="s">
        <v>567</v>
      </c>
      <c r="I47" t="s">
        <v>121</v>
      </c>
      <c r="J47">
        <v>79</v>
      </c>
    </row>
    <row r="48" spans="1:10">
      <c r="B48" t="s">
        <v>190</v>
      </c>
      <c r="C48" s="8">
        <v>1977799.999999987</v>
      </c>
      <c r="D48" s="8">
        <v>0</v>
      </c>
      <c r="E48" s="8">
        <f t="shared" si="2"/>
        <v>0</v>
      </c>
      <c r="F48" t="s">
        <v>115</v>
      </c>
      <c r="G48" t="s">
        <v>441</v>
      </c>
      <c r="H48" t="s">
        <v>442</v>
      </c>
      <c r="I48" t="s">
        <v>121</v>
      </c>
      <c r="J48">
        <v>79</v>
      </c>
    </row>
    <row r="49" spans="1:9">
      <c r="A49" s="3">
        <v>44221</v>
      </c>
      <c r="B49" s="7" t="s">
        <v>172</v>
      </c>
      <c r="C49" s="8">
        <v>0</v>
      </c>
      <c r="D49" s="8">
        <v>7000000</v>
      </c>
      <c r="E49" s="8">
        <f t="shared" si="2"/>
        <v>7000000</v>
      </c>
      <c r="F49" t="s">
        <v>107</v>
      </c>
      <c r="G49" t="s">
        <v>666</v>
      </c>
      <c r="H49" t="s">
        <v>3405</v>
      </c>
      <c r="I49" t="s">
        <v>677</v>
      </c>
    </row>
    <row r="50" spans="1:9">
      <c r="B50" s="7" t="s">
        <v>678</v>
      </c>
      <c r="C50" s="54">
        <v>5000</v>
      </c>
      <c r="D50" s="54">
        <v>0</v>
      </c>
      <c r="E50" s="54">
        <f t="shared" si="2"/>
        <v>6995000</v>
      </c>
      <c r="F50" t="s">
        <v>137</v>
      </c>
      <c r="G50" t="s">
        <v>138</v>
      </c>
      <c r="H50" t="s">
        <v>251</v>
      </c>
    </row>
    <row r="51" spans="1:9">
      <c r="B51" s="7" t="s">
        <v>679</v>
      </c>
      <c r="C51" s="54">
        <v>7000</v>
      </c>
      <c r="D51" s="54">
        <v>0</v>
      </c>
      <c r="E51" s="54">
        <f t="shared" si="2"/>
        <v>6988000</v>
      </c>
      <c r="F51" t="s">
        <v>137</v>
      </c>
      <c r="G51" t="s">
        <v>138</v>
      </c>
      <c r="H51" t="s">
        <v>251</v>
      </c>
    </row>
    <row r="52" spans="1:9">
      <c r="B52" s="7" t="s">
        <v>680</v>
      </c>
      <c r="C52" s="54">
        <v>300000</v>
      </c>
      <c r="D52" s="54">
        <v>0</v>
      </c>
      <c r="E52" s="54">
        <f t="shared" si="2"/>
        <v>6688000</v>
      </c>
      <c r="F52" t="s">
        <v>137</v>
      </c>
      <c r="G52" t="s">
        <v>138</v>
      </c>
      <c r="H52" t="s">
        <v>173</v>
      </c>
    </row>
    <row r="53" spans="1:9">
      <c r="B53" s="7" t="s">
        <v>681</v>
      </c>
      <c r="C53" s="54">
        <v>45000</v>
      </c>
      <c r="D53" s="54">
        <v>0</v>
      </c>
      <c r="E53" s="54">
        <f t="shared" si="2"/>
        <v>6643000</v>
      </c>
      <c r="F53" t="s">
        <v>137</v>
      </c>
      <c r="G53" t="s">
        <v>138</v>
      </c>
      <c r="H53" t="s">
        <v>173</v>
      </c>
    </row>
    <row r="54" spans="1:9">
      <c r="B54" s="7" t="s">
        <v>682</v>
      </c>
      <c r="C54" s="54">
        <v>100000</v>
      </c>
      <c r="D54" s="54">
        <v>0</v>
      </c>
      <c r="E54" s="54">
        <f t="shared" si="2"/>
        <v>6543000</v>
      </c>
      <c r="F54" t="s">
        <v>137</v>
      </c>
      <c r="G54" t="s">
        <v>138</v>
      </c>
      <c r="H54" t="s">
        <v>173</v>
      </c>
    </row>
    <row r="55" spans="1:9">
      <c r="B55" s="7" t="s">
        <v>683</v>
      </c>
      <c r="C55" s="54">
        <v>8000</v>
      </c>
      <c r="D55" s="54">
        <v>0</v>
      </c>
      <c r="E55" s="54">
        <f t="shared" si="2"/>
        <v>6535000</v>
      </c>
      <c r="F55" t="s">
        <v>137</v>
      </c>
      <c r="G55" t="s">
        <v>138</v>
      </c>
      <c r="H55" t="s">
        <v>173</v>
      </c>
    </row>
    <row r="56" spans="1:9">
      <c r="B56" s="7" t="s">
        <v>683</v>
      </c>
      <c r="C56" s="54">
        <v>41000</v>
      </c>
      <c r="D56" s="54">
        <v>0</v>
      </c>
      <c r="E56" s="54">
        <f t="shared" si="2"/>
        <v>6494000</v>
      </c>
      <c r="F56" t="s">
        <v>137</v>
      </c>
      <c r="G56" t="s">
        <v>138</v>
      </c>
      <c r="H56" t="s">
        <v>173</v>
      </c>
    </row>
    <row r="57" spans="1:9">
      <c r="B57" s="7" t="s">
        <v>684</v>
      </c>
      <c r="C57" s="54">
        <v>17000</v>
      </c>
      <c r="D57" s="54">
        <v>0</v>
      </c>
      <c r="E57" s="54">
        <f t="shared" si="2"/>
        <v>6477000</v>
      </c>
      <c r="F57" t="s">
        <v>137</v>
      </c>
      <c r="G57" t="s">
        <v>138</v>
      </c>
      <c r="H57" t="s">
        <v>173</v>
      </c>
    </row>
    <row r="58" spans="1:9">
      <c r="B58" s="7" t="s">
        <v>683</v>
      </c>
      <c r="C58" s="54">
        <v>9000</v>
      </c>
      <c r="D58" s="54">
        <v>0</v>
      </c>
      <c r="E58" s="54">
        <f t="shared" si="2"/>
        <v>6468000</v>
      </c>
      <c r="F58" t="s">
        <v>137</v>
      </c>
      <c r="G58" t="s">
        <v>138</v>
      </c>
      <c r="H58" t="s">
        <v>173</v>
      </c>
    </row>
    <row r="59" spans="1:9">
      <c r="B59" s="7" t="s">
        <v>685</v>
      </c>
      <c r="C59" s="8">
        <v>9000</v>
      </c>
      <c r="D59" s="8">
        <v>0</v>
      </c>
      <c r="E59" s="8">
        <f t="shared" si="2"/>
        <v>6459000</v>
      </c>
      <c r="F59" t="s">
        <v>115</v>
      </c>
      <c r="G59" t="s">
        <v>120</v>
      </c>
      <c r="H59" s="14" t="s">
        <v>127</v>
      </c>
      <c r="I59" s="14" t="s">
        <v>444</v>
      </c>
    </row>
    <row r="60" spans="1:9">
      <c r="B60" s="7" t="s">
        <v>686</v>
      </c>
      <c r="C60" s="8">
        <v>9000</v>
      </c>
      <c r="D60" s="8">
        <v>0</v>
      </c>
      <c r="E60" s="8">
        <f t="shared" si="2"/>
        <v>6450000</v>
      </c>
      <c r="F60" t="s">
        <v>115</v>
      </c>
      <c r="G60" t="s">
        <v>120</v>
      </c>
      <c r="H60" t="s">
        <v>127</v>
      </c>
      <c r="I60" s="14" t="s">
        <v>444</v>
      </c>
    </row>
    <row r="61" spans="1:9">
      <c r="B61" s="7" t="s">
        <v>687</v>
      </c>
      <c r="C61" s="8">
        <v>9000</v>
      </c>
      <c r="D61" s="8">
        <v>0</v>
      </c>
      <c r="E61" s="8">
        <f t="shared" si="2"/>
        <v>6441000</v>
      </c>
      <c r="F61" t="s">
        <v>115</v>
      </c>
      <c r="G61" t="s">
        <v>120</v>
      </c>
      <c r="H61" t="s">
        <v>127</v>
      </c>
      <c r="I61" s="14" t="s">
        <v>444</v>
      </c>
    </row>
    <row r="62" spans="1:9">
      <c r="B62" t="s">
        <v>688</v>
      </c>
      <c r="C62" s="8">
        <v>9000</v>
      </c>
      <c r="D62" s="8">
        <v>0</v>
      </c>
      <c r="E62" s="8">
        <f t="shared" si="2"/>
        <v>6432000</v>
      </c>
      <c r="F62" t="s">
        <v>115</v>
      </c>
      <c r="G62" t="s">
        <v>120</v>
      </c>
      <c r="H62" t="s">
        <v>127</v>
      </c>
      <c r="I62" s="14" t="s">
        <v>444</v>
      </c>
    </row>
    <row r="63" spans="1:9">
      <c r="B63" t="s">
        <v>689</v>
      </c>
      <c r="C63" s="8">
        <v>27000</v>
      </c>
      <c r="D63" s="8">
        <v>0</v>
      </c>
      <c r="E63" s="8">
        <f t="shared" si="2"/>
        <v>6405000</v>
      </c>
      <c r="F63" t="s">
        <v>115</v>
      </c>
      <c r="G63" t="s">
        <v>120</v>
      </c>
      <c r="H63" t="s">
        <v>127</v>
      </c>
      <c r="I63" s="14" t="s">
        <v>444</v>
      </c>
    </row>
    <row r="64" spans="1:9">
      <c r="B64" t="s">
        <v>690</v>
      </c>
      <c r="C64" s="8">
        <v>330000</v>
      </c>
      <c r="D64" s="8">
        <v>0</v>
      </c>
      <c r="E64" s="8">
        <f t="shared" si="2"/>
        <v>6075000</v>
      </c>
      <c r="F64" t="s">
        <v>115</v>
      </c>
      <c r="G64" t="s">
        <v>120</v>
      </c>
      <c r="H64" t="s">
        <v>127</v>
      </c>
      <c r="I64" s="14" t="s">
        <v>444</v>
      </c>
    </row>
    <row r="65" spans="2:9">
      <c r="B65" t="s">
        <v>691</v>
      </c>
      <c r="C65" s="8">
        <v>50000</v>
      </c>
      <c r="D65" s="8">
        <v>0</v>
      </c>
      <c r="E65" s="8">
        <f t="shared" si="2"/>
        <v>6025000</v>
      </c>
      <c r="F65" t="s">
        <v>115</v>
      </c>
      <c r="G65" t="s">
        <v>120</v>
      </c>
      <c r="H65" t="s">
        <v>127</v>
      </c>
      <c r="I65" s="14" t="s">
        <v>444</v>
      </c>
    </row>
    <row r="66" spans="2:9">
      <c r="B66" t="s">
        <v>692</v>
      </c>
      <c r="C66" s="8">
        <v>45500</v>
      </c>
      <c r="D66" s="8">
        <v>0</v>
      </c>
      <c r="E66" s="8">
        <f t="shared" si="2"/>
        <v>5979500</v>
      </c>
      <c r="F66" t="s">
        <v>115</v>
      </c>
      <c r="G66" t="s">
        <v>120</v>
      </c>
      <c r="H66" t="s">
        <v>127</v>
      </c>
      <c r="I66" s="14" t="s">
        <v>444</v>
      </c>
    </row>
    <row r="67" spans="2:9">
      <c r="B67" t="s">
        <v>687</v>
      </c>
      <c r="C67" s="8">
        <v>5000</v>
      </c>
      <c r="D67" s="8">
        <v>0</v>
      </c>
      <c r="E67" s="8">
        <f t="shared" si="2"/>
        <v>5974500</v>
      </c>
      <c r="F67" t="s">
        <v>115</v>
      </c>
      <c r="G67" t="s">
        <v>120</v>
      </c>
      <c r="H67" t="s">
        <v>127</v>
      </c>
      <c r="I67" s="14" t="s">
        <v>444</v>
      </c>
    </row>
    <row r="68" spans="2:9">
      <c r="B68" t="s">
        <v>687</v>
      </c>
      <c r="C68" s="8">
        <v>5000</v>
      </c>
      <c r="D68" s="8">
        <v>0</v>
      </c>
      <c r="E68" s="8">
        <f t="shared" si="2"/>
        <v>5969500</v>
      </c>
      <c r="F68" t="s">
        <v>115</v>
      </c>
      <c r="G68" t="s">
        <v>120</v>
      </c>
      <c r="H68" t="s">
        <v>127</v>
      </c>
      <c r="I68" s="14" t="s">
        <v>444</v>
      </c>
    </row>
    <row r="69" spans="2:9">
      <c r="B69" t="s">
        <v>693</v>
      </c>
      <c r="C69" s="8">
        <v>100000</v>
      </c>
      <c r="D69" s="8">
        <v>0</v>
      </c>
      <c r="E69" s="8">
        <f t="shared" si="2"/>
        <v>5869500</v>
      </c>
      <c r="F69" t="s">
        <v>115</v>
      </c>
      <c r="G69" t="s">
        <v>120</v>
      </c>
      <c r="H69" t="s">
        <v>127</v>
      </c>
      <c r="I69" s="14" t="s">
        <v>444</v>
      </c>
    </row>
    <row r="70" spans="2:9">
      <c r="B70" t="s">
        <v>694</v>
      </c>
      <c r="C70" s="8">
        <v>239000</v>
      </c>
      <c r="D70" s="8">
        <v>0</v>
      </c>
      <c r="E70" s="8">
        <f t="shared" si="2"/>
        <v>5630500</v>
      </c>
      <c r="F70" t="s">
        <v>115</v>
      </c>
      <c r="G70" t="s">
        <v>120</v>
      </c>
      <c r="H70" t="s">
        <v>127</v>
      </c>
      <c r="I70" s="14" t="s">
        <v>444</v>
      </c>
    </row>
    <row r="71" spans="2:9">
      <c r="B71" t="s">
        <v>695</v>
      </c>
      <c r="C71" s="8">
        <v>450000</v>
      </c>
      <c r="D71" s="8">
        <v>0</v>
      </c>
      <c r="E71" s="8">
        <f t="shared" si="2"/>
        <v>5180500</v>
      </c>
      <c r="F71" t="s">
        <v>115</v>
      </c>
      <c r="G71" t="s">
        <v>120</v>
      </c>
      <c r="H71" t="s">
        <v>127</v>
      </c>
      <c r="I71" s="14" t="s">
        <v>444</v>
      </c>
    </row>
    <row r="72" spans="2:9">
      <c r="B72" t="s">
        <v>696</v>
      </c>
      <c r="C72" s="8">
        <v>126000</v>
      </c>
      <c r="D72" s="8">
        <v>0</v>
      </c>
      <c r="E72" s="8">
        <f t="shared" si="2"/>
        <v>5054500</v>
      </c>
      <c r="F72" t="s">
        <v>115</v>
      </c>
      <c r="G72" t="s">
        <v>120</v>
      </c>
      <c r="H72" t="s">
        <v>127</v>
      </c>
      <c r="I72" s="14" t="s">
        <v>444</v>
      </c>
    </row>
    <row r="73" spans="2:9">
      <c r="B73" t="s">
        <v>697</v>
      </c>
      <c r="C73" s="8">
        <v>171500</v>
      </c>
      <c r="D73" s="8">
        <v>0</v>
      </c>
      <c r="E73" s="8">
        <f t="shared" si="2"/>
        <v>4883000</v>
      </c>
      <c r="F73" t="s">
        <v>115</v>
      </c>
      <c r="G73" t="s">
        <v>120</v>
      </c>
      <c r="H73" t="s">
        <v>127</v>
      </c>
      <c r="I73" s="14" t="s">
        <v>444</v>
      </c>
    </row>
    <row r="74" spans="2:9">
      <c r="B74" t="s">
        <v>698</v>
      </c>
      <c r="C74" s="8">
        <v>77000</v>
      </c>
      <c r="D74" s="8">
        <v>0</v>
      </c>
      <c r="E74" s="8">
        <f t="shared" si="2"/>
        <v>4806000</v>
      </c>
      <c r="F74" t="s">
        <v>115</v>
      </c>
      <c r="G74" t="s">
        <v>120</v>
      </c>
      <c r="H74" t="s">
        <v>127</v>
      </c>
      <c r="I74" s="14" t="s">
        <v>444</v>
      </c>
    </row>
    <row r="75" spans="2:9">
      <c r="B75" t="s">
        <v>699</v>
      </c>
      <c r="C75" s="54">
        <v>175000</v>
      </c>
      <c r="D75" s="54">
        <v>0</v>
      </c>
      <c r="E75" s="54">
        <f t="shared" si="2"/>
        <v>4631000</v>
      </c>
      <c r="F75" t="s">
        <v>137</v>
      </c>
      <c r="G75" t="s">
        <v>138</v>
      </c>
      <c r="H75" t="s">
        <v>173</v>
      </c>
    </row>
    <row r="76" spans="2:9">
      <c r="B76" t="s">
        <v>700</v>
      </c>
      <c r="C76" s="8">
        <v>18000</v>
      </c>
      <c r="D76" s="8">
        <v>0</v>
      </c>
      <c r="E76" s="8">
        <f t="shared" si="2"/>
        <v>4613000</v>
      </c>
      <c r="F76" t="s">
        <v>115</v>
      </c>
      <c r="G76" t="s">
        <v>120</v>
      </c>
      <c r="H76" t="s">
        <v>127</v>
      </c>
      <c r="I76" s="14" t="s">
        <v>444</v>
      </c>
    </row>
    <row r="77" spans="2:9">
      <c r="B77" t="s">
        <v>701</v>
      </c>
      <c r="C77" s="54">
        <v>19000</v>
      </c>
      <c r="D77" s="54">
        <v>0</v>
      </c>
      <c r="E77" s="54">
        <f t="shared" si="2"/>
        <v>4594000</v>
      </c>
      <c r="F77" t="s">
        <v>137</v>
      </c>
      <c r="G77" t="s">
        <v>138</v>
      </c>
      <c r="H77" t="s">
        <v>173</v>
      </c>
    </row>
    <row r="78" spans="2:9">
      <c r="B78" t="s">
        <v>702</v>
      </c>
      <c r="C78" s="8">
        <v>1221505</v>
      </c>
      <c r="D78" s="8">
        <v>0</v>
      </c>
      <c r="E78" s="8">
        <f t="shared" si="2"/>
        <v>3372495</v>
      </c>
      <c r="F78" t="s">
        <v>115</v>
      </c>
      <c r="G78" t="s">
        <v>120</v>
      </c>
      <c r="H78" t="s">
        <v>176</v>
      </c>
    </row>
    <row r="79" spans="2:9">
      <c r="B79" t="s">
        <v>703</v>
      </c>
      <c r="C79" s="8">
        <v>36000</v>
      </c>
      <c r="D79" s="8">
        <v>0</v>
      </c>
      <c r="E79" s="8">
        <f t="shared" si="2"/>
        <v>3336495</v>
      </c>
      <c r="F79" t="s">
        <v>115</v>
      </c>
      <c r="G79" t="s">
        <v>120</v>
      </c>
      <c r="H79" t="s">
        <v>127</v>
      </c>
      <c r="I79" s="14" t="s">
        <v>444</v>
      </c>
    </row>
    <row r="80" spans="2:9">
      <c r="B80" t="s">
        <v>704</v>
      </c>
      <c r="C80" s="8">
        <v>4000</v>
      </c>
      <c r="D80" s="8">
        <v>0</v>
      </c>
      <c r="E80" s="8">
        <f t="shared" si="2"/>
        <v>3332495</v>
      </c>
      <c r="F80" t="s">
        <v>115</v>
      </c>
      <c r="G80" t="s">
        <v>120</v>
      </c>
      <c r="H80" t="s">
        <v>127</v>
      </c>
      <c r="I80" s="14" t="s">
        <v>444</v>
      </c>
    </row>
    <row r="81" spans="1:9">
      <c r="B81" t="s">
        <v>705</v>
      </c>
      <c r="C81" s="8">
        <v>500000</v>
      </c>
      <c r="D81" s="8">
        <v>0</v>
      </c>
      <c r="E81" s="8">
        <f t="shared" si="2"/>
        <v>2832495</v>
      </c>
      <c r="F81" t="s">
        <v>115</v>
      </c>
      <c r="G81" t="s">
        <v>120</v>
      </c>
      <c r="H81" t="s">
        <v>127</v>
      </c>
      <c r="I81" s="14" t="s">
        <v>444</v>
      </c>
    </row>
    <row r="82" spans="1:9">
      <c r="B82" t="s">
        <v>706</v>
      </c>
      <c r="C82" s="8">
        <v>78000</v>
      </c>
      <c r="D82" s="8">
        <v>0</v>
      </c>
      <c r="E82" s="8">
        <f t="shared" si="2"/>
        <v>2754495</v>
      </c>
      <c r="F82" t="s">
        <v>115</v>
      </c>
      <c r="G82" t="s">
        <v>120</v>
      </c>
      <c r="H82" t="s">
        <v>127</v>
      </c>
      <c r="I82" s="14" t="s">
        <v>444</v>
      </c>
    </row>
    <row r="83" spans="1:9">
      <c r="B83" t="s">
        <v>707</v>
      </c>
      <c r="C83" s="8">
        <v>142000</v>
      </c>
      <c r="D83" s="8">
        <v>0</v>
      </c>
      <c r="E83" s="8">
        <f t="shared" si="2"/>
        <v>2612495</v>
      </c>
      <c r="F83" t="s">
        <v>115</v>
      </c>
      <c r="G83" t="s">
        <v>120</v>
      </c>
      <c r="H83" t="s">
        <v>127</v>
      </c>
      <c r="I83" s="14" t="s">
        <v>444</v>
      </c>
    </row>
    <row r="84" spans="1:9">
      <c r="B84" t="s">
        <v>708</v>
      </c>
      <c r="C84" s="8">
        <v>27000</v>
      </c>
      <c r="D84" s="8">
        <v>0</v>
      </c>
      <c r="E84" s="8">
        <f t="shared" si="2"/>
        <v>2585495</v>
      </c>
      <c r="F84" t="s">
        <v>115</v>
      </c>
      <c r="G84" t="s">
        <v>120</v>
      </c>
      <c r="H84" t="s">
        <v>127</v>
      </c>
      <c r="I84" s="14" t="s">
        <v>444</v>
      </c>
    </row>
    <row r="85" spans="1:9">
      <c r="B85" t="s">
        <v>709</v>
      </c>
      <c r="C85" s="54">
        <v>27500</v>
      </c>
      <c r="D85" s="54">
        <v>0</v>
      </c>
      <c r="E85" s="54">
        <f t="shared" si="2"/>
        <v>2557995</v>
      </c>
      <c r="F85" t="s">
        <v>137</v>
      </c>
      <c r="G85" t="s">
        <v>138</v>
      </c>
      <c r="H85" t="s">
        <v>251</v>
      </c>
    </row>
    <row r="86" spans="1:9">
      <c r="B86" t="s">
        <v>710</v>
      </c>
      <c r="C86" s="54">
        <v>355779</v>
      </c>
      <c r="D86" s="54">
        <v>0</v>
      </c>
      <c r="E86" s="54">
        <f t="shared" si="2"/>
        <v>2202216</v>
      </c>
      <c r="F86" t="s">
        <v>137</v>
      </c>
      <c r="G86" t="s">
        <v>138</v>
      </c>
      <c r="H86" t="s">
        <v>251</v>
      </c>
    </row>
    <row r="87" spans="1:9">
      <c r="B87" t="s">
        <v>711</v>
      </c>
      <c r="C87" s="54">
        <v>333000</v>
      </c>
      <c r="D87" s="54">
        <v>0</v>
      </c>
      <c r="E87" s="54">
        <f t="shared" si="2"/>
        <v>1869216</v>
      </c>
      <c r="F87" t="s">
        <v>137</v>
      </c>
      <c r="G87" t="s">
        <v>138</v>
      </c>
      <c r="H87" t="s">
        <v>251</v>
      </c>
    </row>
    <row r="88" spans="1:9">
      <c r="B88" t="s">
        <v>712</v>
      </c>
      <c r="C88" s="8">
        <v>300000</v>
      </c>
      <c r="D88" s="8">
        <v>0</v>
      </c>
      <c r="E88" s="8">
        <f t="shared" si="2"/>
        <v>1569216</v>
      </c>
      <c r="F88" t="s">
        <v>115</v>
      </c>
      <c r="G88" t="s">
        <v>120</v>
      </c>
      <c r="H88" t="s">
        <v>127</v>
      </c>
      <c r="I88" s="14" t="s">
        <v>444</v>
      </c>
    </row>
    <row r="89" spans="1:9">
      <c r="B89" s="7" t="s">
        <v>291</v>
      </c>
      <c r="C89" s="8">
        <v>1569216</v>
      </c>
      <c r="D89" s="8">
        <v>0</v>
      </c>
      <c r="E89" s="8">
        <f t="shared" si="2"/>
        <v>0</v>
      </c>
      <c r="F89" t="s">
        <v>107</v>
      </c>
      <c r="G89" t="s">
        <v>668</v>
      </c>
      <c r="H89" t="s">
        <v>3405</v>
      </c>
      <c r="I89" t="s">
        <v>677</v>
      </c>
    </row>
    <row r="90" spans="1:9">
      <c r="A90" s="3">
        <v>44225</v>
      </c>
      <c r="B90" t="s">
        <v>262</v>
      </c>
      <c r="C90" s="8">
        <v>0</v>
      </c>
      <c r="D90" s="8">
        <v>26652813</v>
      </c>
      <c r="E90" s="8">
        <f t="shared" si="2"/>
        <v>26652813</v>
      </c>
      <c r="F90" t="s">
        <v>107</v>
      </c>
      <c r="G90" t="s">
        <v>274</v>
      </c>
      <c r="H90" t="s">
        <v>141</v>
      </c>
    </row>
    <row r="91" spans="1:9">
      <c r="B91" t="s">
        <v>394</v>
      </c>
      <c r="C91" s="8">
        <v>7408197</v>
      </c>
      <c r="D91" s="8">
        <v>0</v>
      </c>
      <c r="E91" s="8">
        <f t="shared" si="2"/>
        <v>19244616</v>
      </c>
      <c r="F91" t="s">
        <v>115</v>
      </c>
      <c r="G91" t="s">
        <v>120</v>
      </c>
      <c r="H91" t="s">
        <v>127</v>
      </c>
      <c r="I91" s="14" t="s">
        <v>444</v>
      </c>
    </row>
    <row r="92" spans="1:9">
      <c r="B92" t="s">
        <v>394</v>
      </c>
      <c r="C92" s="8">
        <v>7569800</v>
      </c>
      <c r="D92" s="8">
        <v>0</v>
      </c>
      <c r="E92" s="8">
        <f t="shared" ref="E92:E157" si="3">E91-C92+D92</f>
        <v>11674816</v>
      </c>
      <c r="F92" t="s">
        <v>115</v>
      </c>
      <c r="G92" t="s">
        <v>120</v>
      </c>
      <c r="H92" t="s">
        <v>127</v>
      </c>
      <c r="I92" s="14" t="s">
        <v>444</v>
      </c>
    </row>
    <row r="93" spans="1:9">
      <c r="B93" t="s">
        <v>394</v>
      </c>
      <c r="C93" s="8">
        <v>1068220</v>
      </c>
      <c r="D93" s="8">
        <v>0</v>
      </c>
      <c r="E93" s="8">
        <f t="shared" si="3"/>
        <v>10606596</v>
      </c>
      <c r="F93" t="s">
        <v>115</v>
      </c>
      <c r="G93" t="s">
        <v>120</v>
      </c>
      <c r="H93" t="s">
        <v>127</v>
      </c>
      <c r="I93" s="14" t="s">
        <v>444</v>
      </c>
    </row>
    <row r="94" spans="1:9">
      <c r="B94" t="s">
        <v>394</v>
      </c>
      <c r="C94" s="8">
        <v>380496</v>
      </c>
      <c r="D94" s="8">
        <v>0</v>
      </c>
      <c r="E94" s="8">
        <f t="shared" si="3"/>
        <v>10226100</v>
      </c>
      <c r="F94" t="s">
        <v>115</v>
      </c>
      <c r="G94" t="s">
        <v>120</v>
      </c>
      <c r="H94" t="s">
        <v>127</v>
      </c>
      <c r="I94" s="14" t="s">
        <v>444</v>
      </c>
    </row>
    <row r="95" spans="1:9">
      <c r="B95" t="s">
        <v>394</v>
      </c>
      <c r="C95" s="8">
        <v>3994033</v>
      </c>
      <c r="D95" s="8">
        <v>0</v>
      </c>
      <c r="E95" s="8">
        <f t="shared" si="3"/>
        <v>6232067</v>
      </c>
      <c r="F95" t="s">
        <v>115</v>
      </c>
      <c r="G95" t="s">
        <v>120</v>
      </c>
      <c r="H95" t="s">
        <v>127</v>
      </c>
      <c r="I95" s="14" t="s">
        <v>444</v>
      </c>
    </row>
    <row r="96" spans="1:9">
      <c r="B96" t="s">
        <v>394</v>
      </c>
      <c r="C96" s="8">
        <v>1156875</v>
      </c>
      <c r="D96" s="8">
        <v>0</v>
      </c>
      <c r="E96" s="8">
        <f t="shared" si="3"/>
        <v>5075192</v>
      </c>
      <c r="F96" t="s">
        <v>115</v>
      </c>
      <c r="G96" t="s">
        <v>120</v>
      </c>
      <c r="H96" t="s">
        <v>127</v>
      </c>
      <c r="I96" s="14" t="s">
        <v>444</v>
      </c>
    </row>
    <row r="97" spans="2:9">
      <c r="B97" t="s">
        <v>395</v>
      </c>
      <c r="C97" s="8">
        <v>255360</v>
      </c>
      <c r="D97" s="8">
        <v>0</v>
      </c>
      <c r="E97" s="8">
        <f t="shared" si="3"/>
        <v>4819832</v>
      </c>
      <c r="F97" t="s">
        <v>319</v>
      </c>
      <c r="G97" t="s">
        <v>117</v>
      </c>
      <c r="H97" t="s">
        <v>64</v>
      </c>
    </row>
    <row r="98" spans="2:9">
      <c r="B98" t="s">
        <v>396</v>
      </c>
      <c r="C98" s="8">
        <v>175000</v>
      </c>
      <c r="D98" s="8">
        <v>0</v>
      </c>
      <c r="E98" s="8">
        <f t="shared" si="3"/>
        <v>4644832</v>
      </c>
      <c r="F98" t="s">
        <v>115</v>
      </c>
      <c r="G98" t="s">
        <v>120</v>
      </c>
      <c r="H98" t="s">
        <v>127</v>
      </c>
      <c r="I98" s="14" t="s">
        <v>444</v>
      </c>
    </row>
    <row r="99" spans="2:9">
      <c r="B99" t="s">
        <v>397</v>
      </c>
      <c r="C99" s="8">
        <v>77000</v>
      </c>
      <c r="D99" s="8">
        <v>0</v>
      </c>
      <c r="E99" s="8">
        <f t="shared" si="3"/>
        <v>4567832</v>
      </c>
      <c r="F99" t="s">
        <v>115</v>
      </c>
      <c r="G99" t="s">
        <v>120</v>
      </c>
      <c r="H99" t="s">
        <v>127</v>
      </c>
      <c r="I99" s="14" t="s">
        <v>444</v>
      </c>
    </row>
    <row r="100" spans="2:9">
      <c r="B100" t="s">
        <v>398</v>
      </c>
      <c r="C100" s="8">
        <v>150000</v>
      </c>
      <c r="D100" s="8">
        <v>0</v>
      </c>
      <c r="E100" s="8">
        <f t="shared" si="3"/>
        <v>4417832</v>
      </c>
      <c r="F100" t="s">
        <v>115</v>
      </c>
      <c r="G100" t="s">
        <v>120</v>
      </c>
      <c r="H100" t="s">
        <v>127</v>
      </c>
      <c r="I100" s="14" t="s">
        <v>444</v>
      </c>
    </row>
    <row r="101" spans="2:9">
      <c r="B101" t="s">
        <v>394</v>
      </c>
      <c r="C101" s="8">
        <v>2069788</v>
      </c>
      <c r="D101" s="8">
        <v>0</v>
      </c>
      <c r="E101" s="8">
        <f t="shared" si="3"/>
        <v>2348044</v>
      </c>
      <c r="F101" t="s">
        <v>115</v>
      </c>
      <c r="G101" t="s">
        <v>120</v>
      </c>
      <c r="H101" t="s">
        <v>127</v>
      </c>
      <c r="I101" s="14" t="s">
        <v>444</v>
      </c>
    </row>
    <row r="102" spans="2:9">
      <c r="B102" t="s">
        <v>399</v>
      </c>
      <c r="C102" s="8">
        <v>5000</v>
      </c>
      <c r="D102" s="8">
        <v>0</v>
      </c>
      <c r="E102" s="8">
        <f t="shared" si="3"/>
        <v>2343044</v>
      </c>
      <c r="F102" t="s">
        <v>113</v>
      </c>
      <c r="G102" t="s">
        <v>114</v>
      </c>
      <c r="H102" t="s">
        <v>64</v>
      </c>
    </row>
    <row r="103" spans="2:9">
      <c r="B103" t="s">
        <v>400</v>
      </c>
      <c r="C103" s="54">
        <v>349647</v>
      </c>
      <c r="D103" s="54">
        <v>0</v>
      </c>
      <c r="E103" s="54">
        <f t="shared" si="3"/>
        <v>1993397</v>
      </c>
      <c r="F103" t="s">
        <v>137</v>
      </c>
      <c r="G103" t="s">
        <v>138</v>
      </c>
      <c r="H103" t="s">
        <v>393</v>
      </c>
    </row>
    <row r="104" spans="2:9">
      <c r="B104" t="s">
        <v>401</v>
      </c>
      <c r="C104" s="8">
        <v>275460</v>
      </c>
      <c r="D104" s="8">
        <v>0</v>
      </c>
      <c r="E104" s="8">
        <f t="shared" si="3"/>
        <v>1717937</v>
      </c>
      <c r="F104" t="s">
        <v>319</v>
      </c>
      <c r="G104" t="s">
        <v>117</v>
      </c>
      <c r="H104" t="s">
        <v>64</v>
      </c>
    </row>
    <row r="105" spans="2:9">
      <c r="B105" t="s">
        <v>402</v>
      </c>
      <c r="C105" s="54">
        <v>377300</v>
      </c>
      <c r="D105" s="54">
        <v>0</v>
      </c>
      <c r="E105" s="54">
        <f t="shared" si="3"/>
        <v>1340637</v>
      </c>
      <c r="F105" t="s">
        <v>137</v>
      </c>
      <c r="G105" t="s">
        <v>138</v>
      </c>
      <c r="H105" t="s">
        <v>393</v>
      </c>
    </row>
    <row r="106" spans="2:9">
      <c r="B106" t="s">
        <v>403</v>
      </c>
      <c r="C106" s="54">
        <v>43000</v>
      </c>
      <c r="D106" s="54">
        <v>0</v>
      </c>
      <c r="E106" s="54">
        <f t="shared" si="3"/>
        <v>1297637</v>
      </c>
      <c r="F106" t="s">
        <v>137</v>
      </c>
      <c r="G106" t="s">
        <v>138</v>
      </c>
      <c r="H106" t="s">
        <v>393</v>
      </c>
    </row>
    <row r="107" spans="2:9">
      <c r="B107" t="s">
        <v>404</v>
      </c>
      <c r="C107" s="54">
        <v>88000</v>
      </c>
      <c r="D107" s="54">
        <v>0</v>
      </c>
      <c r="E107" s="54">
        <f t="shared" si="3"/>
        <v>1209637</v>
      </c>
      <c r="F107" t="s">
        <v>137</v>
      </c>
      <c r="G107" t="s">
        <v>138</v>
      </c>
      <c r="H107" s="168" t="s">
        <v>4862</v>
      </c>
      <c r="I107" t="s">
        <v>64</v>
      </c>
    </row>
    <row r="108" spans="2:9">
      <c r="B108" t="s">
        <v>394</v>
      </c>
      <c r="C108" s="54">
        <v>517752</v>
      </c>
      <c r="D108" s="54">
        <v>0</v>
      </c>
      <c r="E108" s="54">
        <f t="shared" si="3"/>
        <v>691885</v>
      </c>
      <c r="F108" t="s">
        <v>137</v>
      </c>
      <c r="G108" t="s">
        <v>138</v>
      </c>
      <c r="H108" s="168" t="s">
        <v>4862</v>
      </c>
      <c r="I108" t="s">
        <v>64</v>
      </c>
    </row>
    <row r="109" spans="2:9">
      <c r="B109" t="s">
        <v>405</v>
      </c>
      <c r="C109" s="8">
        <v>272876</v>
      </c>
      <c r="D109" s="8">
        <v>0</v>
      </c>
      <c r="E109" s="8">
        <f t="shared" si="3"/>
        <v>419009</v>
      </c>
      <c r="F109" t="s">
        <v>319</v>
      </c>
      <c r="G109" t="s">
        <v>117</v>
      </c>
      <c r="H109" t="s">
        <v>64</v>
      </c>
    </row>
    <row r="110" spans="2:9">
      <c r="B110" t="s">
        <v>405</v>
      </c>
      <c r="C110" s="54">
        <v>236309</v>
      </c>
      <c r="D110" s="54">
        <v>0</v>
      </c>
      <c r="E110" s="54">
        <f t="shared" si="3"/>
        <v>182700</v>
      </c>
      <c r="F110" t="s">
        <v>137</v>
      </c>
      <c r="G110" t="s">
        <v>138</v>
      </c>
      <c r="H110" t="s">
        <v>175</v>
      </c>
    </row>
    <row r="111" spans="2:9">
      <c r="B111" t="s">
        <v>406</v>
      </c>
      <c r="C111" s="8">
        <v>172700</v>
      </c>
      <c r="D111" s="8">
        <v>0</v>
      </c>
      <c r="E111" s="8">
        <f t="shared" si="3"/>
        <v>10000</v>
      </c>
      <c r="F111" t="s">
        <v>248</v>
      </c>
      <c r="G111" t="s">
        <v>407</v>
      </c>
      <c r="H111" t="s">
        <v>64</v>
      </c>
    </row>
    <row r="112" spans="2:9">
      <c r="B112" t="s">
        <v>389</v>
      </c>
      <c r="C112" s="8">
        <v>10000</v>
      </c>
      <c r="D112" s="8">
        <v>0</v>
      </c>
      <c r="E112" s="8">
        <f t="shared" si="3"/>
        <v>0</v>
      </c>
      <c r="F112" t="s">
        <v>113</v>
      </c>
      <c r="G112" t="s">
        <v>114</v>
      </c>
      <c r="H112" t="s">
        <v>64</v>
      </c>
    </row>
    <row r="113" spans="1:8">
      <c r="A113" s="3">
        <v>44225</v>
      </c>
      <c r="B113" t="s">
        <v>264</v>
      </c>
      <c r="C113" s="8">
        <v>0</v>
      </c>
      <c r="D113" s="8">
        <v>3585734</v>
      </c>
      <c r="E113" s="8">
        <f t="shared" si="3"/>
        <v>3585734</v>
      </c>
      <c r="F113" t="s">
        <v>107</v>
      </c>
      <c r="G113" t="s">
        <v>274</v>
      </c>
      <c r="H113" t="s">
        <v>140</v>
      </c>
    </row>
    <row r="114" spans="1:8">
      <c r="B114" t="s">
        <v>379</v>
      </c>
      <c r="C114" s="8">
        <v>419750</v>
      </c>
      <c r="D114" s="8">
        <v>0</v>
      </c>
      <c r="E114" s="8">
        <f t="shared" si="3"/>
        <v>3165984</v>
      </c>
      <c r="F114" t="s">
        <v>248</v>
      </c>
      <c r="G114" t="s">
        <v>391</v>
      </c>
      <c r="H114" t="s">
        <v>64</v>
      </c>
    </row>
    <row r="115" spans="1:8">
      <c r="B115" t="s">
        <v>380</v>
      </c>
      <c r="C115" s="8">
        <v>241220</v>
      </c>
      <c r="D115" s="8">
        <v>0</v>
      </c>
      <c r="E115" s="8">
        <f t="shared" si="3"/>
        <v>2924764</v>
      </c>
      <c r="F115" t="s">
        <v>319</v>
      </c>
      <c r="G115" t="s">
        <v>117</v>
      </c>
      <c r="H115" t="s">
        <v>64</v>
      </c>
    </row>
    <row r="116" spans="1:8">
      <c r="B116" t="s">
        <v>381</v>
      </c>
      <c r="C116" s="8">
        <v>880927</v>
      </c>
      <c r="D116" s="8">
        <v>0</v>
      </c>
      <c r="E116" s="8">
        <f t="shared" si="3"/>
        <v>2043837</v>
      </c>
      <c r="F116" t="s">
        <v>319</v>
      </c>
      <c r="G116" t="s">
        <v>1045</v>
      </c>
      <c r="H116" t="s">
        <v>64</v>
      </c>
    </row>
    <row r="117" spans="1:8">
      <c r="B117" t="s">
        <v>382</v>
      </c>
      <c r="C117" s="8">
        <v>5000</v>
      </c>
      <c r="D117" s="8">
        <v>0</v>
      </c>
      <c r="E117" s="8">
        <f t="shared" si="3"/>
        <v>2038837</v>
      </c>
      <c r="F117" t="s">
        <v>113</v>
      </c>
      <c r="G117" t="s">
        <v>114</v>
      </c>
      <c r="H117" t="s">
        <v>64</v>
      </c>
    </row>
    <row r="118" spans="1:8">
      <c r="B118" t="s">
        <v>383</v>
      </c>
      <c r="C118" s="8">
        <v>238575</v>
      </c>
      <c r="D118" s="8">
        <v>0</v>
      </c>
      <c r="E118" s="8">
        <f t="shared" si="3"/>
        <v>1800262</v>
      </c>
      <c r="F118" t="s">
        <v>319</v>
      </c>
      <c r="G118" t="s">
        <v>1045</v>
      </c>
      <c r="H118" t="s">
        <v>64</v>
      </c>
    </row>
    <row r="119" spans="1:8">
      <c r="B119" t="s">
        <v>384</v>
      </c>
      <c r="C119" s="8">
        <v>284733</v>
      </c>
      <c r="D119" s="8">
        <v>0</v>
      </c>
      <c r="E119" s="8">
        <f t="shared" si="3"/>
        <v>1515529</v>
      </c>
      <c r="F119" t="s">
        <v>319</v>
      </c>
      <c r="G119" t="s">
        <v>117</v>
      </c>
      <c r="H119" t="s">
        <v>64</v>
      </c>
    </row>
    <row r="120" spans="1:8">
      <c r="B120" t="s">
        <v>385</v>
      </c>
      <c r="C120" s="54">
        <v>320400</v>
      </c>
      <c r="D120" s="54">
        <v>0</v>
      </c>
      <c r="E120" s="54">
        <f t="shared" si="3"/>
        <v>1195129</v>
      </c>
      <c r="F120" t="s">
        <v>137</v>
      </c>
      <c r="G120" t="s">
        <v>138</v>
      </c>
      <c r="H120" t="s">
        <v>393</v>
      </c>
    </row>
    <row r="121" spans="1:8">
      <c r="B121" t="s">
        <v>386</v>
      </c>
      <c r="C121" s="8">
        <v>277420</v>
      </c>
      <c r="D121" s="8">
        <v>0</v>
      </c>
      <c r="E121" s="8">
        <f t="shared" si="3"/>
        <v>917709</v>
      </c>
      <c r="F121" t="s">
        <v>319</v>
      </c>
      <c r="G121" t="s">
        <v>117</v>
      </c>
      <c r="H121" t="s">
        <v>64</v>
      </c>
    </row>
    <row r="122" spans="1:8">
      <c r="B122" t="s">
        <v>384</v>
      </c>
      <c r="C122" s="8">
        <v>293783</v>
      </c>
      <c r="D122" s="8">
        <v>0</v>
      </c>
      <c r="E122" s="8">
        <f t="shared" si="3"/>
        <v>623926</v>
      </c>
      <c r="F122" t="s">
        <v>319</v>
      </c>
      <c r="G122" t="s">
        <v>117</v>
      </c>
      <c r="H122" t="s">
        <v>64</v>
      </c>
    </row>
    <row r="123" spans="1:8">
      <c r="B123" t="s">
        <v>387</v>
      </c>
      <c r="C123" s="54">
        <v>208800</v>
      </c>
      <c r="D123" s="54">
        <v>0</v>
      </c>
      <c r="E123" s="54">
        <f t="shared" si="3"/>
        <v>415126</v>
      </c>
      <c r="F123" t="s">
        <v>137</v>
      </c>
      <c r="G123" t="s">
        <v>138</v>
      </c>
      <c r="H123" t="s">
        <v>175</v>
      </c>
    </row>
    <row r="124" spans="1:8">
      <c r="B124" t="s">
        <v>388</v>
      </c>
      <c r="C124" s="8">
        <v>109300</v>
      </c>
      <c r="D124" s="8">
        <v>0</v>
      </c>
      <c r="E124" s="8">
        <f t="shared" si="3"/>
        <v>305826</v>
      </c>
      <c r="F124" t="s">
        <v>137</v>
      </c>
      <c r="G124" t="s">
        <v>138</v>
      </c>
      <c r="H124" t="s">
        <v>175</v>
      </c>
    </row>
    <row r="125" spans="1:8">
      <c r="B125" t="s">
        <v>389</v>
      </c>
      <c r="C125" s="8">
        <v>10000</v>
      </c>
      <c r="D125" s="8">
        <v>0</v>
      </c>
      <c r="E125" s="8">
        <f t="shared" si="3"/>
        <v>295826</v>
      </c>
      <c r="F125" t="s">
        <v>113</v>
      </c>
      <c r="G125" t="s">
        <v>114</v>
      </c>
      <c r="H125" t="s">
        <v>64</v>
      </c>
    </row>
    <row r="126" spans="1:8">
      <c r="B126" t="s">
        <v>390</v>
      </c>
      <c r="C126" s="8">
        <v>295826</v>
      </c>
      <c r="D126" s="8">
        <v>0</v>
      </c>
      <c r="E126" s="8">
        <f t="shared" si="3"/>
        <v>0</v>
      </c>
      <c r="F126" t="s">
        <v>319</v>
      </c>
      <c r="G126" t="s">
        <v>117</v>
      </c>
      <c r="H126" t="s">
        <v>64</v>
      </c>
    </row>
    <row r="127" spans="1:8">
      <c r="A127" s="3">
        <v>44225</v>
      </c>
      <c r="B127" t="s">
        <v>266</v>
      </c>
      <c r="C127" s="8">
        <v>0</v>
      </c>
      <c r="D127" s="8">
        <v>154576856</v>
      </c>
      <c r="E127" s="8">
        <f t="shared" si="3"/>
        <v>154576856</v>
      </c>
      <c r="F127" t="s">
        <v>107</v>
      </c>
      <c r="G127" t="s">
        <v>274</v>
      </c>
      <c r="H127" t="s">
        <v>142</v>
      </c>
    </row>
    <row r="128" spans="1:8">
      <c r="B128" t="s">
        <v>408</v>
      </c>
      <c r="C128" s="8">
        <v>37067878</v>
      </c>
      <c r="D128" s="8">
        <v>0</v>
      </c>
      <c r="E128" s="8">
        <f t="shared" si="3"/>
        <v>117508978</v>
      </c>
      <c r="F128" t="s">
        <v>115</v>
      </c>
      <c r="G128" t="s">
        <v>120</v>
      </c>
      <c r="H128" t="s">
        <v>132</v>
      </c>
    </row>
    <row r="129" spans="1:10">
      <c r="B129" t="s">
        <v>409</v>
      </c>
      <c r="C129" s="8">
        <v>2087000</v>
      </c>
      <c r="D129" s="8">
        <v>0</v>
      </c>
      <c r="E129" s="8">
        <f t="shared" si="3"/>
        <v>115421978</v>
      </c>
      <c r="F129" t="s">
        <v>115</v>
      </c>
      <c r="G129" t="s">
        <v>120</v>
      </c>
      <c r="H129" t="s">
        <v>127</v>
      </c>
      <c r="I129" s="14" t="s">
        <v>444</v>
      </c>
    </row>
    <row r="130" spans="1:10">
      <c r="B130" t="s">
        <v>409</v>
      </c>
      <c r="C130" s="8">
        <v>1794000</v>
      </c>
      <c r="D130" s="8">
        <v>0</v>
      </c>
      <c r="E130" s="8">
        <f t="shared" si="3"/>
        <v>113627978</v>
      </c>
      <c r="F130" t="s">
        <v>115</v>
      </c>
      <c r="G130" t="s">
        <v>120</v>
      </c>
      <c r="H130" t="s">
        <v>127</v>
      </c>
      <c r="I130" s="14" t="s">
        <v>444</v>
      </c>
    </row>
    <row r="131" spans="1:10">
      <c r="B131" t="s">
        <v>410</v>
      </c>
      <c r="C131" s="8">
        <v>895000</v>
      </c>
      <c r="D131" s="8">
        <v>0</v>
      </c>
      <c r="E131" s="8">
        <f t="shared" si="3"/>
        <v>112732978</v>
      </c>
      <c r="F131" t="s">
        <v>115</v>
      </c>
      <c r="G131" t="s">
        <v>120</v>
      </c>
      <c r="H131" t="s">
        <v>127</v>
      </c>
      <c r="I131" s="14" t="s">
        <v>444</v>
      </c>
    </row>
    <row r="132" spans="1:10">
      <c r="B132" t="s">
        <v>411</v>
      </c>
      <c r="C132" s="8">
        <v>6927347</v>
      </c>
      <c r="D132" s="8">
        <v>0</v>
      </c>
      <c r="E132" s="8">
        <f t="shared" si="3"/>
        <v>105805631</v>
      </c>
      <c r="F132" t="s">
        <v>115</v>
      </c>
      <c r="G132" t="s">
        <v>120</v>
      </c>
      <c r="H132" t="s">
        <v>127</v>
      </c>
      <c r="I132" s="14" t="s">
        <v>444</v>
      </c>
    </row>
    <row r="133" spans="1:10">
      <c r="B133" t="s">
        <v>412</v>
      </c>
      <c r="C133" s="8">
        <v>544500</v>
      </c>
      <c r="D133" s="8">
        <v>0</v>
      </c>
      <c r="E133" s="8">
        <f t="shared" si="3"/>
        <v>105261131</v>
      </c>
      <c r="F133" t="s">
        <v>115</v>
      </c>
      <c r="G133" t="s">
        <v>120</v>
      </c>
      <c r="H133" t="s">
        <v>127</v>
      </c>
      <c r="I133" s="14" t="s">
        <v>444</v>
      </c>
    </row>
    <row r="134" spans="1:10">
      <c r="B134" t="s">
        <v>413</v>
      </c>
      <c r="C134" s="8">
        <v>75000000</v>
      </c>
      <c r="D134" s="8">
        <v>0</v>
      </c>
      <c r="E134" s="8">
        <f t="shared" si="3"/>
        <v>30261131</v>
      </c>
      <c r="F134" t="s">
        <v>137</v>
      </c>
      <c r="G134" t="s">
        <v>138</v>
      </c>
      <c r="H134" t="s">
        <v>393</v>
      </c>
    </row>
    <row r="135" spans="1:10">
      <c r="B135" t="s">
        <v>414</v>
      </c>
      <c r="C135" s="8">
        <v>9800000</v>
      </c>
      <c r="D135" s="8">
        <v>0</v>
      </c>
      <c r="E135" s="8">
        <f t="shared" si="3"/>
        <v>20461131</v>
      </c>
      <c r="F135" t="s">
        <v>115</v>
      </c>
      <c r="G135" t="s">
        <v>120</v>
      </c>
      <c r="H135" t="s">
        <v>418</v>
      </c>
      <c r="I135" t="s">
        <v>444</v>
      </c>
    </row>
    <row r="136" spans="1:10">
      <c r="B136" t="s">
        <v>415</v>
      </c>
      <c r="C136" s="8">
        <v>11001129</v>
      </c>
      <c r="D136" s="8">
        <v>0</v>
      </c>
      <c r="E136" s="8">
        <f t="shared" si="3"/>
        <v>9460002</v>
      </c>
      <c r="F136" t="s">
        <v>137</v>
      </c>
      <c r="G136" t="s">
        <v>138</v>
      </c>
      <c r="H136" t="s">
        <v>251</v>
      </c>
    </row>
    <row r="137" spans="1:10">
      <c r="B137" t="s">
        <v>416</v>
      </c>
      <c r="C137" s="8">
        <v>9450000</v>
      </c>
      <c r="D137" s="8">
        <v>0</v>
      </c>
      <c r="E137" s="8">
        <f t="shared" si="3"/>
        <v>10002</v>
      </c>
      <c r="F137" t="s">
        <v>137</v>
      </c>
      <c r="G137" t="s">
        <v>138</v>
      </c>
      <c r="H137" t="s">
        <v>251</v>
      </c>
    </row>
    <row r="138" spans="1:10">
      <c r="B138" t="s">
        <v>417</v>
      </c>
      <c r="C138" s="8">
        <v>10000</v>
      </c>
      <c r="D138" s="8">
        <v>0</v>
      </c>
      <c r="E138" s="8">
        <f t="shared" si="3"/>
        <v>2</v>
      </c>
      <c r="F138" t="s">
        <v>113</v>
      </c>
      <c r="G138" t="s">
        <v>114</v>
      </c>
      <c r="H138" t="s">
        <v>64</v>
      </c>
    </row>
    <row r="139" spans="1:10">
      <c r="B139" t="s">
        <v>419</v>
      </c>
      <c r="C139" s="8">
        <v>2</v>
      </c>
      <c r="D139" s="8">
        <v>0</v>
      </c>
      <c r="E139" s="8">
        <f t="shared" si="3"/>
        <v>0</v>
      </c>
      <c r="F139" t="s">
        <v>252</v>
      </c>
      <c r="G139" t="s">
        <v>665</v>
      </c>
    </row>
    <row r="140" spans="1:10">
      <c r="A140" s="3">
        <v>44228</v>
      </c>
      <c r="B140" t="s">
        <v>996</v>
      </c>
      <c r="C140" s="54">
        <v>0</v>
      </c>
      <c r="D140" s="54">
        <v>7000000</v>
      </c>
      <c r="E140" s="54">
        <f t="shared" si="3"/>
        <v>7000000</v>
      </c>
      <c r="F140" s="14" t="s">
        <v>115</v>
      </c>
      <c r="G140" s="14" t="s">
        <v>439</v>
      </c>
      <c r="H140" s="14" t="s">
        <v>247</v>
      </c>
    </row>
    <row r="141" spans="1:10">
      <c r="B141" t="s">
        <v>996</v>
      </c>
      <c r="C141" s="54">
        <v>7000000</v>
      </c>
      <c r="D141" s="54">
        <v>0</v>
      </c>
      <c r="E141" s="54">
        <f t="shared" si="3"/>
        <v>0</v>
      </c>
      <c r="F141" s="14" t="s">
        <v>110</v>
      </c>
      <c r="G141" s="14" t="s">
        <v>616</v>
      </c>
      <c r="H141" s="14" t="s">
        <v>4621</v>
      </c>
    </row>
    <row r="142" spans="1:10">
      <c r="A142" s="3">
        <v>44230</v>
      </c>
      <c r="B142" t="s">
        <v>286</v>
      </c>
      <c r="C142" s="8">
        <v>0</v>
      </c>
      <c r="D142" s="8">
        <v>13111322.700000003</v>
      </c>
      <c r="E142" s="54">
        <f t="shared" si="3"/>
        <v>13111322.700000003</v>
      </c>
      <c r="F142" t="s">
        <v>110</v>
      </c>
      <c r="G142" t="s">
        <v>188</v>
      </c>
      <c r="H142" s="14" t="s">
        <v>132</v>
      </c>
      <c r="I142">
        <v>70</v>
      </c>
    </row>
    <row r="143" spans="1:10">
      <c r="B143" t="s">
        <v>286</v>
      </c>
      <c r="C143" s="8">
        <v>10926103.700000001</v>
      </c>
      <c r="D143" s="8">
        <v>0</v>
      </c>
      <c r="E143" s="54">
        <f t="shared" si="3"/>
        <v>2185219.0000000019</v>
      </c>
      <c r="F143" t="s">
        <v>115</v>
      </c>
      <c r="G143" t="s">
        <v>441</v>
      </c>
      <c r="H143" t="s">
        <v>567</v>
      </c>
      <c r="I143" s="14" t="s">
        <v>132</v>
      </c>
      <c r="J143">
        <v>70</v>
      </c>
    </row>
    <row r="144" spans="1:10">
      <c r="B144" t="s">
        <v>286</v>
      </c>
      <c r="C144" s="8">
        <v>2185220.7400000002</v>
      </c>
      <c r="D144" s="8">
        <v>0</v>
      </c>
      <c r="E144" s="54">
        <f t="shared" si="3"/>
        <v>-1.7399999983608723</v>
      </c>
      <c r="F144" t="s">
        <v>115</v>
      </c>
      <c r="G144" t="s">
        <v>441</v>
      </c>
      <c r="H144" t="s">
        <v>442</v>
      </c>
      <c r="I144" s="14" t="s">
        <v>132</v>
      </c>
      <c r="J144">
        <v>70</v>
      </c>
    </row>
    <row r="145" spans="1:10">
      <c r="B145" t="s">
        <v>286</v>
      </c>
      <c r="C145" s="8">
        <v>0</v>
      </c>
      <c r="D145" s="8">
        <v>1.73999999836087</v>
      </c>
      <c r="E145" s="54">
        <f t="shared" si="3"/>
        <v>-2.2204460492503131E-15</v>
      </c>
      <c r="F145" t="s">
        <v>252</v>
      </c>
      <c r="G145" t="s">
        <v>664</v>
      </c>
      <c r="H145" t="s">
        <v>64</v>
      </c>
      <c r="I145" s="14" t="s">
        <v>64</v>
      </c>
      <c r="J145" t="s">
        <v>64</v>
      </c>
    </row>
    <row r="146" spans="1:10">
      <c r="A146" s="3">
        <v>44236</v>
      </c>
      <c r="B146" t="s">
        <v>332</v>
      </c>
      <c r="C146" s="8">
        <v>0</v>
      </c>
      <c r="D146" s="8">
        <v>91636363.399999976</v>
      </c>
      <c r="E146" s="54">
        <f t="shared" si="3"/>
        <v>91636363.399999976</v>
      </c>
      <c r="F146" t="s">
        <v>110</v>
      </c>
      <c r="G146" t="s">
        <v>188</v>
      </c>
      <c r="H146" t="s">
        <v>371</v>
      </c>
      <c r="I146">
        <v>71</v>
      </c>
    </row>
    <row r="147" spans="1:10">
      <c r="B147" t="s">
        <v>332</v>
      </c>
      <c r="C147" s="20">
        <v>76363636.400000006</v>
      </c>
      <c r="D147" s="8">
        <v>0</v>
      </c>
      <c r="E147" s="54">
        <f t="shared" si="3"/>
        <v>15272726.99999997</v>
      </c>
      <c r="F147" t="s">
        <v>115</v>
      </c>
      <c r="G147" t="s">
        <v>441</v>
      </c>
      <c r="H147" t="s">
        <v>567</v>
      </c>
      <c r="I147" t="s">
        <v>371</v>
      </c>
      <c r="J147">
        <v>71</v>
      </c>
    </row>
    <row r="148" spans="1:10">
      <c r="B148" t="s">
        <v>332</v>
      </c>
      <c r="C148" s="8">
        <v>15272727.279999999</v>
      </c>
      <c r="D148" s="8">
        <v>0</v>
      </c>
      <c r="E148" s="54">
        <f t="shared" si="3"/>
        <v>-0.28000002913177013</v>
      </c>
      <c r="F148" t="s">
        <v>115</v>
      </c>
      <c r="G148" t="s">
        <v>441</v>
      </c>
      <c r="H148" t="s">
        <v>442</v>
      </c>
      <c r="I148" t="s">
        <v>371</v>
      </c>
      <c r="J148">
        <v>71</v>
      </c>
    </row>
    <row r="149" spans="1:10">
      <c r="B149" t="s">
        <v>332</v>
      </c>
      <c r="C149" s="8">
        <v>0</v>
      </c>
      <c r="D149" s="8">
        <v>0.28000002913177002</v>
      </c>
      <c r="E149" s="54">
        <f t="shared" si="3"/>
        <v>0</v>
      </c>
      <c r="F149" t="s">
        <v>252</v>
      </c>
      <c r="G149" t="s">
        <v>664</v>
      </c>
      <c r="H149" t="s">
        <v>64</v>
      </c>
      <c r="I149" s="14" t="s">
        <v>64</v>
      </c>
      <c r="J149" t="s">
        <v>64</v>
      </c>
    </row>
    <row r="150" spans="1:10">
      <c r="A150" s="3">
        <v>44236</v>
      </c>
      <c r="B150" t="s">
        <v>333</v>
      </c>
      <c r="C150" s="8">
        <v>0</v>
      </c>
      <c r="D150" s="8">
        <v>52799999.99999994</v>
      </c>
      <c r="E150" s="54">
        <f t="shared" si="3"/>
        <v>52799999.99999994</v>
      </c>
      <c r="F150" t="s">
        <v>110</v>
      </c>
      <c r="G150" t="s">
        <v>188</v>
      </c>
      <c r="H150" t="s">
        <v>124</v>
      </c>
      <c r="I150">
        <v>57</v>
      </c>
    </row>
    <row r="151" spans="1:10">
      <c r="B151" t="s">
        <v>333</v>
      </c>
      <c r="C151" s="8">
        <v>44000000</v>
      </c>
      <c r="D151" s="8">
        <v>0</v>
      </c>
      <c r="E151" s="54">
        <f t="shared" si="3"/>
        <v>8799999.9999999404</v>
      </c>
      <c r="F151" t="s">
        <v>115</v>
      </c>
      <c r="G151" t="s">
        <v>441</v>
      </c>
      <c r="H151" t="s">
        <v>567</v>
      </c>
      <c r="I151" t="s">
        <v>124</v>
      </c>
      <c r="J151">
        <v>57</v>
      </c>
    </row>
    <row r="152" spans="1:10">
      <c r="B152" t="s">
        <v>333</v>
      </c>
      <c r="C152" s="20">
        <v>8799999.9999999404</v>
      </c>
      <c r="D152" s="8">
        <v>0</v>
      </c>
      <c r="E152" s="54">
        <f t="shared" si="3"/>
        <v>0</v>
      </c>
      <c r="F152" t="s">
        <v>115</v>
      </c>
      <c r="G152" t="s">
        <v>441</v>
      </c>
      <c r="H152" t="s">
        <v>442</v>
      </c>
      <c r="I152" t="s">
        <v>124</v>
      </c>
      <c r="J152">
        <v>57</v>
      </c>
    </row>
    <row r="153" spans="1:10">
      <c r="A153" s="3">
        <v>44237</v>
      </c>
      <c r="B153" t="s">
        <v>338</v>
      </c>
      <c r="C153" s="8">
        <v>0</v>
      </c>
      <c r="D153" s="8">
        <v>163636363.4000001</v>
      </c>
      <c r="E153" s="54">
        <f t="shared" si="3"/>
        <v>163636363.4000001</v>
      </c>
      <c r="F153" t="s">
        <v>581</v>
      </c>
      <c r="G153" t="s">
        <v>582</v>
      </c>
      <c r="H153" t="s">
        <v>173</v>
      </c>
      <c r="I153">
        <v>6</v>
      </c>
    </row>
    <row r="154" spans="1:10">
      <c r="B154" t="s">
        <v>338</v>
      </c>
      <c r="C154" s="8">
        <v>136363636.40000001</v>
      </c>
      <c r="D154" s="8">
        <v>0</v>
      </c>
      <c r="E154" s="54">
        <f t="shared" si="3"/>
        <v>27272727.000000089</v>
      </c>
      <c r="F154" t="s">
        <v>568</v>
      </c>
      <c r="G154" s="14" t="s">
        <v>4395</v>
      </c>
      <c r="H154" t="s">
        <v>173</v>
      </c>
      <c r="I154">
        <v>6</v>
      </c>
    </row>
    <row r="155" spans="1:10">
      <c r="B155" t="s">
        <v>338</v>
      </c>
      <c r="C155" s="8">
        <v>27272727.280000001</v>
      </c>
      <c r="D155" s="8">
        <v>0</v>
      </c>
      <c r="E155" s="54">
        <f t="shared" si="3"/>
        <v>-0.27999991178512573</v>
      </c>
      <c r="F155" t="s">
        <v>714</v>
      </c>
      <c r="G155" t="s">
        <v>715</v>
      </c>
      <c r="H155" t="s">
        <v>173</v>
      </c>
      <c r="I155">
        <v>6</v>
      </c>
    </row>
    <row r="156" spans="1:10">
      <c r="B156" t="s">
        <v>338</v>
      </c>
      <c r="C156" s="20">
        <v>0</v>
      </c>
      <c r="D156" s="8">
        <v>0.27999991178512601</v>
      </c>
      <c r="E156" s="54">
        <f t="shared" si="3"/>
        <v>0</v>
      </c>
      <c r="F156" t="s">
        <v>252</v>
      </c>
      <c r="G156" t="s">
        <v>664</v>
      </c>
    </row>
    <row r="157" spans="1:10">
      <c r="A157" s="3">
        <v>44237</v>
      </c>
      <c r="B157" t="s">
        <v>995</v>
      </c>
      <c r="C157" s="20">
        <v>0</v>
      </c>
      <c r="D157" s="20">
        <v>3000000</v>
      </c>
      <c r="E157" s="54">
        <f t="shared" si="3"/>
        <v>3000000</v>
      </c>
      <c r="F157" s="14" t="s">
        <v>115</v>
      </c>
      <c r="G157" s="14" t="s">
        <v>439</v>
      </c>
      <c r="H157" s="14" t="s">
        <v>247</v>
      </c>
    </row>
    <row r="158" spans="1:10">
      <c r="B158" t="s">
        <v>995</v>
      </c>
      <c r="C158" s="20">
        <v>3000000</v>
      </c>
      <c r="D158" s="20">
        <v>0</v>
      </c>
      <c r="E158" s="54">
        <f t="shared" ref="E158:E162" si="4">E157-C158+D158</f>
        <v>0</v>
      </c>
      <c r="F158" s="14" t="s">
        <v>110</v>
      </c>
      <c r="G158" s="14" t="s">
        <v>616</v>
      </c>
      <c r="H158" s="14" t="s">
        <v>4621</v>
      </c>
    </row>
    <row r="159" spans="1:10">
      <c r="A159" s="3">
        <v>44237</v>
      </c>
      <c r="B159" t="s">
        <v>337</v>
      </c>
      <c r="C159" s="20">
        <v>0</v>
      </c>
      <c r="D159" s="20">
        <v>1870909</v>
      </c>
      <c r="E159" s="54">
        <f t="shared" si="4"/>
        <v>1870909</v>
      </c>
      <c r="F159" s="14" t="s">
        <v>115</v>
      </c>
      <c r="G159" s="14" t="s">
        <v>439</v>
      </c>
      <c r="H159" s="14" t="s">
        <v>247</v>
      </c>
    </row>
    <row r="160" spans="1:10">
      <c r="B160" t="s">
        <v>337</v>
      </c>
      <c r="C160" s="20">
        <v>1870909</v>
      </c>
      <c r="D160" s="20">
        <v>0</v>
      </c>
      <c r="E160" s="54">
        <f t="shared" si="4"/>
        <v>0</v>
      </c>
      <c r="F160" s="14" t="s">
        <v>110</v>
      </c>
      <c r="G160" s="14" t="s">
        <v>616</v>
      </c>
      <c r="H160" s="14" t="s">
        <v>4621</v>
      </c>
    </row>
    <row r="161" spans="1:9">
      <c r="A161" s="3">
        <v>44238</v>
      </c>
      <c r="B161" t="s">
        <v>790</v>
      </c>
      <c r="C161" s="8">
        <v>0</v>
      </c>
      <c r="D161" s="8">
        <v>3456000</v>
      </c>
      <c r="E161" s="54">
        <f t="shared" si="4"/>
        <v>3456000</v>
      </c>
      <c r="F161" t="s">
        <v>581</v>
      </c>
      <c r="G161" t="s">
        <v>582</v>
      </c>
      <c r="H161" t="s">
        <v>529</v>
      </c>
      <c r="I161">
        <v>9</v>
      </c>
    </row>
    <row r="162" spans="1:9">
      <c r="B162" t="s">
        <v>790</v>
      </c>
      <c r="C162" s="8">
        <v>2880000</v>
      </c>
      <c r="D162" s="8">
        <v>0</v>
      </c>
      <c r="E162" s="54">
        <f t="shared" si="4"/>
        <v>576000</v>
      </c>
      <c r="F162" t="s">
        <v>568</v>
      </c>
      <c r="G162" s="14" t="s">
        <v>4395</v>
      </c>
      <c r="H162" t="s">
        <v>3026</v>
      </c>
      <c r="I162">
        <v>9</v>
      </c>
    </row>
    <row r="163" spans="1:9">
      <c r="B163" t="s">
        <v>790</v>
      </c>
      <c r="C163" s="8">
        <v>576000</v>
      </c>
      <c r="D163" s="8">
        <v>0</v>
      </c>
      <c r="E163" s="8">
        <f t="shared" ref="E163:E173" si="5">E162-C163+D163</f>
        <v>0</v>
      </c>
      <c r="F163" t="s">
        <v>714</v>
      </c>
      <c r="G163" t="s">
        <v>715</v>
      </c>
      <c r="H163" t="s">
        <v>529</v>
      </c>
      <c r="I163">
        <v>9</v>
      </c>
    </row>
    <row r="164" spans="1:9">
      <c r="A164" s="3">
        <v>44238</v>
      </c>
      <c r="B164" t="s">
        <v>791</v>
      </c>
      <c r="C164" s="8">
        <v>0</v>
      </c>
      <c r="D164" s="8">
        <v>29109960</v>
      </c>
      <c r="E164" s="8">
        <f t="shared" si="5"/>
        <v>29109960</v>
      </c>
      <c r="F164" t="s">
        <v>581</v>
      </c>
      <c r="G164" t="s">
        <v>582</v>
      </c>
      <c r="H164" t="s">
        <v>245</v>
      </c>
      <c r="I164">
        <v>10</v>
      </c>
    </row>
    <row r="165" spans="1:9">
      <c r="B165" t="s">
        <v>791</v>
      </c>
      <c r="C165" s="20">
        <v>24258300</v>
      </c>
      <c r="D165" s="8">
        <v>0</v>
      </c>
      <c r="E165" s="8">
        <f t="shared" si="5"/>
        <v>4851660</v>
      </c>
      <c r="F165" t="s">
        <v>568</v>
      </c>
      <c r="G165" s="14" t="s">
        <v>4395</v>
      </c>
      <c r="H165" t="s">
        <v>245</v>
      </c>
      <c r="I165">
        <v>10</v>
      </c>
    </row>
    <row r="166" spans="1:9">
      <c r="B166" t="s">
        <v>791</v>
      </c>
      <c r="C166" s="20">
        <v>4851660</v>
      </c>
      <c r="D166" s="8">
        <v>0</v>
      </c>
      <c r="E166" s="8">
        <f t="shared" si="5"/>
        <v>0</v>
      </c>
      <c r="F166" t="s">
        <v>714</v>
      </c>
      <c r="G166" t="s">
        <v>715</v>
      </c>
      <c r="H166" t="s">
        <v>245</v>
      </c>
      <c r="I166">
        <v>10</v>
      </c>
    </row>
    <row r="167" spans="1:9">
      <c r="A167" s="3">
        <v>44242</v>
      </c>
      <c r="B167" t="s">
        <v>785</v>
      </c>
      <c r="C167" s="8">
        <v>0</v>
      </c>
      <c r="D167" s="8">
        <v>140789811</v>
      </c>
      <c r="E167" s="8">
        <f t="shared" si="5"/>
        <v>140789811</v>
      </c>
      <c r="F167" t="s">
        <v>107</v>
      </c>
      <c r="G167" t="s">
        <v>274</v>
      </c>
      <c r="H167" t="s">
        <v>143</v>
      </c>
    </row>
    <row r="168" spans="1:9">
      <c r="B168" t="s">
        <v>919</v>
      </c>
      <c r="C168" s="54">
        <v>247100</v>
      </c>
      <c r="D168" s="54">
        <v>0</v>
      </c>
      <c r="E168" s="8">
        <f t="shared" si="5"/>
        <v>140542711</v>
      </c>
      <c r="F168" t="s">
        <v>736</v>
      </c>
      <c r="G168" t="s">
        <v>455</v>
      </c>
      <c r="H168" t="s">
        <v>64</v>
      </c>
    </row>
    <row r="169" spans="1:9" s="14" customFormat="1">
      <c r="A169" s="138"/>
      <c r="B169" s="14" t="s">
        <v>884</v>
      </c>
      <c r="C169" s="53">
        <v>370000</v>
      </c>
      <c r="D169" s="53">
        <v>0</v>
      </c>
      <c r="E169" s="8">
        <f t="shared" si="5"/>
        <v>140172711</v>
      </c>
      <c r="F169" s="14" t="s">
        <v>115</v>
      </c>
      <c r="G169" s="14" t="s">
        <v>120</v>
      </c>
      <c r="H169" s="14" t="s">
        <v>127</v>
      </c>
      <c r="I169" s="14" t="s">
        <v>444</v>
      </c>
    </row>
    <row r="170" spans="1:9">
      <c r="B170" t="s">
        <v>885</v>
      </c>
      <c r="C170" s="54">
        <v>75000000</v>
      </c>
      <c r="D170" s="54">
        <v>0</v>
      </c>
      <c r="E170" s="8">
        <f t="shared" si="5"/>
        <v>65172711</v>
      </c>
      <c r="F170" t="s">
        <v>137</v>
      </c>
      <c r="G170" t="s">
        <v>138</v>
      </c>
      <c r="H170" t="s">
        <v>393</v>
      </c>
    </row>
    <row r="171" spans="1:9">
      <c r="B171" t="s">
        <v>886</v>
      </c>
      <c r="C171" s="54">
        <v>100750</v>
      </c>
      <c r="D171" s="54">
        <v>0</v>
      </c>
      <c r="E171" s="8">
        <f t="shared" si="5"/>
        <v>65071961</v>
      </c>
      <c r="F171" t="s">
        <v>137</v>
      </c>
      <c r="G171" t="s">
        <v>138</v>
      </c>
      <c r="H171" t="s">
        <v>393</v>
      </c>
    </row>
    <row r="172" spans="1:9">
      <c r="B172" t="s">
        <v>887</v>
      </c>
      <c r="C172" s="54">
        <v>850000</v>
      </c>
      <c r="D172" s="54">
        <v>0</v>
      </c>
      <c r="E172" s="8">
        <f t="shared" si="5"/>
        <v>64221961</v>
      </c>
      <c r="F172" t="s">
        <v>137</v>
      </c>
      <c r="G172" t="s">
        <v>138</v>
      </c>
      <c r="H172" t="s">
        <v>393</v>
      </c>
    </row>
    <row r="173" spans="1:9">
      <c r="B173" t="s">
        <v>920</v>
      </c>
      <c r="C173" s="54">
        <v>79600</v>
      </c>
      <c r="D173" s="54">
        <v>0</v>
      </c>
      <c r="E173" s="8">
        <f t="shared" si="5"/>
        <v>64142361</v>
      </c>
      <c r="F173" t="s">
        <v>319</v>
      </c>
      <c r="G173" t="s">
        <v>918</v>
      </c>
      <c r="H173" t="s">
        <v>64</v>
      </c>
    </row>
    <row r="174" spans="1:9">
      <c r="B174" t="s">
        <v>921</v>
      </c>
      <c r="C174" s="54">
        <v>74600</v>
      </c>
      <c r="D174" s="54">
        <v>0</v>
      </c>
      <c r="E174" s="8">
        <f t="shared" ref="E174:E226" si="6">E173-C174+D174</f>
        <v>64067761</v>
      </c>
      <c r="F174" t="s">
        <v>319</v>
      </c>
      <c r="G174" t="s">
        <v>918</v>
      </c>
      <c r="H174" t="s">
        <v>64</v>
      </c>
    </row>
    <row r="175" spans="1:9">
      <c r="B175" t="s">
        <v>889</v>
      </c>
      <c r="C175" s="54">
        <v>5127150</v>
      </c>
      <c r="D175" s="54">
        <v>0</v>
      </c>
      <c r="E175" s="8">
        <f t="shared" si="6"/>
        <v>58940611</v>
      </c>
      <c r="F175" t="s">
        <v>137</v>
      </c>
      <c r="G175" t="s">
        <v>138</v>
      </c>
      <c r="H175" t="s">
        <v>251</v>
      </c>
    </row>
    <row r="176" spans="1:9">
      <c r="B176" t="s">
        <v>890</v>
      </c>
      <c r="C176" s="54">
        <v>150000</v>
      </c>
      <c r="D176" s="54">
        <v>0</v>
      </c>
      <c r="E176" s="8">
        <f t="shared" si="6"/>
        <v>58790611</v>
      </c>
      <c r="F176" t="s">
        <v>319</v>
      </c>
      <c r="G176" t="s">
        <v>117</v>
      </c>
      <c r="H176" t="s">
        <v>64</v>
      </c>
    </row>
    <row r="177" spans="1:9">
      <c r="B177" t="s">
        <v>891</v>
      </c>
      <c r="C177" s="54">
        <v>5600000</v>
      </c>
      <c r="D177" s="54">
        <v>0</v>
      </c>
      <c r="E177" s="8">
        <f t="shared" si="6"/>
        <v>53190611</v>
      </c>
      <c r="F177" t="s">
        <v>137</v>
      </c>
      <c r="G177" t="s">
        <v>138</v>
      </c>
      <c r="H177" t="s">
        <v>251</v>
      </c>
    </row>
    <row r="178" spans="1:9">
      <c r="B178" t="s">
        <v>891</v>
      </c>
      <c r="C178" s="54">
        <v>5000000</v>
      </c>
      <c r="D178" s="54">
        <v>0</v>
      </c>
      <c r="E178" s="8">
        <f t="shared" si="6"/>
        <v>48190611</v>
      </c>
      <c r="F178" t="s">
        <v>137</v>
      </c>
      <c r="G178" t="s">
        <v>138</v>
      </c>
      <c r="H178" t="s">
        <v>251</v>
      </c>
    </row>
    <row r="179" spans="1:9">
      <c r="B179" t="s">
        <v>892</v>
      </c>
      <c r="C179" s="54">
        <v>111600</v>
      </c>
      <c r="D179" s="54">
        <v>0</v>
      </c>
      <c r="E179" s="8">
        <f t="shared" si="6"/>
        <v>48079011</v>
      </c>
      <c r="F179" t="s">
        <v>137</v>
      </c>
      <c r="G179" t="s">
        <v>138</v>
      </c>
      <c r="H179" t="s">
        <v>173</v>
      </c>
    </row>
    <row r="180" spans="1:9">
      <c r="B180" t="s">
        <v>893</v>
      </c>
      <c r="C180" s="54">
        <v>4000000</v>
      </c>
      <c r="D180" s="54">
        <v>0</v>
      </c>
      <c r="E180" s="8">
        <f t="shared" si="6"/>
        <v>44079011</v>
      </c>
      <c r="F180" t="s">
        <v>137</v>
      </c>
      <c r="G180" t="s">
        <v>138</v>
      </c>
      <c r="H180" t="s">
        <v>251</v>
      </c>
    </row>
    <row r="181" spans="1:9">
      <c r="B181" t="s">
        <v>888</v>
      </c>
      <c r="C181" s="54">
        <v>846900</v>
      </c>
      <c r="D181" s="54">
        <v>0</v>
      </c>
      <c r="E181" s="8">
        <f t="shared" si="6"/>
        <v>43232111</v>
      </c>
      <c r="F181" t="s">
        <v>137</v>
      </c>
      <c r="G181" t="s">
        <v>138</v>
      </c>
      <c r="H181" t="s">
        <v>173</v>
      </c>
    </row>
    <row r="182" spans="1:9">
      <c r="B182" t="s">
        <v>894</v>
      </c>
      <c r="C182" s="54">
        <v>800000</v>
      </c>
      <c r="D182" s="54">
        <v>0</v>
      </c>
      <c r="E182" s="8">
        <f t="shared" si="6"/>
        <v>42432111</v>
      </c>
      <c r="F182" t="s">
        <v>137</v>
      </c>
      <c r="G182" t="s">
        <v>138</v>
      </c>
      <c r="H182" t="s">
        <v>173</v>
      </c>
    </row>
    <row r="183" spans="1:9">
      <c r="B183" t="s">
        <v>895</v>
      </c>
      <c r="C183" s="54">
        <v>125000</v>
      </c>
      <c r="D183" s="54">
        <v>0</v>
      </c>
      <c r="E183" s="8">
        <f t="shared" si="6"/>
        <v>42307111</v>
      </c>
      <c r="F183" t="s">
        <v>137</v>
      </c>
      <c r="G183" t="s">
        <v>138</v>
      </c>
      <c r="H183" t="s">
        <v>251</v>
      </c>
    </row>
    <row r="184" spans="1:9">
      <c r="B184" t="s">
        <v>896</v>
      </c>
      <c r="C184" s="54">
        <v>150000</v>
      </c>
      <c r="D184" s="54">
        <v>0</v>
      </c>
      <c r="E184" s="8">
        <f t="shared" si="6"/>
        <v>42157111</v>
      </c>
      <c r="F184" t="s">
        <v>137</v>
      </c>
      <c r="G184" t="s">
        <v>138</v>
      </c>
      <c r="H184" t="s">
        <v>251</v>
      </c>
    </row>
    <row r="185" spans="1:9">
      <c r="B185" t="s">
        <v>451</v>
      </c>
      <c r="C185" s="54">
        <v>977039</v>
      </c>
      <c r="D185" s="54">
        <v>0</v>
      </c>
      <c r="E185" s="8">
        <f t="shared" si="6"/>
        <v>41180072</v>
      </c>
      <c r="F185" t="s">
        <v>137</v>
      </c>
      <c r="G185" t="s">
        <v>138</v>
      </c>
      <c r="H185" t="s">
        <v>173</v>
      </c>
    </row>
    <row r="186" spans="1:9">
      <c r="B186" t="s">
        <v>897</v>
      </c>
      <c r="C186" s="54">
        <v>246728</v>
      </c>
      <c r="D186" s="54">
        <v>0</v>
      </c>
      <c r="E186" s="8">
        <f t="shared" si="6"/>
        <v>40933344</v>
      </c>
      <c r="F186" t="s">
        <v>319</v>
      </c>
      <c r="G186" t="s">
        <v>117</v>
      </c>
      <c r="H186" t="s">
        <v>64</v>
      </c>
    </row>
    <row r="187" spans="1:9">
      <c r="B187" t="s">
        <v>898</v>
      </c>
      <c r="C187" s="54">
        <v>166000</v>
      </c>
      <c r="D187" s="54">
        <v>0</v>
      </c>
      <c r="E187" s="8">
        <f t="shared" si="6"/>
        <v>40767344</v>
      </c>
      <c r="F187" t="s">
        <v>137</v>
      </c>
      <c r="G187" t="s">
        <v>138</v>
      </c>
      <c r="H187" t="s">
        <v>173</v>
      </c>
    </row>
    <row r="188" spans="1:9">
      <c r="B188" t="s">
        <v>899</v>
      </c>
      <c r="C188" s="54">
        <v>106700</v>
      </c>
      <c r="D188" s="54">
        <v>0</v>
      </c>
      <c r="E188" s="8">
        <f t="shared" si="6"/>
        <v>40660644</v>
      </c>
      <c r="F188" t="s">
        <v>137</v>
      </c>
      <c r="G188" t="s">
        <v>138</v>
      </c>
      <c r="H188" t="s">
        <v>173</v>
      </c>
    </row>
    <row r="189" spans="1:9">
      <c r="B189" t="s">
        <v>900</v>
      </c>
      <c r="C189" s="54">
        <v>837000</v>
      </c>
      <c r="D189" s="54">
        <v>0</v>
      </c>
      <c r="E189" s="8">
        <f t="shared" si="6"/>
        <v>39823644</v>
      </c>
      <c r="F189" t="s">
        <v>137</v>
      </c>
      <c r="G189" t="s">
        <v>138</v>
      </c>
      <c r="H189" t="s">
        <v>173</v>
      </c>
    </row>
    <row r="190" spans="1:9" s="14" customFormat="1">
      <c r="A190" s="138"/>
      <c r="B190" s="14" t="s">
        <v>901</v>
      </c>
      <c r="C190" s="53">
        <v>3896000</v>
      </c>
      <c r="D190" s="53">
        <v>0</v>
      </c>
      <c r="E190" s="8">
        <f t="shared" si="6"/>
        <v>35927644</v>
      </c>
      <c r="F190" s="14" t="s">
        <v>115</v>
      </c>
      <c r="G190" s="14" t="s">
        <v>120</v>
      </c>
      <c r="H190" s="14" t="s">
        <v>127</v>
      </c>
      <c r="I190" s="14" t="s">
        <v>444</v>
      </c>
    </row>
    <row r="191" spans="1:9">
      <c r="B191" t="s">
        <v>902</v>
      </c>
      <c r="C191" s="54">
        <v>354540</v>
      </c>
      <c r="D191" s="54">
        <v>0</v>
      </c>
      <c r="E191" s="8">
        <f t="shared" si="6"/>
        <v>35573104</v>
      </c>
      <c r="F191" t="s">
        <v>137</v>
      </c>
      <c r="G191" t="s">
        <v>138</v>
      </c>
      <c r="H191" t="s">
        <v>173</v>
      </c>
    </row>
    <row r="192" spans="1:9">
      <c r="B192" t="s">
        <v>902</v>
      </c>
      <c r="C192" s="54">
        <v>134589</v>
      </c>
      <c r="D192" s="54">
        <v>0</v>
      </c>
      <c r="E192" s="8">
        <f t="shared" si="6"/>
        <v>35438515</v>
      </c>
      <c r="F192" t="s">
        <v>137</v>
      </c>
      <c r="G192" t="s">
        <v>138</v>
      </c>
      <c r="H192" t="s">
        <v>173</v>
      </c>
    </row>
    <row r="193" spans="1:9" s="14" customFormat="1">
      <c r="A193" s="138"/>
      <c r="B193" s="14" t="s">
        <v>903</v>
      </c>
      <c r="C193" s="53">
        <v>7193000</v>
      </c>
      <c r="D193" s="53">
        <v>0</v>
      </c>
      <c r="E193" s="8">
        <f t="shared" si="6"/>
        <v>28245515</v>
      </c>
      <c r="F193" s="14" t="s">
        <v>115</v>
      </c>
      <c r="G193" s="14" t="s">
        <v>120</v>
      </c>
      <c r="H193" s="14" t="s">
        <v>127</v>
      </c>
      <c r="I193" s="14" t="s">
        <v>444</v>
      </c>
    </row>
    <row r="194" spans="1:9" s="14" customFormat="1">
      <c r="A194" s="138"/>
      <c r="B194" s="14" t="s">
        <v>904</v>
      </c>
      <c r="C194" s="53">
        <v>209000</v>
      </c>
      <c r="D194" s="53">
        <v>0</v>
      </c>
      <c r="E194" s="8">
        <f t="shared" si="6"/>
        <v>28036515</v>
      </c>
      <c r="F194" s="14" t="s">
        <v>115</v>
      </c>
      <c r="G194" s="14" t="s">
        <v>120</v>
      </c>
      <c r="H194" s="14" t="s">
        <v>127</v>
      </c>
      <c r="I194" s="14" t="s">
        <v>444</v>
      </c>
    </row>
    <row r="195" spans="1:9">
      <c r="B195" t="s">
        <v>905</v>
      </c>
      <c r="C195" s="54">
        <v>1133385</v>
      </c>
      <c r="D195" s="54">
        <v>0</v>
      </c>
      <c r="E195" s="8">
        <f t="shared" si="6"/>
        <v>26903130</v>
      </c>
      <c r="F195" t="s">
        <v>137</v>
      </c>
      <c r="G195" t="s">
        <v>138</v>
      </c>
      <c r="H195" t="s">
        <v>323</v>
      </c>
    </row>
    <row r="196" spans="1:9">
      <c r="B196" t="s">
        <v>906</v>
      </c>
      <c r="C196" s="54">
        <v>1444000</v>
      </c>
      <c r="D196" s="54">
        <v>0</v>
      </c>
      <c r="E196" s="8">
        <f t="shared" si="6"/>
        <v>25459130</v>
      </c>
      <c r="F196" t="s">
        <v>137</v>
      </c>
      <c r="G196" t="s">
        <v>138</v>
      </c>
      <c r="H196" t="s">
        <v>323</v>
      </c>
    </row>
    <row r="197" spans="1:9">
      <c r="B197" t="s">
        <v>897</v>
      </c>
      <c r="C197" s="54">
        <v>270000</v>
      </c>
      <c r="D197" s="54">
        <v>0</v>
      </c>
      <c r="E197" s="8">
        <f t="shared" si="6"/>
        <v>25189130</v>
      </c>
      <c r="F197" t="s">
        <v>137</v>
      </c>
      <c r="G197" t="s">
        <v>138</v>
      </c>
      <c r="H197" t="s">
        <v>323</v>
      </c>
    </row>
    <row r="198" spans="1:9" s="14" customFormat="1">
      <c r="A198" s="138"/>
      <c r="B198" s="14" t="s">
        <v>902</v>
      </c>
      <c r="C198" s="53">
        <v>201985</v>
      </c>
      <c r="D198" s="53">
        <v>0</v>
      </c>
      <c r="E198" s="8">
        <f t="shared" si="6"/>
        <v>24987145</v>
      </c>
      <c r="F198" s="14" t="s">
        <v>115</v>
      </c>
      <c r="G198" s="14" t="s">
        <v>120</v>
      </c>
      <c r="H198" s="14" t="s">
        <v>127</v>
      </c>
      <c r="I198" s="14" t="s">
        <v>444</v>
      </c>
    </row>
    <row r="199" spans="1:9">
      <c r="B199" t="s">
        <v>907</v>
      </c>
      <c r="C199" s="54">
        <v>497310</v>
      </c>
      <c r="D199" s="54">
        <v>0</v>
      </c>
      <c r="E199" s="8">
        <f t="shared" si="6"/>
        <v>24489835</v>
      </c>
      <c r="F199" t="s">
        <v>137</v>
      </c>
      <c r="G199" t="s">
        <v>138</v>
      </c>
      <c r="H199" t="s">
        <v>323</v>
      </c>
    </row>
    <row r="200" spans="1:9">
      <c r="B200" t="s">
        <v>908</v>
      </c>
      <c r="C200" s="54">
        <v>221500</v>
      </c>
      <c r="D200" s="54">
        <v>0</v>
      </c>
      <c r="E200" s="8">
        <f t="shared" si="6"/>
        <v>24268335</v>
      </c>
      <c r="F200" t="s">
        <v>137</v>
      </c>
      <c r="G200" t="s">
        <v>138</v>
      </c>
      <c r="H200" t="s">
        <v>323</v>
      </c>
    </row>
    <row r="201" spans="1:9" s="14" customFormat="1">
      <c r="A201" s="138"/>
      <c r="B201" s="14" t="s">
        <v>902</v>
      </c>
      <c r="C201" s="53">
        <v>139157</v>
      </c>
      <c r="D201" s="53">
        <v>0</v>
      </c>
      <c r="E201" s="8">
        <f t="shared" si="6"/>
        <v>24129178</v>
      </c>
      <c r="F201" s="14" t="s">
        <v>115</v>
      </c>
      <c r="G201" s="14" t="s">
        <v>120</v>
      </c>
      <c r="H201" s="14" t="s">
        <v>127</v>
      </c>
      <c r="I201" s="14" t="s">
        <v>444</v>
      </c>
    </row>
    <row r="202" spans="1:9">
      <c r="B202" t="s">
        <v>907</v>
      </c>
      <c r="C202" s="54">
        <v>12131890</v>
      </c>
      <c r="D202" s="54">
        <v>0</v>
      </c>
      <c r="E202" s="8">
        <f t="shared" si="6"/>
        <v>11997288</v>
      </c>
      <c r="F202" t="s">
        <v>137</v>
      </c>
      <c r="G202" t="s">
        <v>138</v>
      </c>
      <c r="H202" t="s">
        <v>323</v>
      </c>
    </row>
    <row r="203" spans="1:9" s="14" customFormat="1">
      <c r="A203" s="138"/>
      <c r="B203" s="14" t="s">
        <v>4622</v>
      </c>
      <c r="C203" s="53">
        <v>2904600</v>
      </c>
      <c r="D203" s="53">
        <v>0</v>
      </c>
      <c r="E203" s="53">
        <f t="shared" si="6"/>
        <v>9092688</v>
      </c>
      <c r="F203" s="14" t="s">
        <v>787</v>
      </c>
      <c r="G203" s="14" t="s">
        <v>788</v>
      </c>
      <c r="H203" s="14" t="s">
        <v>4624</v>
      </c>
    </row>
    <row r="204" spans="1:9">
      <c r="B204" t="s">
        <v>909</v>
      </c>
      <c r="C204" s="54">
        <v>5000</v>
      </c>
      <c r="D204" s="54">
        <v>0</v>
      </c>
      <c r="E204" s="8">
        <f t="shared" si="6"/>
        <v>9087688</v>
      </c>
      <c r="F204" t="s">
        <v>113</v>
      </c>
      <c r="G204" t="s">
        <v>114</v>
      </c>
      <c r="H204" t="s">
        <v>64</v>
      </c>
    </row>
    <row r="205" spans="1:9">
      <c r="B205" t="s">
        <v>910</v>
      </c>
      <c r="C205" s="54">
        <v>10000</v>
      </c>
      <c r="D205" s="54">
        <v>0</v>
      </c>
      <c r="E205" s="8">
        <f t="shared" si="6"/>
        <v>9077688</v>
      </c>
      <c r="F205" t="s">
        <v>113</v>
      </c>
      <c r="G205" t="s">
        <v>114</v>
      </c>
      <c r="H205" t="s">
        <v>64</v>
      </c>
    </row>
    <row r="206" spans="1:9">
      <c r="B206" t="s">
        <v>911</v>
      </c>
      <c r="C206" s="54">
        <v>724700</v>
      </c>
      <c r="D206" s="54">
        <v>0</v>
      </c>
      <c r="E206" s="8">
        <f t="shared" si="6"/>
        <v>8352988</v>
      </c>
      <c r="F206" t="s">
        <v>248</v>
      </c>
      <c r="G206" t="s">
        <v>391</v>
      </c>
      <c r="H206" t="s">
        <v>64</v>
      </c>
    </row>
    <row r="207" spans="1:9">
      <c r="B207" t="s">
        <v>922</v>
      </c>
      <c r="C207" s="54">
        <v>495500</v>
      </c>
      <c r="D207" s="54">
        <v>0</v>
      </c>
      <c r="E207" s="8">
        <f t="shared" si="6"/>
        <v>7857488</v>
      </c>
      <c r="F207" t="s">
        <v>110</v>
      </c>
      <c r="G207" t="s">
        <v>620</v>
      </c>
      <c r="H207" t="s">
        <v>433</v>
      </c>
    </row>
    <row r="208" spans="1:9">
      <c r="B208" t="s">
        <v>923</v>
      </c>
      <c r="C208" s="54">
        <v>891985</v>
      </c>
      <c r="D208" s="54">
        <v>0</v>
      </c>
      <c r="E208" s="8">
        <f t="shared" si="6"/>
        <v>6965503</v>
      </c>
      <c r="F208" t="s">
        <v>110</v>
      </c>
      <c r="G208" t="s">
        <v>620</v>
      </c>
      <c r="H208" t="s">
        <v>433</v>
      </c>
    </row>
    <row r="209" spans="1:9">
      <c r="B209" t="s">
        <v>922</v>
      </c>
      <c r="C209" s="54">
        <v>146000</v>
      </c>
      <c r="D209" s="54">
        <v>0</v>
      </c>
      <c r="E209" s="8">
        <f t="shared" si="6"/>
        <v>6819503</v>
      </c>
      <c r="F209" t="s">
        <v>110</v>
      </c>
      <c r="G209" t="s">
        <v>620</v>
      </c>
      <c r="H209" t="s">
        <v>433</v>
      </c>
    </row>
    <row r="210" spans="1:9">
      <c r="B210" t="s">
        <v>912</v>
      </c>
      <c r="C210" s="54">
        <v>731235</v>
      </c>
      <c r="D210" s="54">
        <v>0</v>
      </c>
      <c r="E210" s="8">
        <f t="shared" si="6"/>
        <v>6088268</v>
      </c>
      <c r="F210" t="s">
        <v>319</v>
      </c>
      <c r="G210" t="s">
        <v>117</v>
      </c>
      <c r="H210" t="s">
        <v>64</v>
      </c>
    </row>
    <row r="211" spans="1:9">
      <c r="B211" t="s">
        <v>913</v>
      </c>
      <c r="C211" s="54">
        <v>630646</v>
      </c>
      <c r="D211" s="54">
        <v>0</v>
      </c>
      <c r="E211" s="8">
        <f t="shared" si="6"/>
        <v>5457622</v>
      </c>
      <c r="F211" t="s">
        <v>248</v>
      </c>
      <c r="G211" t="s">
        <v>391</v>
      </c>
      <c r="H211" t="s">
        <v>64</v>
      </c>
    </row>
    <row r="212" spans="1:9">
      <c r="B212" t="s">
        <v>914</v>
      </c>
      <c r="C212" s="54">
        <v>635375</v>
      </c>
      <c r="D212" s="54">
        <v>0</v>
      </c>
      <c r="E212" s="8">
        <f t="shared" si="6"/>
        <v>4822247</v>
      </c>
      <c r="F212" t="s">
        <v>137</v>
      </c>
      <c r="G212" t="s">
        <v>138</v>
      </c>
      <c r="H212" t="s">
        <v>173</v>
      </c>
    </row>
    <row r="213" spans="1:9">
      <c r="B213" t="s">
        <v>897</v>
      </c>
      <c r="C213" s="54">
        <v>555744</v>
      </c>
      <c r="D213" s="54">
        <v>0</v>
      </c>
      <c r="E213" s="8">
        <f t="shared" si="6"/>
        <v>4266503</v>
      </c>
      <c r="F213" t="s">
        <v>319</v>
      </c>
      <c r="G213" t="s">
        <v>117</v>
      </c>
      <c r="H213" t="s">
        <v>64</v>
      </c>
    </row>
    <row r="214" spans="1:9">
      <c r="B214" t="s">
        <v>913</v>
      </c>
      <c r="C214" s="54">
        <v>800208</v>
      </c>
      <c r="D214" s="54">
        <v>0</v>
      </c>
      <c r="E214" s="8">
        <f t="shared" si="6"/>
        <v>3466295</v>
      </c>
      <c r="F214" t="s">
        <v>248</v>
      </c>
      <c r="G214" t="s">
        <v>391</v>
      </c>
      <c r="H214" t="s">
        <v>64</v>
      </c>
    </row>
    <row r="215" spans="1:9">
      <c r="B215" t="s">
        <v>915</v>
      </c>
      <c r="C215" s="54">
        <v>147400</v>
      </c>
      <c r="D215" s="54">
        <v>0</v>
      </c>
      <c r="E215" s="8">
        <f t="shared" si="6"/>
        <v>3318895</v>
      </c>
      <c r="F215" t="s">
        <v>137</v>
      </c>
      <c r="G215" t="s">
        <v>138</v>
      </c>
      <c r="H215" t="s">
        <v>173</v>
      </c>
    </row>
    <row r="216" spans="1:9">
      <c r="B216" t="s">
        <v>916</v>
      </c>
      <c r="C216" s="54">
        <v>111000</v>
      </c>
      <c r="D216" s="54">
        <v>0</v>
      </c>
      <c r="E216" s="8">
        <f t="shared" si="6"/>
        <v>3207895</v>
      </c>
      <c r="F216" t="s">
        <v>137</v>
      </c>
      <c r="G216" t="s">
        <v>138</v>
      </c>
      <c r="H216" t="s">
        <v>173</v>
      </c>
    </row>
    <row r="217" spans="1:9">
      <c r="B217" t="s">
        <v>915</v>
      </c>
      <c r="C217" s="54">
        <v>118800</v>
      </c>
      <c r="D217" s="54">
        <v>0</v>
      </c>
      <c r="E217" s="8">
        <f t="shared" si="6"/>
        <v>3089095</v>
      </c>
      <c r="F217" t="s">
        <v>137</v>
      </c>
      <c r="G217" t="s">
        <v>138</v>
      </c>
      <c r="H217" t="s">
        <v>173</v>
      </c>
    </row>
    <row r="218" spans="1:9">
      <c r="B218" t="s">
        <v>917</v>
      </c>
      <c r="C218" s="20">
        <v>1257640</v>
      </c>
      <c r="D218" s="54">
        <v>0</v>
      </c>
      <c r="E218" s="8">
        <f t="shared" si="6"/>
        <v>1831455</v>
      </c>
      <c r="F218" t="s">
        <v>248</v>
      </c>
      <c r="G218" t="s">
        <v>391</v>
      </c>
      <c r="H218" t="s">
        <v>64</v>
      </c>
    </row>
    <row r="219" spans="1:9">
      <c r="B219" t="s">
        <v>897</v>
      </c>
      <c r="C219" s="20">
        <v>712655</v>
      </c>
      <c r="D219" s="54">
        <v>0</v>
      </c>
      <c r="E219" s="8">
        <f t="shared" si="6"/>
        <v>1118800</v>
      </c>
      <c r="F219" t="s">
        <v>319</v>
      </c>
      <c r="G219" t="s">
        <v>117</v>
      </c>
      <c r="H219" t="s">
        <v>64</v>
      </c>
    </row>
    <row r="220" spans="1:9">
      <c r="B220" t="s">
        <v>911</v>
      </c>
      <c r="C220" s="20">
        <v>1113800</v>
      </c>
      <c r="D220" s="54">
        <v>0</v>
      </c>
      <c r="E220" s="8">
        <f t="shared" si="6"/>
        <v>5000</v>
      </c>
      <c r="F220" t="s">
        <v>248</v>
      </c>
      <c r="G220" t="s">
        <v>391</v>
      </c>
      <c r="H220" t="s">
        <v>64</v>
      </c>
    </row>
    <row r="221" spans="1:9">
      <c r="B221" t="s">
        <v>909</v>
      </c>
      <c r="C221" s="20">
        <v>5000</v>
      </c>
      <c r="D221" s="54">
        <v>0</v>
      </c>
      <c r="E221" s="8">
        <f t="shared" si="6"/>
        <v>0</v>
      </c>
      <c r="F221" t="s">
        <v>113</v>
      </c>
      <c r="G221" t="s">
        <v>114</v>
      </c>
      <c r="H221" t="s">
        <v>64</v>
      </c>
    </row>
    <row r="222" spans="1:9">
      <c r="A222" s="3">
        <v>44243</v>
      </c>
      <c r="B222" s="7" t="s">
        <v>797</v>
      </c>
      <c r="C222" s="8">
        <v>0</v>
      </c>
      <c r="D222" s="8">
        <v>43684500</v>
      </c>
      <c r="E222" s="8">
        <f t="shared" si="6"/>
        <v>43684500</v>
      </c>
      <c r="F222" s="83" t="s">
        <v>107</v>
      </c>
      <c r="G222" s="14" t="s">
        <v>666</v>
      </c>
      <c r="H222" s="14" t="s">
        <v>3405</v>
      </c>
      <c r="I222" t="s">
        <v>3406</v>
      </c>
    </row>
    <row r="223" spans="1:9">
      <c r="B223" t="s">
        <v>938</v>
      </c>
      <c r="C223" s="20">
        <v>30573000</v>
      </c>
      <c r="D223" s="54">
        <v>0</v>
      </c>
      <c r="E223" s="8">
        <f t="shared" si="6"/>
        <v>13111500</v>
      </c>
      <c r="F223" t="s">
        <v>319</v>
      </c>
      <c r="G223" t="s">
        <v>676</v>
      </c>
    </row>
    <row r="224" spans="1:9">
      <c r="B224" t="s">
        <v>939</v>
      </c>
      <c r="C224" s="20">
        <v>4055000</v>
      </c>
      <c r="D224" s="54">
        <v>0</v>
      </c>
      <c r="E224" s="8">
        <f t="shared" si="6"/>
        <v>9056500</v>
      </c>
      <c r="F224" t="s">
        <v>319</v>
      </c>
      <c r="G224" t="s">
        <v>676</v>
      </c>
    </row>
    <row r="225" spans="1:9">
      <c r="B225" s="7" t="s">
        <v>940</v>
      </c>
      <c r="C225" s="20">
        <v>9056500</v>
      </c>
      <c r="D225" s="54">
        <v>0</v>
      </c>
      <c r="E225" s="8">
        <f t="shared" si="6"/>
        <v>0</v>
      </c>
      <c r="F225" t="s">
        <v>107</v>
      </c>
      <c r="G225" t="s">
        <v>668</v>
      </c>
    </row>
    <row r="226" spans="1:9">
      <c r="A226" s="3">
        <v>44244</v>
      </c>
      <c r="B226" s="7" t="s">
        <v>926</v>
      </c>
      <c r="C226" s="8">
        <v>0</v>
      </c>
      <c r="D226" s="8">
        <v>1500000</v>
      </c>
      <c r="E226" s="8">
        <f t="shared" si="6"/>
        <v>1500000</v>
      </c>
      <c r="F226" s="83" t="s">
        <v>107</v>
      </c>
      <c r="G226" s="14" t="s">
        <v>666</v>
      </c>
      <c r="H226" s="14" t="s">
        <v>3405</v>
      </c>
      <c r="I226" t="s">
        <v>3407</v>
      </c>
    </row>
    <row r="227" spans="1:9">
      <c r="B227" s="7" t="s">
        <v>3408</v>
      </c>
      <c r="C227" s="54">
        <v>1500000</v>
      </c>
      <c r="D227" s="54">
        <v>0</v>
      </c>
      <c r="E227" s="54">
        <f t="shared" ref="E227:E236" si="7">E226-C227+D227</f>
        <v>0</v>
      </c>
      <c r="F227" t="s">
        <v>5079</v>
      </c>
      <c r="G227" t="s">
        <v>138</v>
      </c>
      <c r="H227" s="14" t="s">
        <v>990</v>
      </c>
    </row>
    <row r="228" spans="1:9">
      <c r="A228" s="3">
        <v>44245</v>
      </c>
      <c r="B228" t="s">
        <v>927</v>
      </c>
      <c r="C228" s="20">
        <v>0</v>
      </c>
      <c r="D228" s="54">
        <v>10560000</v>
      </c>
      <c r="E228" s="8">
        <f t="shared" si="7"/>
        <v>10560000</v>
      </c>
      <c r="F228" t="s">
        <v>581</v>
      </c>
      <c r="G228" t="s">
        <v>582</v>
      </c>
      <c r="H228" t="s">
        <v>602</v>
      </c>
      <c r="I228">
        <v>1</v>
      </c>
    </row>
    <row r="229" spans="1:9">
      <c r="B229" t="s">
        <v>927</v>
      </c>
      <c r="C229" s="20">
        <v>8800000</v>
      </c>
      <c r="D229" s="54"/>
      <c r="E229" s="8">
        <f t="shared" si="7"/>
        <v>1760000</v>
      </c>
      <c r="F229" t="s">
        <v>568</v>
      </c>
      <c r="G229" s="14" t="s">
        <v>4395</v>
      </c>
      <c r="H229" t="s">
        <v>602</v>
      </c>
      <c r="I229">
        <v>1</v>
      </c>
    </row>
    <row r="230" spans="1:9">
      <c r="B230" t="s">
        <v>927</v>
      </c>
      <c r="C230" s="20">
        <v>1760000</v>
      </c>
      <c r="D230" s="54"/>
      <c r="E230" s="8">
        <f t="shared" si="7"/>
        <v>0</v>
      </c>
      <c r="F230" t="s">
        <v>714</v>
      </c>
      <c r="G230" t="s">
        <v>715</v>
      </c>
      <c r="H230" t="s">
        <v>602</v>
      </c>
      <c r="I230">
        <v>1</v>
      </c>
    </row>
    <row r="231" spans="1:9">
      <c r="A231" s="3">
        <v>44245</v>
      </c>
      <c r="B231" t="s">
        <v>927</v>
      </c>
      <c r="C231" s="20">
        <v>0</v>
      </c>
      <c r="D231" s="54">
        <f>39420040+4400</f>
        <v>39424440</v>
      </c>
      <c r="E231" s="8">
        <f t="shared" si="7"/>
        <v>39424440</v>
      </c>
      <c r="F231" t="s">
        <v>581</v>
      </c>
      <c r="G231" t="s">
        <v>582</v>
      </c>
      <c r="H231" t="s">
        <v>603</v>
      </c>
      <c r="I231">
        <v>2</v>
      </c>
    </row>
    <row r="232" spans="1:9">
      <c r="B232" t="s">
        <v>927</v>
      </c>
      <c r="C232" s="20">
        <v>32853700</v>
      </c>
      <c r="D232" s="54"/>
      <c r="E232" s="8">
        <f t="shared" si="7"/>
        <v>6570740</v>
      </c>
      <c r="F232" t="s">
        <v>568</v>
      </c>
      <c r="G232" s="14" t="s">
        <v>4395</v>
      </c>
      <c r="H232" t="s">
        <v>603</v>
      </c>
      <c r="I232">
        <v>2</v>
      </c>
    </row>
    <row r="233" spans="1:9">
      <c r="B233" t="s">
        <v>927</v>
      </c>
      <c r="C233" s="20">
        <v>6570740</v>
      </c>
      <c r="D233" s="54"/>
      <c r="E233" s="8">
        <f t="shared" si="7"/>
        <v>0</v>
      </c>
      <c r="F233" t="s">
        <v>714</v>
      </c>
      <c r="G233" t="s">
        <v>715</v>
      </c>
      <c r="H233" t="s">
        <v>603</v>
      </c>
      <c r="I233">
        <v>2</v>
      </c>
    </row>
    <row r="234" spans="1:9">
      <c r="A234" s="3">
        <v>44250</v>
      </c>
      <c r="B234" t="s">
        <v>967</v>
      </c>
      <c r="C234" s="20">
        <v>0</v>
      </c>
      <c r="D234" s="54">
        <v>271200</v>
      </c>
      <c r="E234" s="8">
        <f t="shared" si="7"/>
        <v>271200</v>
      </c>
      <c r="F234" t="s">
        <v>581</v>
      </c>
      <c r="G234" t="s">
        <v>582</v>
      </c>
      <c r="H234" t="s">
        <v>175</v>
      </c>
      <c r="I234">
        <v>5</v>
      </c>
    </row>
    <row r="235" spans="1:9">
      <c r="B235" t="s">
        <v>967</v>
      </c>
      <c r="C235" s="54">
        <v>271200</v>
      </c>
      <c r="D235" s="54">
        <v>0</v>
      </c>
      <c r="E235" s="8">
        <f t="shared" si="7"/>
        <v>0</v>
      </c>
      <c r="F235" t="s">
        <v>714</v>
      </c>
      <c r="G235" t="s">
        <v>715</v>
      </c>
      <c r="H235" t="s">
        <v>175</v>
      </c>
      <c r="I235">
        <v>5</v>
      </c>
    </row>
    <row r="236" spans="1:9" s="14" customFormat="1">
      <c r="A236" s="138">
        <v>44253</v>
      </c>
      <c r="B236" s="14" t="s">
        <v>4397</v>
      </c>
      <c r="C236" s="50">
        <v>0</v>
      </c>
      <c r="D236" s="50">
        <v>274368892</v>
      </c>
      <c r="E236" s="50">
        <f t="shared" si="7"/>
        <v>274368892</v>
      </c>
      <c r="F236" s="14" t="s">
        <v>110</v>
      </c>
      <c r="G236" s="14" t="s">
        <v>118</v>
      </c>
      <c r="H236" s="14" t="s">
        <v>146</v>
      </c>
      <c r="I236" s="14" t="s">
        <v>64</v>
      </c>
    </row>
    <row r="237" spans="1:9" s="14" customFormat="1">
      <c r="A237" s="138"/>
      <c r="B237" s="14" t="s">
        <v>4397</v>
      </c>
      <c r="C237" s="50">
        <v>274368892</v>
      </c>
      <c r="D237" s="50">
        <v>0</v>
      </c>
      <c r="E237" s="50">
        <f t="shared" ref="E237:E289" si="8">E236-C237+D237</f>
        <v>0</v>
      </c>
      <c r="F237" s="14" t="s">
        <v>110</v>
      </c>
      <c r="G237" s="14" t="s">
        <v>188</v>
      </c>
      <c r="H237" s="14" t="s">
        <v>133</v>
      </c>
      <c r="I237" s="14">
        <v>69</v>
      </c>
    </row>
    <row r="238" spans="1:9">
      <c r="A238" s="3">
        <v>44255</v>
      </c>
      <c r="B238" s="7" t="s">
        <v>615</v>
      </c>
      <c r="C238" s="20">
        <v>0</v>
      </c>
      <c r="D238" s="8">
        <v>6000000</v>
      </c>
      <c r="E238" s="8">
        <f t="shared" si="8"/>
        <v>6000000</v>
      </c>
      <c r="F238" t="s">
        <v>110</v>
      </c>
      <c r="G238" t="s">
        <v>111</v>
      </c>
      <c r="H238" t="s">
        <v>433</v>
      </c>
    </row>
    <row r="239" spans="1:9">
      <c r="B239" s="7" t="s">
        <v>1621</v>
      </c>
      <c r="C239" s="8">
        <v>6000000</v>
      </c>
      <c r="D239" s="8">
        <v>0</v>
      </c>
      <c r="E239" s="8">
        <f t="shared" si="8"/>
        <v>0</v>
      </c>
      <c r="F239" t="s">
        <v>113</v>
      </c>
      <c r="G239" t="s">
        <v>478</v>
      </c>
      <c r="H239" t="s">
        <v>1622</v>
      </c>
    </row>
    <row r="240" spans="1:9">
      <c r="A240" s="3">
        <v>44258</v>
      </c>
      <c r="B240" t="s">
        <v>1001</v>
      </c>
      <c r="C240" s="8">
        <v>0</v>
      </c>
      <c r="D240" s="8">
        <v>65436201</v>
      </c>
      <c r="E240" s="8">
        <f t="shared" si="8"/>
        <v>65436201</v>
      </c>
      <c r="F240" t="s">
        <v>107</v>
      </c>
      <c r="G240" t="s">
        <v>274</v>
      </c>
      <c r="H240" t="s">
        <v>142</v>
      </c>
    </row>
    <row r="241" spans="1:9">
      <c r="B241" s="7" t="s">
        <v>1026</v>
      </c>
      <c r="C241" s="8">
        <v>58194000</v>
      </c>
      <c r="D241" s="8">
        <v>0</v>
      </c>
      <c r="E241" s="8">
        <f t="shared" si="8"/>
        <v>7242201</v>
      </c>
      <c r="F241" t="s">
        <v>137</v>
      </c>
      <c r="G241" t="s">
        <v>138</v>
      </c>
      <c r="H241" t="s">
        <v>173</v>
      </c>
    </row>
    <row r="242" spans="1:9">
      <c r="B242" s="7" t="s">
        <v>1027</v>
      </c>
      <c r="C242" s="8">
        <v>6294000</v>
      </c>
      <c r="D242" s="8">
        <v>0</v>
      </c>
      <c r="E242" s="8">
        <f t="shared" si="8"/>
        <v>948201</v>
      </c>
      <c r="F242" t="s">
        <v>115</v>
      </c>
      <c r="G242" t="s">
        <v>120</v>
      </c>
      <c r="H242" t="s">
        <v>127</v>
      </c>
      <c r="I242" s="14" t="s">
        <v>444</v>
      </c>
    </row>
    <row r="243" spans="1:9">
      <c r="B243" s="7" t="s">
        <v>1028</v>
      </c>
      <c r="C243" s="8">
        <v>281000</v>
      </c>
      <c r="D243" s="8">
        <v>0</v>
      </c>
      <c r="E243" s="8">
        <f t="shared" si="8"/>
        <v>667201</v>
      </c>
      <c r="F243" t="s">
        <v>137</v>
      </c>
      <c r="G243" t="s">
        <v>138</v>
      </c>
      <c r="H243" t="s">
        <v>990</v>
      </c>
    </row>
    <row r="244" spans="1:9">
      <c r="B244" s="7" t="s">
        <v>1029</v>
      </c>
      <c r="C244" s="8">
        <v>184200</v>
      </c>
      <c r="D244" s="8">
        <v>0</v>
      </c>
      <c r="E244" s="8">
        <f t="shared" si="8"/>
        <v>483001</v>
      </c>
      <c r="F244" t="s">
        <v>137</v>
      </c>
      <c r="G244" t="s">
        <v>138</v>
      </c>
      <c r="H244" t="s">
        <v>990</v>
      </c>
    </row>
    <row r="245" spans="1:9">
      <c r="B245" s="7" t="s">
        <v>898</v>
      </c>
      <c r="C245" s="8">
        <v>223000</v>
      </c>
      <c r="D245" s="8">
        <v>0</v>
      </c>
      <c r="E245" s="8">
        <f t="shared" si="8"/>
        <v>260001</v>
      </c>
      <c r="F245" t="s">
        <v>137</v>
      </c>
      <c r="G245" t="s">
        <v>138</v>
      </c>
      <c r="H245" t="s">
        <v>990</v>
      </c>
    </row>
    <row r="246" spans="1:9">
      <c r="B246" s="7" t="s">
        <v>1030</v>
      </c>
      <c r="C246" s="8">
        <v>250000</v>
      </c>
      <c r="D246" s="8">
        <v>0</v>
      </c>
      <c r="E246" s="8">
        <f t="shared" si="8"/>
        <v>10001</v>
      </c>
      <c r="F246" t="s">
        <v>113</v>
      </c>
      <c r="G246" t="s">
        <v>478</v>
      </c>
      <c r="H246" t="s">
        <v>64</v>
      </c>
    </row>
    <row r="247" spans="1:9">
      <c r="B247" s="7" t="s">
        <v>1031</v>
      </c>
      <c r="C247" s="8">
        <v>10000</v>
      </c>
      <c r="D247" s="8">
        <v>0</v>
      </c>
      <c r="E247" s="8">
        <f t="shared" si="8"/>
        <v>1</v>
      </c>
      <c r="F247" t="s">
        <v>113</v>
      </c>
      <c r="G247" t="s">
        <v>114</v>
      </c>
    </row>
    <row r="248" spans="1:9">
      <c r="B248" s="7" t="s">
        <v>419</v>
      </c>
      <c r="C248" s="8">
        <v>1</v>
      </c>
      <c r="D248" s="8">
        <v>0</v>
      </c>
      <c r="E248" s="8">
        <f t="shared" si="8"/>
        <v>0</v>
      </c>
      <c r="F248" t="s">
        <v>252</v>
      </c>
      <c r="G248" t="s">
        <v>665</v>
      </c>
    </row>
    <row r="249" spans="1:9">
      <c r="A249" s="3">
        <v>44258</v>
      </c>
      <c r="B249" t="s">
        <v>1003</v>
      </c>
      <c r="C249" s="8">
        <v>0</v>
      </c>
      <c r="D249" s="8">
        <v>1463501</v>
      </c>
      <c r="E249" s="8">
        <f t="shared" si="8"/>
        <v>1463501</v>
      </c>
      <c r="F249" t="s">
        <v>107</v>
      </c>
      <c r="G249" t="s">
        <v>274</v>
      </c>
      <c r="H249" t="s">
        <v>141</v>
      </c>
    </row>
    <row r="250" spans="1:9">
      <c r="B250" s="7" t="s">
        <v>1032</v>
      </c>
      <c r="C250" s="8">
        <v>5000</v>
      </c>
      <c r="D250" s="8">
        <v>0</v>
      </c>
      <c r="E250" s="8">
        <f t="shared" si="8"/>
        <v>1458501</v>
      </c>
      <c r="F250" t="s">
        <v>113</v>
      </c>
      <c r="G250" t="s">
        <v>114</v>
      </c>
    </row>
    <row r="251" spans="1:9">
      <c r="B251" s="7" t="s">
        <v>1035</v>
      </c>
      <c r="C251" s="8">
        <v>79500</v>
      </c>
      <c r="D251" s="8">
        <v>0</v>
      </c>
      <c r="E251" s="8">
        <f t="shared" si="8"/>
        <v>1379001</v>
      </c>
      <c r="F251" t="s">
        <v>137</v>
      </c>
      <c r="G251" t="s">
        <v>138</v>
      </c>
      <c r="H251" t="s">
        <v>251</v>
      </c>
    </row>
    <row r="252" spans="1:9">
      <c r="B252" s="7" t="s">
        <v>394</v>
      </c>
      <c r="C252" s="8">
        <v>809000</v>
      </c>
      <c r="D252" s="8">
        <v>0</v>
      </c>
      <c r="E252" s="8">
        <f t="shared" si="8"/>
        <v>570001</v>
      </c>
      <c r="F252" t="s">
        <v>137</v>
      </c>
      <c r="G252" t="s">
        <v>138</v>
      </c>
      <c r="H252" t="s">
        <v>251</v>
      </c>
    </row>
    <row r="253" spans="1:9">
      <c r="B253" s="7" t="s">
        <v>1033</v>
      </c>
      <c r="C253" s="8">
        <v>216001</v>
      </c>
      <c r="D253" s="8">
        <v>0</v>
      </c>
      <c r="E253" s="8">
        <f t="shared" si="8"/>
        <v>354000</v>
      </c>
      <c r="F253" t="s">
        <v>137</v>
      </c>
      <c r="G253" t="s">
        <v>138</v>
      </c>
      <c r="H253" t="s">
        <v>251</v>
      </c>
    </row>
    <row r="254" spans="1:9">
      <c r="B254" s="7" t="s">
        <v>1034</v>
      </c>
      <c r="C254" s="8">
        <v>344000</v>
      </c>
      <c r="D254" s="8">
        <v>0</v>
      </c>
      <c r="E254" s="8">
        <f t="shared" si="8"/>
        <v>10000</v>
      </c>
      <c r="F254" t="s">
        <v>319</v>
      </c>
      <c r="G254" t="s">
        <v>320</v>
      </c>
    </row>
    <row r="255" spans="1:9">
      <c r="B255" s="7" t="s">
        <v>389</v>
      </c>
      <c r="C255" s="8">
        <v>10000</v>
      </c>
      <c r="D255" s="8">
        <v>0</v>
      </c>
      <c r="E255" s="8">
        <f t="shared" si="8"/>
        <v>0</v>
      </c>
      <c r="F255" t="s">
        <v>113</v>
      </c>
      <c r="G255" t="s">
        <v>114</v>
      </c>
    </row>
    <row r="256" spans="1:9">
      <c r="A256" s="3">
        <v>44258</v>
      </c>
      <c r="B256" t="s">
        <v>1005</v>
      </c>
      <c r="C256" s="8">
        <v>0</v>
      </c>
      <c r="D256" s="8">
        <v>14952530</v>
      </c>
      <c r="E256" s="8">
        <f t="shared" si="8"/>
        <v>14952530</v>
      </c>
      <c r="F256" t="s">
        <v>107</v>
      </c>
      <c r="G256" t="s">
        <v>274</v>
      </c>
      <c r="H256" t="s">
        <v>140</v>
      </c>
    </row>
    <row r="257" spans="2:9">
      <c r="B257" t="s">
        <v>380</v>
      </c>
      <c r="C257" s="8">
        <v>263680</v>
      </c>
      <c r="D257" s="8">
        <v>0</v>
      </c>
      <c r="E257" s="8">
        <f t="shared" si="8"/>
        <v>14688850</v>
      </c>
      <c r="F257" t="s">
        <v>319</v>
      </c>
      <c r="G257" t="s">
        <v>117</v>
      </c>
    </row>
    <row r="258" spans="2:9">
      <c r="B258" t="s">
        <v>1036</v>
      </c>
      <c r="C258" s="8">
        <v>655000</v>
      </c>
      <c r="D258" s="8">
        <v>0</v>
      </c>
      <c r="E258" s="8">
        <f t="shared" si="8"/>
        <v>14033850</v>
      </c>
      <c r="F258" t="s">
        <v>137</v>
      </c>
      <c r="G258" t="s">
        <v>138</v>
      </c>
      <c r="H258" t="s">
        <v>173</v>
      </c>
    </row>
    <row r="259" spans="2:9">
      <c r="B259" t="s">
        <v>1037</v>
      </c>
      <c r="C259" s="8">
        <v>1578000</v>
      </c>
      <c r="D259" s="8">
        <v>0</v>
      </c>
      <c r="E259" s="8">
        <f t="shared" si="8"/>
        <v>12455850</v>
      </c>
      <c r="F259" t="s">
        <v>137</v>
      </c>
      <c r="G259" t="s">
        <v>138</v>
      </c>
      <c r="H259" t="s">
        <v>173</v>
      </c>
    </row>
    <row r="260" spans="2:9">
      <c r="B260" t="s">
        <v>1038</v>
      </c>
      <c r="C260" s="8">
        <v>678800</v>
      </c>
      <c r="D260" s="8">
        <v>0</v>
      </c>
      <c r="E260" s="8">
        <f t="shared" si="8"/>
        <v>11777050</v>
      </c>
      <c r="F260" t="s">
        <v>137</v>
      </c>
      <c r="G260" t="s">
        <v>138</v>
      </c>
      <c r="H260" t="s">
        <v>173</v>
      </c>
    </row>
    <row r="261" spans="2:9">
      <c r="B261" t="s">
        <v>1039</v>
      </c>
      <c r="C261" s="8">
        <v>318000</v>
      </c>
      <c r="D261" s="8">
        <v>0</v>
      </c>
      <c r="E261" s="8">
        <f t="shared" si="8"/>
        <v>11459050</v>
      </c>
      <c r="F261" t="s">
        <v>137</v>
      </c>
      <c r="G261" t="s">
        <v>138</v>
      </c>
      <c r="H261" t="s">
        <v>173</v>
      </c>
    </row>
    <row r="262" spans="2:9">
      <c r="B262" t="s">
        <v>1040</v>
      </c>
      <c r="C262" s="8">
        <v>884000</v>
      </c>
      <c r="D262" s="8">
        <v>0</v>
      </c>
      <c r="E262" s="8">
        <f t="shared" si="8"/>
        <v>10575050</v>
      </c>
      <c r="F262" t="s">
        <v>137</v>
      </c>
      <c r="G262" t="s">
        <v>138</v>
      </c>
      <c r="H262" t="s">
        <v>173</v>
      </c>
    </row>
    <row r="263" spans="2:9">
      <c r="B263" t="s">
        <v>1041</v>
      </c>
      <c r="C263" s="8">
        <v>1271000</v>
      </c>
      <c r="D263" s="8">
        <v>0</v>
      </c>
      <c r="E263" s="8">
        <f t="shared" si="8"/>
        <v>9304050</v>
      </c>
      <c r="F263" t="s">
        <v>137</v>
      </c>
      <c r="G263" t="s">
        <v>138</v>
      </c>
      <c r="H263" t="s">
        <v>173</v>
      </c>
    </row>
    <row r="264" spans="2:9">
      <c r="B264" t="s">
        <v>1028</v>
      </c>
      <c r="C264" s="8">
        <v>1283500</v>
      </c>
      <c r="D264" s="8">
        <v>0</v>
      </c>
      <c r="E264" s="8">
        <f t="shared" si="8"/>
        <v>8020550</v>
      </c>
      <c r="F264" t="s">
        <v>137</v>
      </c>
      <c r="G264" t="s">
        <v>138</v>
      </c>
      <c r="H264" t="s">
        <v>173</v>
      </c>
    </row>
    <row r="265" spans="2:9">
      <c r="B265" t="s">
        <v>1028</v>
      </c>
      <c r="C265" s="8">
        <v>159500</v>
      </c>
      <c r="D265" s="8">
        <v>0</v>
      </c>
      <c r="E265" s="8">
        <f t="shared" si="8"/>
        <v>7861050</v>
      </c>
      <c r="F265" t="s">
        <v>137</v>
      </c>
      <c r="G265" t="s">
        <v>138</v>
      </c>
      <c r="H265" t="s">
        <v>173</v>
      </c>
    </row>
    <row r="266" spans="2:9">
      <c r="B266" t="s">
        <v>1042</v>
      </c>
      <c r="C266" s="8">
        <v>204454</v>
      </c>
      <c r="D266" s="8">
        <v>0</v>
      </c>
      <c r="E266" s="8">
        <f t="shared" si="8"/>
        <v>7656596</v>
      </c>
      <c r="F266" t="s">
        <v>319</v>
      </c>
      <c r="G266" t="s">
        <v>117</v>
      </c>
    </row>
    <row r="267" spans="2:9">
      <c r="B267" t="s">
        <v>1040</v>
      </c>
      <c r="C267" s="8">
        <v>50500</v>
      </c>
      <c r="D267" s="8">
        <v>0</v>
      </c>
      <c r="E267" s="8">
        <f t="shared" si="8"/>
        <v>7606096</v>
      </c>
      <c r="F267" t="s">
        <v>137</v>
      </c>
      <c r="G267" t="s">
        <v>138</v>
      </c>
      <c r="H267" t="s">
        <v>173</v>
      </c>
    </row>
    <row r="268" spans="2:9">
      <c r="B268" t="s">
        <v>1043</v>
      </c>
      <c r="C268" s="8">
        <v>176500</v>
      </c>
      <c r="D268" s="8">
        <v>0</v>
      </c>
      <c r="E268" s="8">
        <f t="shared" si="8"/>
        <v>7429596</v>
      </c>
      <c r="F268" t="s">
        <v>137</v>
      </c>
      <c r="G268" t="s">
        <v>138</v>
      </c>
      <c r="H268" t="s">
        <v>173</v>
      </c>
    </row>
    <row r="269" spans="2:9">
      <c r="B269" t="s">
        <v>1039</v>
      </c>
      <c r="C269" s="8">
        <v>106000</v>
      </c>
      <c r="D269" s="8">
        <v>0</v>
      </c>
      <c r="E269" s="8">
        <f t="shared" si="8"/>
        <v>7323596</v>
      </c>
      <c r="F269" t="s">
        <v>137</v>
      </c>
      <c r="G269" t="s">
        <v>138</v>
      </c>
      <c r="H269" t="s">
        <v>173</v>
      </c>
    </row>
    <row r="270" spans="2:9">
      <c r="B270" t="s">
        <v>1046</v>
      </c>
      <c r="C270" s="8">
        <v>871256</v>
      </c>
      <c r="D270" s="8">
        <v>0</v>
      </c>
      <c r="E270" s="8">
        <f t="shared" si="8"/>
        <v>6452340</v>
      </c>
      <c r="F270" t="s">
        <v>319</v>
      </c>
      <c r="G270" t="s">
        <v>1045</v>
      </c>
    </row>
    <row r="271" spans="2:9">
      <c r="B271" t="s">
        <v>1044</v>
      </c>
      <c r="C271" s="8">
        <v>3597000</v>
      </c>
      <c r="D271" s="8">
        <v>0</v>
      </c>
      <c r="E271" s="8">
        <f t="shared" si="8"/>
        <v>2855340</v>
      </c>
      <c r="F271" t="s">
        <v>115</v>
      </c>
      <c r="G271" t="s">
        <v>120</v>
      </c>
      <c r="H271" t="s">
        <v>127</v>
      </c>
      <c r="I271" s="14" t="s">
        <v>444</v>
      </c>
    </row>
    <row r="272" spans="2:9">
      <c r="B272" t="s">
        <v>897</v>
      </c>
      <c r="C272" s="8">
        <v>267291</v>
      </c>
      <c r="D272" s="8">
        <v>0</v>
      </c>
      <c r="E272" s="8">
        <f t="shared" si="8"/>
        <v>2588049</v>
      </c>
      <c r="F272" t="s">
        <v>319</v>
      </c>
      <c r="G272" t="s">
        <v>117</v>
      </c>
    </row>
    <row r="273" spans="1:8">
      <c r="B273" t="s">
        <v>1042</v>
      </c>
      <c r="C273" s="8">
        <v>254837</v>
      </c>
      <c r="D273" s="8">
        <v>0</v>
      </c>
      <c r="E273" s="8">
        <f t="shared" si="8"/>
        <v>2333212</v>
      </c>
      <c r="F273" t="s">
        <v>319</v>
      </c>
      <c r="G273" t="s">
        <v>117</v>
      </c>
    </row>
    <row r="274" spans="1:8">
      <c r="B274" t="s">
        <v>1047</v>
      </c>
      <c r="C274" s="8">
        <v>237611</v>
      </c>
      <c r="D274" s="8">
        <v>0</v>
      </c>
      <c r="E274" s="8">
        <f t="shared" si="8"/>
        <v>2095601</v>
      </c>
      <c r="F274" t="s">
        <v>319</v>
      </c>
      <c r="G274" t="s">
        <v>1045</v>
      </c>
    </row>
    <row r="275" spans="1:8">
      <c r="B275" t="s">
        <v>1042</v>
      </c>
      <c r="C275" s="8">
        <v>237930</v>
      </c>
      <c r="D275" s="8">
        <v>0</v>
      </c>
      <c r="E275" s="8">
        <f t="shared" si="8"/>
        <v>1857671</v>
      </c>
      <c r="F275" t="s">
        <v>319</v>
      </c>
      <c r="G275" t="s">
        <v>117</v>
      </c>
    </row>
    <row r="276" spans="1:8">
      <c r="B276" t="s">
        <v>1048</v>
      </c>
      <c r="C276" s="8">
        <v>617000</v>
      </c>
      <c r="D276" s="8">
        <v>0</v>
      </c>
      <c r="E276" s="8">
        <f t="shared" si="8"/>
        <v>1240671</v>
      </c>
      <c r="F276" s="10" t="s">
        <v>319</v>
      </c>
      <c r="G276" s="14" t="s">
        <v>647</v>
      </c>
    </row>
    <row r="277" spans="1:8">
      <c r="B277" t="s">
        <v>1042</v>
      </c>
      <c r="C277" s="8">
        <v>272817</v>
      </c>
      <c r="D277" s="8">
        <v>0</v>
      </c>
      <c r="E277" s="8">
        <f t="shared" si="8"/>
        <v>967854</v>
      </c>
      <c r="F277" s="10" t="s">
        <v>319</v>
      </c>
      <c r="G277" s="10" t="s">
        <v>117</v>
      </c>
    </row>
    <row r="278" spans="1:8">
      <c r="B278" t="s">
        <v>897</v>
      </c>
      <c r="C278" s="8">
        <v>275094</v>
      </c>
      <c r="D278" s="8">
        <v>0</v>
      </c>
      <c r="E278" s="8">
        <f t="shared" si="8"/>
        <v>692760</v>
      </c>
      <c r="F278" s="10" t="s">
        <v>319</v>
      </c>
      <c r="G278" s="10" t="s">
        <v>117</v>
      </c>
    </row>
    <row r="279" spans="1:8">
      <c r="B279" t="s">
        <v>897</v>
      </c>
      <c r="C279" s="8">
        <v>293760</v>
      </c>
      <c r="D279" s="8">
        <v>0</v>
      </c>
      <c r="E279" s="8">
        <f t="shared" si="8"/>
        <v>399000</v>
      </c>
      <c r="F279" s="10" t="s">
        <v>319</v>
      </c>
      <c r="G279" s="10" t="s">
        <v>117</v>
      </c>
    </row>
    <row r="280" spans="1:8">
      <c r="B280" t="s">
        <v>1037</v>
      </c>
      <c r="C280" s="8">
        <v>399000</v>
      </c>
      <c r="D280" s="8">
        <v>0</v>
      </c>
      <c r="E280" s="8">
        <f t="shared" si="8"/>
        <v>0</v>
      </c>
      <c r="F280" s="10" t="s">
        <v>137</v>
      </c>
      <c r="G280" s="10" t="s">
        <v>138</v>
      </c>
      <c r="H280" t="s">
        <v>990</v>
      </c>
    </row>
    <row r="281" spans="1:8">
      <c r="A281" s="3">
        <v>44258</v>
      </c>
      <c r="B281" t="s">
        <v>1007</v>
      </c>
      <c r="C281" s="8">
        <v>0</v>
      </c>
      <c r="D281" s="8">
        <v>13769345</v>
      </c>
      <c r="E281" s="8">
        <f t="shared" si="8"/>
        <v>13769345</v>
      </c>
      <c r="F281" t="s">
        <v>107</v>
      </c>
      <c r="G281" t="s">
        <v>274</v>
      </c>
      <c r="H281" t="s">
        <v>143</v>
      </c>
    </row>
    <row r="282" spans="1:8">
      <c r="B282" t="s">
        <v>1054</v>
      </c>
      <c r="C282" s="8">
        <v>262160</v>
      </c>
      <c r="D282" s="8">
        <v>0</v>
      </c>
      <c r="E282" s="8">
        <f t="shared" si="8"/>
        <v>13507185</v>
      </c>
      <c r="F282" s="10" t="s">
        <v>736</v>
      </c>
      <c r="G282" s="10" t="s">
        <v>455</v>
      </c>
      <c r="H282" t="s">
        <v>64</v>
      </c>
    </row>
    <row r="283" spans="1:8">
      <c r="B283" t="s">
        <v>1049</v>
      </c>
      <c r="C283" s="8">
        <v>38500</v>
      </c>
      <c r="D283" s="8">
        <v>0</v>
      </c>
      <c r="E283" s="8">
        <f t="shared" si="8"/>
        <v>13468685</v>
      </c>
      <c r="F283" s="10" t="s">
        <v>137</v>
      </c>
      <c r="G283" s="10" t="s">
        <v>138</v>
      </c>
      <c r="H283" t="s">
        <v>245</v>
      </c>
    </row>
    <row r="284" spans="1:8">
      <c r="B284" t="s">
        <v>915</v>
      </c>
      <c r="C284" s="8">
        <v>141900</v>
      </c>
      <c r="D284" s="8">
        <v>0</v>
      </c>
      <c r="E284" s="8">
        <f t="shared" si="8"/>
        <v>13326785</v>
      </c>
      <c r="F284" s="10" t="s">
        <v>137</v>
      </c>
      <c r="G284" s="10" t="s">
        <v>138</v>
      </c>
      <c r="H284" t="s">
        <v>245</v>
      </c>
    </row>
    <row r="285" spans="1:8">
      <c r="B285" t="s">
        <v>1040</v>
      </c>
      <c r="C285" s="8">
        <v>72600</v>
      </c>
      <c r="D285" s="8">
        <v>0</v>
      </c>
      <c r="E285" s="8">
        <f t="shared" si="8"/>
        <v>13254185</v>
      </c>
      <c r="F285" s="10" t="s">
        <v>137</v>
      </c>
      <c r="G285" s="10" t="s">
        <v>138</v>
      </c>
      <c r="H285" t="s">
        <v>245</v>
      </c>
    </row>
    <row r="286" spans="1:8">
      <c r="B286" t="s">
        <v>1050</v>
      </c>
      <c r="C286" s="8">
        <v>286600</v>
      </c>
      <c r="D286" s="8">
        <v>0</v>
      </c>
      <c r="E286" s="8">
        <f t="shared" si="8"/>
        <v>12967585</v>
      </c>
      <c r="F286" s="10" t="s">
        <v>137</v>
      </c>
      <c r="G286" s="10" t="s">
        <v>138</v>
      </c>
      <c r="H286" t="s">
        <v>245</v>
      </c>
    </row>
    <row r="287" spans="1:8">
      <c r="B287" t="s">
        <v>1040</v>
      </c>
      <c r="C287" s="8">
        <v>154000</v>
      </c>
      <c r="D287" s="8">
        <v>0</v>
      </c>
      <c r="E287" s="8">
        <f t="shared" si="8"/>
        <v>12813585</v>
      </c>
      <c r="F287" s="10" t="s">
        <v>137</v>
      </c>
      <c r="G287" s="10" t="s">
        <v>138</v>
      </c>
      <c r="H287" t="s">
        <v>245</v>
      </c>
    </row>
    <row r="288" spans="1:8">
      <c r="B288" t="s">
        <v>1051</v>
      </c>
      <c r="C288" s="8">
        <v>556000</v>
      </c>
      <c r="D288" s="8">
        <v>0</v>
      </c>
      <c r="E288" s="8">
        <f t="shared" si="8"/>
        <v>12257585</v>
      </c>
      <c r="F288" s="10" t="s">
        <v>137</v>
      </c>
      <c r="G288" s="10" t="s">
        <v>138</v>
      </c>
      <c r="H288" t="s">
        <v>245</v>
      </c>
    </row>
    <row r="289" spans="2:8">
      <c r="B289" t="s">
        <v>902</v>
      </c>
      <c r="C289" s="8">
        <v>829560</v>
      </c>
      <c r="D289" s="8">
        <v>0</v>
      </c>
      <c r="E289" s="8">
        <f t="shared" si="8"/>
        <v>11428025</v>
      </c>
      <c r="F289" s="10" t="s">
        <v>137</v>
      </c>
      <c r="G289" s="10" t="s">
        <v>138</v>
      </c>
      <c r="H289" t="s">
        <v>245</v>
      </c>
    </row>
    <row r="290" spans="2:8">
      <c r="B290" t="s">
        <v>1055</v>
      </c>
      <c r="C290" s="8">
        <v>385000</v>
      </c>
      <c r="D290" s="8">
        <v>0</v>
      </c>
      <c r="E290" s="8">
        <f t="shared" ref="E290:E358" si="9">E289-C290+D290</f>
        <v>11043025</v>
      </c>
      <c r="F290" s="10" t="s">
        <v>319</v>
      </c>
      <c r="G290" s="10" t="s">
        <v>320</v>
      </c>
    </row>
    <row r="291" spans="2:8">
      <c r="B291" t="s">
        <v>1056</v>
      </c>
      <c r="C291" s="8">
        <v>85800</v>
      </c>
      <c r="D291" s="8">
        <v>0</v>
      </c>
      <c r="E291" s="8">
        <f t="shared" si="9"/>
        <v>10957225</v>
      </c>
      <c r="F291" s="10" t="s">
        <v>736</v>
      </c>
      <c r="G291" s="10" t="s">
        <v>455</v>
      </c>
    </row>
    <row r="292" spans="2:8">
      <c r="B292" t="s">
        <v>897</v>
      </c>
      <c r="C292" s="8">
        <v>250824</v>
      </c>
      <c r="D292" s="8">
        <v>0</v>
      </c>
      <c r="E292" s="8">
        <f t="shared" si="9"/>
        <v>10706401</v>
      </c>
      <c r="F292" s="10" t="s">
        <v>319</v>
      </c>
      <c r="G292" s="10" t="s">
        <v>117</v>
      </c>
    </row>
    <row r="293" spans="2:8">
      <c r="B293" t="s">
        <v>1057</v>
      </c>
      <c r="C293" s="8">
        <v>119900</v>
      </c>
      <c r="D293" s="8">
        <v>0</v>
      </c>
      <c r="E293" s="8">
        <f t="shared" si="9"/>
        <v>10586501</v>
      </c>
      <c r="F293" s="10" t="s">
        <v>736</v>
      </c>
      <c r="G293" s="10" t="s">
        <v>455</v>
      </c>
    </row>
    <row r="294" spans="2:8">
      <c r="B294" t="s">
        <v>1058</v>
      </c>
      <c r="C294" s="8">
        <v>490000</v>
      </c>
      <c r="D294" s="8">
        <v>0</v>
      </c>
      <c r="E294" s="8">
        <f t="shared" si="9"/>
        <v>10096501</v>
      </c>
      <c r="F294" s="10" t="s">
        <v>319</v>
      </c>
      <c r="G294" s="10" t="s">
        <v>320</v>
      </c>
    </row>
    <row r="295" spans="2:8">
      <c r="B295" t="s">
        <v>1059</v>
      </c>
      <c r="C295" s="8">
        <v>1460000</v>
      </c>
      <c r="D295" s="8">
        <v>0</v>
      </c>
      <c r="E295" s="8">
        <f t="shared" si="9"/>
        <v>8636501</v>
      </c>
      <c r="F295" s="10" t="s">
        <v>319</v>
      </c>
      <c r="G295" s="10" t="s">
        <v>320</v>
      </c>
    </row>
    <row r="296" spans="2:8">
      <c r="B296" t="s">
        <v>1060</v>
      </c>
      <c r="C296" s="8">
        <v>468000</v>
      </c>
      <c r="D296" s="8">
        <v>0</v>
      </c>
      <c r="E296" s="8">
        <f t="shared" si="9"/>
        <v>8168501</v>
      </c>
      <c r="F296" s="10" t="s">
        <v>319</v>
      </c>
      <c r="G296" s="10" t="s">
        <v>320</v>
      </c>
    </row>
    <row r="297" spans="2:8">
      <c r="B297" t="s">
        <v>1061</v>
      </c>
      <c r="C297" s="8">
        <v>520000</v>
      </c>
      <c r="D297" s="8">
        <v>0</v>
      </c>
      <c r="E297" s="8">
        <f t="shared" si="9"/>
        <v>7648501</v>
      </c>
      <c r="F297" s="10" t="s">
        <v>319</v>
      </c>
      <c r="G297" s="10" t="s">
        <v>320</v>
      </c>
    </row>
    <row r="298" spans="2:8">
      <c r="B298" t="s">
        <v>1052</v>
      </c>
      <c r="C298" s="8">
        <v>5000</v>
      </c>
      <c r="D298" s="8">
        <v>0</v>
      </c>
      <c r="E298" s="8">
        <f t="shared" si="9"/>
        <v>7643501</v>
      </c>
      <c r="F298" s="10" t="s">
        <v>113</v>
      </c>
      <c r="G298" s="10" t="s">
        <v>114</v>
      </c>
    </row>
    <row r="299" spans="2:8">
      <c r="B299" t="s">
        <v>1053</v>
      </c>
      <c r="C299" s="8">
        <v>10000</v>
      </c>
      <c r="D299" s="8">
        <v>0</v>
      </c>
      <c r="E299" s="8">
        <f t="shared" si="9"/>
        <v>7633501</v>
      </c>
      <c r="F299" s="10" t="s">
        <v>113</v>
      </c>
      <c r="G299" s="10" t="s">
        <v>114</v>
      </c>
    </row>
    <row r="300" spans="2:8">
      <c r="B300" t="s">
        <v>1062</v>
      </c>
      <c r="C300" s="8">
        <v>630646</v>
      </c>
      <c r="D300" s="8">
        <v>0</v>
      </c>
      <c r="E300" s="8">
        <f t="shared" si="9"/>
        <v>7002855</v>
      </c>
      <c r="F300" s="10" t="s">
        <v>248</v>
      </c>
      <c r="G300" s="10" t="s">
        <v>391</v>
      </c>
    </row>
    <row r="301" spans="2:8">
      <c r="B301" t="s">
        <v>897</v>
      </c>
      <c r="C301" s="8">
        <v>575050</v>
      </c>
      <c r="D301" s="8">
        <v>0</v>
      </c>
      <c r="E301" s="8">
        <f t="shared" si="9"/>
        <v>6427805</v>
      </c>
      <c r="F301" s="10" t="s">
        <v>319</v>
      </c>
      <c r="G301" s="10" t="s">
        <v>117</v>
      </c>
    </row>
    <row r="302" spans="2:8">
      <c r="B302" t="s">
        <v>1063</v>
      </c>
      <c r="C302" s="8">
        <v>250000</v>
      </c>
      <c r="D302" s="8">
        <v>0</v>
      </c>
      <c r="E302" s="8">
        <f t="shared" si="9"/>
        <v>6177805</v>
      </c>
      <c r="F302" s="10" t="s">
        <v>248</v>
      </c>
      <c r="G302" s="10" t="s">
        <v>729</v>
      </c>
    </row>
    <row r="303" spans="2:8">
      <c r="B303" t="s">
        <v>1064</v>
      </c>
      <c r="C303" s="8">
        <v>968000</v>
      </c>
      <c r="D303" s="8">
        <v>0</v>
      </c>
      <c r="E303" s="8">
        <f t="shared" si="9"/>
        <v>5209805</v>
      </c>
      <c r="F303" s="10" t="s">
        <v>248</v>
      </c>
      <c r="G303" s="10" t="s">
        <v>391</v>
      </c>
    </row>
    <row r="304" spans="2:8">
      <c r="B304" t="s">
        <v>897</v>
      </c>
      <c r="C304" s="8">
        <v>687499</v>
      </c>
      <c r="D304" s="8">
        <v>0</v>
      </c>
      <c r="E304" s="8">
        <f t="shared" si="9"/>
        <v>4522306</v>
      </c>
      <c r="F304" s="10" t="s">
        <v>319</v>
      </c>
      <c r="G304" s="10" t="s">
        <v>117</v>
      </c>
    </row>
    <row r="305" spans="1:10">
      <c r="B305" t="s">
        <v>1062</v>
      </c>
      <c r="C305" s="8">
        <v>451000</v>
      </c>
      <c r="D305" s="8">
        <v>0</v>
      </c>
      <c r="E305" s="8">
        <f t="shared" si="9"/>
        <v>4071306</v>
      </c>
      <c r="F305" s="10" t="s">
        <v>248</v>
      </c>
      <c r="G305" s="10" t="s">
        <v>391</v>
      </c>
    </row>
    <row r="306" spans="1:10">
      <c r="B306" t="s">
        <v>897</v>
      </c>
      <c r="C306" s="8">
        <v>652706</v>
      </c>
      <c r="D306" s="8">
        <v>0</v>
      </c>
      <c r="E306" s="8">
        <f t="shared" si="9"/>
        <v>3418600</v>
      </c>
      <c r="F306" s="10" t="s">
        <v>319</v>
      </c>
      <c r="G306" s="10" t="s">
        <v>117</v>
      </c>
    </row>
    <row r="307" spans="1:10">
      <c r="B307" t="s">
        <v>1065</v>
      </c>
      <c r="C307" s="8">
        <v>907600</v>
      </c>
      <c r="D307" s="8">
        <v>0</v>
      </c>
      <c r="E307" s="8">
        <f t="shared" si="9"/>
        <v>2511000</v>
      </c>
      <c r="F307" s="10" t="s">
        <v>248</v>
      </c>
      <c r="G307" s="10" t="s">
        <v>391</v>
      </c>
    </row>
    <row r="308" spans="1:10">
      <c r="B308" t="s">
        <v>1066</v>
      </c>
      <c r="C308" s="8">
        <v>907000</v>
      </c>
      <c r="D308" s="8">
        <v>0</v>
      </c>
      <c r="E308" s="8">
        <f t="shared" si="9"/>
        <v>1604000</v>
      </c>
      <c r="F308" s="10" t="s">
        <v>248</v>
      </c>
      <c r="G308" s="10" t="s">
        <v>391</v>
      </c>
    </row>
    <row r="309" spans="1:10">
      <c r="B309" t="s">
        <v>897</v>
      </c>
      <c r="C309" s="8">
        <v>350000</v>
      </c>
      <c r="D309" s="8">
        <v>0</v>
      </c>
      <c r="E309" s="8">
        <f t="shared" si="9"/>
        <v>1254000</v>
      </c>
      <c r="F309" s="10" t="s">
        <v>319</v>
      </c>
      <c r="G309" s="10" t="s">
        <v>117</v>
      </c>
    </row>
    <row r="310" spans="1:10">
      <c r="B310" t="s">
        <v>1052</v>
      </c>
      <c r="C310" s="8">
        <v>5000</v>
      </c>
      <c r="D310" s="8">
        <v>0</v>
      </c>
      <c r="E310" s="8">
        <f t="shared" si="9"/>
        <v>1249000</v>
      </c>
      <c r="F310" s="10" t="s">
        <v>113</v>
      </c>
      <c r="G310" s="10" t="s">
        <v>114</v>
      </c>
    </row>
    <row r="311" spans="1:10" s="14" customFormat="1">
      <c r="A311" s="138"/>
      <c r="B311" s="14" t="s">
        <v>4623</v>
      </c>
      <c r="C311" s="53">
        <v>1249000</v>
      </c>
      <c r="D311" s="53">
        <v>0</v>
      </c>
      <c r="E311" s="53">
        <f t="shared" si="9"/>
        <v>0</v>
      </c>
      <c r="F311" s="14" t="s">
        <v>787</v>
      </c>
      <c r="G311" s="14" t="s">
        <v>788</v>
      </c>
      <c r="H311" s="14" t="s">
        <v>4625</v>
      </c>
    </row>
    <row r="312" spans="1:10">
      <c r="A312" s="3">
        <v>44258</v>
      </c>
      <c r="B312" t="s">
        <v>1113</v>
      </c>
      <c r="C312" s="8">
        <v>0</v>
      </c>
      <c r="D312" s="8">
        <v>180000</v>
      </c>
      <c r="E312" s="8">
        <f t="shared" si="9"/>
        <v>180000</v>
      </c>
      <c r="F312" t="s">
        <v>581</v>
      </c>
      <c r="G312" t="s">
        <v>582</v>
      </c>
      <c r="H312" s="14" t="s">
        <v>1124</v>
      </c>
      <c r="I312">
        <v>12</v>
      </c>
    </row>
    <row r="313" spans="1:10">
      <c r="B313" t="s">
        <v>1113</v>
      </c>
      <c r="C313" s="8">
        <v>180000</v>
      </c>
      <c r="D313" s="8">
        <v>0</v>
      </c>
      <c r="E313" s="8">
        <f t="shared" si="9"/>
        <v>0</v>
      </c>
      <c r="F313" s="10" t="s">
        <v>714</v>
      </c>
      <c r="G313" s="10" t="s">
        <v>715</v>
      </c>
      <c r="H313" s="14" t="s">
        <v>1124</v>
      </c>
      <c r="I313">
        <v>12</v>
      </c>
    </row>
    <row r="314" spans="1:10">
      <c r="A314" s="3">
        <v>44259</v>
      </c>
      <c r="B314" t="s">
        <v>1114</v>
      </c>
      <c r="C314" s="8">
        <v>0</v>
      </c>
      <c r="D314" s="8">
        <v>26172720</v>
      </c>
      <c r="E314" s="8">
        <f t="shared" si="9"/>
        <v>26172720</v>
      </c>
      <c r="F314" t="s">
        <v>581</v>
      </c>
      <c r="G314" t="s">
        <v>582</v>
      </c>
      <c r="H314" t="s">
        <v>393</v>
      </c>
      <c r="I314">
        <v>4</v>
      </c>
    </row>
    <row r="315" spans="1:10">
      <c r="B315" t="s">
        <v>1114</v>
      </c>
      <c r="C315" s="8">
        <v>21810600</v>
      </c>
      <c r="D315" s="8">
        <v>0</v>
      </c>
      <c r="E315" s="8">
        <f t="shared" si="9"/>
        <v>4362120</v>
      </c>
      <c r="F315" s="10" t="s">
        <v>568</v>
      </c>
      <c r="G315" s="14" t="s">
        <v>4395</v>
      </c>
      <c r="H315" t="s">
        <v>393</v>
      </c>
      <c r="I315">
        <v>4</v>
      </c>
    </row>
    <row r="316" spans="1:10">
      <c r="B316" t="s">
        <v>1114</v>
      </c>
      <c r="C316" s="8">
        <v>4362120</v>
      </c>
      <c r="D316" s="8">
        <v>0</v>
      </c>
      <c r="E316" s="8">
        <f t="shared" si="9"/>
        <v>0</v>
      </c>
      <c r="F316" s="10" t="s">
        <v>714</v>
      </c>
      <c r="G316" s="10" t="s">
        <v>715</v>
      </c>
      <c r="H316" t="s">
        <v>393</v>
      </c>
      <c r="I316">
        <v>4</v>
      </c>
    </row>
    <row r="317" spans="1:10">
      <c r="A317" s="3">
        <v>44263</v>
      </c>
      <c r="B317" t="s">
        <v>1108</v>
      </c>
      <c r="C317" s="8">
        <v>0</v>
      </c>
      <c r="D317" s="8">
        <v>104371740</v>
      </c>
      <c r="E317" s="8">
        <f t="shared" si="9"/>
        <v>104371740</v>
      </c>
      <c r="F317" t="s">
        <v>110</v>
      </c>
      <c r="G317" t="s">
        <v>188</v>
      </c>
      <c r="H317" s="13" t="s">
        <v>127</v>
      </c>
      <c r="I317">
        <v>77</v>
      </c>
    </row>
    <row r="318" spans="1:10">
      <c r="B318" t="s">
        <v>1108</v>
      </c>
      <c r="C318" s="8">
        <v>86976450</v>
      </c>
      <c r="D318" s="8">
        <v>0</v>
      </c>
      <c r="E318" s="8">
        <f t="shared" si="9"/>
        <v>17395290</v>
      </c>
      <c r="F318" s="10" t="s">
        <v>115</v>
      </c>
      <c r="G318" s="10" t="s">
        <v>441</v>
      </c>
      <c r="H318" t="s">
        <v>567</v>
      </c>
      <c r="I318" s="13" t="s">
        <v>127</v>
      </c>
      <c r="J318">
        <v>77</v>
      </c>
    </row>
    <row r="319" spans="1:10">
      <c r="B319" t="s">
        <v>1108</v>
      </c>
      <c r="C319" s="8">
        <v>17395290</v>
      </c>
      <c r="E319" s="8">
        <f t="shared" si="9"/>
        <v>0</v>
      </c>
      <c r="F319" s="10" t="s">
        <v>115</v>
      </c>
      <c r="G319" s="10" t="s">
        <v>441</v>
      </c>
      <c r="H319" t="s">
        <v>442</v>
      </c>
      <c r="I319" s="13" t="s">
        <v>127</v>
      </c>
      <c r="J319">
        <v>77</v>
      </c>
    </row>
    <row r="320" spans="1:10">
      <c r="A320" s="3">
        <v>44263</v>
      </c>
      <c r="B320" t="s">
        <v>1108</v>
      </c>
      <c r="C320" s="8">
        <v>0</v>
      </c>
      <c r="D320" s="8">
        <v>33564300</v>
      </c>
      <c r="E320" s="8">
        <f t="shared" si="9"/>
        <v>33564300</v>
      </c>
      <c r="F320" t="s">
        <v>581</v>
      </c>
      <c r="G320" t="s">
        <v>582</v>
      </c>
      <c r="H320" t="s">
        <v>251</v>
      </c>
      <c r="I320">
        <v>3</v>
      </c>
    </row>
    <row r="321" spans="1:10">
      <c r="B321" t="s">
        <v>1108</v>
      </c>
      <c r="C321" s="8">
        <v>27970250</v>
      </c>
      <c r="E321" s="8">
        <f t="shared" si="9"/>
        <v>5594050</v>
      </c>
      <c r="F321" s="10" t="s">
        <v>568</v>
      </c>
      <c r="G321" s="14" t="s">
        <v>4395</v>
      </c>
      <c r="H321" t="s">
        <v>251</v>
      </c>
      <c r="I321">
        <v>3</v>
      </c>
    </row>
    <row r="322" spans="1:10">
      <c r="B322" t="s">
        <v>1108</v>
      </c>
      <c r="C322" s="8">
        <v>5594050</v>
      </c>
      <c r="E322" s="8">
        <f t="shared" si="9"/>
        <v>0</v>
      </c>
      <c r="F322" s="10" t="s">
        <v>714</v>
      </c>
      <c r="G322" s="10" t="s">
        <v>715</v>
      </c>
      <c r="H322" t="s">
        <v>251</v>
      </c>
      <c r="I322">
        <v>3</v>
      </c>
    </row>
    <row r="323" spans="1:10">
      <c r="A323" s="3">
        <v>44266</v>
      </c>
      <c r="B323" t="s">
        <v>1112</v>
      </c>
      <c r="C323" s="20">
        <v>0</v>
      </c>
      <c r="D323" s="8">
        <f>786670500-770937090</f>
        <v>15733410</v>
      </c>
      <c r="E323" s="8">
        <f t="shared" si="9"/>
        <v>15733410</v>
      </c>
      <c r="F323" s="10" t="s">
        <v>110</v>
      </c>
      <c r="G323" s="10" t="s">
        <v>188</v>
      </c>
      <c r="H323" t="s">
        <v>151</v>
      </c>
      <c r="I323">
        <v>68</v>
      </c>
    </row>
    <row r="324" spans="1:10">
      <c r="B324" t="s">
        <v>1112</v>
      </c>
      <c r="C324" s="8">
        <f>786670500-770937090</f>
        <v>15733410</v>
      </c>
      <c r="D324" s="8">
        <v>0</v>
      </c>
      <c r="E324" s="8">
        <f t="shared" si="9"/>
        <v>0</v>
      </c>
      <c r="F324" s="10" t="s">
        <v>115</v>
      </c>
      <c r="G324" s="10" t="s">
        <v>120</v>
      </c>
      <c r="H324" t="s">
        <v>151</v>
      </c>
    </row>
    <row r="325" spans="1:10" s="14" customFormat="1">
      <c r="A325" s="138">
        <v>44266</v>
      </c>
      <c r="B325" s="14" t="s">
        <v>4627</v>
      </c>
      <c r="C325" s="53">
        <v>0</v>
      </c>
      <c r="D325" s="53">
        <v>18434442</v>
      </c>
      <c r="E325" s="8">
        <f t="shared" si="9"/>
        <v>18434442</v>
      </c>
      <c r="F325" s="14" t="s">
        <v>110</v>
      </c>
      <c r="G325" s="14" t="s">
        <v>188</v>
      </c>
      <c r="H325" s="196" t="s">
        <v>447</v>
      </c>
      <c r="I325" s="14">
        <v>159</v>
      </c>
    </row>
    <row r="326" spans="1:10" s="14" customFormat="1">
      <c r="A326" s="138"/>
      <c r="B326" s="14" t="s">
        <v>4627</v>
      </c>
      <c r="C326" s="53">
        <v>335171.68</v>
      </c>
      <c r="D326" s="53">
        <v>0</v>
      </c>
      <c r="E326" s="8">
        <f t="shared" si="9"/>
        <v>18099270.32</v>
      </c>
      <c r="F326" s="14" t="s">
        <v>115</v>
      </c>
      <c r="G326" s="14" t="s">
        <v>441</v>
      </c>
      <c r="H326" s="196" t="s">
        <v>1133</v>
      </c>
      <c r="I326" s="196" t="s">
        <v>447</v>
      </c>
      <c r="J326" s="14">
        <v>159</v>
      </c>
    </row>
    <row r="327" spans="1:10" s="14" customFormat="1">
      <c r="A327" s="138"/>
      <c r="B327" s="14" t="s">
        <v>4627</v>
      </c>
      <c r="C327" s="53">
        <v>20000000</v>
      </c>
      <c r="D327" s="53">
        <v>0</v>
      </c>
      <c r="E327" s="8">
        <f t="shared" si="9"/>
        <v>-1900729.6799999997</v>
      </c>
      <c r="F327" s="14" t="s">
        <v>115</v>
      </c>
      <c r="G327" s="14" t="s">
        <v>120</v>
      </c>
      <c r="H327" s="14" t="s">
        <v>448</v>
      </c>
      <c r="I327" s="14" t="s">
        <v>444</v>
      </c>
    </row>
    <row r="328" spans="1:10" s="14" customFormat="1">
      <c r="A328" s="138"/>
      <c r="B328" s="14" t="s">
        <v>4627</v>
      </c>
      <c r="C328" s="53">
        <v>0</v>
      </c>
      <c r="D328" s="53">
        <v>1900729.68</v>
      </c>
      <c r="E328" s="53">
        <f t="shared" si="9"/>
        <v>0</v>
      </c>
      <c r="F328" s="14" t="s">
        <v>252</v>
      </c>
      <c r="G328" s="14" t="s">
        <v>664</v>
      </c>
      <c r="H328" s="14" t="s">
        <v>64</v>
      </c>
      <c r="I328" s="14" t="s">
        <v>64</v>
      </c>
    </row>
    <row r="329" spans="1:10" s="14" customFormat="1">
      <c r="A329" s="138">
        <v>44272</v>
      </c>
      <c r="B329" s="14" t="s">
        <v>1407</v>
      </c>
      <c r="C329" s="53"/>
      <c r="D329" s="53">
        <v>9609600</v>
      </c>
      <c r="E329" s="53">
        <f t="shared" si="9"/>
        <v>9609600</v>
      </c>
      <c r="F329" s="14" t="s">
        <v>581</v>
      </c>
      <c r="G329" s="14" t="s">
        <v>582</v>
      </c>
      <c r="H329" s="14" t="s">
        <v>883</v>
      </c>
      <c r="I329" s="14">
        <v>7</v>
      </c>
    </row>
    <row r="330" spans="1:10" s="14" customFormat="1">
      <c r="A330" s="138"/>
      <c r="B330" s="14" t="s">
        <v>1407</v>
      </c>
      <c r="C330" s="53">
        <v>8008000</v>
      </c>
      <c r="D330" s="53"/>
      <c r="E330" s="53">
        <f t="shared" si="9"/>
        <v>1601600</v>
      </c>
      <c r="F330" s="14" t="s">
        <v>568</v>
      </c>
      <c r="G330" s="14" t="s">
        <v>4395</v>
      </c>
      <c r="H330" s="14" t="s">
        <v>883</v>
      </c>
      <c r="I330" s="14">
        <v>7</v>
      </c>
    </row>
    <row r="331" spans="1:10" s="14" customFormat="1">
      <c r="A331" s="138"/>
      <c r="B331" t="s">
        <v>1407</v>
      </c>
      <c r="C331" s="53">
        <v>1601600</v>
      </c>
      <c r="D331" s="53"/>
      <c r="E331" s="8">
        <f t="shared" si="9"/>
        <v>0</v>
      </c>
      <c r="F331" t="s">
        <v>714</v>
      </c>
      <c r="G331" t="s">
        <v>715</v>
      </c>
      <c r="H331" t="s">
        <v>883</v>
      </c>
      <c r="I331">
        <v>7</v>
      </c>
    </row>
    <row r="332" spans="1:10" s="14" customFormat="1">
      <c r="A332" s="3">
        <v>44272</v>
      </c>
      <c r="B332" t="s">
        <v>3059</v>
      </c>
      <c r="C332" s="54">
        <v>0</v>
      </c>
      <c r="D332" s="54">
        <v>8748960</v>
      </c>
      <c r="E332" s="8">
        <f t="shared" si="9"/>
        <v>8748960</v>
      </c>
      <c r="F332" t="s">
        <v>581</v>
      </c>
      <c r="G332" t="s">
        <v>582</v>
      </c>
      <c r="H332" s="14" t="s">
        <v>990</v>
      </c>
      <c r="I332">
        <v>11</v>
      </c>
    </row>
    <row r="333" spans="1:10" s="14" customFormat="1">
      <c r="A333" s="138"/>
      <c r="B333" t="s">
        <v>3059</v>
      </c>
      <c r="C333" s="53">
        <v>7290800</v>
      </c>
      <c r="D333" s="53">
        <v>0</v>
      </c>
      <c r="E333" s="8">
        <f t="shared" si="9"/>
        <v>1458160</v>
      </c>
      <c r="F333" s="14" t="s">
        <v>568</v>
      </c>
      <c r="G333" s="14" t="s">
        <v>4395</v>
      </c>
      <c r="H333" s="14" t="s">
        <v>990</v>
      </c>
      <c r="I333">
        <v>11</v>
      </c>
    </row>
    <row r="334" spans="1:10" s="14" customFormat="1">
      <c r="A334" s="138"/>
      <c r="B334" t="s">
        <v>3059</v>
      </c>
      <c r="C334" s="53">
        <v>1458160</v>
      </c>
      <c r="D334" s="53">
        <v>0</v>
      </c>
      <c r="E334" s="8">
        <f t="shared" si="9"/>
        <v>0</v>
      </c>
      <c r="F334" t="s">
        <v>714</v>
      </c>
      <c r="G334" t="s">
        <v>715</v>
      </c>
      <c r="H334" s="14" t="s">
        <v>990</v>
      </c>
      <c r="I334">
        <v>11</v>
      </c>
    </row>
    <row r="335" spans="1:10">
      <c r="A335" s="3">
        <v>44287</v>
      </c>
      <c r="B335" t="s">
        <v>1341</v>
      </c>
      <c r="C335" s="8">
        <v>0</v>
      </c>
      <c r="D335" s="8">
        <v>25321978</v>
      </c>
      <c r="E335" s="8">
        <f t="shared" si="9"/>
        <v>25321978</v>
      </c>
      <c r="F335" s="10" t="s">
        <v>107</v>
      </c>
      <c r="G335" s="10" t="s">
        <v>274</v>
      </c>
      <c r="H335" t="s">
        <v>141</v>
      </c>
    </row>
    <row r="336" spans="1:10">
      <c r="B336" t="s">
        <v>394</v>
      </c>
      <c r="C336" s="8">
        <v>1033270</v>
      </c>
      <c r="E336" s="8">
        <f t="shared" si="9"/>
        <v>24288708</v>
      </c>
      <c r="F336" s="10" t="s">
        <v>137</v>
      </c>
      <c r="G336" s="10" t="s">
        <v>138</v>
      </c>
      <c r="H336" t="s">
        <v>603</v>
      </c>
    </row>
    <row r="337" spans="1:8">
      <c r="B337" t="s">
        <v>3100</v>
      </c>
      <c r="C337" s="8">
        <v>69000</v>
      </c>
      <c r="E337" s="8">
        <f t="shared" si="9"/>
        <v>24219708</v>
      </c>
      <c r="F337" s="10" t="s">
        <v>736</v>
      </c>
      <c r="G337" s="10" t="s">
        <v>455</v>
      </c>
    </row>
    <row r="338" spans="1:8">
      <c r="B338" t="s">
        <v>394</v>
      </c>
      <c r="C338" s="8">
        <v>7720359</v>
      </c>
      <c r="E338" s="8">
        <f t="shared" si="9"/>
        <v>16499349</v>
      </c>
      <c r="F338" s="10" t="s">
        <v>107</v>
      </c>
      <c r="G338" s="10" t="s">
        <v>3102</v>
      </c>
    </row>
    <row r="339" spans="1:8">
      <c r="B339" t="s">
        <v>3101</v>
      </c>
      <c r="C339" s="8">
        <v>5000000</v>
      </c>
      <c r="E339" s="8">
        <f t="shared" si="9"/>
        <v>11499349</v>
      </c>
      <c r="F339" s="10" t="s">
        <v>137</v>
      </c>
      <c r="G339" s="10" t="s">
        <v>138</v>
      </c>
      <c r="H339" t="s">
        <v>251</v>
      </c>
    </row>
    <row r="340" spans="1:8">
      <c r="B340" t="s">
        <v>394</v>
      </c>
      <c r="C340" s="8">
        <v>19219708</v>
      </c>
      <c r="E340" s="8">
        <f t="shared" si="9"/>
        <v>-7720359</v>
      </c>
      <c r="F340" s="10" t="s">
        <v>137</v>
      </c>
      <c r="G340" s="10" t="s">
        <v>138</v>
      </c>
      <c r="H340" t="s">
        <v>603</v>
      </c>
    </row>
    <row r="341" spans="1:8">
      <c r="B341" t="s">
        <v>394</v>
      </c>
      <c r="C341" s="8">
        <v>0</v>
      </c>
      <c r="D341" s="8">
        <v>7720359</v>
      </c>
      <c r="E341" s="8">
        <f t="shared" si="9"/>
        <v>0</v>
      </c>
      <c r="F341" s="10" t="s">
        <v>107</v>
      </c>
      <c r="G341" s="10" t="s">
        <v>3102</v>
      </c>
    </row>
    <row r="342" spans="1:8" s="14" customFormat="1">
      <c r="A342" s="138">
        <v>44287</v>
      </c>
      <c r="B342" s="14" t="s">
        <v>1343</v>
      </c>
      <c r="C342" s="50">
        <v>0</v>
      </c>
      <c r="D342" s="50">
        <v>6055138</v>
      </c>
      <c r="E342" s="8">
        <f t="shared" si="9"/>
        <v>6055138</v>
      </c>
      <c r="F342" s="14" t="s">
        <v>107</v>
      </c>
      <c r="G342" s="14" t="s">
        <v>274</v>
      </c>
      <c r="H342" s="14" t="s">
        <v>140</v>
      </c>
    </row>
    <row r="343" spans="1:8">
      <c r="B343" t="s">
        <v>3103</v>
      </c>
      <c r="C343" s="8">
        <v>105000</v>
      </c>
      <c r="D343" s="8">
        <v>0</v>
      </c>
      <c r="E343" s="8">
        <f t="shared" si="9"/>
        <v>5950138</v>
      </c>
      <c r="F343" s="10" t="s">
        <v>319</v>
      </c>
      <c r="G343" s="10" t="s">
        <v>117</v>
      </c>
      <c r="H343" t="s">
        <v>64</v>
      </c>
    </row>
    <row r="344" spans="1:8">
      <c r="B344" t="s">
        <v>897</v>
      </c>
      <c r="C344" s="8">
        <v>292307</v>
      </c>
      <c r="D344" s="8">
        <v>0</v>
      </c>
      <c r="E344" s="8">
        <f t="shared" si="9"/>
        <v>5657831</v>
      </c>
      <c r="F344" s="10" t="s">
        <v>319</v>
      </c>
      <c r="G344" s="10" t="s">
        <v>117</v>
      </c>
      <c r="H344" t="s">
        <v>64</v>
      </c>
    </row>
    <row r="345" spans="1:8">
      <c r="B345" t="s">
        <v>3104</v>
      </c>
      <c r="C345" s="8">
        <v>876091</v>
      </c>
      <c r="D345" s="8">
        <v>0</v>
      </c>
      <c r="E345" s="8">
        <f t="shared" si="9"/>
        <v>4781740</v>
      </c>
      <c r="F345" s="10" t="s">
        <v>319</v>
      </c>
      <c r="G345" s="10" t="s">
        <v>1045</v>
      </c>
      <c r="H345" t="s">
        <v>64</v>
      </c>
    </row>
    <row r="346" spans="1:8">
      <c r="B346" t="s">
        <v>3105</v>
      </c>
      <c r="C346" s="8">
        <v>5000</v>
      </c>
      <c r="D346" s="8">
        <v>0</v>
      </c>
      <c r="E346" s="8">
        <f t="shared" si="9"/>
        <v>4776740</v>
      </c>
      <c r="F346" s="10" t="s">
        <v>113</v>
      </c>
      <c r="G346" s="10" t="s">
        <v>114</v>
      </c>
      <c r="H346" t="s">
        <v>64</v>
      </c>
    </row>
    <row r="347" spans="1:8">
      <c r="B347" t="s">
        <v>3106</v>
      </c>
      <c r="C347" s="8">
        <v>983800</v>
      </c>
      <c r="D347" s="8">
        <v>0</v>
      </c>
      <c r="E347" s="8">
        <f t="shared" si="9"/>
        <v>3792940</v>
      </c>
      <c r="F347" s="10" t="s">
        <v>137</v>
      </c>
      <c r="G347" s="10" t="s">
        <v>138</v>
      </c>
      <c r="H347" s="168" t="s">
        <v>1015</v>
      </c>
    </row>
    <row r="348" spans="1:8">
      <c r="B348" t="s">
        <v>3107</v>
      </c>
      <c r="C348" s="8">
        <v>280319</v>
      </c>
      <c r="D348" s="8">
        <v>0</v>
      </c>
      <c r="E348" s="8">
        <f t="shared" si="9"/>
        <v>3512621</v>
      </c>
      <c r="F348" s="10" t="s">
        <v>319</v>
      </c>
      <c r="G348" s="10" t="s">
        <v>117</v>
      </c>
      <c r="H348" t="s">
        <v>64</v>
      </c>
    </row>
    <row r="349" spans="1:8">
      <c r="B349" t="s">
        <v>897</v>
      </c>
      <c r="C349" s="8">
        <v>262472</v>
      </c>
      <c r="D349" s="8">
        <v>0</v>
      </c>
      <c r="E349" s="8">
        <f t="shared" si="9"/>
        <v>3250149</v>
      </c>
      <c r="F349" s="10" t="s">
        <v>319</v>
      </c>
      <c r="G349" s="10" t="s">
        <v>117</v>
      </c>
      <c r="H349" t="s">
        <v>64</v>
      </c>
    </row>
    <row r="350" spans="1:8">
      <c r="B350" t="s">
        <v>3108</v>
      </c>
      <c r="C350" s="8">
        <v>241735</v>
      </c>
      <c r="D350" s="8">
        <v>0</v>
      </c>
      <c r="E350" s="8">
        <f t="shared" si="9"/>
        <v>3008414</v>
      </c>
      <c r="F350" s="10" t="s">
        <v>319</v>
      </c>
      <c r="G350" s="10" t="s">
        <v>1045</v>
      </c>
      <c r="H350" t="s">
        <v>64</v>
      </c>
    </row>
    <row r="351" spans="1:8">
      <c r="B351" t="s">
        <v>3109</v>
      </c>
      <c r="C351" s="8">
        <v>203700</v>
      </c>
      <c r="D351" s="8">
        <v>0</v>
      </c>
      <c r="E351" s="8">
        <f t="shared" si="9"/>
        <v>2804714</v>
      </c>
      <c r="F351" s="10" t="s">
        <v>248</v>
      </c>
      <c r="G351" s="10" t="s">
        <v>391</v>
      </c>
      <c r="H351" t="s">
        <v>64</v>
      </c>
    </row>
    <row r="352" spans="1:8">
      <c r="B352" t="s">
        <v>3110</v>
      </c>
      <c r="C352" s="8">
        <v>191500</v>
      </c>
      <c r="D352" s="8">
        <v>0</v>
      </c>
      <c r="E352" s="8">
        <f t="shared" si="9"/>
        <v>2613214</v>
      </c>
      <c r="F352" s="10" t="s">
        <v>137</v>
      </c>
      <c r="G352" s="10" t="s">
        <v>138</v>
      </c>
      <c r="H352" s="168" t="s">
        <v>1015</v>
      </c>
    </row>
    <row r="353" spans="1:8">
      <c r="B353" t="s">
        <v>3111</v>
      </c>
      <c r="C353" s="8">
        <v>289017</v>
      </c>
      <c r="D353" s="8">
        <v>0</v>
      </c>
      <c r="E353" s="8">
        <f t="shared" si="9"/>
        <v>2324197</v>
      </c>
      <c r="F353" s="10" t="s">
        <v>319</v>
      </c>
      <c r="G353" s="10" t="s">
        <v>117</v>
      </c>
      <c r="H353" t="s">
        <v>64</v>
      </c>
    </row>
    <row r="354" spans="1:8">
      <c r="B354" t="s">
        <v>896</v>
      </c>
      <c r="C354" s="8">
        <v>225980</v>
      </c>
      <c r="D354" s="8">
        <v>0</v>
      </c>
      <c r="E354" s="8">
        <f t="shared" si="9"/>
        <v>2098217</v>
      </c>
      <c r="F354" s="10" t="s">
        <v>319</v>
      </c>
      <c r="G354" s="10" t="s">
        <v>117</v>
      </c>
      <c r="H354" t="s">
        <v>64</v>
      </c>
    </row>
    <row r="355" spans="1:8">
      <c r="B355" t="s">
        <v>3112</v>
      </c>
      <c r="C355" s="8">
        <v>158000</v>
      </c>
      <c r="D355" s="8">
        <v>0</v>
      </c>
      <c r="E355" s="8">
        <f t="shared" si="9"/>
        <v>1940217</v>
      </c>
      <c r="F355" s="10" t="s">
        <v>137</v>
      </c>
      <c r="G355" s="10" t="s">
        <v>138</v>
      </c>
      <c r="H355" s="168" t="s">
        <v>1015</v>
      </c>
    </row>
    <row r="356" spans="1:8">
      <c r="B356" t="s">
        <v>1042</v>
      </c>
      <c r="C356" s="8">
        <v>252779</v>
      </c>
      <c r="D356" s="8">
        <v>0</v>
      </c>
      <c r="E356" s="8">
        <f t="shared" si="9"/>
        <v>1687438</v>
      </c>
      <c r="F356" s="10" t="s">
        <v>319</v>
      </c>
      <c r="G356" s="10" t="s">
        <v>117</v>
      </c>
      <c r="H356" t="s">
        <v>64</v>
      </c>
    </row>
    <row r="357" spans="1:8">
      <c r="B357" t="s">
        <v>1042</v>
      </c>
      <c r="C357" s="8">
        <v>150000</v>
      </c>
      <c r="D357" s="8">
        <v>0</v>
      </c>
      <c r="E357" s="8">
        <f t="shared" si="9"/>
        <v>1537438</v>
      </c>
      <c r="F357" s="10" t="s">
        <v>319</v>
      </c>
      <c r="G357" s="10" t="s">
        <v>117</v>
      </c>
      <c r="H357" t="s">
        <v>64</v>
      </c>
    </row>
    <row r="358" spans="1:8">
      <c r="B358" t="s">
        <v>380</v>
      </c>
      <c r="C358" s="8">
        <v>269938</v>
      </c>
      <c r="D358" s="8">
        <v>0</v>
      </c>
      <c r="E358" s="8">
        <f t="shared" si="9"/>
        <v>1267500</v>
      </c>
      <c r="F358" s="10" t="s">
        <v>319</v>
      </c>
      <c r="G358" s="10" t="s">
        <v>117</v>
      </c>
      <c r="H358" t="s">
        <v>64</v>
      </c>
    </row>
    <row r="359" spans="1:8">
      <c r="B359" t="s">
        <v>3113</v>
      </c>
      <c r="C359" s="8">
        <v>507500</v>
      </c>
      <c r="D359" s="8">
        <v>0</v>
      </c>
      <c r="E359" s="8">
        <f t="shared" ref="E359:E432" si="10">E358-C359+D359</f>
        <v>760000</v>
      </c>
      <c r="F359" s="10" t="s">
        <v>736</v>
      </c>
      <c r="G359" s="10" t="s">
        <v>455</v>
      </c>
      <c r="H359" t="s">
        <v>64</v>
      </c>
    </row>
    <row r="360" spans="1:8">
      <c r="B360" t="s">
        <v>3114</v>
      </c>
      <c r="C360" s="8">
        <v>750000</v>
      </c>
      <c r="D360" s="8">
        <v>0</v>
      </c>
      <c r="E360" s="8">
        <f t="shared" si="10"/>
        <v>10000</v>
      </c>
      <c r="F360" s="10" t="s">
        <v>319</v>
      </c>
      <c r="G360" s="10" t="s">
        <v>392</v>
      </c>
      <c r="H360" t="s">
        <v>64</v>
      </c>
    </row>
    <row r="361" spans="1:8">
      <c r="B361" t="s">
        <v>389</v>
      </c>
      <c r="C361" s="8">
        <v>10000</v>
      </c>
      <c r="D361" s="8">
        <v>0</v>
      </c>
      <c r="E361" s="8">
        <f t="shared" si="10"/>
        <v>0</v>
      </c>
      <c r="F361" s="10" t="s">
        <v>113</v>
      </c>
      <c r="G361" s="10" t="s">
        <v>114</v>
      </c>
      <c r="H361" t="s">
        <v>64</v>
      </c>
    </row>
    <row r="362" spans="1:8" s="14" customFormat="1">
      <c r="A362" s="138">
        <v>44287</v>
      </c>
      <c r="B362" s="14" t="s">
        <v>1345</v>
      </c>
      <c r="C362" s="50">
        <v>0</v>
      </c>
      <c r="D362" s="50">
        <v>59415241</v>
      </c>
      <c r="E362" s="8">
        <f t="shared" si="10"/>
        <v>59415241</v>
      </c>
      <c r="F362" s="14" t="s">
        <v>107</v>
      </c>
      <c r="G362" s="14" t="s">
        <v>274</v>
      </c>
      <c r="H362" s="14" t="s">
        <v>142</v>
      </c>
    </row>
    <row r="363" spans="1:8" s="14" customFormat="1">
      <c r="A363" s="138"/>
      <c r="B363" s="14" t="s">
        <v>896</v>
      </c>
      <c r="C363" s="50">
        <v>150000</v>
      </c>
      <c r="D363" s="50"/>
      <c r="E363" s="8">
        <f t="shared" si="10"/>
        <v>59265241</v>
      </c>
      <c r="F363" s="10" t="s">
        <v>319</v>
      </c>
      <c r="G363" s="10" t="s">
        <v>117</v>
      </c>
      <c r="H363" t="s">
        <v>64</v>
      </c>
    </row>
    <row r="364" spans="1:8" s="14" customFormat="1">
      <c r="A364" s="138"/>
      <c r="B364" s="14" t="s">
        <v>3115</v>
      </c>
      <c r="C364" s="50">
        <v>220000</v>
      </c>
      <c r="D364" s="50"/>
      <c r="E364" s="8">
        <f t="shared" si="10"/>
        <v>59045241</v>
      </c>
      <c r="F364" s="14" t="s">
        <v>319</v>
      </c>
      <c r="G364" s="14" t="s">
        <v>454</v>
      </c>
      <c r="H364" s="14" t="s">
        <v>64</v>
      </c>
    </row>
    <row r="365" spans="1:8" s="14" customFormat="1">
      <c r="A365" s="138"/>
      <c r="B365" s="14" t="s">
        <v>3116</v>
      </c>
      <c r="C365" s="50">
        <v>203400</v>
      </c>
      <c r="D365" s="50"/>
      <c r="E365" s="8">
        <f t="shared" si="10"/>
        <v>58841841</v>
      </c>
      <c r="F365" s="14" t="s">
        <v>137</v>
      </c>
      <c r="G365" s="14" t="s">
        <v>138</v>
      </c>
      <c r="H365" s="168" t="s">
        <v>1015</v>
      </c>
    </row>
    <row r="366" spans="1:8" s="14" customFormat="1">
      <c r="A366" s="138"/>
      <c r="B366" s="14" t="s">
        <v>896</v>
      </c>
      <c r="C366" s="50">
        <v>217872</v>
      </c>
      <c r="D366" s="50"/>
      <c r="E366" s="8">
        <f t="shared" si="10"/>
        <v>58623969</v>
      </c>
      <c r="F366" s="14" t="s">
        <v>137</v>
      </c>
      <c r="G366" s="14" t="s">
        <v>138</v>
      </c>
      <c r="H366" s="168" t="s">
        <v>1015</v>
      </c>
    </row>
    <row r="367" spans="1:8" s="14" customFormat="1">
      <c r="A367" s="138"/>
      <c r="B367" s="14" t="s">
        <v>3117</v>
      </c>
      <c r="C367" s="50">
        <v>278400</v>
      </c>
      <c r="D367" s="50"/>
      <c r="E367" s="8">
        <f t="shared" si="10"/>
        <v>58345569</v>
      </c>
      <c r="F367" s="14" t="s">
        <v>137</v>
      </c>
      <c r="G367" s="14" t="s">
        <v>138</v>
      </c>
      <c r="H367" s="168" t="s">
        <v>1015</v>
      </c>
    </row>
    <row r="368" spans="1:8" s="14" customFormat="1">
      <c r="A368" s="138"/>
      <c r="B368" s="14" t="s">
        <v>3118</v>
      </c>
      <c r="C368" s="50">
        <v>276400</v>
      </c>
      <c r="D368" s="50"/>
      <c r="E368" s="8">
        <f t="shared" si="10"/>
        <v>58069169</v>
      </c>
      <c r="F368" s="14" t="s">
        <v>137</v>
      </c>
      <c r="G368" s="14" t="s">
        <v>138</v>
      </c>
      <c r="H368" s="168" t="s">
        <v>1015</v>
      </c>
    </row>
    <row r="369" spans="1:8" s="14" customFormat="1">
      <c r="A369" s="138"/>
      <c r="B369" s="14" t="s">
        <v>403</v>
      </c>
      <c r="C369" s="50">
        <v>125700</v>
      </c>
      <c r="D369" s="50"/>
      <c r="E369" s="8">
        <f t="shared" si="10"/>
        <v>57943469</v>
      </c>
      <c r="F369" s="14" t="s">
        <v>137</v>
      </c>
      <c r="G369" s="14" t="s">
        <v>138</v>
      </c>
      <c r="H369" s="168" t="s">
        <v>1015</v>
      </c>
    </row>
    <row r="370" spans="1:8" s="14" customFormat="1">
      <c r="A370" s="138"/>
      <c r="B370" s="14" t="s">
        <v>3119</v>
      </c>
      <c r="C370" s="50">
        <v>567500</v>
      </c>
      <c r="D370" s="50"/>
      <c r="E370" s="8">
        <f t="shared" si="10"/>
        <v>57375969</v>
      </c>
      <c r="F370" s="14" t="s">
        <v>137</v>
      </c>
      <c r="G370" s="14" t="s">
        <v>138</v>
      </c>
      <c r="H370" s="168" t="s">
        <v>1015</v>
      </c>
    </row>
    <row r="371" spans="1:8" s="14" customFormat="1">
      <c r="A371" s="138"/>
      <c r="B371" s="14" t="s">
        <v>3120</v>
      </c>
      <c r="C371" s="50">
        <v>552500</v>
      </c>
      <c r="D371" s="50"/>
      <c r="E371" s="8">
        <f t="shared" si="10"/>
        <v>56823469</v>
      </c>
      <c r="F371" s="14" t="s">
        <v>137</v>
      </c>
      <c r="G371" s="14" t="s">
        <v>138</v>
      </c>
      <c r="H371" s="168" t="s">
        <v>1015</v>
      </c>
    </row>
    <row r="372" spans="1:8" s="14" customFormat="1">
      <c r="A372" s="138"/>
      <c r="B372" s="14" t="s">
        <v>3121</v>
      </c>
      <c r="C372" s="50">
        <v>277900</v>
      </c>
      <c r="D372" s="50"/>
      <c r="E372" s="8">
        <f t="shared" si="10"/>
        <v>56545569</v>
      </c>
      <c r="F372" s="14" t="s">
        <v>137</v>
      </c>
      <c r="G372" s="14" t="s">
        <v>138</v>
      </c>
      <c r="H372" s="168" t="s">
        <v>1015</v>
      </c>
    </row>
    <row r="373" spans="1:8" s="14" customFormat="1">
      <c r="A373" s="138"/>
      <c r="B373" s="14" t="s">
        <v>3122</v>
      </c>
      <c r="C373" s="50">
        <v>850000</v>
      </c>
      <c r="D373" s="50"/>
      <c r="E373" s="8">
        <f t="shared" si="10"/>
        <v>55695569</v>
      </c>
      <c r="F373" s="14" t="s">
        <v>137</v>
      </c>
      <c r="G373" s="14" t="s">
        <v>138</v>
      </c>
      <c r="H373" s="168" t="s">
        <v>1015</v>
      </c>
    </row>
    <row r="374" spans="1:8" s="14" customFormat="1">
      <c r="A374" s="138"/>
      <c r="B374" s="14" t="s">
        <v>3123</v>
      </c>
      <c r="C374" s="50">
        <v>792000</v>
      </c>
      <c r="D374" s="50"/>
      <c r="E374" s="8">
        <f t="shared" si="10"/>
        <v>54903569</v>
      </c>
      <c r="F374" s="14" t="s">
        <v>137</v>
      </c>
      <c r="G374" s="14" t="s">
        <v>138</v>
      </c>
      <c r="H374" s="168" t="s">
        <v>1015</v>
      </c>
    </row>
    <row r="375" spans="1:8" s="14" customFormat="1">
      <c r="A375" s="138"/>
      <c r="B375" s="14" t="s">
        <v>3117</v>
      </c>
      <c r="C375" s="50">
        <v>139200</v>
      </c>
      <c r="D375" s="50"/>
      <c r="E375" s="8">
        <f t="shared" si="10"/>
        <v>54764369</v>
      </c>
      <c r="F375" s="14" t="s">
        <v>137</v>
      </c>
      <c r="G375" s="14" t="s">
        <v>138</v>
      </c>
      <c r="H375" s="14" t="s">
        <v>1129</v>
      </c>
    </row>
    <row r="376" spans="1:8" s="14" customFormat="1">
      <c r="A376" s="138"/>
      <c r="B376" s="14" t="s">
        <v>3118</v>
      </c>
      <c r="C376" s="50">
        <v>182000</v>
      </c>
      <c r="D376" s="50"/>
      <c r="E376" s="8">
        <f t="shared" si="10"/>
        <v>54582369</v>
      </c>
      <c r="F376" s="14" t="s">
        <v>137</v>
      </c>
      <c r="G376" s="14" t="s">
        <v>138</v>
      </c>
      <c r="H376" s="168" t="s">
        <v>1015</v>
      </c>
    </row>
    <row r="377" spans="1:8" s="14" customFormat="1">
      <c r="A377" s="138"/>
      <c r="B377" s="14" t="s">
        <v>403</v>
      </c>
      <c r="C377" s="50">
        <v>83800</v>
      </c>
      <c r="D377" s="50"/>
      <c r="E377" s="8">
        <f t="shared" si="10"/>
        <v>54498569</v>
      </c>
      <c r="F377" s="14" t="s">
        <v>137</v>
      </c>
      <c r="G377" s="14" t="s">
        <v>138</v>
      </c>
      <c r="H377" s="168" t="s">
        <v>1015</v>
      </c>
    </row>
    <row r="378" spans="1:8" s="14" customFormat="1">
      <c r="A378" s="138"/>
      <c r="B378" s="14" t="s">
        <v>897</v>
      </c>
      <c r="C378" s="50">
        <v>285957</v>
      </c>
      <c r="D378" s="50"/>
      <c r="E378" s="8">
        <f t="shared" si="10"/>
        <v>54212612</v>
      </c>
      <c r="F378" s="10" t="s">
        <v>319</v>
      </c>
      <c r="G378" s="10" t="s">
        <v>117</v>
      </c>
      <c r="H378" t="s">
        <v>64</v>
      </c>
    </row>
    <row r="379" spans="1:8" s="14" customFormat="1">
      <c r="A379" s="138"/>
      <c r="B379" s="14" t="s">
        <v>3124</v>
      </c>
      <c r="C379" s="50">
        <v>865161</v>
      </c>
      <c r="D379" s="50"/>
      <c r="E379" s="8">
        <f t="shared" si="10"/>
        <v>53347451</v>
      </c>
      <c r="F379" s="10" t="s">
        <v>248</v>
      </c>
      <c r="G379" s="10" t="s">
        <v>391</v>
      </c>
      <c r="H379" t="s">
        <v>64</v>
      </c>
    </row>
    <row r="380" spans="1:8" s="14" customFormat="1">
      <c r="A380" s="138"/>
      <c r="B380" s="14" t="s">
        <v>3125</v>
      </c>
      <c r="C380" s="50">
        <v>1810100</v>
      </c>
      <c r="D380" s="50"/>
      <c r="E380" s="8">
        <f t="shared" si="10"/>
        <v>51537351</v>
      </c>
      <c r="F380" s="14" t="s">
        <v>137</v>
      </c>
      <c r="G380" s="14" t="s">
        <v>138</v>
      </c>
      <c r="H380" s="168" t="s">
        <v>1015</v>
      </c>
    </row>
    <row r="381" spans="1:8" s="14" customFormat="1">
      <c r="A381" s="138"/>
      <c r="B381" s="14" t="s">
        <v>3126</v>
      </c>
      <c r="C381" s="50">
        <v>1179000</v>
      </c>
      <c r="D381" s="50"/>
      <c r="E381" s="8">
        <f t="shared" si="10"/>
        <v>50358351</v>
      </c>
      <c r="F381" s="14" t="s">
        <v>137</v>
      </c>
      <c r="G381" s="14" t="s">
        <v>138</v>
      </c>
      <c r="H381" s="168" t="s">
        <v>1015</v>
      </c>
    </row>
    <row r="382" spans="1:8" s="14" customFormat="1">
      <c r="A382" s="138"/>
      <c r="B382" s="14" t="s">
        <v>3127</v>
      </c>
      <c r="C382" s="50">
        <v>187200</v>
      </c>
      <c r="D382" s="50"/>
      <c r="E382" s="8">
        <f t="shared" si="10"/>
        <v>50171151</v>
      </c>
      <c r="F382" s="14" t="s">
        <v>137</v>
      </c>
      <c r="G382" s="14" t="s">
        <v>138</v>
      </c>
      <c r="H382" s="168" t="s">
        <v>1015</v>
      </c>
    </row>
    <row r="383" spans="1:8" s="14" customFormat="1">
      <c r="A383" s="138"/>
      <c r="B383" s="14" t="s">
        <v>3117</v>
      </c>
      <c r="C383" s="50">
        <v>348000</v>
      </c>
      <c r="D383" s="50"/>
      <c r="E383" s="8">
        <f t="shared" si="10"/>
        <v>49823151</v>
      </c>
      <c r="F383" s="14" t="s">
        <v>137</v>
      </c>
      <c r="G383" s="14" t="s">
        <v>138</v>
      </c>
      <c r="H383" s="168" t="s">
        <v>1015</v>
      </c>
    </row>
    <row r="384" spans="1:8" s="14" customFormat="1">
      <c r="A384" s="138"/>
      <c r="B384" s="14" t="s">
        <v>3120</v>
      </c>
      <c r="C384" s="50">
        <v>431300</v>
      </c>
      <c r="D384" s="50"/>
      <c r="E384" s="8">
        <f t="shared" si="10"/>
        <v>49391851</v>
      </c>
      <c r="F384" s="14" t="s">
        <v>137</v>
      </c>
      <c r="G384" s="14" t="s">
        <v>138</v>
      </c>
      <c r="H384" s="168" t="s">
        <v>1015</v>
      </c>
    </row>
    <row r="385" spans="1:9" s="14" customFormat="1">
      <c r="A385" s="138"/>
      <c r="B385" s="14" t="s">
        <v>3118</v>
      </c>
      <c r="C385" s="50">
        <v>327600</v>
      </c>
      <c r="D385" s="50"/>
      <c r="E385" s="8">
        <f t="shared" si="10"/>
        <v>49064251</v>
      </c>
      <c r="F385" s="14" t="s">
        <v>137</v>
      </c>
      <c r="G385" s="14" t="s">
        <v>138</v>
      </c>
      <c r="H385" s="168" t="s">
        <v>1015</v>
      </c>
    </row>
    <row r="386" spans="1:9" s="14" customFormat="1">
      <c r="A386" s="138"/>
      <c r="B386" s="14" t="s">
        <v>3125</v>
      </c>
      <c r="C386" s="50">
        <v>247650</v>
      </c>
      <c r="D386" s="50"/>
      <c r="E386" s="8">
        <f t="shared" si="10"/>
        <v>48816601</v>
      </c>
      <c r="F386" s="14" t="s">
        <v>137</v>
      </c>
      <c r="G386" s="14" t="s">
        <v>138</v>
      </c>
      <c r="H386" s="168" t="s">
        <v>1015</v>
      </c>
    </row>
    <row r="387" spans="1:9" s="14" customFormat="1">
      <c r="A387" s="138"/>
      <c r="B387" s="14" t="s">
        <v>403</v>
      </c>
      <c r="C387" s="50">
        <v>111600</v>
      </c>
      <c r="D387" s="50"/>
      <c r="E387" s="8">
        <f t="shared" si="10"/>
        <v>48705001</v>
      </c>
      <c r="F387" s="14" t="s">
        <v>137</v>
      </c>
      <c r="G387" s="14" t="s">
        <v>138</v>
      </c>
      <c r="H387" s="168" t="s">
        <v>1015</v>
      </c>
    </row>
    <row r="388" spans="1:9" s="14" customFormat="1">
      <c r="A388" s="138"/>
      <c r="B388" s="14" t="s">
        <v>3128</v>
      </c>
      <c r="C388" s="50">
        <v>262000</v>
      </c>
      <c r="D388" s="50"/>
      <c r="E388" s="8">
        <f t="shared" si="10"/>
        <v>48443001</v>
      </c>
      <c r="F388" s="14" t="s">
        <v>137</v>
      </c>
      <c r="G388" s="14" t="s">
        <v>138</v>
      </c>
      <c r="H388" s="168" t="s">
        <v>1015</v>
      </c>
    </row>
    <row r="389" spans="1:9">
      <c r="B389" t="s">
        <v>3129</v>
      </c>
      <c r="C389" s="8">
        <v>1158000</v>
      </c>
      <c r="E389" s="8">
        <f t="shared" si="10"/>
        <v>47285001</v>
      </c>
      <c r="F389" s="14" t="s">
        <v>137</v>
      </c>
      <c r="G389" s="14" t="s">
        <v>138</v>
      </c>
      <c r="H389" s="168" t="s">
        <v>1015</v>
      </c>
    </row>
    <row r="390" spans="1:9">
      <c r="B390" t="s">
        <v>3129</v>
      </c>
      <c r="C390" s="8">
        <v>235000</v>
      </c>
      <c r="E390" s="8">
        <f t="shared" si="10"/>
        <v>47050001</v>
      </c>
      <c r="F390" s="14" t="s">
        <v>137</v>
      </c>
      <c r="G390" s="14" t="s">
        <v>138</v>
      </c>
      <c r="H390" s="168" t="s">
        <v>1015</v>
      </c>
    </row>
    <row r="391" spans="1:9">
      <c r="B391" t="s">
        <v>3129</v>
      </c>
      <c r="C391" s="8">
        <v>940000</v>
      </c>
      <c r="E391" s="8">
        <f t="shared" si="10"/>
        <v>46110001</v>
      </c>
      <c r="F391" s="14" t="s">
        <v>137</v>
      </c>
      <c r="G391" s="14" t="s">
        <v>138</v>
      </c>
      <c r="H391" s="168" t="s">
        <v>1015</v>
      </c>
    </row>
    <row r="392" spans="1:9">
      <c r="B392" t="s">
        <v>3130</v>
      </c>
      <c r="C392" s="8">
        <v>30000000</v>
      </c>
      <c r="E392" s="8">
        <f t="shared" si="10"/>
        <v>16110001</v>
      </c>
      <c r="F392" s="14" t="s">
        <v>137</v>
      </c>
      <c r="G392" s="14" t="s">
        <v>138</v>
      </c>
      <c r="H392" t="s">
        <v>1130</v>
      </c>
    </row>
    <row r="393" spans="1:9">
      <c r="B393" t="s">
        <v>3130</v>
      </c>
      <c r="C393" s="8">
        <v>16100000</v>
      </c>
      <c r="E393" s="8">
        <f t="shared" si="10"/>
        <v>10001</v>
      </c>
      <c r="F393" s="14" t="s">
        <v>137</v>
      </c>
      <c r="G393" s="14" t="s">
        <v>138</v>
      </c>
      <c r="H393" t="s">
        <v>1130</v>
      </c>
    </row>
    <row r="394" spans="1:9">
      <c r="B394" t="s">
        <v>1031</v>
      </c>
      <c r="C394" s="8">
        <v>10000</v>
      </c>
      <c r="E394" s="8">
        <f t="shared" si="10"/>
        <v>1</v>
      </c>
      <c r="F394" s="10" t="s">
        <v>113</v>
      </c>
      <c r="G394" s="10" t="s">
        <v>114</v>
      </c>
      <c r="H394" t="s">
        <v>64</v>
      </c>
    </row>
    <row r="395" spans="1:9">
      <c r="B395" t="s">
        <v>419</v>
      </c>
      <c r="C395" s="8">
        <v>1</v>
      </c>
      <c r="E395" s="8">
        <f t="shared" si="10"/>
        <v>0</v>
      </c>
      <c r="F395" s="10" t="s">
        <v>252</v>
      </c>
      <c r="G395" s="10" t="s">
        <v>665</v>
      </c>
    </row>
    <row r="396" spans="1:9">
      <c r="A396" s="3">
        <v>44295</v>
      </c>
      <c r="B396" s="7" t="s">
        <v>1233</v>
      </c>
      <c r="C396" s="8">
        <v>0</v>
      </c>
      <c r="D396" s="8">
        <v>6500000</v>
      </c>
      <c r="E396" s="8">
        <f t="shared" si="10"/>
        <v>6500000</v>
      </c>
      <c r="F396" s="83" t="s">
        <v>107</v>
      </c>
      <c r="G396" s="14" t="s">
        <v>666</v>
      </c>
      <c r="H396" s="14" t="s">
        <v>3405</v>
      </c>
      <c r="I396" t="s">
        <v>3409</v>
      </c>
    </row>
    <row r="397" spans="1:9">
      <c r="B397" s="228" t="s">
        <v>3410</v>
      </c>
      <c r="C397" s="54">
        <v>6500000</v>
      </c>
      <c r="D397" s="54">
        <v>0</v>
      </c>
      <c r="E397" s="54">
        <f t="shared" si="10"/>
        <v>0</v>
      </c>
      <c r="F397" s="10" t="s">
        <v>137</v>
      </c>
      <c r="G397" s="10" t="s">
        <v>138</v>
      </c>
      <c r="H397" s="14" t="s">
        <v>3031</v>
      </c>
    </row>
    <row r="398" spans="1:9">
      <c r="A398" s="138">
        <v>44299</v>
      </c>
      <c r="B398" s="14" t="s">
        <v>3400</v>
      </c>
      <c r="C398" s="53">
        <v>0</v>
      </c>
      <c r="D398" s="53">
        <v>11622654</v>
      </c>
      <c r="E398" s="54">
        <f t="shared" si="10"/>
        <v>11622654</v>
      </c>
      <c r="F398" s="14" t="s">
        <v>107</v>
      </c>
      <c r="G398" s="14" t="s">
        <v>274</v>
      </c>
      <c r="H398" s="14" t="s">
        <v>64</v>
      </c>
    </row>
    <row r="399" spans="1:9">
      <c r="A399" s="138"/>
      <c r="B399" s="14" t="s">
        <v>4673</v>
      </c>
      <c r="C399" s="53">
        <v>14916000</v>
      </c>
      <c r="D399" s="53">
        <v>0</v>
      </c>
      <c r="E399" s="54">
        <f t="shared" si="10"/>
        <v>-3293346</v>
      </c>
      <c r="F399" s="10" t="s">
        <v>568</v>
      </c>
      <c r="G399" s="14" t="s">
        <v>4679</v>
      </c>
      <c r="H399" s="14" t="s">
        <v>175</v>
      </c>
      <c r="I399">
        <v>5</v>
      </c>
    </row>
    <row r="400" spans="1:9">
      <c r="A400" s="138"/>
      <c r="B400" s="14" t="s">
        <v>4674</v>
      </c>
      <c r="C400" s="53">
        <v>900000</v>
      </c>
      <c r="D400" s="53">
        <v>0</v>
      </c>
      <c r="E400" s="54">
        <f t="shared" si="10"/>
        <v>-4193346</v>
      </c>
      <c r="F400" s="10" t="s">
        <v>568</v>
      </c>
      <c r="G400" s="14" t="s">
        <v>4679</v>
      </c>
      <c r="H400" s="14" t="s">
        <v>1124</v>
      </c>
      <c r="I400">
        <v>12</v>
      </c>
    </row>
    <row r="401" spans="1:9">
      <c r="A401" s="138"/>
      <c r="B401" s="14" t="s">
        <v>4675</v>
      </c>
      <c r="C401" s="53">
        <v>0</v>
      </c>
      <c r="D401" s="53">
        <v>500000</v>
      </c>
      <c r="E401" s="54">
        <f t="shared" si="10"/>
        <v>-3693346</v>
      </c>
      <c r="F401" s="14" t="s">
        <v>110</v>
      </c>
      <c r="G401" s="14" t="s">
        <v>616</v>
      </c>
      <c r="H401" s="14" t="s">
        <v>3401</v>
      </c>
    </row>
    <row r="402" spans="1:9">
      <c r="A402" s="138"/>
      <c r="B402" s="7" t="s">
        <v>4677</v>
      </c>
      <c r="C402" s="54">
        <v>0</v>
      </c>
      <c r="D402" s="54">
        <v>248387</v>
      </c>
      <c r="E402" s="54">
        <f t="shared" si="10"/>
        <v>-3444959</v>
      </c>
      <c r="F402" s="14" t="s">
        <v>110</v>
      </c>
      <c r="G402" s="14" t="s">
        <v>616</v>
      </c>
      <c r="H402" s="14" t="s">
        <v>3401</v>
      </c>
    </row>
    <row r="403" spans="1:9">
      <c r="A403" s="138"/>
      <c r="B403" t="s">
        <v>4676</v>
      </c>
      <c r="C403" s="54">
        <v>0</v>
      </c>
      <c r="D403" s="54">
        <v>1200000</v>
      </c>
      <c r="E403" s="54">
        <f t="shared" si="10"/>
        <v>-2244959</v>
      </c>
      <c r="F403" s="14" t="s">
        <v>110</v>
      </c>
      <c r="G403" s="14" t="s">
        <v>616</v>
      </c>
      <c r="H403" s="14" t="s">
        <v>3401</v>
      </c>
    </row>
    <row r="404" spans="1:9">
      <c r="A404" s="138"/>
      <c r="B404" s="14" t="s">
        <v>4678</v>
      </c>
      <c r="C404" s="53">
        <v>0</v>
      </c>
      <c r="D404" s="53">
        <v>2244959</v>
      </c>
      <c r="E404" s="54">
        <f t="shared" si="10"/>
        <v>0</v>
      </c>
      <c r="F404" s="14" t="s">
        <v>110</v>
      </c>
      <c r="G404" s="14" t="s">
        <v>616</v>
      </c>
      <c r="H404" s="14" t="s">
        <v>3401</v>
      </c>
    </row>
    <row r="405" spans="1:9">
      <c r="A405" s="3">
        <v>44299</v>
      </c>
      <c r="B405" t="s">
        <v>332</v>
      </c>
      <c r="C405" s="8">
        <v>0</v>
      </c>
      <c r="D405" s="8">
        <v>54000000</v>
      </c>
      <c r="E405" s="54">
        <f t="shared" si="10"/>
        <v>54000000</v>
      </c>
      <c r="F405" t="s">
        <v>110</v>
      </c>
      <c r="G405" t="s">
        <v>188</v>
      </c>
      <c r="H405" s="13" t="s">
        <v>371</v>
      </c>
      <c r="I405">
        <v>81</v>
      </c>
    </row>
    <row r="406" spans="1:9">
      <c r="A406" s="138"/>
      <c r="B406" t="s">
        <v>332</v>
      </c>
      <c r="C406" s="8">
        <v>45000000</v>
      </c>
      <c r="D406" s="8">
        <v>0</v>
      </c>
      <c r="E406" s="54">
        <f t="shared" si="10"/>
        <v>9000000</v>
      </c>
      <c r="F406" t="s">
        <v>115</v>
      </c>
      <c r="G406" s="14" t="s">
        <v>441</v>
      </c>
      <c r="H406" s="16" t="s">
        <v>567</v>
      </c>
      <c r="I406">
        <v>81</v>
      </c>
    </row>
    <row r="407" spans="1:9">
      <c r="A407" s="138"/>
      <c r="B407" t="s">
        <v>332</v>
      </c>
      <c r="C407" s="8">
        <v>9000000</v>
      </c>
      <c r="D407" s="8">
        <v>0</v>
      </c>
      <c r="E407" s="54">
        <f t="shared" si="10"/>
        <v>0</v>
      </c>
      <c r="F407" t="s">
        <v>115</v>
      </c>
      <c r="G407" s="14" t="s">
        <v>441</v>
      </c>
      <c r="H407" s="13" t="s">
        <v>442</v>
      </c>
      <c r="I407">
        <v>81</v>
      </c>
    </row>
    <row r="408" spans="1:9" s="14" customFormat="1">
      <c r="A408" s="138">
        <v>44305</v>
      </c>
      <c r="B408" s="14" t="s">
        <v>1379</v>
      </c>
      <c r="C408" s="50">
        <v>0</v>
      </c>
      <c r="D408" s="50">
        <v>141638023</v>
      </c>
      <c r="E408" s="54">
        <f t="shared" si="10"/>
        <v>141638023</v>
      </c>
      <c r="F408" s="14" t="s">
        <v>107</v>
      </c>
      <c r="G408" s="14" t="s">
        <v>274</v>
      </c>
      <c r="H408" s="14" t="s">
        <v>143</v>
      </c>
    </row>
    <row r="409" spans="1:9" s="14" customFormat="1">
      <c r="A409" s="138"/>
      <c r="B409" s="14" t="s">
        <v>3131</v>
      </c>
      <c r="C409" s="50">
        <v>675000</v>
      </c>
      <c r="D409" s="50"/>
      <c r="E409" s="54">
        <f t="shared" si="10"/>
        <v>140963023</v>
      </c>
      <c r="F409" s="14" t="s">
        <v>248</v>
      </c>
      <c r="G409" s="14" t="s">
        <v>391</v>
      </c>
      <c r="H409" s="14" t="s">
        <v>64</v>
      </c>
    </row>
    <row r="410" spans="1:9" s="14" customFormat="1">
      <c r="A410" s="138"/>
      <c r="B410" s="14" t="s">
        <v>3132</v>
      </c>
      <c r="C410" s="50">
        <v>500000</v>
      </c>
      <c r="D410" s="50"/>
      <c r="E410" s="54">
        <f t="shared" si="10"/>
        <v>140463023</v>
      </c>
      <c r="F410" s="14" t="s">
        <v>319</v>
      </c>
      <c r="G410" s="14" t="s">
        <v>392</v>
      </c>
      <c r="H410" s="14" t="s">
        <v>64</v>
      </c>
    </row>
    <row r="411" spans="1:9" s="14" customFormat="1">
      <c r="A411" s="138"/>
      <c r="B411" s="14" t="s">
        <v>3133</v>
      </c>
      <c r="C411" s="50">
        <v>73550000</v>
      </c>
      <c r="D411" s="50"/>
      <c r="E411" s="54">
        <f t="shared" si="10"/>
        <v>66913023</v>
      </c>
      <c r="F411" s="14" t="s">
        <v>137</v>
      </c>
      <c r="G411" s="14" t="s">
        <v>138</v>
      </c>
      <c r="H411" s="14" t="s">
        <v>1129</v>
      </c>
    </row>
    <row r="412" spans="1:9" s="14" customFormat="1">
      <c r="A412" s="138"/>
      <c r="B412" s="14" t="s">
        <v>3134</v>
      </c>
      <c r="C412" s="50">
        <v>150000</v>
      </c>
      <c r="D412" s="50"/>
      <c r="E412" s="54">
        <f t="shared" si="10"/>
        <v>66763023</v>
      </c>
      <c r="F412" s="14" t="s">
        <v>137</v>
      </c>
      <c r="G412" s="14" t="s">
        <v>138</v>
      </c>
      <c r="H412" s="14" t="s">
        <v>1129</v>
      </c>
    </row>
    <row r="413" spans="1:9" s="14" customFormat="1">
      <c r="A413" s="138"/>
      <c r="B413" s="14" t="s">
        <v>3134</v>
      </c>
      <c r="C413" s="50">
        <v>94000</v>
      </c>
      <c r="D413" s="50"/>
      <c r="E413" s="54">
        <f t="shared" si="10"/>
        <v>66669023</v>
      </c>
      <c r="F413" s="14" t="s">
        <v>137</v>
      </c>
      <c r="G413" s="14" t="s">
        <v>138</v>
      </c>
      <c r="H413" s="14" t="s">
        <v>1129</v>
      </c>
    </row>
    <row r="414" spans="1:9" s="14" customFormat="1">
      <c r="A414" s="138"/>
      <c r="B414" s="14" t="s">
        <v>3135</v>
      </c>
      <c r="C414" s="50">
        <v>153800</v>
      </c>
      <c r="D414" s="50"/>
      <c r="E414" s="54">
        <f t="shared" si="10"/>
        <v>66515223</v>
      </c>
      <c r="F414" s="14" t="s">
        <v>137</v>
      </c>
      <c r="G414" s="14" t="s">
        <v>138</v>
      </c>
      <c r="H414" s="14" t="s">
        <v>1129</v>
      </c>
    </row>
    <row r="415" spans="1:9" s="14" customFormat="1">
      <c r="A415" s="138"/>
      <c r="B415" s="14" t="s">
        <v>3133</v>
      </c>
      <c r="C415" s="50">
        <v>8814996</v>
      </c>
      <c r="D415" s="50"/>
      <c r="E415" s="54">
        <f t="shared" si="10"/>
        <v>57700227</v>
      </c>
      <c r="F415" s="14" t="s">
        <v>137</v>
      </c>
      <c r="G415" s="14" t="s">
        <v>138</v>
      </c>
      <c r="H415" s="14" t="s">
        <v>1129</v>
      </c>
    </row>
    <row r="416" spans="1:9" s="14" customFormat="1">
      <c r="A416" s="138"/>
      <c r="B416" s="14" t="s">
        <v>3135</v>
      </c>
      <c r="C416" s="50">
        <v>127900</v>
      </c>
      <c r="D416" s="50"/>
      <c r="E416" s="54">
        <f t="shared" si="10"/>
        <v>57572327</v>
      </c>
      <c r="F416" s="14" t="s">
        <v>137</v>
      </c>
      <c r="G416" s="14" t="s">
        <v>138</v>
      </c>
      <c r="H416" s="14" t="s">
        <v>1129</v>
      </c>
    </row>
    <row r="417" spans="1:8" s="14" customFormat="1">
      <c r="A417" s="138"/>
      <c r="B417" s="14" t="s">
        <v>902</v>
      </c>
      <c r="C417" s="50">
        <v>19219708</v>
      </c>
      <c r="D417" s="50"/>
      <c r="E417" s="54">
        <f t="shared" si="10"/>
        <v>38352619</v>
      </c>
      <c r="F417" s="14" t="s">
        <v>137</v>
      </c>
      <c r="G417" s="14" t="s">
        <v>138</v>
      </c>
      <c r="H417" s="14" t="s">
        <v>603</v>
      </c>
    </row>
    <row r="418" spans="1:8" s="14" customFormat="1">
      <c r="A418" s="138"/>
      <c r="B418" s="14" t="s">
        <v>3136</v>
      </c>
      <c r="C418" s="50">
        <v>486850</v>
      </c>
      <c r="D418" s="50"/>
      <c r="E418" s="54">
        <f t="shared" si="10"/>
        <v>37865769</v>
      </c>
      <c r="F418" s="14" t="s">
        <v>137</v>
      </c>
      <c r="G418" s="14" t="s">
        <v>138</v>
      </c>
      <c r="H418" s="168" t="s">
        <v>1015</v>
      </c>
    </row>
    <row r="419" spans="1:8" s="14" customFormat="1">
      <c r="A419" s="138"/>
      <c r="B419" s="14" t="s">
        <v>3137</v>
      </c>
      <c r="C419" s="50">
        <v>355950</v>
      </c>
      <c r="D419" s="50"/>
      <c r="E419" s="54">
        <f t="shared" si="10"/>
        <v>37509819</v>
      </c>
      <c r="F419" s="14" t="s">
        <v>736</v>
      </c>
      <c r="G419" s="14" t="s">
        <v>455</v>
      </c>
      <c r="H419" s="14" t="s">
        <v>64</v>
      </c>
    </row>
    <row r="420" spans="1:8" s="14" customFormat="1">
      <c r="A420" s="138"/>
      <c r="B420" s="14" t="s">
        <v>3138</v>
      </c>
      <c r="C420" s="50">
        <v>504570</v>
      </c>
      <c r="D420" s="50"/>
      <c r="E420" s="8">
        <f t="shared" si="10"/>
        <v>37005249</v>
      </c>
      <c r="F420" s="14" t="s">
        <v>137</v>
      </c>
      <c r="G420" s="14" t="s">
        <v>138</v>
      </c>
      <c r="H420" s="14" t="s">
        <v>1130</v>
      </c>
    </row>
    <row r="421" spans="1:8" s="14" customFormat="1">
      <c r="A421" s="138"/>
      <c r="B421" s="14" t="s">
        <v>3134</v>
      </c>
      <c r="C421" s="50">
        <v>175000</v>
      </c>
      <c r="D421" s="50"/>
      <c r="E421" s="8">
        <f t="shared" si="10"/>
        <v>36830249</v>
      </c>
      <c r="F421" s="14" t="s">
        <v>137</v>
      </c>
      <c r="G421" s="14" t="s">
        <v>138</v>
      </c>
      <c r="H421" s="14" t="s">
        <v>1130</v>
      </c>
    </row>
    <row r="422" spans="1:8" s="14" customFormat="1">
      <c r="A422" s="138"/>
      <c r="B422" s="14" t="s">
        <v>3135</v>
      </c>
      <c r="C422" s="50">
        <v>106500</v>
      </c>
      <c r="D422" s="50"/>
      <c r="E422" s="8">
        <f t="shared" si="10"/>
        <v>36723749</v>
      </c>
      <c r="F422" s="14" t="s">
        <v>137</v>
      </c>
      <c r="G422" s="14" t="s">
        <v>138</v>
      </c>
      <c r="H422" s="14" t="s">
        <v>1130</v>
      </c>
    </row>
    <row r="423" spans="1:8" s="14" customFormat="1">
      <c r="A423" s="138"/>
      <c r="B423" s="14" t="s">
        <v>3135</v>
      </c>
      <c r="C423" s="50">
        <v>105500</v>
      </c>
      <c r="D423" s="50"/>
      <c r="E423" s="8">
        <f t="shared" si="10"/>
        <v>36618249</v>
      </c>
      <c r="F423" s="14" t="s">
        <v>137</v>
      </c>
      <c r="G423" s="14" t="s">
        <v>138</v>
      </c>
      <c r="H423" s="14" t="s">
        <v>1130</v>
      </c>
    </row>
    <row r="424" spans="1:8" s="14" customFormat="1">
      <c r="A424" s="138"/>
      <c r="B424" s="14" t="s">
        <v>3139</v>
      </c>
      <c r="C424" s="50">
        <v>262750</v>
      </c>
      <c r="D424" s="50"/>
      <c r="E424" s="8">
        <f t="shared" si="10"/>
        <v>36355499</v>
      </c>
      <c r="F424" s="10" t="s">
        <v>319</v>
      </c>
      <c r="G424" s="10" t="s">
        <v>117</v>
      </c>
      <c r="H424" t="s">
        <v>64</v>
      </c>
    </row>
    <row r="425" spans="1:8" s="14" customFormat="1">
      <c r="A425" s="138"/>
      <c r="B425" s="14" t="s">
        <v>3133</v>
      </c>
      <c r="C425" s="50">
        <v>29950000</v>
      </c>
      <c r="D425" s="50"/>
      <c r="E425" s="8">
        <f t="shared" si="10"/>
        <v>6405499</v>
      </c>
      <c r="F425" s="14" t="s">
        <v>137</v>
      </c>
      <c r="G425" s="14" t="s">
        <v>138</v>
      </c>
      <c r="H425" s="14" t="s">
        <v>1130</v>
      </c>
    </row>
    <row r="426" spans="1:8" s="14" customFormat="1">
      <c r="A426" s="138"/>
      <c r="B426" s="14" t="s">
        <v>1052</v>
      </c>
      <c r="C426" s="50">
        <v>5000</v>
      </c>
      <c r="D426" s="50"/>
      <c r="E426" s="8">
        <f t="shared" si="10"/>
        <v>6400499</v>
      </c>
      <c r="F426" s="14" t="s">
        <v>113</v>
      </c>
      <c r="G426" s="14" t="s">
        <v>114</v>
      </c>
      <c r="H426" s="14" t="s">
        <v>64</v>
      </c>
    </row>
    <row r="427" spans="1:8" s="14" customFormat="1">
      <c r="A427" s="138"/>
      <c r="B427" s="14" t="s">
        <v>3140</v>
      </c>
      <c r="C427" s="50">
        <v>10000</v>
      </c>
      <c r="D427" s="50"/>
      <c r="E427" s="8">
        <f t="shared" si="10"/>
        <v>6390499</v>
      </c>
      <c r="F427" s="14" t="s">
        <v>113</v>
      </c>
      <c r="G427" s="14" t="s">
        <v>114</v>
      </c>
      <c r="H427" s="14" t="s">
        <v>64</v>
      </c>
    </row>
    <row r="428" spans="1:8" s="14" customFormat="1">
      <c r="A428" s="138"/>
      <c r="B428" s="14" t="s">
        <v>3141</v>
      </c>
      <c r="C428" s="50">
        <v>235000</v>
      </c>
      <c r="D428" s="50"/>
      <c r="E428" s="8">
        <f t="shared" si="10"/>
        <v>6155499</v>
      </c>
      <c r="F428" s="14" t="s">
        <v>248</v>
      </c>
      <c r="G428" s="14" t="s">
        <v>407</v>
      </c>
      <c r="H428" s="14" t="s">
        <v>64</v>
      </c>
    </row>
    <row r="429" spans="1:8" s="14" customFormat="1">
      <c r="A429" s="138"/>
      <c r="B429" s="14" t="s">
        <v>897</v>
      </c>
      <c r="C429" s="50">
        <v>650207</v>
      </c>
      <c r="D429" s="50"/>
      <c r="E429" s="8">
        <f t="shared" si="10"/>
        <v>5505292</v>
      </c>
      <c r="F429" s="10" t="s">
        <v>319</v>
      </c>
      <c r="G429" s="10" t="s">
        <v>117</v>
      </c>
      <c r="H429" t="s">
        <v>64</v>
      </c>
    </row>
    <row r="430" spans="1:8" s="14" customFormat="1">
      <c r="A430" s="138"/>
      <c r="B430" s="14" t="s">
        <v>3160</v>
      </c>
      <c r="C430" s="50">
        <v>878000</v>
      </c>
      <c r="D430" s="50"/>
      <c r="E430" s="8">
        <f t="shared" si="10"/>
        <v>4627292</v>
      </c>
      <c r="F430" s="14" t="s">
        <v>319</v>
      </c>
      <c r="G430" s="14" t="s">
        <v>320</v>
      </c>
      <c r="H430" s="14" t="s">
        <v>64</v>
      </c>
    </row>
    <row r="431" spans="1:8" s="14" customFormat="1">
      <c r="A431" s="138"/>
      <c r="B431" s="14" t="s">
        <v>3142</v>
      </c>
      <c r="C431" s="50">
        <v>231100</v>
      </c>
      <c r="D431" s="50"/>
      <c r="E431" s="8">
        <f t="shared" si="10"/>
        <v>4396192</v>
      </c>
      <c r="F431" s="14" t="s">
        <v>248</v>
      </c>
      <c r="G431" s="14" t="s">
        <v>407</v>
      </c>
      <c r="H431" s="14" t="s">
        <v>64</v>
      </c>
    </row>
    <row r="432" spans="1:8" s="14" customFormat="1">
      <c r="A432" s="138"/>
      <c r="B432" s="14" t="s">
        <v>897</v>
      </c>
      <c r="C432" s="50">
        <v>587067</v>
      </c>
      <c r="D432" s="50"/>
      <c r="E432" s="8">
        <f t="shared" si="10"/>
        <v>3809125</v>
      </c>
      <c r="F432" s="10" t="s">
        <v>319</v>
      </c>
      <c r="G432" s="10" t="s">
        <v>117</v>
      </c>
      <c r="H432" t="s">
        <v>64</v>
      </c>
    </row>
    <row r="433" spans="1:9" s="14" customFormat="1">
      <c r="A433" s="138"/>
      <c r="B433" s="14" t="s">
        <v>3143</v>
      </c>
      <c r="C433" s="50">
        <v>146000</v>
      </c>
      <c r="D433" s="50"/>
      <c r="E433" s="8">
        <f t="shared" ref="E433:E502" si="11">E432-C433+D433</f>
        <v>3663125</v>
      </c>
      <c r="F433" s="14" t="s">
        <v>248</v>
      </c>
      <c r="G433" s="14" t="s">
        <v>407</v>
      </c>
      <c r="H433" s="14" t="s">
        <v>64</v>
      </c>
    </row>
    <row r="434" spans="1:9" s="14" customFormat="1">
      <c r="A434" s="138"/>
      <c r="B434" s="14" t="s">
        <v>3143</v>
      </c>
      <c r="C434" s="50">
        <v>152000</v>
      </c>
      <c r="D434" s="50"/>
      <c r="E434" s="8">
        <f t="shared" si="11"/>
        <v>3511125</v>
      </c>
      <c r="F434" s="14" t="s">
        <v>248</v>
      </c>
      <c r="G434" s="14" t="s">
        <v>407</v>
      </c>
      <c r="H434" s="14" t="s">
        <v>64</v>
      </c>
    </row>
    <row r="435" spans="1:9" s="14" customFormat="1">
      <c r="A435" s="138"/>
      <c r="B435" s="14" t="s">
        <v>3144</v>
      </c>
      <c r="C435" s="50">
        <v>641000</v>
      </c>
      <c r="D435" s="50"/>
      <c r="E435" s="8">
        <f t="shared" si="11"/>
        <v>2870125</v>
      </c>
      <c r="F435" s="14" t="s">
        <v>248</v>
      </c>
      <c r="G435" s="14" t="s">
        <v>391</v>
      </c>
      <c r="H435" s="14" t="s">
        <v>64</v>
      </c>
    </row>
    <row r="436" spans="1:9" s="14" customFormat="1">
      <c r="A436" s="138"/>
      <c r="B436" s="14" t="s">
        <v>3145</v>
      </c>
      <c r="C436" s="50">
        <v>1130500</v>
      </c>
      <c r="D436" s="50"/>
      <c r="E436" s="8">
        <f t="shared" si="11"/>
        <v>1739625</v>
      </c>
      <c r="F436" s="14" t="s">
        <v>248</v>
      </c>
      <c r="G436" s="14" t="s">
        <v>391</v>
      </c>
      <c r="H436" s="14" t="s">
        <v>64</v>
      </c>
    </row>
    <row r="437" spans="1:9" s="14" customFormat="1">
      <c r="A437" s="138"/>
      <c r="B437" s="14" t="s">
        <v>897</v>
      </c>
      <c r="C437" s="50">
        <v>330999</v>
      </c>
      <c r="D437" s="50"/>
      <c r="E437" s="8">
        <f t="shared" si="11"/>
        <v>1408626</v>
      </c>
      <c r="F437" s="10" t="s">
        <v>319</v>
      </c>
      <c r="G437" s="10" t="s">
        <v>117</v>
      </c>
      <c r="H437" t="s">
        <v>64</v>
      </c>
    </row>
    <row r="438" spans="1:9" s="14" customFormat="1">
      <c r="A438" s="138"/>
      <c r="B438" s="14" t="s">
        <v>897</v>
      </c>
      <c r="C438" s="50">
        <v>771127</v>
      </c>
      <c r="D438" s="50"/>
      <c r="E438" s="8">
        <f t="shared" si="11"/>
        <v>637499</v>
      </c>
      <c r="F438" s="10" t="s">
        <v>319</v>
      </c>
      <c r="G438" s="10" t="s">
        <v>117</v>
      </c>
      <c r="H438" t="s">
        <v>64</v>
      </c>
    </row>
    <row r="439" spans="1:9" s="14" customFormat="1">
      <c r="A439" s="138"/>
      <c r="B439" s="14" t="s">
        <v>3146</v>
      </c>
      <c r="C439" s="50">
        <v>632500</v>
      </c>
      <c r="D439" s="50"/>
      <c r="E439" s="8">
        <f t="shared" si="11"/>
        <v>4999</v>
      </c>
      <c r="F439" s="10" t="s">
        <v>319</v>
      </c>
      <c r="G439" s="14" t="s">
        <v>647</v>
      </c>
      <c r="H439" t="s">
        <v>64</v>
      </c>
    </row>
    <row r="440" spans="1:9" s="14" customFormat="1">
      <c r="A440" s="138"/>
      <c r="B440" s="14" t="s">
        <v>3147</v>
      </c>
      <c r="C440" s="50">
        <v>5000</v>
      </c>
      <c r="D440" s="50"/>
      <c r="E440" s="8">
        <f t="shared" si="11"/>
        <v>-1</v>
      </c>
      <c r="F440" s="14" t="s">
        <v>113</v>
      </c>
      <c r="G440" s="14" t="s">
        <v>114</v>
      </c>
      <c r="H440" s="14" t="s">
        <v>64</v>
      </c>
    </row>
    <row r="441" spans="1:9" s="14" customFormat="1">
      <c r="A441" s="138"/>
      <c r="B441" s="14" t="s">
        <v>3148</v>
      </c>
      <c r="C441" s="50">
        <v>0</v>
      </c>
      <c r="D441" s="50">
        <v>1</v>
      </c>
      <c r="E441" s="8">
        <f t="shared" si="11"/>
        <v>0</v>
      </c>
      <c r="F441" s="14" t="s">
        <v>252</v>
      </c>
      <c r="G441" s="14" t="s">
        <v>664</v>
      </c>
    </row>
    <row r="442" spans="1:9" s="14" customFormat="1">
      <c r="A442" s="138">
        <v>44309</v>
      </c>
      <c r="B442" s="14" t="s">
        <v>1308</v>
      </c>
      <c r="C442" s="50">
        <v>0</v>
      </c>
      <c r="D442" s="50">
        <v>387137</v>
      </c>
      <c r="E442" s="8">
        <f t="shared" si="11"/>
        <v>387137</v>
      </c>
      <c r="F442" s="14" t="s">
        <v>581</v>
      </c>
      <c r="G442" s="14" t="s">
        <v>582</v>
      </c>
      <c r="H442" s="168" t="s">
        <v>4862</v>
      </c>
      <c r="I442" s="14">
        <v>38</v>
      </c>
    </row>
    <row r="443" spans="1:9" s="14" customFormat="1">
      <c r="A443" s="138"/>
      <c r="B443" s="14" t="s">
        <v>1308</v>
      </c>
      <c r="C443" s="50">
        <v>384237</v>
      </c>
      <c r="D443" s="50"/>
      <c r="E443" s="8">
        <f t="shared" si="11"/>
        <v>2900</v>
      </c>
      <c r="F443" s="14" t="s">
        <v>714</v>
      </c>
      <c r="G443" s="14" t="s">
        <v>715</v>
      </c>
      <c r="H443" s="168" t="s">
        <v>4862</v>
      </c>
      <c r="I443" s="14">
        <v>38</v>
      </c>
    </row>
    <row r="444" spans="1:9" s="14" customFormat="1">
      <c r="A444" s="138"/>
      <c r="B444" s="14" t="s">
        <v>1308</v>
      </c>
      <c r="C444" s="50">
        <v>2900</v>
      </c>
      <c r="D444" s="50"/>
      <c r="E444" s="8">
        <f t="shared" si="11"/>
        <v>0</v>
      </c>
      <c r="F444" s="14" t="s">
        <v>113</v>
      </c>
      <c r="G444" s="14" t="s">
        <v>114</v>
      </c>
    </row>
    <row r="445" spans="1:9" s="14" customFormat="1">
      <c r="A445" s="3">
        <v>44312</v>
      </c>
      <c r="B445" t="s">
        <v>1408</v>
      </c>
      <c r="C445" s="8">
        <v>0</v>
      </c>
      <c r="D445" s="8">
        <v>19363636.99999997</v>
      </c>
      <c r="E445" s="8">
        <f t="shared" si="11"/>
        <v>19363636.99999997</v>
      </c>
      <c r="F445" t="s">
        <v>581</v>
      </c>
      <c r="G445" t="s">
        <v>582</v>
      </c>
      <c r="H445" s="14" t="s">
        <v>3031</v>
      </c>
      <c r="I445">
        <v>27</v>
      </c>
    </row>
    <row r="446" spans="1:9" s="14" customFormat="1">
      <c r="A446" s="138"/>
      <c r="B446" t="s">
        <v>1408</v>
      </c>
      <c r="C446" s="50">
        <v>16136363.636363635</v>
      </c>
      <c r="D446" s="50"/>
      <c r="E446" s="8">
        <f t="shared" si="11"/>
        <v>3227273.3636363354</v>
      </c>
      <c r="F446" s="10" t="s">
        <v>568</v>
      </c>
      <c r="G446" s="14" t="s">
        <v>4395</v>
      </c>
      <c r="H446" s="14" t="s">
        <v>3031</v>
      </c>
      <c r="I446">
        <v>27</v>
      </c>
    </row>
    <row r="447" spans="1:9" s="14" customFormat="1">
      <c r="A447" s="138"/>
      <c r="B447" t="s">
        <v>1408</v>
      </c>
      <c r="C447" s="50">
        <v>3227273.3636363354</v>
      </c>
      <c r="D447" s="50"/>
      <c r="E447" s="8">
        <f t="shared" si="11"/>
        <v>0</v>
      </c>
      <c r="F447" s="10" t="s">
        <v>714</v>
      </c>
      <c r="G447" s="10" t="s">
        <v>715</v>
      </c>
      <c r="H447" s="14" t="s">
        <v>3031</v>
      </c>
      <c r="I447">
        <v>27</v>
      </c>
    </row>
    <row r="448" spans="1:9" s="14" customFormat="1">
      <c r="A448" s="3">
        <v>44313</v>
      </c>
      <c r="B448" s="7" t="s">
        <v>1293</v>
      </c>
      <c r="C448" s="8">
        <v>0</v>
      </c>
      <c r="D448" s="8">
        <v>3720000</v>
      </c>
      <c r="E448" s="8">
        <f t="shared" si="11"/>
        <v>3720000</v>
      </c>
      <c r="F448" s="83" t="s">
        <v>107</v>
      </c>
      <c r="G448" s="14" t="s">
        <v>666</v>
      </c>
      <c r="H448" s="14" t="s">
        <v>3405</v>
      </c>
      <c r="I448" t="s">
        <v>3411</v>
      </c>
    </row>
    <row r="449" spans="1:9" s="14" customFormat="1">
      <c r="A449" s="3"/>
      <c r="B449" s="7" t="s">
        <v>3412</v>
      </c>
      <c r="C449" s="54">
        <v>6000</v>
      </c>
      <c r="D449" s="54">
        <v>0</v>
      </c>
      <c r="E449" s="54">
        <f t="shared" si="11"/>
        <v>3714000</v>
      </c>
      <c r="F449" s="80" t="s">
        <v>115</v>
      </c>
      <c r="G449" s="14" t="s">
        <v>120</v>
      </c>
      <c r="H449" s="14" t="s">
        <v>127</v>
      </c>
      <c r="I449" s="14" t="s">
        <v>444</v>
      </c>
    </row>
    <row r="450" spans="1:9" s="14" customFormat="1">
      <c r="A450" s="3"/>
      <c r="B450" s="7" t="s">
        <v>3413</v>
      </c>
      <c r="C450" s="54">
        <v>15000</v>
      </c>
      <c r="D450" s="54">
        <v>0</v>
      </c>
      <c r="E450" s="54">
        <f t="shared" si="11"/>
        <v>3699000</v>
      </c>
      <c r="F450" s="80" t="s">
        <v>115</v>
      </c>
      <c r="G450" s="14" t="s">
        <v>120</v>
      </c>
      <c r="H450" s="14" t="s">
        <v>127</v>
      </c>
      <c r="I450" s="14" t="s">
        <v>444</v>
      </c>
    </row>
    <row r="451" spans="1:9" s="14" customFormat="1">
      <c r="A451" s="3"/>
      <c r="B451" s="7" t="s">
        <v>3414</v>
      </c>
      <c r="C451" s="54">
        <v>80000</v>
      </c>
      <c r="D451" s="54">
        <v>0</v>
      </c>
      <c r="E451" s="54">
        <f t="shared" si="11"/>
        <v>3619000</v>
      </c>
      <c r="F451" s="80" t="s">
        <v>115</v>
      </c>
      <c r="G451" s="14" t="s">
        <v>120</v>
      </c>
      <c r="H451" s="14" t="s">
        <v>127</v>
      </c>
      <c r="I451" s="14" t="s">
        <v>444</v>
      </c>
    </row>
    <row r="452" spans="1:9" s="14" customFormat="1">
      <c r="A452" s="3"/>
      <c r="B452" s="7" t="s">
        <v>3415</v>
      </c>
      <c r="C452" s="54">
        <v>5000</v>
      </c>
      <c r="D452" s="54">
        <v>0</v>
      </c>
      <c r="E452" s="54">
        <f t="shared" si="11"/>
        <v>3614000</v>
      </c>
      <c r="F452" s="80" t="s">
        <v>115</v>
      </c>
      <c r="G452" s="14" t="s">
        <v>120</v>
      </c>
      <c r="H452" s="14" t="s">
        <v>127</v>
      </c>
      <c r="I452" s="14" t="s">
        <v>444</v>
      </c>
    </row>
    <row r="453" spans="1:9" s="14" customFormat="1">
      <c r="A453" s="3"/>
      <c r="B453" s="7" t="s">
        <v>3416</v>
      </c>
      <c r="C453" s="54">
        <v>131000</v>
      </c>
      <c r="D453" s="54">
        <v>0</v>
      </c>
      <c r="E453" s="54">
        <f t="shared" si="11"/>
        <v>3483000</v>
      </c>
      <c r="F453" s="80" t="s">
        <v>115</v>
      </c>
      <c r="G453" s="14" t="s">
        <v>120</v>
      </c>
      <c r="H453" s="14" t="s">
        <v>127</v>
      </c>
      <c r="I453" s="14" t="s">
        <v>444</v>
      </c>
    </row>
    <row r="454" spans="1:9" s="14" customFormat="1">
      <c r="A454" s="3"/>
      <c r="B454" s="7" t="s">
        <v>3417</v>
      </c>
      <c r="C454" s="54">
        <v>54400</v>
      </c>
      <c r="D454" s="54">
        <v>0</v>
      </c>
      <c r="E454" s="54">
        <f t="shared" si="11"/>
        <v>3428600</v>
      </c>
      <c r="F454" s="80" t="s">
        <v>115</v>
      </c>
      <c r="G454" s="14" t="s">
        <v>120</v>
      </c>
      <c r="H454" s="14" t="s">
        <v>127</v>
      </c>
      <c r="I454" s="14" t="s">
        <v>444</v>
      </c>
    </row>
    <row r="455" spans="1:9" s="14" customFormat="1">
      <c r="A455" s="3"/>
      <c r="B455" s="7" t="s">
        <v>3418</v>
      </c>
      <c r="C455" s="54">
        <v>4000</v>
      </c>
      <c r="D455" s="54">
        <v>0</v>
      </c>
      <c r="E455" s="54">
        <f t="shared" si="11"/>
        <v>3424600</v>
      </c>
      <c r="F455" s="80" t="s">
        <v>115</v>
      </c>
      <c r="G455" s="14" t="s">
        <v>120</v>
      </c>
      <c r="H455" s="14" t="s">
        <v>127</v>
      </c>
      <c r="I455" s="14" t="s">
        <v>444</v>
      </c>
    </row>
    <row r="456" spans="1:9" s="14" customFormat="1">
      <c r="A456" s="3"/>
      <c r="B456" s="7" t="s">
        <v>3419</v>
      </c>
      <c r="C456" s="54">
        <v>100000</v>
      </c>
      <c r="D456" s="54">
        <v>0</v>
      </c>
      <c r="E456" s="54">
        <f t="shared" si="11"/>
        <v>3324600</v>
      </c>
      <c r="F456" s="80" t="s">
        <v>115</v>
      </c>
      <c r="G456" s="14" t="s">
        <v>120</v>
      </c>
      <c r="H456" s="14" t="s">
        <v>127</v>
      </c>
      <c r="I456" s="14" t="s">
        <v>444</v>
      </c>
    </row>
    <row r="457" spans="1:9" s="14" customFormat="1">
      <c r="A457" s="3"/>
      <c r="B457" s="7" t="s">
        <v>3420</v>
      </c>
      <c r="C457" s="54">
        <v>5000</v>
      </c>
      <c r="D457" s="54">
        <v>0</v>
      </c>
      <c r="E457" s="54">
        <f t="shared" si="11"/>
        <v>3319600</v>
      </c>
      <c r="F457" s="80" t="s">
        <v>115</v>
      </c>
      <c r="G457" s="14" t="s">
        <v>120</v>
      </c>
      <c r="H457" s="14" t="s">
        <v>127</v>
      </c>
      <c r="I457" s="14" t="s">
        <v>444</v>
      </c>
    </row>
    <row r="458" spans="1:9" s="14" customFormat="1">
      <c r="A458" s="3"/>
      <c r="B458" s="7" t="s">
        <v>3421</v>
      </c>
      <c r="C458" s="54">
        <v>44000</v>
      </c>
      <c r="D458" s="54">
        <v>0</v>
      </c>
      <c r="E458" s="54">
        <f t="shared" si="11"/>
        <v>3275600</v>
      </c>
      <c r="F458" s="80" t="s">
        <v>115</v>
      </c>
      <c r="G458" s="14" t="s">
        <v>120</v>
      </c>
      <c r="H458" s="14" t="s">
        <v>127</v>
      </c>
      <c r="I458" s="14" t="s">
        <v>444</v>
      </c>
    </row>
    <row r="459" spans="1:9" s="14" customFormat="1">
      <c r="A459" s="3"/>
      <c r="B459" s="7" t="s">
        <v>3422</v>
      </c>
      <c r="C459" s="54">
        <v>20001</v>
      </c>
      <c r="D459" s="54">
        <v>0</v>
      </c>
      <c r="E459" s="54">
        <f t="shared" si="11"/>
        <v>3255599</v>
      </c>
      <c r="F459" s="80" t="s">
        <v>115</v>
      </c>
      <c r="G459" s="14" t="s">
        <v>120</v>
      </c>
      <c r="H459" s="14" t="s">
        <v>127</v>
      </c>
      <c r="I459" s="14" t="s">
        <v>444</v>
      </c>
    </row>
    <row r="460" spans="1:9" s="14" customFormat="1">
      <c r="A460" s="3"/>
      <c r="B460" s="7" t="s">
        <v>3423</v>
      </c>
      <c r="C460" s="54">
        <v>40500</v>
      </c>
      <c r="D460" s="54">
        <v>0</v>
      </c>
      <c r="E460" s="54">
        <f t="shared" si="11"/>
        <v>3215099</v>
      </c>
      <c r="F460" s="80" t="s">
        <v>115</v>
      </c>
      <c r="G460" s="14" t="s">
        <v>120</v>
      </c>
      <c r="H460" s="14" t="s">
        <v>127</v>
      </c>
      <c r="I460" s="14" t="s">
        <v>444</v>
      </c>
    </row>
    <row r="461" spans="1:9" s="14" customFormat="1">
      <c r="A461" s="3"/>
      <c r="B461" s="7" t="s">
        <v>3424</v>
      </c>
      <c r="C461" s="54">
        <v>45000</v>
      </c>
      <c r="D461" s="54">
        <v>0</v>
      </c>
      <c r="E461" s="54">
        <f t="shared" si="11"/>
        <v>3170099</v>
      </c>
      <c r="F461" s="80" t="s">
        <v>115</v>
      </c>
      <c r="G461" s="14" t="s">
        <v>120</v>
      </c>
      <c r="H461" s="14" t="s">
        <v>127</v>
      </c>
      <c r="I461" s="14" t="s">
        <v>444</v>
      </c>
    </row>
    <row r="462" spans="1:9" s="14" customFormat="1">
      <c r="A462" s="3"/>
      <c r="B462" s="7" t="s">
        <v>3425</v>
      </c>
      <c r="C462" s="54">
        <v>18000</v>
      </c>
      <c r="D462" s="54">
        <v>0</v>
      </c>
      <c r="E462" s="54">
        <f t="shared" si="11"/>
        <v>3152099</v>
      </c>
      <c r="F462" s="80" t="s">
        <v>115</v>
      </c>
      <c r="G462" s="14" t="s">
        <v>120</v>
      </c>
      <c r="H462" s="14" t="s">
        <v>127</v>
      </c>
      <c r="I462" s="14" t="s">
        <v>444</v>
      </c>
    </row>
    <row r="463" spans="1:9" s="14" customFormat="1">
      <c r="A463" s="3"/>
      <c r="B463" s="7" t="s">
        <v>3426</v>
      </c>
      <c r="C463" s="54">
        <v>16000</v>
      </c>
      <c r="D463" s="54">
        <v>0</v>
      </c>
      <c r="E463" s="54">
        <f t="shared" si="11"/>
        <v>3136099</v>
      </c>
      <c r="F463" s="80" t="s">
        <v>115</v>
      </c>
      <c r="G463" s="14" t="s">
        <v>120</v>
      </c>
      <c r="H463" s="14" t="s">
        <v>127</v>
      </c>
      <c r="I463" s="14" t="s">
        <v>444</v>
      </c>
    </row>
    <row r="464" spans="1:9" s="14" customFormat="1">
      <c r="A464" s="3"/>
      <c r="B464" s="7" t="s">
        <v>3427</v>
      </c>
      <c r="C464" s="54">
        <v>16000</v>
      </c>
      <c r="D464" s="54">
        <v>0</v>
      </c>
      <c r="E464" s="54">
        <f t="shared" si="11"/>
        <v>3120099</v>
      </c>
      <c r="F464" s="80" t="s">
        <v>115</v>
      </c>
      <c r="G464" s="14" t="s">
        <v>120</v>
      </c>
      <c r="H464" s="14" t="s">
        <v>127</v>
      </c>
      <c r="I464" s="14" t="s">
        <v>444</v>
      </c>
    </row>
    <row r="465" spans="1:12" s="14" customFormat="1">
      <c r="A465" s="3"/>
      <c r="B465" s="7" t="s">
        <v>3428</v>
      </c>
      <c r="C465" s="54">
        <v>58000</v>
      </c>
      <c r="D465" s="54">
        <v>0</v>
      </c>
      <c r="E465" s="54">
        <f t="shared" si="11"/>
        <v>3062099</v>
      </c>
      <c r="F465" s="80" t="s">
        <v>115</v>
      </c>
      <c r="G465" s="14" t="s">
        <v>120</v>
      </c>
      <c r="H465" s="14" t="s">
        <v>127</v>
      </c>
      <c r="I465" s="14" t="s">
        <v>444</v>
      </c>
    </row>
    <row r="466" spans="1:12" s="14" customFormat="1">
      <c r="A466" s="3"/>
      <c r="B466" s="7" t="s">
        <v>3429</v>
      </c>
      <c r="C466" s="54">
        <v>50000</v>
      </c>
      <c r="D466" s="54">
        <v>0</v>
      </c>
      <c r="E466" s="54">
        <f t="shared" si="11"/>
        <v>3012099</v>
      </c>
      <c r="F466" s="80" t="s">
        <v>115</v>
      </c>
      <c r="G466" s="14" t="s">
        <v>120</v>
      </c>
      <c r="H466" s="14" t="s">
        <v>127</v>
      </c>
      <c r="I466" s="14" t="s">
        <v>444</v>
      </c>
    </row>
    <row r="467" spans="1:12" s="14" customFormat="1">
      <c r="A467" s="3"/>
      <c r="B467" s="7" t="s">
        <v>3430</v>
      </c>
      <c r="C467" s="8">
        <v>192500</v>
      </c>
      <c r="D467" s="8">
        <v>0</v>
      </c>
      <c r="E467" s="8">
        <f t="shared" si="11"/>
        <v>2819599</v>
      </c>
      <c r="F467" s="83" t="s">
        <v>319</v>
      </c>
      <c r="G467" s="14" t="s">
        <v>1016</v>
      </c>
      <c r="H467" s="14" t="s">
        <v>64</v>
      </c>
      <c r="I467"/>
    </row>
    <row r="468" spans="1:12" s="14" customFormat="1">
      <c r="A468" s="3"/>
      <c r="B468" s="7" t="s">
        <v>3431</v>
      </c>
      <c r="C468" s="54">
        <v>40260</v>
      </c>
      <c r="D468" s="54">
        <v>0</v>
      </c>
      <c r="E468" s="54">
        <f t="shared" si="11"/>
        <v>2779339</v>
      </c>
      <c r="F468" s="80" t="s">
        <v>137</v>
      </c>
      <c r="G468" s="14" t="s">
        <v>138</v>
      </c>
      <c r="H468" s="168" t="s">
        <v>3033</v>
      </c>
      <c r="I468"/>
    </row>
    <row r="469" spans="1:12" s="14" customFormat="1">
      <c r="A469" s="3"/>
      <c r="B469" s="7" t="s">
        <v>3432</v>
      </c>
      <c r="C469" s="54">
        <v>100000</v>
      </c>
      <c r="D469" s="54">
        <v>0</v>
      </c>
      <c r="E469" s="54">
        <f t="shared" si="11"/>
        <v>2679339</v>
      </c>
      <c r="F469" s="80" t="s">
        <v>137</v>
      </c>
      <c r="G469" s="14" t="s">
        <v>138</v>
      </c>
      <c r="H469" s="168" t="s">
        <v>3033</v>
      </c>
      <c r="I469"/>
    </row>
    <row r="470" spans="1:12" s="14" customFormat="1">
      <c r="A470" s="3"/>
      <c r="B470" s="7" t="s">
        <v>3433</v>
      </c>
      <c r="C470" s="54">
        <v>5000</v>
      </c>
      <c r="D470" s="54">
        <v>0</v>
      </c>
      <c r="E470" s="54">
        <f t="shared" si="11"/>
        <v>2674339</v>
      </c>
      <c r="F470" s="80" t="s">
        <v>137</v>
      </c>
      <c r="G470" s="14" t="s">
        <v>138</v>
      </c>
      <c r="H470" s="168" t="s">
        <v>3033</v>
      </c>
      <c r="I470"/>
    </row>
    <row r="471" spans="1:12" s="14" customFormat="1">
      <c r="A471" s="3"/>
      <c r="B471" s="7" t="s">
        <v>3434</v>
      </c>
      <c r="C471" s="54">
        <v>44500</v>
      </c>
      <c r="D471" s="54">
        <v>0</v>
      </c>
      <c r="E471" s="54">
        <f t="shared" si="11"/>
        <v>2629839</v>
      </c>
      <c r="F471" s="80" t="s">
        <v>137</v>
      </c>
      <c r="G471" s="14" t="s">
        <v>138</v>
      </c>
      <c r="H471" s="168" t="s">
        <v>3033</v>
      </c>
      <c r="I471"/>
    </row>
    <row r="472" spans="1:12" s="14" customFormat="1">
      <c r="A472" s="3"/>
      <c r="B472" s="7" t="s">
        <v>3435</v>
      </c>
      <c r="C472" s="54">
        <v>5000</v>
      </c>
      <c r="D472" s="54">
        <v>0</v>
      </c>
      <c r="E472" s="54">
        <f t="shared" si="11"/>
        <v>2624839</v>
      </c>
      <c r="F472" s="80" t="s">
        <v>137</v>
      </c>
      <c r="G472" s="14" t="s">
        <v>138</v>
      </c>
      <c r="H472" s="168" t="s">
        <v>3033</v>
      </c>
      <c r="I472"/>
    </row>
    <row r="473" spans="1:12" s="14" customFormat="1">
      <c r="A473" s="3"/>
      <c r="B473" s="7" t="s">
        <v>3436</v>
      </c>
      <c r="C473" s="54">
        <v>109500</v>
      </c>
      <c r="D473" s="54">
        <v>0</v>
      </c>
      <c r="E473" s="54">
        <f t="shared" si="11"/>
        <v>2515339</v>
      </c>
      <c r="F473" s="80" t="s">
        <v>137</v>
      </c>
      <c r="G473" s="14" t="s">
        <v>138</v>
      </c>
      <c r="H473" s="14" t="s">
        <v>3019</v>
      </c>
      <c r="I473"/>
    </row>
    <row r="474" spans="1:12" s="14" customFormat="1">
      <c r="A474" s="3"/>
      <c r="B474" s="7" t="s">
        <v>3437</v>
      </c>
      <c r="C474" s="54">
        <v>372700</v>
      </c>
      <c r="D474" s="54">
        <v>0</v>
      </c>
      <c r="E474" s="54">
        <f t="shared" si="11"/>
        <v>2142639</v>
      </c>
      <c r="F474" s="80" t="s">
        <v>137</v>
      </c>
      <c r="G474" s="14" t="s">
        <v>138</v>
      </c>
      <c r="H474" s="168" t="s">
        <v>3033</v>
      </c>
      <c r="I474"/>
    </row>
    <row r="475" spans="1:12" s="14" customFormat="1">
      <c r="A475" s="3"/>
      <c r="B475" s="7" t="s">
        <v>3438</v>
      </c>
      <c r="C475" s="8">
        <v>100000</v>
      </c>
      <c r="D475" s="8">
        <v>0</v>
      </c>
      <c r="E475" s="8">
        <f t="shared" si="11"/>
        <v>2042639</v>
      </c>
      <c r="F475" s="83" t="s">
        <v>319</v>
      </c>
      <c r="G475" s="14" t="s">
        <v>1045</v>
      </c>
      <c r="H475" s="14" t="s">
        <v>64</v>
      </c>
      <c r="I475"/>
    </row>
    <row r="476" spans="1:12" s="14" customFormat="1">
      <c r="A476" s="3"/>
      <c r="B476" s="7" t="s">
        <v>3439</v>
      </c>
      <c r="C476" s="54">
        <v>165004</v>
      </c>
      <c r="D476" s="54">
        <v>0</v>
      </c>
      <c r="E476" s="54">
        <f t="shared" si="11"/>
        <v>1877635</v>
      </c>
      <c r="F476" s="80" t="s">
        <v>137</v>
      </c>
      <c r="G476" s="14" t="s">
        <v>138</v>
      </c>
      <c r="H476" s="168" t="s">
        <v>3033</v>
      </c>
      <c r="I476"/>
    </row>
    <row r="477" spans="1:12" s="14" customFormat="1">
      <c r="A477" s="3"/>
      <c r="B477" s="7" t="s">
        <v>3440</v>
      </c>
      <c r="C477" s="54">
        <v>800000</v>
      </c>
      <c r="D477" s="54">
        <v>0</v>
      </c>
      <c r="E477" s="54">
        <f t="shared" si="11"/>
        <v>1077635</v>
      </c>
      <c r="F477" s="80" t="s">
        <v>137</v>
      </c>
      <c r="G477" s="14" t="s">
        <v>138</v>
      </c>
      <c r="H477" s="168" t="s">
        <v>3033</v>
      </c>
      <c r="I477"/>
    </row>
    <row r="478" spans="1:12" s="14" customFormat="1">
      <c r="A478" s="3"/>
      <c r="B478" s="7" t="s">
        <v>3441</v>
      </c>
      <c r="C478" s="54">
        <v>150000</v>
      </c>
      <c r="D478" s="54">
        <v>0</v>
      </c>
      <c r="E478" s="54">
        <f t="shared" si="11"/>
        <v>927635</v>
      </c>
      <c r="F478" s="80" t="s">
        <v>137</v>
      </c>
      <c r="G478" s="14" t="s">
        <v>138</v>
      </c>
      <c r="H478" s="168" t="s">
        <v>3033</v>
      </c>
      <c r="I478"/>
      <c r="K478" s="14" t="s">
        <v>4150</v>
      </c>
      <c r="L478" s="14" t="s">
        <v>625</v>
      </c>
    </row>
    <row r="479" spans="1:12" s="14" customFormat="1">
      <c r="A479" s="3"/>
      <c r="B479" s="7" t="s">
        <v>3442</v>
      </c>
      <c r="C479" s="54">
        <v>428000</v>
      </c>
      <c r="D479" s="54">
        <v>0</v>
      </c>
      <c r="E479" s="54">
        <f t="shared" si="11"/>
        <v>499635</v>
      </c>
      <c r="F479" s="80" t="s">
        <v>137</v>
      </c>
      <c r="G479" s="14" t="s">
        <v>138</v>
      </c>
      <c r="H479" s="168" t="s">
        <v>3033</v>
      </c>
      <c r="I479"/>
    </row>
    <row r="480" spans="1:12" s="14" customFormat="1">
      <c r="A480" s="3"/>
      <c r="B480" s="7" t="s">
        <v>3443</v>
      </c>
      <c r="C480" s="54">
        <v>214000</v>
      </c>
      <c r="D480" s="54">
        <v>0</v>
      </c>
      <c r="E480" s="54">
        <f t="shared" si="11"/>
        <v>285635</v>
      </c>
      <c r="F480" s="80" t="s">
        <v>137</v>
      </c>
      <c r="G480" s="14" t="s">
        <v>138</v>
      </c>
      <c r="H480" s="168" t="s">
        <v>3033</v>
      </c>
      <c r="I480"/>
    </row>
    <row r="481" spans="1:12" s="14" customFormat="1">
      <c r="A481" s="3"/>
      <c r="B481" s="7" t="s">
        <v>3444</v>
      </c>
      <c r="C481" s="54">
        <v>100000</v>
      </c>
      <c r="D481" s="54">
        <v>0</v>
      </c>
      <c r="E481" s="54">
        <f t="shared" si="11"/>
        <v>185635</v>
      </c>
      <c r="F481" s="80" t="s">
        <v>137</v>
      </c>
      <c r="G481" s="14" t="s">
        <v>138</v>
      </c>
      <c r="H481" s="168" t="s">
        <v>3033</v>
      </c>
      <c r="I481"/>
    </row>
    <row r="482" spans="1:12" s="14" customFormat="1">
      <c r="A482" s="3"/>
      <c r="B482" s="7" t="s">
        <v>3445</v>
      </c>
      <c r="C482" s="54">
        <v>16000</v>
      </c>
      <c r="D482" s="54">
        <v>0</v>
      </c>
      <c r="E482" s="54">
        <f t="shared" si="11"/>
        <v>169635</v>
      </c>
      <c r="F482" s="80" t="s">
        <v>137</v>
      </c>
      <c r="G482" s="14" t="s">
        <v>138</v>
      </c>
      <c r="H482" s="168" t="s">
        <v>3033</v>
      </c>
      <c r="I482"/>
    </row>
    <row r="483" spans="1:12" s="14" customFormat="1">
      <c r="A483" s="3"/>
      <c r="B483" s="7" t="s">
        <v>3446</v>
      </c>
      <c r="C483" s="54">
        <v>7000</v>
      </c>
      <c r="D483" s="54">
        <v>0</v>
      </c>
      <c r="E483" s="54">
        <f t="shared" si="11"/>
        <v>162635</v>
      </c>
      <c r="F483" s="80" t="s">
        <v>137</v>
      </c>
      <c r="G483" s="14" t="s">
        <v>138</v>
      </c>
      <c r="H483" s="168" t="s">
        <v>3033</v>
      </c>
      <c r="I483"/>
    </row>
    <row r="484" spans="1:12" s="14" customFormat="1">
      <c r="A484" s="3"/>
      <c r="B484" s="7" t="s">
        <v>3447</v>
      </c>
      <c r="C484" s="54">
        <v>16000</v>
      </c>
      <c r="D484" s="54">
        <v>0</v>
      </c>
      <c r="E484" s="54">
        <f t="shared" si="11"/>
        <v>146635</v>
      </c>
      <c r="F484" s="80" t="s">
        <v>137</v>
      </c>
      <c r="G484" s="14" t="s">
        <v>138</v>
      </c>
      <c r="H484" s="168" t="s">
        <v>3033</v>
      </c>
      <c r="I484"/>
    </row>
    <row r="485" spans="1:12" s="14" customFormat="1">
      <c r="A485" s="3"/>
      <c r="B485" s="7" t="s">
        <v>3429</v>
      </c>
      <c r="C485" s="54">
        <v>50000</v>
      </c>
      <c r="D485" s="54">
        <v>0</v>
      </c>
      <c r="E485" s="54">
        <f t="shared" si="11"/>
        <v>96635</v>
      </c>
      <c r="F485" s="80" t="s">
        <v>137</v>
      </c>
      <c r="G485" s="14" t="s">
        <v>138</v>
      </c>
      <c r="H485" s="168" t="s">
        <v>3033</v>
      </c>
      <c r="I485"/>
    </row>
    <row r="486" spans="1:12" s="14" customFormat="1">
      <c r="A486" s="3"/>
      <c r="B486" s="7" t="s">
        <v>3448</v>
      </c>
      <c r="C486" s="54">
        <v>35000</v>
      </c>
      <c r="D486" s="54">
        <v>0</v>
      </c>
      <c r="E486" s="54">
        <f t="shared" si="11"/>
        <v>61635</v>
      </c>
      <c r="F486" s="80" t="s">
        <v>137</v>
      </c>
      <c r="G486" s="14" t="s">
        <v>138</v>
      </c>
      <c r="H486" s="168" t="s">
        <v>3033</v>
      </c>
      <c r="I486"/>
    </row>
    <row r="487" spans="1:12" s="14" customFormat="1">
      <c r="A487" s="3"/>
      <c r="B487" s="7" t="s">
        <v>1573</v>
      </c>
      <c r="C487" s="8">
        <v>61635</v>
      </c>
      <c r="D487" s="8">
        <v>0</v>
      </c>
      <c r="E487" s="8">
        <f t="shared" si="11"/>
        <v>0</v>
      </c>
      <c r="F487" s="83" t="s">
        <v>107</v>
      </c>
      <c r="G487" s="14" t="s">
        <v>668</v>
      </c>
      <c r="H487" s="14" t="s">
        <v>3405</v>
      </c>
      <c r="I487" t="s">
        <v>3411</v>
      </c>
    </row>
    <row r="488" spans="1:12" s="14" customFormat="1">
      <c r="A488" s="3">
        <v>44319</v>
      </c>
      <c r="B488" s="7" t="s">
        <v>1543</v>
      </c>
      <c r="C488" s="8">
        <v>0</v>
      </c>
      <c r="D488" s="8">
        <v>50000000</v>
      </c>
      <c r="E488" s="8">
        <f t="shared" si="11"/>
        <v>50000000</v>
      </c>
      <c r="F488" s="83" t="s">
        <v>107</v>
      </c>
      <c r="G488" s="14" t="s">
        <v>666</v>
      </c>
      <c r="H488" s="14" t="s">
        <v>3405</v>
      </c>
      <c r="I488" t="s">
        <v>3449</v>
      </c>
    </row>
    <row r="489" spans="1:12" s="14" customFormat="1">
      <c r="A489" s="3"/>
      <c r="B489" s="7" t="s">
        <v>3450</v>
      </c>
      <c r="C489" s="54">
        <v>44000000</v>
      </c>
      <c r="D489" s="54">
        <v>0</v>
      </c>
      <c r="E489" s="54">
        <f t="shared" si="11"/>
        <v>6000000</v>
      </c>
      <c r="F489" s="80" t="s">
        <v>137</v>
      </c>
      <c r="G489" s="14" t="s">
        <v>138</v>
      </c>
      <c r="H489" s="14" t="s">
        <v>3019</v>
      </c>
      <c r="I489"/>
    </row>
    <row r="490" spans="1:12" s="14" customFormat="1">
      <c r="A490" s="3"/>
      <c r="B490" s="7" t="s">
        <v>3451</v>
      </c>
      <c r="C490" s="54">
        <v>635000</v>
      </c>
      <c r="D490" s="54">
        <v>0</v>
      </c>
      <c r="E490" s="54">
        <f t="shared" si="11"/>
        <v>5365000</v>
      </c>
      <c r="F490" s="80" t="s">
        <v>137</v>
      </c>
      <c r="G490" s="14" t="s">
        <v>138</v>
      </c>
      <c r="H490" s="14" t="s">
        <v>3019</v>
      </c>
      <c r="I490"/>
      <c r="K490" s="14" t="s">
        <v>4150</v>
      </c>
      <c r="L490" s="14" t="s">
        <v>2083</v>
      </c>
    </row>
    <row r="491" spans="1:12" s="14" customFormat="1">
      <c r="A491" s="3"/>
      <c r="B491" s="7" t="s">
        <v>3452</v>
      </c>
      <c r="C491" s="54">
        <v>300000</v>
      </c>
      <c r="D491" s="54">
        <v>0</v>
      </c>
      <c r="E491" s="54">
        <f t="shared" si="11"/>
        <v>5065000</v>
      </c>
      <c r="F491" s="80" t="s">
        <v>137</v>
      </c>
      <c r="G491" s="14" t="s">
        <v>138</v>
      </c>
      <c r="H491" s="14" t="s">
        <v>3019</v>
      </c>
      <c r="I491"/>
      <c r="K491" s="14" t="s">
        <v>4150</v>
      </c>
      <c r="L491" s="14" t="s">
        <v>2083</v>
      </c>
    </row>
    <row r="492" spans="1:12" s="14" customFormat="1">
      <c r="A492" s="3"/>
      <c r="B492" s="7" t="s">
        <v>3453</v>
      </c>
      <c r="C492" s="54">
        <v>150000</v>
      </c>
      <c r="D492" s="54">
        <v>0</v>
      </c>
      <c r="E492" s="54">
        <f t="shared" si="11"/>
        <v>4915000</v>
      </c>
      <c r="F492" s="80" t="s">
        <v>137</v>
      </c>
      <c r="G492" s="14" t="s">
        <v>138</v>
      </c>
      <c r="H492" s="14" t="s">
        <v>3019</v>
      </c>
      <c r="I492"/>
      <c r="K492" s="14" t="s">
        <v>4150</v>
      </c>
      <c r="L492" s="14" t="s">
        <v>625</v>
      </c>
    </row>
    <row r="493" spans="1:12" s="14" customFormat="1">
      <c r="A493" s="3"/>
      <c r="B493" s="7" t="s">
        <v>3454</v>
      </c>
      <c r="C493" s="54">
        <v>50000</v>
      </c>
      <c r="D493" s="54">
        <v>0</v>
      </c>
      <c r="E493" s="54">
        <f t="shared" si="11"/>
        <v>4865000</v>
      </c>
      <c r="F493" s="80" t="s">
        <v>137</v>
      </c>
      <c r="G493" s="14" t="s">
        <v>138</v>
      </c>
      <c r="H493" s="14" t="s">
        <v>3019</v>
      </c>
      <c r="I493"/>
    </row>
    <row r="494" spans="1:12" s="14" customFormat="1">
      <c r="A494" s="3"/>
      <c r="B494" s="7" t="s">
        <v>3455</v>
      </c>
      <c r="C494" s="54">
        <v>820000</v>
      </c>
      <c r="D494" s="54">
        <v>0</v>
      </c>
      <c r="E494" s="54">
        <f t="shared" si="11"/>
        <v>4045000</v>
      </c>
      <c r="F494" s="80" t="s">
        <v>137</v>
      </c>
      <c r="G494" s="14" t="s">
        <v>138</v>
      </c>
      <c r="H494" s="14" t="s">
        <v>3019</v>
      </c>
      <c r="I494"/>
    </row>
    <row r="495" spans="1:12" s="14" customFormat="1">
      <c r="A495" s="3"/>
      <c r="B495" s="7" t="s">
        <v>3456</v>
      </c>
      <c r="C495" s="54">
        <v>500000</v>
      </c>
      <c r="D495" s="54">
        <v>0</v>
      </c>
      <c r="E495" s="54">
        <f t="shared" si="11"/>
        <v>3545000</v>
      </c>
      <c r="F495" s="80" t="s">
        <v>137</v>
      </c>
      <c r="G495" s="14" t="s">
        <v>138</v>
      </c>
      <c r="H495" s="14" t="s">
        <v>3019</v>
      </c>
      <c r="I495"/>
      <c r="K495" s="14" t="s">
        <v>4150</v>
      </c>
      <c r="L495" s="14" t="s">
        <v>4158</v>
      </c>
    </row>
    <row r="496" spans="1:12" s="14" customFormat="1">
      <c r="A496" s="3"/>
      <c r="B496" s="7" t="s">
        <v>3457</v>
      </c>
      <c r="C496" s="54">
        <v>319000</v>
      </c>
      <c r="D496" s="54">
        <v>0</v>
      </c>
      <c r="E496" s="54">
        <f t="shared" si="11"/>
        <v>3226000</v>
      </c>
      <c r="F496" s="80" t="s">
        <v>137</v>
      </c>
      <c r="G496" s="14" t="s">
        <v>138</v>
      </c>
      <c r="H496" s="168" t="s">
        <v>3020</v>
      </c>
      <c r="I496"/>
    </row>
    <row r="497" spans="1:12" s="14" customFormat="1">
      <c r="A497" s="3"/>
      <c r="B497" s="7" t="s">
        <v>3458</v>
      </c>
      <c r="C497" s="54">
        <v>46000</v>
      </c>
      <c r="D497" s="54">
        <v>0</v>
      </c>
      <c r="E497" s="54">
        <f t="shared" si="11"/>
        <v>3180000</v>
      </c>
      <c r="F497" s="80" t="s">
        <v>137</v>
      </c>
      <c r="G497" s="14" t="s">
        <v>138</v>
      </c>
      <c r="H497" s="168" t="s">
        <v>3020</v>
      </c>
      <c r="I497"/>
    </row>
    <row r="498" spans="1:12" s="14" customFormat="1">
      <c r="A498" s="3"/>
      <c r="B498" s="7" t="s">
        <v>3459</v>
      </c>
      <c r="C498" s="54">
        <v>500000</v>
      </c>
      <c r="D498" s="54">
        <v>0</v>
      </c>
      <c r="E498" s="54">
        <f t="shared" si="11"/>
        <v>2680000</v>
      </c>
      <c r="F498" s="80" t="s">
        <v>137</v>
      </c>
      <c r="G498" s="14" t="s">
        <v>138</v>
      </c>
      <c r="H498" s="168" t="s">
        <v>3020</v>
      </c>
      <c r="I498"/>
    </row>
    <row r="499" spans="1:12" s="14" customFormat="1">
      <c r="A499" s="3"/>
      <c r="B499" s="7" t="s">
        <v>3460</v>
      </c>
      <c r="C499" s="54">
        <v>200000</v>
      </c>
      <c r="D499" s="54">
        <v>0</v>
      </c>
      <c r="E499" s="54">
        <f t="shared" si="11"/>
        <v>2480000</v>
      </c>
      <c r="F499" s="80" t="s">
        <v>137</v>
      </c>
      <c r="G499" s="14" t="s">
        <v>138</v>
      </c>
      <c r="H499" s="168" t="s">
        <v>3020</v>
      </c>
      <c r="I499"/>
    </row>
    <row r="500" spans="1:12" s="14" customFormat="1">
      <c r="A500" s="3"/>
      <c r="B500" s="7" t="s">
        <v>3461</v>
      </c>
      <c r="C500" s="54">
        <v>300000</v>
      </c>
      <c r="D500" s="54">
        <v>0</v>
      </c>
      <c r="E500" s="54">
        <f t="shared" si="11"/>
        <v>2180000</v>
      </c>
      <c r="F500" s="80" t="s">
        <v>137</v>
      </c>
      <c r="G500" s="14" t="s">
        <v>138</v>
      </c>
      <c r="H500" s="168" t="s">
        <v>3020</v>
      </c>
      <c r="I500"/>
    </row>
    <row r="501" spans="1:12" s="14" customFormat="1">
      <c r="A501" s="3"/>
      <c r="B501" s="7" t="s">
        <v>3462</v>
      </c>
      <c r="C501" s="54">
        <v>400000</v>
      </c>
      <c r="D501" s="54">
        <v>0</v>
      </c>
      <c r="E501" s="54">
        <f t="shared" si="11"/>
        <v>1780000</v>
      </c>
      <c r="F501" s="80" t="s">
        <v>137</v>
      </c>
      <c r="G501" s="14" t="s">
        <v>138</v>
      </c>
      <c r="H501" s="168" t="s">
        <v>3020</v>
      </c>
      <c r="I501"/>
      <c r="K501" s="14" t="s">
        <v>4150</v>
      </c>
      <c r="L501" s="14" t="s">
        <v>119</v>
      </c>
    </row>
    <row r="502" spans="1:12" s="14" customFormat="1">
      <c r="A502" s="3"/>
      <c r="B502" s="7" t="s">
        <v>3463</v>
      </c>
      <c r="C502" s="54">
        <v>400000</v>
      </c>
      <c r="D502" s="54">
        <v>0</v>
      </c>
      <c r="E502" s="54">
        <f t="shared" si="11"/>
        <v>1380000</v>
      </c>
      <c r="F502" s="80" t="s">
        <v>137</v>
      </c>
      <c r="G502" s="14" t="s">
        <v>138</v>
      </c>
      <c r="H502" s="168" t="s">
        <v>3020</v>
      </c>
      <c r="I502"/>
      <c r="K502" s="14" t="s">
        <v>4150</v>
      </c>
      <c r="L502" s="14" t="s">
        <v>458</v>
      </c>
    </row>
    <row r="503" spans="1:12" s="14" customFormat="1">
      <c r="A503" s="138"/>
      <c r="B503" s="14" t="s">
        <v>3464</v>
      </c>
      <c r="C503" s="53">
        <v>400000</v>
      </c>
      <c r="D503" s="54">
        <v>0</v>
      </c>
      <c r="E503" s="54">
        <f t="shared" ref="E503:E566" si="12">E502-C503+D503</f>
        <v>980000</v>
      </c>
      <c r="F503" s="80" t="s">
        <v>137</v>
      </c>
      <c r="G503" s="14" t="s">
        <v>138</v>
      </c>
      <c r="H503" s="168" t="s">
        <v>3020</v>
      </c>
      <c r="K503" s="14" t="s">
        <v>4150</v>
      </c>
      <c r="L503" s="14" t="s">
        <v>459</v>
      </c>
    </row>
    <row r="504" spans="1:12" s="14" customFormat="1">
      <c r="A504" s="138"/>
      <c r="B504" s="14" t="s">
        <v>3465</v>
      </c>
      <c r="C504" s="53">
        <v>400000</v>
      </c>
      <c r="D504" s="54">
        <v>0</v>
      </c>
      <c r="E504" s="54">
        <f t="shared" si="12"/>
        <v>580000</v>
      </c>
      <c r="F504" s="80" t="s">
        <v>137</v>
      </c>
      <c r="G504" s="14" t="s">
        <v>138</v>
      </c>
      <c r="H504" s="168" t="s">
        <v>3020</v>
      </c>
      <c r="K504" s="14" t="s">
        <v>4150</v>
      </c>
      <c r="L504" s="14" t="s">
        <v>622</v>
      </c>
    </row>
    <row r="505" spans="1:12" s="14" customFormat="1">
      <c r="A505" s="138"/>
      <c r="B505" s="14" t="s">
        <v>3466</v>
      </c>
      <c r="C505" s="53">
        <v>400000</v>
      </c>
      <c r="D505" s="54">
        <v>0</v>
      </c>
      <c r="E505" s="54">
        <f t="shared" si="12"/>
        <v>180000</v>
      </c>
      <c r="F505" s="80" t="s">
        <v>137</v>
      </c>
      <c r="G505" s="14" t="s">
        <v>138</v>
      </c>
      <c r="H505" s="168" t="s">
        <v>3020</v>
      </c>
      <c r="K505" s="14" t="s">
        <v>4150</v>
      </c>
      <c r="L505" s="14" t="s">
        <v>4152</v>
      </c>
    </row>
    <row r="506" spans="1:12" s="14" customFormat="1">
      <c r="A506" s="138"/>
      <c r="B506" s="14" t="s">
        <v>3467</v>
      </c>
      <c r="C506" s="53">
        <v>150000</v>
      </c>
      <c r="D506" s="54">
        <v>0</v>
      </c>
      <c r="E506" s="54">
        <f t="shared" si="12"/>
        <v>30000</v>
      </c>
      <c r="F506" s="80" t="s">
        <v>137</v>
      </c>
      <c r="G506" s="14" t="s">
        <v>138</v>
      </c>
      <c r="H506" s="168" t="s">
        <v>3020</v>
      </c>
      <c r="K506" s="14" t="s">
        <v>4150</v>
      </c>
      <c r="L506" s="14" t="s">
        <v>2083</v>
      </c>
    </row>
    <row r="507" spans="1:12" s="14" customFormat="1">
      <c r="A507" s="138"/>
      <c r="B507" s="7" t="s">
        <v>1575</v>
      </c>
      <c r="C507" s="8">
        <v>30000</v>
      </c>
      <c r="D507" s="8">
        <v>0</v>
      </c>
      <c r="E507" s="8">
        <f t="shared" si="12"/>
        <v>0</v>
      </c>
      <c r="F507" s="83" t="s">
        <v>107</v>
      </c>
      <c r="G507" s="14" t="s">
        <v>668</v>
      </c>
      <c r="H507" s="14" t="s">
        <v>3405</v>
      </c>
      <c r="I507" t="s">
        <v>3449</v>
      </c>
    </row>
    <row r="508" spans="1:12" s="14" customFormat="1">
      <c r="A508" s="3">
        <v>44319</v>
      </c>
      <c r="B508" s="7" t="s">
        <v>1544</v>
      </c>
      <c r="C508" s="8">
        <v>0</v>
      </c>
      <c r="D508" s="8">
        <v>30000000</v>
      </c>
      <c r="E508" s="8">
        <f t="shared" si="12"/>
        <v>30000000</v>
      </c>
      <c r="F508" s="83" t="s">
        <v>107</v>
      </c>
      <c r="G508" s="14" t="s">
        <v>666</v>
      </c>
      <c r="H508" s="14" t="s">
        <v>3405</v>
      </c>
      <c r="I508" t="s">
        <v>3468</v>
      </c>
    </row>
    <row r="509" spans="1:12" s="14" customFormat="1">
      <c r="A509" s="138"/>
      <c r="B509" s="14" t="s">
        <v>3469</v>
      </c>
      <c r="C509" s="53">
        <v>30000000</v>
      </c>
      <c r="D509" s="53">
        <v>0</v>
      </c>
      <c r="E509" s="54">
        <f t="shared" si="12"/>
        <v>0</v>
      </c>
      <c r="F509" s="14" t="s">
        <v>137</v>
      </c>
      <c r="G509" s="14" t="s">
        <v>138</v>
      </c>
      <c r="H509" s="168" t="s">
        <v>1128</v>
      </c>
    </row>
    <row r="510" spans="1:12" s="14" customFormat="1">
      <c r="A510" s="138">
        <v>44320</v>
      </c>
      <c r="B510" s="14" t="s">
        <v>1546</v>
      </c>
      <c r="C510" s="50">
        <v>0</v>
      </c>
      <c r="D510" s="50">
        <v>143080006</v>
      </c>
      <c r="E510" s="8">
        <f t="shared" si="12"/>
        <v>143080006</v>
      </c>
      <c r="F510" s="14" t="s">
        <v>107</v>
      </c>
      <c r="G510" s="14" t="s">
        <v>666</v>
      </c>
      <c r="H510" s="14" t="s">
        <v>142</v>
      </c>
    </row>
    <row r="511" spans="1:12" s="14" customFormat="1">
      <c r="A511" s="138"/>
      <c r="B511" s="14" t="s">
        <v>3332</v>
      </c>
      <c r="C511" s="53">
        <v>2250000</v>
      </c>
      <c r="D511" s="53"/>
      <c r="E511" s="54">
        <f t="shared" si="12"/>
        <v>140830006</v>
      </c>
      <c r="F511" s="14" t="s">
        <v>137</v>
      </c>
      <c r="G511" s="14" t="s">
        <v>138</v>
      </c>
      <c r="H511" s="168" t="s">
        <v>990</v>
      </c>
    </row>
    <row r="512" spans="1:12" s="14" customFormat="1">
      <c r="A512" s="138"/>
      <c r="B512" s="14" t="s">
        <v>3333</v>
      </c>
      <c r="C512" s="53">
        <v>30000000</v>
      </c>
      <c r="D512" s="53"/>
      <c r="E512" s="54">
        <f t="shared" si="12"/>
        <v>110830006</v>
      </c>
      <c r="F512" s="14" t="s">
        <v>137</v>
      </c>
      <c r="G512" s="14" t="s">
        <v>138</v>
      </c>
      <c r="H512" s="14" t="s">
        <v>2954</v>
      </c>
    </row>
    <row r="513" spans="1:8" s="14" customFormat="1">
      <c r="A513" s="138"/>
      <c r="B513" s="14" t="s">
        <v>3334</v>
      </c>
      <c r="C513" s="53">
        <v>127300</v>
      </c>
      <c r="D513" s="53"/>
      <c r="E513" s="54">
        <f t="shared" si="12"/>
        <v>110702706</v>
      </c>
      <c r="F513" s="14" t="s">
        <v>137</v>
      </c>
      <c r="G513" s="14" t="s">
        <v>138</v>
      </c>
      <c r="H513" s="14" t="s">
        <v>2954</v>
      </c>
    </row>
    <row r="514" spans="1:8" s="14" customFormat="1">
      <c r="A514" s="138"/>
      <c r="B514" s="14" t="s">
        <v>3335</v>
      </c>
      <c r="C514" s="53">
        <v>220000</v>
      </c>
      <c r="D514" s="53"/>
      <c r="E514" s="54">
        <f t="shared" si="12"/>
        <v>110482706</v>
      </c>
      <c r="F514" s="14" t="s">
        <v>137</v>
      </c>
      <c r="G514" s="14" t="s">
        <v>138</v>
      </c>
      <c r="H514" s="14" t="s">
        <v>2954</v>
      </c>
    </row>
    <row r="515" spans="1:8" s="14" customFormat="1">
      <c r="A515" s="138"/>
      <c r="B515" s="14" t="s">
        <v>3340</v>
      </c>
      <c r="C515" s="50">
        <v>40700</v>
      </c>
      <c r="D515" s="50"/>
      <c r="E515" s="8">
        <f t="shared" si="12"/>
        <v>110442006</v>
      </c>
      <c r="F515" s="14" t="s">
        <v>736</v>
      </c>
      <c r="G515" s="14" t="s">
        <v>455</v>
      </c>
      <c r="H515" s="14" t="s">
        <v>64</v>
      </c>
    </row>
    <row r="516" spans="1:8" s="14" customFormat="1">
      <c r="A516" s="138"/>
      <c r="B516" s="14" t="s">
        <v>3340</v>
      </c>
      <c r="C516" s="50">
        <v>57200</v>
      </c>
      <c r="D516" s="50"/>
      <c r="E516" s="8">
        <f t="shared" si="12"/>
        <v>110384806</v>
      </c>
      <c r="F516" s="14" t="s">
        <v>736</v>
      </c>
      <c r="G516" s="14" t="s">
        <v>455</v>
      </c>
      <c r="H516" s="14" t="s">
        <v>64</v>
      </c>
    </row>
    <row r="517" spans="1:8" s="14" customFormat="1">
      <c r="A517" s="138"/>
      <c r="B517" s="14" t="s">
        <v>3333</v>
      </c>
      <c r="C517" s="53">
        <v>50326329</v>
      </c>
      <c r="D517" s="53"/>
      <c r="E517" s="54">
        <f t="shared" si="12"/>
        <v>60058477</v>
      </c>
      <c r="F517" s="14" t="s">
        <v>137</v>
      </c>
      <c r="G517" s="14" t="s">
        <v>138</v>
      </c>
      <c r="H517" s="14" t="s">
        <v>2954</v>
      </c>
    </row>
    <row r="518" spans="1:8" s="14" customFormat="1">
      <c r="A518" s="138"/>
      <c r="B518" s="14" t="s">
        <v>3336</v>
      </c>
      <c r="C518" s="53">
        <v>93200</v>
      </c>
      <c r="D518" s="53"/>
      <c r="E518" s="54">
        <f t="shared" si="12"/>
        <v>59965277</v>
      </c>
      <c r="F518" s="14" t="s">
        <v>137</v>
      </c>
      <c r="G518" s="14" t="s">
        <v>138</v>
      </c>
      <c r="H518" s="14" t="s">
        <v>1961</v>
      </c>
    </row>
    <row r="519" spans="1:8" s="14" customFormat="1">
      <c r="A519" s="138"/>
      <c r="B519" s="14" t="s">
        <v>3333</v>
      </c>
      <c r="C519" s="53">
        <v>57350000</v>
      </c>
      <c r="D519" s="53"/>
      <c r="E519" s="54">
        <f t="shared" si="12"/>
        <v>2615277</v>
      </c>
      <c r="F519" s="14" t="s">
        <v>137</v>
      </c>
      <c r="G519" s="14" t="s">
        <v>138</v>
      </c>
      <c r="H519" s="14" t="s">
        <v>1961</v>
      </c>
    </row>
    <row r="520" spans="1:8" s="14" customFormat="1">
      <c r="A520" s="138"/>
      <c r="B520" s="14" t="s">
        <v>3341</v>
      </c>
      <c r="C520" s="50">
        <v>401000</v>
      </c>
      <c r="D520" s="50"/>
      <c r="E520" s="8">
        <f t="shared" si="12"/>
        <v>2214277</v>
      </c>
      <c r="F520" s="14" t="s">
        <v>248</v>
      </c>
      <c r="G520" s="14" t="s">
        <v>407</v>
      </c>
      <c r="H520" s="14" t="s">
        <v>64</v>
      </c>
    </row>
    <row r="521" spans="1:8" s="14" customFormat="1">
      <c r="A521" s="138"/>
      <c r="B521" s="14" t="s">
        <v>1028</v>
      </c>
      <c r="C521" s="53">
        <v>79000</v>
      </c>
      <c r="D521" s="53"/>
      <c r="E521" s="54">
        <f t="shared" si="12"/>
        <v>2135277</v>
      </c>
      <c r="F521" s="14" t="s">
        <v>137</v>
      </c>
      <c r="G521" s="14" t="s">
        <v>138</v>
      </c>
      <c r="H521" s="14" t="s">
        <v>3031</v>
      </c>
    </row>
    <row r="522" spans="1:8" s="14" customFormat="1">
      <c r="A522" s="138"/>
      <c r="B522" s="14" t="s">
        <v>1028</v>
      </c>
      <c r="C522" s="53">
        <v>298000</v>
      </c>
      <c r="D522" s="53"/>
      <c r="E522" s="54">
        <f t="shared" si="12"/>
        <v>1837277</v>
      </c>
      <c r="F522" s="14" t="s">
        <v>137</v>
      </c>
      <c r="G522" s="14" t="s">
        <v>138</v>
      </c>
      <c r="H522" s="14" t="s">
        <v>3031</v>
      </c>
    </row>
    <row r="523" spans="1:8" s="14" customFormat="1">
      <c r="A523" s="138"/>
      <c r="B523" s="14" t="s">
        <v>3337</v>
      </c>
      <c r="C523" s="53">
        <v>609100</v>
      </c>
      <c r="D523" s="53"/>
      <c r="E523" s="54">
        <f t="shared" si="12"/>
        <v>1228177</v>
      </c>
      <c r="F523" s="14" t="s">
        <v>137</v>
      </c>
      <c r="G523" s="14" t="s">
        <v>138</v>
      </c>
      <c r="H523" s="14" t="s">
        <v>3031</v>
      </c>
    </row>
    <row r="524" spans="1:8" s="14" customFormat="1">
      <c r="A524" s="138"/>
      <c r="B524" s="14" t="s">
        <v>3192</v>
      </c>
      <c r="C524" s="53">
        <v>131000</v>
      </c>
      <c r="D524" s="53"/>
      <c r="E524" s="54">
        <f t="shared" si="12"/>
        <v>1097177</v>
      </c>
      <c r="F524" s="14" t="s">
        <v>137</v>
      </c>
      <c r="G524" s="14" t="s">
        <v>138</v>
      </c>
      <c r="H524" s="14" t="s">
        <v>3031</v>
      </c>
    </row>
    <row r="525" spans="1:8" s="14" customFormat="1">
      <c r="A525" s="138"/>
      <c r="B525" s="14" t="s">
        <v>3192</v>
      </c>
      <c r="C525" s="53">
        <v>105900</v>
      </c>
      <c r="D525" s="53"/>
      <c r="E525" s="54">
        <f t="shared" si="12"/>
        <v>991277</v>
      </c>
      <c r="F525" s="14" t="s">
        <v>137</v>
      </c>
      <c r="G525" s="14" t="s">
        <v>138</v>
      </c>
      <c r="H525" s="14" t="s">
        <v>3031</v>
      </c>
    </row>
    <row r="526" spans="1:8" s="14" customFormat="1">
      <c r="A526" s="138"/>
      <c r="B526" s="14" t="s">
        <v>3338</v>
      </c>
      <c r="C526" s="53">
        <v>206100</v>
      </c>
      <c r="D526" s="53"/>
      <c r="E526" s="54">
        <f t="shared" si="12"/>
        <v>785177</v>
      </c>
      <c r="F526" s="14" t="s">
        <v>137</v>
      </c>
      <c r="G526" s="14" t="s">
        <v>138</v>
      </c>
      <c r="H526" s="14" t="s">
        <v>3031</v>
      </c>
    </row>
    <row r="527" spans="1:8" s="14" customFormat="1">
      <c r="A527" s="138"/>
      <c r="B527" s="14" t="s">
        <v>912</v>
      </c>
      <c r="C527" s="50">
        <v>274176</v>
      </c>
      <c r="D527" s="50"/>
      <c r="E527" s="8">
        <f t="shared" si="12"/>
        <v>511001</v>
      </c>
      <c r="F527" s="14" t="s">
        <v>319</v>
      </c>
      <c r="G527" s="14" t="s">
        <v>117</v>
      </c>
      <c r="H527" s="14" t="s">
        <v>64</v>
      </c>
    </row>
    <row r="528" spans="1:8" s="14" customFormat="1">
      <c r="A528" s="138"/>
      <c r="B528" s="14" t="s">
        <v>898</v>
      </c>
      <c r="C528" s="53">
        <v>191000</v>
      </c>
      <c r="D528" s="53"/>
      <c r="E528" s="54">
        <f t="shared" si="12"/>
        <v>320001</v>
      </c>
      <c r="F528" s="14" t="s">
        <v>137</v>
      </c>
      <c r="G528" s="14" t="s">
        <v>138</v>
      </c>
      <c r="H528" s="14" t="s">
        <v>3031</v>
      </c>
    </row>
    <row r="529" spans="1:8" s="14" customFormat="1">
      <c r="A529" s="138"/>
      <c r="B529" s="14" t="s">
        <v>3339</v>
      </c>
      <c r="C529" s="53">
        <v>310000</v>
      </c>
      <c r="D529" s="53"/>
      <c r="E529" s="54">
        <f t="shared" si="12"/>
        <v>10001</v>
      </c>
      <c r="F529" s="14" t="s">
        <v>137</v>
      </c>
      <c r="G529" s="14" t="s">
        <v>138</v>
      </c>
      <c r="H529" s="14" t="s">
        <v>3031</v>
      </c>
    </row>
    <row r="530" spans="1:8" s="14" customFormat="1">
      <c r="A530" s="138"/>
      <c r="B530" s="14" t="s">
        <v>1031</v>
      </c>
      <c r="C530" s="50">
        <v>10000</v>
      </c>
      <c r="D530" s="50"/>
      <c r="E530" s="8">
        <f t="shared" si="12"/>
        <v>1</v>
      </c>
      <c r="F530" s="14" t="s">
        <v>113</v>
      </c>
      <c r="G530" s="14" t="s">
        <v>114</v>
      </c>
      <c r="H530" s="14" t="s">
        <v>64</v>
      </c>
    </row>
    <row r="531" spans="1:8" s="14" customFormat="1">
      <c r="A531" s="138"/>
      <c r="B531" s="14" t="s">
        <v>419</v>
      </c>
      <c r="C531" s="50">
        <v>1</v>
      </c>
      <c r="D531" s="50"/>
      <c r="E531" s="8">
        <f t="shared" si="12"/>
        <v>0</v>
      </c>
      <c r="F531" s="14" t="s">
        <v>252</v>
      </c>
      <c r="G531" s="14" t="s">
        <v>665</v>
      </c>
    </row>
    <row r="532" spans="1:8" s="14" customFormat="1">
      <c r="A532" s="138">
        <v>44320</v>
      </c>
      <c r="B532" s="14" t="s">
        <v>1547</v>
      </c>
      <c r="C532" s="50">
        <v>0</v>
      </c>
      <c r="D532" s="50">
        <v>20365276</v>
      </c>
      <c r="E532" s="8">
        <f t="shared" si="12"/>
        <v>20365276</v>
      </c>
      <c r="F532" s="14" t="s">
        <v>107</v>
      </c>
      <c r="G532" s="14" t="s">
        <v>666</v>
      </c>
      <c r="H532" s="14" t="s">
        <v>140</v>
      </c>
    </row>
    <row r="533" spans="1:8" s="14" customFormat="1">
      <c r="A533" s="138"/>
      <c r="B533" s="14" t="s">
        <v>897</v>
      </c>
      <c r="C533" s="50">
        <v>264996</v>
      </c>
      <c r="D533" s="50"/>
      <c r="E533" s="8">
        <f t="shared" si="12"/>
        <v>20100280</v>
      </c>
      <c r="F533" s="14" t="s">
        <v>319</v>
      </c>
      <c r="G533" s="14" t="s">
        <v>117</v>
      </c>
      <c r="H533" s="14" t="s">
        <v>64</v>
      </c>
    </row>
    <row r="534" spans="1:8" s="14" customFormat="1">
      <c r="A534" s="138"/>
      <c r="B534" s="14" t="s">
        <v>3342</v>
      </c>
      <c r="C534" s="50">
        <v>895808</v>
      </c>
      <c r="D534" s="50"/>
      <c r="E534" s="8">
        <f t="shared" si="12"/>
        <v>19204472</v>
      </c>
      <c r="F534" s="14" t="s">
        <v>319</v>
      </c>
      <c r="G534" s="14" t="s">
        <v>1045</v>
      </c>
      <c r="H534" s="14" t="s">
        <v>64</v>
      </c>
    </row>
    <row r="535" spans="1:8" s="14" customFormat="1">
      <c r="A535" s="138"/>
      <c r="B535" s="14" t="s">
        <v>897</v>
      </c>
      <c r="C535" s="50">
        <v>100000</v>
      </c>
      <c r="D535" s="50"/>
      <c r="E535" s="8">
        <f t="shared" si="12"/>
        <v>19104472</v>
      </c>
      <c r="F535" s="14" t="s">
        <v>319</v>
      </c>
      <c r="G535" s="14" t="s">
        <v>117</v>
      </c>
      <c r="H535" s="14" t="s">
        <v>64</v>
      </c>
    </row>
    <row r="536" spans="1:8" s="14" customFormat="1">
      <c r="A536" s="138"/>
      <c r="B536" s="14" t="s">
        <v>1042</v>
      </c>
      <c r="C536" s="50">
        <v>255288</v>
      </c>
      <c r="D536" s="50"/>
      <c r="E536" s="8">
        <f t="shared" si="12"/>
        <v>18849184</v>
      </c>
      <c r="F536" s="14" t="s">
        <v>319</v>
      </c>
      <c r="G536" s="14" t="s">
        <v>117</v>
      </c>
      <c r="H536" s="14" t="s">
        <v>64</v>
      </c>
    </row>
    <row r="537" spans="1:8" s="14" customFormat="1">
      <c r="A537" s="138"/>
      <c r="B537" s="14" t="s">
        <v>3345</v>
      </c>
      <c r="C537" s="50">
        <v>225000</v>
      </c>
      <c r="D537" s="50"/>
      <c r="E537" s="8">
        <f t="shared" si="12"/>
        <v>18624184</v>
      </c>
      <c r="F537" s="14" t="s">
        <v>248</v>
      </c>
      <c r="G537" s="14" t="s">
        <v>391</v>
      </c>
      <c r="H537" s="14" t="s">
        <v>64</v>
      </c>
    </row>
    <row r="538" spans="1:8" s="14" customFormat="1">
      <c r="A538" s="138"/>
      <c r="B538" s="14" t="s">
        <v>1042</v>
      </c>
      <c r="C538" s="50">
        <v>276295</v>
      </c>
      <c r="D538" s="50"/>
      <c r="E538" s="8">
        <f t="shared" si="12"/>
        <v>18347889</v>
      </c>
      <c r="F538" s="14" t="s">
        <v>319</v>
      </c>
      <c r="G538" s="14" t="s">
        <v>117</v>
      </c>
      <c r="H538" s="14" t="s">
        <v>64</v>
      </c>
    </row>
    <row r="539" spans="1:8" s="14" customFormat="1">
      <c r="A539" s="138"/>
      <c r="B539" s="14" t="s">
        <v>3346</v>
      </c>
      <c r="C539" s="50">
        <v>2469752</v>
      </c>
      <c r="D539" s="50"/>
      <c r="E539" s="8">
        <f t="shared" si="12"/>
        <v>15878137</v>
      </c>
      <c r="F539" s="14" t="s">
        <v>319</v>
      </c>
      <c r="G539" s="14" t="s">
        <v>647</v>
      </c>
      <c r="H539" s="14" t="s">
        <v>64</v>
      </c>
    </row>
    <row r="540" spans="1:8" s="14" customFormat="1">
      <c r="A540" s="138"/>
      <c r="B540" s="14" t="s">
        <v>3343</v>
      </c>
      <c r="C540" s="50">
        <v>245031</v>
      </c>
      <c r="D540" s="50"/>
      <c r="E540" s="8">
        <f t="shared" si="12"/>
        <v>15633106</v>
      </c>
      <c r="F540" s="14" t="s">
        <v>319</v>
      </c>
      <c r="G540" s="14" t="s">
        <v>1045</v>
      </c>
      <c r="H540" s="14" t="s">
        <v>64</v>
      </c>
    </row>
    <row r="541" spans="1:8" s="14" customFormat="1">
      <c r="A541" s="138"/>
      <c r="B541" s="14" t="s">
        <v>3344</v>
      </c>
      <c r="C541" s="53">
        <v>11000000</v>
      </c>
      <c r="D541" s="53"/>
      <c r="E541" s="54">
        <f t="shared" si="12"/>
        <v>4633106</v>
      </c>
      <c r="F541" s="14" t="s">
        <v>137</v>
      </c>
      <c r="G541" s="14" t="s">
        <v>138</v>
      </c>
      <c r="H541" s="14" t="s">
        <v>251</v>
      </c>
    </row>
    <row r="542" spans="1:8" s="14" customFormat="1">
      <c r="A542" s="138"/>
      <c r="B542" s="14" t="s">
        <v>394</v>
      </c>
      <c r="C542" s="53">
        <v>1676476</v>
      </c>
      <c r="D542" s="53"/>
      <c r="E542" s="54">
        <f t="shared" si="12"/>
        <v>2956630</v>
      </c>
      <c r="F542" s="14" t="s">
        <v>137</v>
      </c>
      <c r="G542" s="14" t="s">
        <v>138</v>
      </c>
      <c r="H542" s="14" t="s">
        <v>251</v>
      </c>
    </row>
    <row r="543" spans="1:8" s="14" customFormat="1">
      <c r="A543" s="138"/>
      <c r="B543" s="14" t="s">
        <v>912</v>
      </c>
      <c r="C543" s="50">
        <v>278537</v>
      </c>
      <c r="D543" s="50"/>
      <c r="E543" s="8">
        <f t="shared" si="12"/>
        <v>2678093</v>
      </c>
      <c r="F543" s="14" t="s">
        <v>319</v>
      </c>
      <c r="G543" s="14" t="s">
        <v>117</v>
      </c>
      <c r="H543" s="14" t="s">
        <v>64</v>
      </c>
    </row>
    <row r="544" spans="1:8" s="14" customFormat="1">
      <c r="A544" s="138"/>
      <c r="B544" s="14" t="s">
        <v>394</v>
      </c>
      <c r="C544" s="53">
        <v>1574570</v>
      </c>
      <c r="D544" s="53"/>
      <c r="E544" s="54">
        <f t="shared" si="12"/>
        <v>1103523</v>
      </c>
      <c r="F544" s="14" t="s">
        <v>137</v>
      </c>
      <c r="G544" s="14" t="s">
        <v>138</v>
      </c>
      <c r="H544" s="14" t="s">
        <v>251</v>
      </c>
    </row>
    <row r="545" spans="1:8" s="14" customFormat="1">
      <c r="A545" s="138"/>
      <c r="B545" s="14" t="s">
        <v>912</v>
      </c>
      <c r="C545" s="50">
        <v>246942</v>
      </c>
      <c r="D545" s="50"/>
      <c r="E545" s="8">
        <f t="shared" si="12"/>
        <v>856581</v>
      </c>
      <c r="F545" s="14" t="s">
        <v>319</v>
      </c>
      <c r="G545" s="14" t="s">
        <v>117</v>
      </c>
      <c r="H545" s="14" t="s">
        <v>64</v>
      </c>
    </row>
    <row r="546" spans="1:8" s="14" customFormat="1">
      <c r="A546" s="138"/>
      <c r="B546" s="14" t="s">
        <v>912</v>
      </c>
      <c r="C546" s="50">
        <v>294066</v>
      </c>
      <c r="D546" s="50"/>
      <c r="E546" s="8">
        <f t="shared" si="12"/>
        <v>562515</v>
      </c>
      <c r="F546" s="14" t="s">
        <v>319</v>
      </c>
      <c r="G546" s="14" t="s">
        <v>117</v>
      </c>
      <c r="H546" s="14" t="s">
        <v>64</v>
      </c>
    </row>
    <row r="547" spans="1:8" s="14" customFormat="1">
      <c r="A547" s="138"/>
      <c r="B547" s="14" t="s">
        <v>3347</v>
      </c>
      <c r="C547" s="50">
        <v>253400</v>
      </c>
      <c r="D547" s="50"/>
      <c r="E547" s="8">
        <f t="shared" si="12"/>
        <v>309115</v>
      </c>
      <c r="F547" s="14" t="s">
        <v>736</v>
      </c>
      <c r="G547" s="14" t="s">
        <v>3994</v>
      </c>
      <c r="H547" s="14" t="s">
        <v>64</v>
      </c>
    </row>
    <row r="548" spans="1:8" s="14" customFormat="1">
      <c r="A548" s="138"/>
      <c r="B548" s="14" t="s">
        <v>897</v>
      </c>
      <c r="C548" s="50">
        <v>299115</v>
      </c>
      <c r="D548" s="50"/>
      <c r="E548" s="8">
        <f t="shared" si="12"/>
        <v>10000</v>
      </c>
      <c r="F548" s="14" t="s">
        <v>319</v>
      </c>
      <c r="G548" s="14" t="s">
        <v>117</v>
      </c>
      <c r="H548" s="14" t="s">
        <v>64</v>
      </c>
    </row>
    <row r="549" spans="1:8" s="14" customFormat="1">
      <c r="A549" s="138"/>
      <c r="B549" s="14" t="s">
        <v>389</v>
      </c>
      <c r="C549" s="50">
        <v>10000</v>
      </c>
      <c r="D549" s="50"/>
      <c r="E549" s="8">
        <f t="shared" si="12"/>
        <v>0</v>
      </c>
      <c r="F549" s="14" t="s">
        <v>113</v>
      </c>
      <c r="G549" s="14" t="s">
        <v>114</v>
      </c>
      <c r="H549" s="14" t="s">
        <v>64</v>
      </c>
    </row>
    <row r="550" spans="1:8" s="14" customFormat="1">
      <c r="A550" s="138">
        <v>44320</v>
      </c>
      <c r="B550" s="14" t="s">
        <v>1548</v>
      </c>
      <c r="C550" s="50">
        <v>0</v>
      </c>
      <c r="D550" s="50">
        <v>19109500</v>
      </c>
      <c r="E550" s="8">
        <f t="shared" si="12"/>
        <v>19109500</v>
      </c>
      <c r="F550" s="14" t="s">
        <v>107</v>
      </c>
      <c r="G550" s="14" t="s">
        <v>666</v>
      </c>
      <c r="H550" s="14" t="s">
        <v>141</v>
      </c>
    </row>
    <row r="551" spans="1:8" s="14" customFormat="1">
      <c r="A551" s="138"/>
      <c r="B551" s="14" t="s">
        <v>3348</v>
      </c>
      <c r="C551" s="53">
        <v>266357</v>
      </c>
      <c r="D551" s="53"/>
      <c r="E551" s="54">
        <f t="shared" si="12"/>
        <v>18843143</v>
      </c>
      <c r="F551" s="14" t="s">
        <v>137</v>
      </c>
      <c r="G551" s="14" t="s">
        <v>138</v>
      </c>
      <c r="H551" s="14" t="s">
        <v>251</v>
      </c>
    </row>
    <row r="552" spans="1:8" s="14" customFormat="1">
      <c r="A552" s="138"/>
      <c r="B552" s="14" t="s">
        <v>3348</v>
      </c>
      <c r="C552" s="53">
        <v>266357</v>
      </c>
      <c r="D552" s="53"/>
      <c r="E552" s="54">
        <f t="shared" si="12"/>
        <v>18576786</v>
      </c>
      <c r="F552" s="14" t="s">
        <v>137</v>
      </c>
      <c r="G552" s="14" t="s">
        <v>138</v>
      </c>
      <c r="H552" s="14" t="s">
        <v>251</v>
      </c>
    </row>
    <row r="553" spans="1:8" s="14" customFormat="1">
      <c r="A553" s="138"/>
      <c r="B553" s="14" t="s">
        <v>3187</v>
      </c>
      <c r="C553" s="53">
        <v>266357</v>
      </c>
      <c r="D553" s="53"/>
      <c r="E553" s="54">
        <f t="shared" si="12"/>
        <v>18310429</v>
      </c>
      <c r="F553" s="14" t="s">
        <v>137</v>
      </c>
      <c r="G553" s="14" t="s">
        <v>138</v>
      </c>
      <c r="H553" s="14" t="s">
        <v>251</v>
      </c>
    </row>
    <row r="554" spans="1:8" s="14" customFormat="1">
      <c r="A554" s="138"/>
      <c r="B554" s="14" t="s">
        <v>3187</v>
      </c>
      <c r="C554" s="53">
        <v>266357</v>
      </c>
      <c r="D554" s="53"/>
      <c r="E554" s="54">
        <f t="shared" si="12"/>
        <v>18044072</v>
      </c>
      <c r="F554" s="14" t="s">
        <v>137</v>
      </c>
      <c r="G554" s="14" t="s">
        <v>138</v>
      </c>
      <c r="H554" s="14" t="s">
        <v>251</v>
      </c>
    </row>
    <row r="555" spans="1:8" s="14" customFormat="1">
      <c r="A555" s="138"/>
      <c r="B555" s="14" t="s">
        <v>3187</v>
      </c>
      <c r="C555" s="53">
        <v>266357</v>
      </c>
      <c r="D555" s="53"/>
      <c r="E555" s="54">
        <f t="shared" si="12"/>
        <v>17777715</v>
      </c>
      <c r="F555" s="14" t="s">
        <v>137</v>
      </c>
      <c r="G555" s="14" t="s">
        <v>138</v>
      </c>
      <c r="H555" s="14" t="s">
        <v>251</v>
      </c>
    </row>
    <row r="556" spans="1:8" s="14" customFormat="1">
      <c r="A556" s="138"/>
      <c r="B556" s="14" t="s">
        <v>3187</v>
      </c>
      <c r="C556" s="53">
        <v>266357</v>
      </c>
      <c r="D556" s="53"/>
      <c r="E556" s="54">
        <f t="shared" si="12"/>
        <v>17511358</v>
      </c>
      <c r="F556" s="14" t="s">
        <v>137</v>
      </c>
      <c r="G556" s="14" t="s">
        <v>138</v>
      </c>
      <c r="H556" s="14" t="s">
        <v>251</v>
      </c>
    </row>
    <row r="557" spans="1:8" s="14" customFormat="1">
      <c r="A557" s="138"/>
      <c r="B557" s="14" t="s">
        <v>3187</v>
      </c>
      <c r="C557" s="53">
        <v>266357</v>
      </c>
      <c r="D557" s="53"/>
      <c r="E557" s="54">
        <f t="shared" si="12"/>
        <v>17245001</v>
      </c>
      <c r="F557" s="14" t="s">
        <v>137</v>
      </c>
      <c r="G557" s="14" t="s">
        <v>138</v>
      </c>
      <c r="H557" s="14" t="s">
        <v>251</v>
      </c>
    </row>
    <row r="558" spans="1:8" s="14" customFormat="1">
      <c r="A558" s="138"/>
      <c r="B558" s="14" t="s">
        <v>3187</v>
      </c>
      <c r="C558" s="53">
        <v>266357</v>
      </c>
      <c r="D558" s="53"/>
      <c r="E558" s="54">
        <f t="shared" si="12"/>
        <v>16978644</v>
      </c>
      <c r="F558" s="14" t="s">
        <v>137</v>
      </c>
      <c r="G558" s="14" t="s">
        <v>138</v>
      </c>
      <c r="H558" s="14" t="s">
        <v>251</v>
      </c>
    </row>
    <row r="559" spans="1:8" s="14" customFormat="1">
      <c r="A559" s="138"/>
      <c r="B559" s="14" t="s">
        <v>3187</v>
      </c>
      <c r="C559" s="53">
        <v>266357</v>
      </c>
      <c r="D559" s="53"/>
      <c r="E559" s="54">
        <f t="shared" si="12"/>
        <v>16712287</v>
      </c>
      <c r="F559" s="14" t="s">
        <v>137</v>
      </c>
      <c r="G559" s="14" t="s">
        <v>138</v>
      </c>
      <c r="H559" s="14" t="s">
        <v>251</v>
      </c>
    </row>
    <row r="560" spans="1:8" s="14" customFormat="1">
      <c r="A560" s="138"/>
      <c r="B560" s="14" t="s">
        <v>3187</v>
      </c>
      <c r="C560" s="53">
        <v>266357</v>
      </c>
      <c r="D560" s="53"/>
      <c r="E560" s="54">
        <f t="shared" si="12"/>
        <v>16445930</v>
      </c>
      <c r="F560" s="14" t="s">
        <v>137</v>
      </c>
      <c r="G560" s="14" t="s">
        <v>138</v>
      </c>
      <c r="H560" s="14" t="s">
        <v>251</v>
      </c>
    </row>
    <row r="561" spans="1:9" s="14" customFormat="1">
      <c r="A561" s="138"/>
      <c r="B561" s="14" t="s">
        <v>3187</v>
      </c>
      <c r="C561" s="53">
        <v>329981</v>
      </c>
      <c r="D561" s="53"/>
      <c r="E561" s="54">
        <f t="shared" si="12"/>
        <v>16115949</v>
      </c>
      <c r="F561" s="14" t="s">
        <v>137</v>
      </c>
      <c r="G561" s="14" t="s">
        <v>138</v>
      </c>
      <c r="H561" s="14" t="s">
        <v>251</v>
      </c>
    </row>
    <row r="562" spans="1:9" s="14" customFormat="1">
      <c r="A562" s="138"/>
      <c r="B562" s="14" t="s">
        <v>3349</v>
      </c>
      <c r="C562" s="50">
        <v>5000</v>
      </c>
      <c r="D562" s="50"/>
      <c r="E562" s="8">
        <f t="shared" si="12"/>
        <v>16110949</v>
      </c>
      <c r="F562" s="14" t="s">
        <v>113</v>
      </c>
      <c r="G562" s="14" t="s">
        <v>114</v>
      </c>
      <c r="H562" s="14" t="s">
        <v>64</v>
      </c>
    </row>
    <row r="563" spans="1:9" s="14" customFormat="1">
      <c r="A563" s="138"/>
      <c r="B563" s="14" t="s">
        <v>3357</v>
      </c>
      <c r="C563" s="50">
        <v>142500</v>
      </c>
      <c r="D563" s="50"/>
      <c r="E563" s="8">
        <f t="shared" si="12"/>
        <v>15968449</v>
      </c>
      <c r="F563" s="14" t="s">
        <v>319</v>
      </c>
      <c r="G563" s="14" t="s">
        <v>454</v>
      </c>
      <c r="H563" s="14" t="s">
        <v>64</v>
      </c>
    </row>
    <row r="564" spans="1:9" s="14" customFormat="1">
      <c r="A564" s="138"/>
      <c r="B564" s="14" t="s">
        <v>3350</v>
      </c>
      <c r="C564" s="53">
        <v>81900</v>
      </c>
      <c r="D564" s="53"/>
      <c r="E564" s="54">
        <f t="shared" si="12"/>
        <v>15886549</v>
      </c>
      <c r="F564" s="14" t="s">
        <v>137</v>
      </c>
      <c r="G564" s="14" t="s">
        <v>138</v>
      </c>
      <c r="H564" s="14" t="s">
        <v>2954</v>
      </c>
    </row>
    <row r="565" spans="1:9" s="14" customFormat="1">
      <c r="A565" s="138"/>
      <c r="B565" s="14" t="s">
        <v>3348</v>
      </c>
      <c r="C565" s="53">
        <v>330000</v>
      </c>
      <c r="D565" s="53"/>
      <c r="E565" s="54">
        <f t="shared" si="12"/>
        <v>15556549</v>
      </c>
      <c r="F565" s="14" t="s">
        <v>137</v>
      </c>
      <c r="G565" s="14" t="s">
        <v>138</v>
      </c>
      <c r="H565" s="14" t="s">
        <v>251</v>
      </c>
    </row>
    <row r="566" spans="1:9" s="14" customFormat="1">
      <c r="A566" s="138"/>
      <c r="B566" s="14" t="s">
        <v>3187</v>
      </c>
      <c r="C566" s="53">
        <v>239368</v>
      </c>
      <c r="D566" s="53"/>
      <c r="E566" s="54">
        <f t="shared" si="12"/>
        <v>15317181</v>
      </c>
      <c r="F566" s="14" t="s">
        <v>137</v>
      </c>
      <c r="G566" s="14" t="s">
        <v>138</v>
      </c>
      <c r="H566" s="14" t="s">
        <v>251</v>
      </c>
    </row>
    <row r="567" spans="1:9" s="14" customFormat="1">
      <c r="A567" s="138"/>
      <c r="B567" s="14" t="s">
        <v>3358</v>
      </c>
      <c r="C567" s="50">
        <v>580000</v>
      </c>
      <c r="D567" s="50"/>
      <c r="E567" s="8">
        <f t="shared" ref="E567:E654" si="13">E566-C567+D567</f>
        <v>14737181</v>
      </c>
      <c r="F567" s="14" t="s">
        <v>319</v>
      </c>
      <c r="G567" s="14" t="s">
        <v>320</v>
      </c>
      <c r="H567" s="14" t="s">
        <v>64</v>
      </c>
    </row>
    <row r="568" spans="1:9" s="14" customFormat="1">
      <c r="A568" s="138"/>
      <c r="B568" s="14" t="s">
        <v>3359</v>
      </c>
      <c r="C568" s="50">
        <v>133900</v>
      </c>
      <c r="D568" s="50"/>
      <c r="E568" s="8">
        <f t="shared" si="13"/>
        <v>14603281</v>
      </c>
      <c r="F568" s="14" t="s">
        <v>319</v>
      </c>
      <c r="G568" s="14" t="s">
        <v>320</v>
      </c>
      <c r="H568" s="14" t="s">
        <v>64</v>
      </c>
    </row>
    <row r="569" spans="1:9" s="14" customFormat="1">
      <c r="A569" s="138"/>
      <c r="B569" s="14" t="s">
        <v>3351</v>
      </c>
      <c r="C569" s="53">
        <v>2100000</v>
      </c>
      <c r="D569" s="53"/>
      <c r="E569" s="53">
        <f t="shared" si="13"/>
        <v>12503281</v>
      </c>
      <c r="F569" s="14" t="s">
        <v>115</v>
      </c>
      <c r="G569" s="14" t="s">
        <v>120</v>
      </c>
      <c r="H569" s="14" t="s">
        <v>3356</v>
      </c>
      <c r="I569" s="14" t="s">
        <v>444</v>
      </c>
    </row>
    <row r="570" spans="1:9" s="14" customFormat="1">
      <c r="A570" s="138"/>
      <c r="B570" s="14" t="s">
        <v>3352</v>
      </c>
      <c r="C570" s="53">
        <v>978000</v>
      </c>
      <c r="D570" s="53"/>
      <c r="E570" s="54">
        <f t="shared" si="13"/>
        <v>11525281</v>
      </c>
      <c r="F570" s="14" t="s">
        <v>137</v>
      </c>
      <c r="G570" s="14" t="s">
        <v>138</v>
      </c>
      <c r="H570" s="14" t="s">
        <v>1128</v>
      </c>
    </row>
    <row r="571" spans="1:9" s="14" customFormat="1">
      <c r="A571" s="138"/>
      <c r="B571" s="14" t="s">
        <v>3353</v>
      </c>
      <c r="C571" s="53">
        <v>271328</v>
      </c>
      <c r="D571" s="53"/>
      <c r="E571" s="54">
        <f t="shared" si="13"/>
        <v>11253953</v>
      </c>
      <c r="F571" s="14" t="s">
        <v>137</v>
      </c>
      <c r="G571" s="14" t="s">
        <v>138</v>
      </c>
      <c r="H571" s="14" t="s">
        <v>1128</v>
      </c>
    </row>
    <row r="572" spans="1:9" s="14" customFormat="1">
      <c r="A572" s="138"/>
      <c r="B572" s="14" t="s">
        <v>3354</v>
      </c>
      <c r="C572" s="53">
        <v>3051538</v>
      </c>
      <c r="D572" s="53"/>
      <c r="E572" s="54">
        <f t="shared" si="13"/>
        <v>8202415</v>
      </c>
      <c r="F572" s="14" t="s">
        <v>137</v>
      </c>
      <c r="G572" s="14" t="s">
        <v>138</v>
      </c>
      <c r="H572" s="14" t="s">
        <v>1128</v>
      </c>
    </row>
    <row r="573" spans="1:9" s="14" customFormat="1">
      <c r="A573" s="138"/>
      <c r="B573" s="14" t="s">
        <v>3355</v>
      </c>
      <c r="C573" s="53">
        <v>8192415</v>
      </c>
      <c r="D573" s="53"/>
      <c r="E573" s="54">
        <f t="shared" si="13"/>
        <v>10000</v>
      </c>
      <c r="F573" s="14" t="s">
        <v>137</v>
      </c>
      <c r="G573" s="14" t="s">
        <v>138</v>
      </c>
      <c r="H573" s="168" t="s">
        <v>1128</v>
      </c>
    </row>
    <row r="574" spans="1:9" s="14" customFormat="1">
      <c r="A574" s="138"/>
      <c r="B574" s="14" t="s">
        <v>389</v>
      </c>
      <c r="C574" s="50">
        <v>10000</v>
      </c>
      <c r="D574" s="50"/>
      <c r="E574" s="8">
        <f t="shared" si="13"/>
        <v>0</v>
      </c>
      <c r="F574" s="14" t="s">
        <v>113</v>
      </c>
      <c r="G574" s="14" t="s">
        <v>114</v>
      </c>
      <c r="H574" s="14" t="s">
        <v>64</v>
      </c>
    </row>
    <row r="575" spans="1:9" s="14" customFormat="1">
      <c r="A575" s="3">
        <v>44322</v>
      </c>
      <c r="B575" t="s">
        <v>2084</v>
      </c>
      <c r="C575" s="8">
        <v>0</v>
      </c>
      <c r="D575" s="8">
        <v>102545453.39999998</v>
      </c>
      <c r="E575" s="8">
        <f t="shared" si="13"/>
        <v>102545453.39999998</v>
      </c>
      <c r="F575" t="s">
        <v>581</v>
      </c>
      <c r="G575" t="s">
        <v>582</v>
      </c>
      <c r="H575" s="14" t="s">
        <v>1015</v>
      </c>
      <c r="I575">
        <v>14</v>
      </c>
    </row>
    <row r="576" spans="1:9" s="14" customFormat="1">
      <c r="A576" s="138"/>
      <c r="B576" t="s">
        <v>2084</v>
      </c>
      <c r="C576" s="50">
        <v>85454545.400000006</v>
      </c>
      <c r="D576" s="50"/>
      <c r="E576" s="8">
        <f t="shared" si="13"/>
        <v>17090907.99999997</v>
      </c>
      <c r="F576" s="14" t="s">
        <v>568</v>
      </c>
      <c r="G576" s="14" t="s">
        <v>4395</v>
      </c>
      <c r="H576" s="14" t="s">
        <v>1015</v>
      </c>
      <c r="I576">
        <v>14</v>
      </c>
    </row>
    <row r="577" spans="1:9" s="14" customFormat="1">
      <c r="A577" s="138"/>
      <c r="B577" t="s">
        <v>2084</v>
      </c>
      <c r="C577" s="50">
        <v>17090907.99999997</v>
      </c>
      <c r="D577" s="50"/>
      <c r="E577" s="8">
        <f t="shared" si="13"/>
        <v>0</v>
      </c>
      <c r="F577" t="s">
        <v>714</v>
      </c>
      <c r="G577" t="s">
        <v>715</v>
      </c>
      <c r="H577" s="14" t="s">
        <v>1015</v>
      </c>
      <c r="I577">
        <v>14</v>
      </c>
    </row>
    <row r="578" spans="1:9" s="14" customFormat="1">
      <c r="A578" s="3">
        <v>44323</v>
      </c>
      <c r="B578" t="s">
        <v>1907</v>
      </c>
      <c r="C578" s="8">
        <v>0</v>
      </c>
      <c r="D578" s="8">
        <v>11878854.200000003</v>
      </c>
      <c r="E578" s="8">
        <f t="shared" si="13"/>
        <v>11878854.200000003</v>
      </c>
      <c r="F578" t="s">
        <v>581</v>
      </c>
      <c r="G578" t="s">
        <v>582</v>
      </c>
      <c r="H578" t="s">
        <v>3022</v>
      </c>
      <c r="I578">
        <v>8</v>
      </c>
    </row>
    <row r="579" spans="1:9" s="14" customFormat="1">
      <c r="A579" s="138"/>
      <c r="B579" t="s">
        <v>1907</v>
      </c>
      <c r="C579" s="50">
        <v>9899045.2000000011</v>
      </c>
      <c r="D579" s="50"/>
      <c r="E579" s="8">
        <f t="shared" si="13"/>
        <v>1979809.0000000019</v>
      </c>
      <c r="F579" s="14" t="s">
        <v>568</v>
      </c>
      <c r="G579" s="14" t="s">
        <v>4395</v>
      </c>
      <c r="H579" t="s">
        <v>3022</v>
      </c>
      <c r="I579">
        <v>8</v>
      </c>
    </row>
    <row r="580" spans="1:9" s="14" customFormat="1">
      <c r="A580" s="138"/>
      <c r="B580" t="s">
        <v>1907</v>
      </c>
      <c r="C580" s="50">
        <v>1979809.0000000019</v>
      </c>
      <c r="D580" s="50"/>
      <c r="E580" s="8">
        <f t="shared" si="13"/>
        <v>0</v>
      </c>
      <c r="F580" t="s">
        <v>714</v>
      </c>
      <c r="G580" t="s">
        <v>715</v>
      </c>
      <c r="H580" t="s">
        <v>3022</v>
      </c>
      <c r="I580">
        <v>8</v>
      </c>
    </row>
    <row r="581" spans="1:9" s="14" customFormat="1">
      <c r="A581" s="3">
        <v>44333</v>
      </c>
      <c r="B581" t="s">
        <v>1921</v>
      </c>
      <c r="C581" s="8">
        <v>0</v>
      </c>
      <c r="D581" s="8">
        <v>1824000</v>
      </c>
      <c r="E581" s="8">
        <f t="shared" si="13"/>
        <v>1824000</v>
      </c>
      <c r="F581" t="s">
        <v>581</v>
      </c>
      <c r="G581" t="s">
        <v>582</v>
      </c>
      <c r="H581" s="14" t="s">
        <v>2957</v>
      </c>
      <c r="I581">
        <v>31</v>
      </c>
    </row>
    <row r="582" spans="1:9" s="14" customFormat="1">
      <c r="A582" s="138"/>
      <c r="B582" t="s">
        <v>1921</v>
      </c>
      <c r="C582" s="50">
        <v>1520000</v>
      </c>
      <c r="D582" s="50"/>
      <c r="E582" s="8">
        <f t="shared" si="13"/>
        <v>304000</v>
      </c>
      <c r="F582" s="14" t="s">
        <v>568</v>
      </c>
      <c r="G582" s="14" t="s">
        <v>4395</v>
      </c>
      <c r="H582" s="14" t="s">
        <v>3040</v>
      </c>
      <c r="I582">
        <v>31</v>
      </c>
    </row>
    <row r="583" spans="1:9" s="14" customFormat="1">
      <c r="A583" s="138"/>
      <c r="B583" t="s">
        <v>1921</v>
      </c>
      <c r="C583" s="50">
        <v>304000</v>
      </c>
      <c r="D583" s="50"/>
      <c r="E583" s="8">
        <f t="shared" si="13"/>
        <v>0</v>
      </c>
      <c r="F583" t="s">
        <v>714</v>
      </c>
      <c r="G583" t="s">
        <v>715</v>
      </c>
      <c r="H583" s="14" t="s">
        <v>2957</v>
      </c>
      <c r="I583">
        <v>31</v>
      </c>
    </row>
    <row r="584" spans="1:9" s="14" customFormat="1">
      <c r="A584" s="3">
        <v>44337</v>
      </c>
      <c r="B584" t="s">
        <v>3060</v>
      </c>
      <c r="C584" s="54">
        <v>0</v>
      </c>
      <c r="D584" s="54">
        <v>13568280</v>
      </c>
      <c r="E584" s="8">
        <f t="shared" si="13"/>
        <v>13568280</v>
      </c>
      <c r="F584" t="s">
        <v>581</v>
      </c>
      <c r="G584" t="s">
        <v>582</v>
      </c>
      <c r="H584" s="14" t="s">
        <v>3032</v>
      </c>
      <c r="I584">
        <v>30</v>
      </c>
    </row>
    <row r="585" spans="1:9" s="14" customFormat="1">
      <c r="A585" s="138"/>
      <c r="B585" t="s">
        <v>3060</v>
      </c>
      <c r="C585" s="50">
        <v>11306900</v>
      </c>
      <c r="D585" s="50"/>
      <c r="E585" s="8">
        <f t="shared" si="13"/>
        <v>2261380</v>
      </c>
      <c r="F585" s="14" t="s">
        <v>568</v>
      </c>
      <c r="G585" s="14" t="s">
        <v>4395</v>
      </c>
      <c r="H585" s="14" t="s">
        <v>3032</v>
      </c>
      <c r="I585">
        <v>30</v>
      </c>
    </row>
    <row r="586" spans="1:9" s="14" customFormat="1">
      <c r="A586" s="138"/>
      <c r="B586" t="s">
        <v>3060</v>
      </c>
      <c r="C586" s="50">
        <v>2261380</v>
      </c>
      <c r="D586" s="50"/>
      <c r="E586" s="8">
        <f t="shared" si="13"/>
        <v>0</v>
      </c>
      <c r="F586" t="s">
        <v>714</v>
      </c>
      <c r="G586" t="s">
        <v>715</v>
      </c>
      <c r="H586" s="14" t="s">
        <v>3032</v>
      </c>
      <c r="I586">
        <v>30</v>
      </c>
    </row>
    <row r="587" spans="1:9" s="14" customFormat="1">
      <c r="A587" s="3">
        <v>44340</v>
      </c>
      <c r="B587" t="s">
        <v>3061</v>
      </c>
      <c r="C587" s="54">
        <v>0</v>
      </c>
      <c r="D587" s="54">
        <v>17983020</v>
      </c>
      <c r="E587" s="8">
        <f t="shared" si="13"/>
        <v>17983020</v>
      </c>
      <c r="F587" t="s">
        <v>581</v>
      </c>
      <c r="G587" t="s">
        <v>582</v>
      </c>
      <c r="H587" s="14" t="s">
        <v>1129</v>
      </c>
      <c r="I587">
        <v>18</v>
      </c>
    </row>
    <row r="588" spans="1:9" s="14" customFormat="1">
      <c r="A588" s="138"/>
      <c r="B588" t="s">
        <v>3061</v>
      </c>
      <c r="C588" s="50">
        <v>14985850</v>
      </c>
      <c r="D588" s="50"/>
      <c r="E588" s="8">
        <f t="shared" si="13"/>
        <v>2997170</v>
      </c>
      <c r="F588" s="14" t="s">
        <v>568</v>
      </c>
      <c r="G588" s="14" t="s">
        <v>4395</v>
      </c>
      <c r="H588" s="14" t="s">
        <v>1129</v>
      </c>
      <c r="I588">
        <v>18</v>
      </c>
    </row>
    <row r="589" spans="1:9" s="14" customFormat="1">
      <c r="A589" s="138"/>
      <c r="B589" t="s">
        <v>3061</v>
      </c>
      <c r="C589" s="50">
        <v>2997170</v>
      </c>
      <c r="D589" s="50"/>
      <c r="E589" s="8">
        <f t="shared" si="13"/>
        <v>0</v>
      </c>
      <c r="F589" t="s">
        <v>714</v>
      </c>
      <c r="G589" t="s">
        <v>715</v>
      </c>
      <c r="H589" s="14" t="s">
        <v>1129</v>
      </c>
      <c r="I589">
        <v>18</v>
      </c>
    </row>
    <row r="590" spans="1:9" s="14" customFormat="1">
      <c r="A590" s="3">
        <v>44340</v>
      </c>
      <c r="B590" t="s">
        <v>3061</v>
      </c>
      <c r="C590" s="54">
        <v>0</v>
      </c>
      <c r="D590" s="54">
        <v>17513430</v>
      </c>
      <c r="E590" s="8">
        <f t="shared" si="13"/>
        <v>17513430</v>
      </c>
      <c r="F590" t="s">
        <v>581</v>
      </c>
      <c r="G590" t="s">
        <v>582</v>
      </c>
      <c r="H590" s="14" t="s">
        <v>1130</v>
      </c>
      <c r="I590">
        <v>19</v>
      </c>
    </row>
    <row r="591" spans="1:9" s="14" customFormat="1">
      <c r="A591" s="138"/>
      <c r="B591" t="s">
        <v>3061</v>
      </c>
      <c r="C591" s="50">
        <v>14594525</v>
      </c>
      <c r="D591" s="50"/>
      <c r="E591" s="8">
        <f t="shared" si="13"/>
        <v>2918905</v>
      </c>
      <c r="F591" s="14" t="s">
        <v>568</v>
      </c>
      <c r="G591" s="14" t="s">
        <v>4395</v>
      </c>
      <c r="H591" s="14" t="s">
        <v>1130</v>
      </c>
      <c r="I591">
        <v>19</v>
      </c>
    </row>
    <row r="592" spans="1:9" s="14" customFormat="1">
      <c r="A592" s="138"/>
      <c r="B592" t="s">
        <v>3061</v>
      </c>
      <c r="C592" s="50">
        <v>2918905</v>
      </c>
      <c r="D592" s="50"/>
      <c r="E592" s="8">
        <f t="shared" si="13"/>
        <v>0</v>
      </c>
      <c r="F592" t="s">
        <v>714</v>
      </c>
      <c r="G592" t="s">
        <v>715</v>
      </c>
      <c r="H592" s="14" t="s">
        <v>1130</v>
      </c>
      <c r="I592">
        <v>19</v>
      </c>
    </row>
    <row r="593" spans="1:9" s="14" customFormat="1">
      <c r="A593" s="3">
        <v>44340</v>
      </c>
      <c r="B593" t="s">
        <v>3061</v>
      </c>
      <c r="C593" s="54">
        <v>0</v>
      </c>
      <c r="D593" s="54">
        <v>17786340</v>
      </c>
      <c r="E593" s="8">
        <f t="shared" si="13"/>
        <v>17786340</v>
      </c>
      <c r="F593" t="s">
        <v>581</v>
      </c>
      <c r="G593" t="s">
        <v>582</v>
      </c>
      <c r="H593" s="14" t="s">
        <v>2954</v>
      </c>
      <c r="I593">
        <v>25</v>
      </c>
    </row>
    <row r="594" spans="1:9" s="14" customFormat="1">
      <c r="A594" s="138"/>
      <c r="B594" t="s">
        <v>3061</v>
      </c>
      <c r="C594" s="50">
        <v>14821950</v>
      </c>
      <c r="D594" s="50"/>
      <c r="E594" s="8">
        <f t="shared" si="13"/>
        <v>2964390</v>
      </c>
      <c r="F594" s="14" t="s">
        <v>568</v>
      </c>
      <c r="G594" s="14" t="s">
        <v>4395</v>
      </c>
      <c r="H594" s="14" t="s">
        <v>2954</v>
      </c>
      <c r="I594">
        <v>25</v>
      </c>
    </row>
    <row r="595" spans="1:9" s="14" customFormat="1">
      <c r="A595" s="138"/>
      <c r="B595" t="s">
        <v>3061</v>
      </c>
      <c r="C595" s="50">
        <v>2964390</v>
      </c>
      <c r="D595" s="50"/>
      <c r="E595" s="8">
        <f t="shared" si="13"/>
        <v>0</v>
      </c>
      <c r="F595" t="s">
        <v>714</v>
      </c>
      <c r="G595" t="s">
        <v>715</v>
      </c>
      <c r="H595" s="14" t="s">
        <v>2954</v>
      </c>
      <c r="I595">
        <v>25</v>
      </c>
    </row>
    <row r="596" spans="1:9" s="14" customFormat="1">
      <c r="A596" s="3">
        <v>44340</v>
      </c>
      <c r="B596" t="s">
        <v>3061</v>
      </c>
      <c r="C596" s="54">
        <v>0</v>
      </c>
      <c r="D596" s="54">
        <v>13524390</v>
      </c>
      <c r="E596" s="8">
        <f t="shared" si="13"/>
        <v>13524390</v>
      </c>
      <c r="F596" t="s">
        <v>581</v>
      </c>
      <c r="G596" t="s">
        <v>582</v>
      </c>
      <c r="H596" s="14" t="s">
        <v>1961</v>
      </c>
      <c r="I596">
        <v>26</v>
      </c>
    </row>
    <row r="597" spans="1:9" s="14" customFormat="1">
      <c r="A597" s="3"/>
      <c r="B597" t="s">
        <v>3061</v>
      </c>
      <c r="C597" s="54">
        <v>11270325</v>
      </c>
      <c r="D597" s="54"/>
      <c r="E597" s="8">
        <f t="shared" si="13"/>
        <v>2254065</v>
      </c>
      <c r="F597" s="14" t="s">
        <v>568</v>
      </c>
      <c r="G597" s="14" t="s">
        <v>4395</v>
      </c>
      <c r="H597" s="14" t="s">
        <v>1961</v>
      </c>
      <c r="I597">
        <v>26</v>
      </c>
    </row>
    <row r="598" spans="1:9" s="14" customFormat="1">
      <c r="A598" s="3"/>
      <c r="B598" t="s">
        <v>3061</v>
      </c>
      <c r="C598" s="54">
        <v>2254065</v>
      </c>
      <c r="D598" s="54"/>
      <c r="E598" s="8">
        <f t="shared" si="13"/>
        <v>0</v>
      </c>
      <c r="F598" t="s">
        <v>714</v>
      </c>
      <c r="G598" t="s">
        <v>715</v>
      </c>
      <c r="H598" s="14" t="s">
        <v>1961</v>
      </c>
      <c r="I598">
        <v>26</v>
      </c>
    </row>
    <row r="599" spans="1:9">
      <c r="A599" s="12">
        <v>44341</v>
      </c>
      <c r="B599" s="7" t="s">
        <v>3470</v>
      </c>
      <c r="C599" s="8">
        <v>0</v>
      </c>
      <c r="D599" s="8">
        <v>10000000</v>
      </c>
      <c r="E599" s="8">
        <f t="shared" si="13"/>
        <v>10000000</v>
      </c>
      <c r="F599" s="83" t="s">
        <v>107</v>
      </c>
      <c r="G599" s="14" t="s">
        <v>666</v>
      </c>
      <c r="H599" s="14" t="s">
        <v>3405</v>
      </c>
      <c r="I599" t="s">
        <v>3472</v>
      </c>
    </row>
    <row r="600" spans="1:9" s="14" customFormat="1">
      <c r="A600" s="3">
        <v>44341</v>
      </c>
      <c r="B600" s="7" t="s">
        <v>3471</v>
      </c>
      <c r="C600" s="8">
        <v>0</v>
      </c>
      <c r="D600" s="8">
        <v>50000000</v>
      </c>
      <c r="E600" s="8">
        <f t="shared" si="13"/>
        <v>60000000</v>
      </c>
      <c r="F600" s="83" t="s">
        <v>107</v>
      </c>
      <c r="G600" s="14" t="s">
        <v>666</v>
      </c>
      <c r="H600" s="14" t="s">
        <v>3405</v>
      </c>
      <c r="I600" t="s">
        <v>3473</v>
      </c>
    </row>
    <row r="601" spans="1:9" s="14" customFormat="1">
      <c r="A601" s="138"/>
      <c r="B601" s="14" t="s">
        <v>3474</v>
      </c>
      <c r="C601" s="53">
        <v>1313900</v>
      </c>
      <c r="D601" s="53">
        <v>0</v>
      </c>
      <c r="E601" s="54">
        <f t="shared" si="13"/>
        <v>58686100</v>
      </c>
      <c r="F601" s="14" t="s">
        <v>137</v>
      </c>
      <c r="G601" s="14" t="s">
        <v>138</v>
      </c>
      <c r="H601" t="s">
        <v>393</v>
      </c>
    </row>
    <row r="602" spans="1:9" s="14" customFormat="1">
      <c r="A602" s="138"/>
      <c r="B602" s="14" t="s">
        <v>3475</v>
      </c>
      <c r="C602" s="53">
        <v>2620300</v>
      </c>
      <c r="D602" s="53">
        <v>0</v>
      </c>
      <c r="E602" s="54">
        <f t="shared" si="13"/>
        <v>56065800</v>
      </c>
      <c r="F602" s="14" t="s">
        <v>137</v>
      </c>
      <c r="G602" s="14" t="s">
        <v>138</v>
      </c>
      <c r="H602" t="s">
        <v>393</v>
      </c>
    </row>
    <row r="603" spans="1:9" s="14" customFormat="1">
      <c r="A603" s="138"/>
      <c r="B603" s="14" t="s">
        <v>3476</v>
      </c>
      <c r="C603" s="53"/>
      <c r="D603" s="53">
        <v>0</v>
      </c>
      <c r="E603" s="54">
        <f t="shared" si="13"/>
        <v>56065800</v>
      </c>
      <c r="F603" s="14" t="s">
        <v>137</v>
      </c>
      <c r="G603" s="14" t="s">
        <v>138</v>
      </c>
      <c r="H603" t="s">
        <v>393</v>
      </c>
    </row>
    <row r="604" spans="1:9" s="14" customFormat="1">
      <c r="A604" s="138"/>
      <c r="B604" s="14" t="s">
        <v>3477</v>
      </c>
      <c r="C604" s="53">
        <v>123000</v>
      </c>
      <c r="D604" s="53">
        <v>0</v>
      </c>
      <c r="E604" s="54">
        <f t="shared" si="13"/>
        <v>55942800</v>
      </c>
      <c r="F604" s="14" t="s">
        <v>137</v>
      </c>
      <c r="G604" s="14" t="s">
        <v>138</v>
      </c>
      <c r="H604" t="s">
        <v>393</v>
      </c>
    </row>
    <row r="605" spans="1:9" s="14" customFormat="1">
      <c r="A605" s="138"/>
      <c r="B605" s="14" t="s">
        <v>3478</v>
      </c>
      <c r="C605" s="53">
        <v>100000</v>
      </c>
      <c r="D605" s="53">
        <v>0</v>
      </c>
      <c r="E605" s="54">
        <f t="shared" si="13"/>
        <v>55842800</v>
      </c>
      <c r="F605" s="14" t="s">
        <v>137</v>
      </c>
      <c r="G605" s="14" t="s">
        <v>138</v>
      </c>
      <c r="H605" t="s">
        <v>393</v>
      </c>
    </row>
    <row r="606" spans="1:9" s="14" customFormat="1">
      <c r="A606" s="138"/>
      <c r="B606" s="14" t="s">
        <v>3479</v>
      </c>
      <c r="C606" s="53">
        <v>3500000</v>
      </c>
      <c r="D606" s="53">
        <v>0</v>
      </c>
      <c r="E606" s="54">
        <f t="shared" si="13"/>
        <v>52342800</v>
      </c>
      <c r="F606" s="14" t="s">
        <v>137</v>
      </c>
      <c r="G606" s="14" t="s">
        <v>138</v>
      </c>
      <c r="H606" t="s">
        <v>393</v>
      </c>
    </row>
    <row r="607" spans="1:9" s="14" customFormat="1">
      <c r="A607" s="138"/>
      <c r="B607" s="14" t="s">
        <v>3480</v>
      </c>
      <c r="C607" s="53">
        <v>100000</v>
      </c>
      <c r="D607" s="53">
        <v>0</v>
      </c>
      <c r="E607" s="54">
        <f t="shared" si="13"/>
        <v>52242800</v>
      </c>
      <c r="F607" s="14" t="s">
        <v>137</v>
      </c>
      <c r="G607" s="14" t="s">
        <v>138</v>
      </c>
      <c r="H607" t="s">
        <v>393</v>
      </c>
    </row>
    <row r="608" spans="1:9" s="14" customFormat="1">
      <c r="A608" s="138"/>
      <c r="B608" s="14" t="s">
        <v>3481</v>
      </c>
      <c r="C608" s="53">
        <v>680000</v>
      </c>
      <c r="D608" s="53">
        <v>0</v>
      </c>
      <c r="E608" s="54">
        <f t="shared" si="13"/>
        <v>51562800</v>
      </c>
      <c r="F608" s="14" t="s">
        <v>137</v>
      </c>
      <c r="G608" s="14" t="s">
        <v>138</v>
      </c>
      <c r="H608" t="s">
        <v>393</v>
      </c>
    </row>
    <row r="609" spans="1:12" s="14" customFormat="1">
      <c r="A609" s="138"/>
      <c r="B609" s="14" t="s">
        <v>3482</v>
      </c>
      <c r="C609" s="53">
        <v>125000</v>
      </c>
      <c r="D609" s="53">
        <v>0</v>
      </c>
      <c r="E609" s="54">
        <f t="shared" si="13"/>
        <v>51437800</v>
      </c>
      <c r="F609" s="14" t="s">
        <v>137</v>
      </c>
      <c r="G609" s="14" t="s">
        <v>138</v>
      </c>
      <c r="H609" t="s">
        <v>393</v>
      </c>
    </row>
    <row r="610" spans="1:12" s="14" customFormat="1">
      <c r="A610" s="138"/>
      <c r="B610" s="14" t="s">
        <v>3483</v>
      </c>
      <c r="C610" s="53">
        <v>34000000</v>
      </c>
      <c r="D610" s="53">
        <v>0</v>
      </c>
      <c r="E610" s="54">
        <f t="shared" si="13"/>
        <v>17437800</v>
      </c>
      <c r="F610" s="14" t="s">
        <v>137</v>
      </c>
      <c r="G610" s="14" t="s">
        <v>138</v>
      </c>
      <c r="H610" t="s">
        <v>393</v>
      </c>
    </row>
    <row r="611" spans="1:12" s="14" customFormat="1">
      <c r="A611" s="138"/>
      <c r="C611" s="53">
        <v>319000</v>
      </c>
      <c r="D611" s="53">
        <v>0</v>
      </c>
      <c r="E611" s="54">
        <f t="shared" si="13"/>
        <v>17118800</v>
      </c>
      <c r="F611" s="14" t="s">
        <v>137</v>
      </c>
      <c r="G611" s="14" t="s">
        <v>138</v>
      </c>
      <c r="H611" t="s">
        <v>393</v>
      </c>
    </row>
    <row r="612" spans="1:12" s="14" customFormat="1">
      <c r="A612" s="138"/>
      <c r="B612" s="14" t="s">
        <v>3484</v>
      </c>
      <c r="C612" s="53">
        <v>100000</v>
      </c>
      <c r="D612" s="53">
        <v>0</v>
      </c>
      <c r="E612" s="54">
        <f t="shared" si="13"/>
        <v>17018800</v>
      </c>
      <c r="F612" s="14" t="s">
        <v>137</v>
      </c>
      <c r="G612" s="14" t="s">
        <v>138</v>
      </c>
      <c r="H612" t="s">
        <v>393</v>
      </c>
    </row>
    <row r="613" spans="1:12" s="14" customFormat="1">
      <c r="A613" s="138"/>
      <c r="B613" s="14" t="s">
        <v>3485</v>
      </c>
      <c r="C613" s="53">
        <v>250000</v>
      </c>
      <c r="D613" s="53">
        <v>0</v>
      </c>
      <c r="E613" s="54">
        <f t="shared" si="13"/>
        <v>16768800</v>
      </c>
      <c r="F613" s="14" t="s">
        <v>137</v>
      </c>
      <c r="G613" s="14" t="s">
        <v>138</v>
      </c>
      <c r="H613" t="s">
        <v>393</v>
      </c>
    </row>
    <row r="614" spans="1:12" s="14" customFormat="1">
      <c r="A614" s="138"/>
      <c r="B614" s="14" t="s">
        <v>3486</v>
      </c>
      <c r="C614" s="53">
        <v>40000</v>
      </c>
      <c r="D614" s="53">
        <v>0</v>
      </c>
      <c r="E614" s="54">
        <f t="shared" si="13"/>
        <v>16728800</v>
      </c>
      <c r="F614" s="14" t="s">
        <v>137</v>
      </c>
      <c r="G614" s="14" t="s">
        <v>138</v>
      </c>
      <c r="H614" t="s">
        <v>393</v>
      </c>
    </row>
    <row r="615" spans="1:12" s="14" customFormat="1">
      <c r="A615" s="138"/>
      <c r="B615" s="14" t="s">
        <v>3487</v>
      </c>
      <c r="C615" s="53">
        <v>3400000</v>
      </c>
      <c r="D615" s="53">
        <v>0</v>
      </c>
      <c r="E615" s="54">
        <f t="shared" si="13"/>
        <v>13328800</v>
      </c>
      <c r="F615" s="14" t="s">
        <v>137</v>
      </c>
      <c r="G615" s="14" t="s">
        <v>138</v>
      </c>
      <c r="H615" t="s">
        <v>393</v>
      </c>
    </row>
    <row r="616" spans="1:12" s="14" customFormat="1">
      <c r="A616" s="138"/>
      <c r="B616" s="14" t="s">
        <v>3488</v>
      </c>
      <c r="C616" s="53">
        <v>2475000</v>
      </c>
      <c r="D616" s="53">
        <v>0</v>
      </c>
      <c r="E616" s="54">
        <f t="shared" si="13"/>
        <v>10853800</v>
      </c>
      <c r="F616" s="14" t="s">
        <v>137</v>
      </c>
      <c r="G616" s="14" t="s">
        <v>138</v>
      </c>
      <c r="H616" t="s">
        <v>393</v>
      </c>
    </row>
    <row r="617" spans="1:12" s="14" customFormat="1">
      <c r="A617" s="138"/>
      <c r="B617" s="14" t="s">
        <v>3489</v>
      </c>
      <c r="C617" s="53">
        <v>1600000</v>
      </c>
      <c r="D617" s="53">
        <v>0</v>
      </c>
      <c r="E617" s="54">
        <f t="shared" si="13"/>
        <v>9253800</v>
      </c>
      <c r="F617" s="14" t="s">
        <v>137</v>
      </c>
      <c r="G617" s="14" t="s">
        <v>138</v>
      </c>
      <c r="H617" t="s">
        <v>393</v>
      </c>
    </row>
    <row r="618" spans="1:12" s="14" customFormat="1">
      <c r="A618" s="138"/>
      <c r="B618" s="14" t="s">
        <v>3490</v>
      </c>
      <c r="C618" s="53">
        <v>1500000</v>
      </c>
      <c r="D618" s="53">
        <v>0</v>
      </c>
      <c r="E618" s="54">
        <f t="shared" si="13"/>
        <v>7753800</v>
      </c>
      <c r="F618" s="14" t="s">
        <v>137</v>
      </c>
      <c r="G618" s="14" t="s">
        <v>138</v>
      </c>
      <c r="H618" t="s">
        <v>393</v>
      </c>
      <c r="K618" s="14" t="s">
        <v>4150</v>
      </c>
      <c r="L618" s="14" t="s">
        <v>119</v>
      </c>
    </row>
    <row r="619" spans="1:12" s="14" customFormat="1">
      <c r="A619" s="138"/>
      <c r="B619" s="14" t="s">
        <v>3491</v>
      </c>
      <c r="C619" s="53">
        <v>4750000</v>
      </c>
      <c r="D619" s="53">
        <v>0</v>
      </c>
      <c r="E619" s="54">
        <f t="shared" si="13"/>
        <v>3003800</v>
      </c>
      <c r="F619" s="14" t="s">
        <v>137</v>
      </c>
      <c r="G619" s="14" t="s">
        <v>138</v>
      </c>
      <c r="H619" t="s">
        <v>393</v>
      </c>
    </row>
    <row r="620" spans="1:12" s="14" customFormat="1">
      <c r="A620" s="138"/>
      <c r="B620" s="14" t="s">
        <v>3492</v>
      </c>
      <c r="C620" s="53">
        <v>2905000</v>
      </c>
      <c r="D620" s="53">
        <v>0</v>
      </c>
      <c r="E620" s="54">
        <f t="shared" si="13"/>
        <v>98800</v>
      </c>
      <c r="F620" s="14" t="s">
        <v>137</v>
      </c>
      <c r="G620" s="14" t="s">
        <v>138</v>
      </c>
      <c r="H620" t="s">
        <v>393</v>
      </c>
    </row>
    <row r="621" spans="1:12" s="14" customFormat="1">
      <c r="A621" s="138"/>
      <c r="B621" s="14" t="s">
        <v>419</v>
      </c>
      <c r="C621" s="50">
        <v>0</v>
      </c>
      <c r="D621" s="50">
        <v>1200</v>
      </c>
      <c r="E621" s="8">
        <f t="shared" si="13"/>
        <v>100000</v>
      </c>
      <c r="F621" s="14" t="s">
        <v>252</v>
      </c>
      <c r="G621" s="14" t="s">
        <v>664</v>
      </c>
    </row>
    <row r="622" spans="1:12" s="14" customFormat="1">
      <c r="A622" s="138"/>
      <c r="B622" s="7" t="s">
        <v>2301</v>
      </c>
      <c r="C622" s="8">
        <v>100000</v>
      </c>
      <c r="D622" s="8">
        <v>0</v>
      </c>
      <c r="E622" s="8">
        <f t="shared" si="13"/>
        <v>0</v>
      </c>
      <c r="F622" s="83" t="s">
        <v>107</v>
      </c>
      <c r="G622" s="14" t="s">
        <v>668</v>
      </c>
      <c r="H622" s="14" t="s">
        <v>3405</v>
      </c>
      <c r="I622" t="s">
        <v>3473</v>
      </c>
    </row>
    <row r="623" spans="1:12" s="14" customFormat="1">
      <c r="A623" s="138">
        <v>44342</v>
      </c>
      <c r="B623" s="14" t="s">
        <v>1829</v>
      </c>
      <c r="C623" s="50">
        <v>0</v>
      </c>
      <c r="D623" s="50">
        <v>96088846</v>
      </c>
      <c r="E623" s="8">
        <f t="shared" si="13"/>
        <v>96088846</v>
      </c>
      <c r="F623" s="14" t="s">
        <v>107</v>
      </c>
      <c r="G623" s="14" t="s">
        <v>274</v>
      </c>
      <c r="H623" s="14" t="s">
        <v>143</v>
      </c>
    </row>
    <row r="624" spans="1:12">
      <c r="B624" t="s">
        <v>902</v>
      </c>
      <c r="C624" s="8">
        <v>15326000</v>
      </c>
      <c r="E624" s="8">
        <f t="shared" si="13"/>
        <v>80762846</v>
      </c>
      <c r="F624" s="10" t="s">
        <v>137</v>
      </c>
      <c r="G624" s="10" t="s">
        <v>138</v>
      </c>
      <c r="H624" t="s">
        <v>251</v>
      </c>
    </row>
    <row r="625" spans="2:8">
      <c r="B625" t="s">
        <v>3157</v>
      </c>
      <c r="C625" s="8">
        <v>233000</v>
      </c>
      <c r="E625" s="8">
        <f t="shared" si="13"/>
        <v>80529846</v>
      </c>
      <c r="F625" s="10" t="s">
        <v>319</v>
      </c>
      <c r="G625" s="10" t="s">
        <v>320</v>
      </c>
      <c r="H625" t="s">
        <v>64</v>
      </c>
    </row>
    <row r="626" spans="2:8">
      <c r="B626" t="s">
        <v>897</v>
      </c>
      <c r="C626" s="8">
        <v>262472</v>
      </c>
      <c r="E626" s="8">
        <f t="shared" si="13"/>
        <v>80267374</v>
      </c>
      <c r="F626" s="14" t="s">
        <v>319</v>
      </c>
      <c r="G626" s="14" t="s">
        <v>117</v>
      </c>
      <c r="H626" t="s">
        <v>64</v>
      </c>
    </row>
    <row r="627" spans="2:8">
      <c r="B627" t="s">
        <v>3149</v>
      </c>
      <c r="C627" s="8">
        <v>10000000</v>
      </c>
      <c r="E627" s="8">
        <f t="shared" si="13"/>
        <v>70267374</v>
      </c>
      <c r="F627" s="10" t="s">
        <v>137</v>
      </c>
      <c r="G627" s="10" t="s">
        <v>138</v>
      </c>
      <c r="H627" t="s">
        <v>251</v>
      </c>
    </row>
    <row r="628" spans="2:8">
      <c r="B628" t="s">
        <v>3159</v>
      </c>
      <c r="C628" s="8">
        <v>450000</v>
      </c>
      <c r="E628" s="8">
        <f t="shared" si="13"/>
        <v>69817374</v>
      </c>
      <c r="F628" s="10" t="s">
        <v>319</v>
      </c>
      <c r="G628" s="10" t="s">
        <v>320</v>
      </c>
      <c r="H628" t="s">
        <v>64</v>
      </c>
    </row>
    <row r="629" spans="2:8">
      <c r="B629" t="s">
        <v>2077</v>
      </c>
      <c r="C629" s="54">
        <v>284000</v>
      </c>
      <c r="D629" s="54"/>
      <c r="E629" s="54">
        <f t="shared" si="13"/>
        <v>69533374</v>
      </c>
      <c r="F629" s="10" t="s">
        <v>137</v>
      </c>
      <c r="G629" s="10" t="s">
        <v>138</v>
      </c>
      <c r="H629" s="168" t="s">
        <v>3073</v>
      </c>
    </row>
    <row r="630" spans="2:8">
      <c r="B630" t="s">
        <v>2078</v>
      </c>
      <c r="C630" s="54">
        <v>82000</v>
      </c>
      <c r="D630" s="54"/>
      <c r="E630" s="54">
        <f t="shared" si="13"/>
        <v>69451374</v>
      </c>
      <c r="F630" s="10" t="s">
        <v>137</v>
      </c>
      <c r="G630" s="10" t="s">
        <v>138</v>
      </c>
      <c r="H630" s="168" t="s">
        <v>3073</v>
      </c>
    </row>
    <row r="631" spans="2:8">
      <c r="B631" t="s">
        <v>2077</v>
      </c>
      <c r="C631" s="54">
        <v>247945</v>
      </c>
      <c r="D631" s="54"/>
      <c r="E631" s="54">
        <f t="shared" si="13"/>
        <v>69203429</v>
      </c>
      <c r="F631" s="10" t="s">
        <v>137</v>
      </c>
      <c r="G631" s="10" t="s">
        <v>138</v>
      </c>
      <c r="H631" s="168" t="s">
        <v>3073</v>
      </c>
    </row>
    <row r="632" spans="2:8">
      <c r="B632" t="s">
        <v>3158</v>
      </c>
      <c r="C632" s="8">
        <v>590000</v>
      </c>
      <c r="E632" s="8">
        <f t="shared" si="13"/>
        <v>68613429</v>
      </c>
      <c r="F632" s="10" t="s">
        <v>319</v>
      </c>
      <c r="G632" s="10" t="s">
        <v>320</v>
      </c>
      <c r="H632" t="s">
        <v>64</v>
      </c>
    </row>
    <row r="633" spans="2:8">
      <c r="B633" t="s">
        <v>2077</v>
      </c>
      <c r="C633" s="54">
        <v>138000</v>
      </c>
      <c r="D633" s="54"/>
      <c r="E633" s="54">
        <f t="shared" si="13"/>
        <v>68475429</v>
      </c>
      <c r="F633" s="10" t="s">
        <v>137</v>
      </c>
      <c r="G633" s="10" t="s">
        <v>138</v>
      </c>
      <c r="H633" s="168" t="s">
        <v>1128</v>
      </c>
    </row>
    <row r="634" spans="2:8">
      <c r="B634" t="s">
        <v>2077</v>
      </c>
      <c r="C634" s="8">
        <v>87000</v>
      </c>
      <c r="E634" s="8">
        <f t="shared" si="13"/>
        <v>68388429</v>
      </c>
      <c r="F634" s="10" t="s">
        <v>137</v>
      </c>
      <c r="G634" s="10" t="s">
        <v>138</v>
      </c>
      <c r="H634" s="168" t="s">
        <v>1128</v>
      </c>
    </row>
    <row r="635" spans="2:8">
      <c r="B635" t="s">
        <v>2077</v>
      </c>
      <c r="C635" s="8">
        <v>47999</v>
      </c>
      <c r="E635" s="8">
        <f t="shared" si="13"/>
        <v>68340430</v>
      </c>
      <c r="F635" s="10" t="s">
        <v>137</v>
      </c>
      <c r="G635" s="10" t="s">
        <v>138</v>
      </c>
      <c r="H635" s="168" t="s">
        <v>1128</v>
      </c>
    </row>
    <row r="636" spans="2:8">
      <c r="B636" t="s">
        <v>2077</v>
      </c>
      <c r="C636" s="8">
        <v>60999</v>
      </c>
      <c r="E636" s="8">
        <f t="shared" si="13"/>
        <v>68279431</v>
      </c>
      <c r="F636" s="10" t="s">
        <v>137</v>
      </c>
      <c r="G636" s="10" t="s">
        <v>138</v>
      </c>
      <c r="H636" s="168" t="s">
        <v>1128</v>
      </c>
    </row>
    <row r="637" spans="2:8">
      <c r="B637" t="s">
        <v>2077</v>
      </c>
      <c r="C637" s="8">
        <v>27999</v>
      </c>
      <c r="E637" s="8">
        <f t="shared" si="13"/>
        <v>68251432</v>
      </c>
      <c r="F637" s="10" t="s">
        <v>137</v>
      </c>
      <c r="G637" s="10" t="s">
        <v>138</v>
      </c>
      <c r="H637" s="168" t="s">
        <v>1128</v>
      </c>
    </row>
    <row r="638" spans="2:8">
      <c r="B638" t="s">
        <v>2077</v>
      </c>
      <c r="C638" s="8">
        <v>55999</v>
      </c>
      <c r="E638" s="8">
        <f t="shared" si="13"/>
        <v>68195433</v>
      </c>
      <c r="F638" s="10" t="s">
        <v>137</v>
      </c>
      <c r="G638" s="10" t="s">
        <v>138</v>
      </c>
      <c r="H638" s="168" t="s">
        <v>1128</v>
      </c>
    </row>
    <row r="639" spans="2:8">
      <c r="B639" t="s">
        <v>2077</v>
      </c>
      <c r="C639" s="8">
        <v>65000</v>
      </c>
      <c r="E639" s="8">
        <f t="shared" si="13"/>
        <v>68130433</v>
      </c>
      <c r="F639" s="10" t="s">
        <v>137</v>
      </c>
      <c r="G639" s="10" t="s">
        <v>138</v>
      </c>
      <c r="H639" s="168" t="s">
        <v>1128</v>
      </c>
    </row>
    <row r="640" spans="2:8">
      <c r="B640" t="s">
        <v>2077</v>
      </c>
      <c r="C640" s="8">
        <v>97000</v>
      </c>
      <c r="E640" s="8">
        <f t="shared" si="13"/>
        <v>68033433</v>
      </c>
      <c r="F640" s="10" t="s">
        <v>137</v>
      </c>
      <c r="G640" s="10" t="s">
        <v>138</v>
      </c>
      <c r="H640" s="168" t="s">
        <v>1128</v>
      </c>
    </row>
    <row r="641" spans="2:9">
      <c r="B641" t="s">
        <v>2077</v>
      </c>
      <c r="C641" s="8">
        <v>55000</v>
      </c>
      <c r="E641" s="8">
        <f t="shared" si="13"/>
        <v>67978433</v>
      </c>
      <c r="F641" s="10" t="s">
        <v>137</v>
      </c>
      <c r="G641" s="10" t="s">
        <v>138</v>
      </c>
      <c r="H641" s="168" t="s">
        <v>1128</v>
      </c>
    </row>
    <row r="642" spans="2:9">
      <c r="B642" t="s">
        <v>2077</v>
      </c>
      <c r="C642" s="8">
        <v>41999</v>
      </c>
      <c r="E642" s="8">
        <f t="shared" si="13"/>
        <v>67936434</v>
      </c>
      <c r="F642" s="10" t="s">
        <v>137</v>
      </c>
      <c r="G642" s="10" t="s">
        <v>138</v>
      </c>
      <c r="H642" s="168" t="s">
        <v>1128</v>
      </c>
    </row>
    <row r="643" spans="2:9">
      <c r="B643" t="s">
        <v>3150</v>
      </c>
      <c r="C643" s="8">
        <v>468930</v>
      </c>
      <c r="E643" s="8">
        <f t="shared" si="13"/>
        <v>67467504</v>
      </c>
      <c r="F643" s="10" t="s">
        <v>736</v>
      </c>
      <c r="G643" s="10" t="s">
        <v>455</v>
      </c>
      <c r="H643" t="s">
        <v>64</v>
      </c>
    </row>
    <row r="644" spans="2:9">
      <c r="B644" t="s">
        <v>2077</v>
      </c>
      <c r="C644" s="8">
        <v>3500</v>
      </c>
      <c r="E644" s="8">
        <f t="shared" si="13"/>
        <v>67464004</v>
      </c>
      <c r="F644" s="10" t="s">
        <v>137</v>
      </c>
      <c r="G644" s="10" t="s">
        <v>138</v>
      </c>
      <c r="H644" s="168" t="s">
        <v>1128</v>
      </c>
    </row>
    <row r="645" spans="2:9">
      <c r="B645" t="s">
        <v>2077</v>
      </c>
      <c r="C645" s="8">
        <v>239000</v>
      </c>
      <c r="E645" s="8">
        <f t="shared" si="13"/>
        <v>67225004</v>
      </c>
      <c r="F645" s="10" t="s">
        <v>137</v>
      </c>
      <c r="G645" s="10" t="s">
        <v>138</v>
      </c>
      <c r="H645" s="168" t="s">
        <v>1128</v>
      </c>
    </row>
    <row r="646" spans="2:9">
      <c r="B646" t="s">
        <v>2077</v>
      </c>
      <c r="C646" s="8">
        <v>229000</v>
      </c>
      <c r="E646" s="8">
        <f t="shared" si="13"/>
        <v>66996004</v>
      </c>
      <c r="F646" s="10" t="s">
        <v>137</v>
      </c>
      <c r="G646" s="10" t="s">
        <v>138</v>
      </c>
      <c r="H646" s="168" t="s">
        <v>1128</v>
      </c>
    </row>
    <row r="647" spans="2:9">
      <c r="B647" t="s">
        <v>2077</v>
      </c>
      <c r="C647" s="8">
        <v>248000</v>
      </c>
      <c r="E647" s="8">
        <f t="shared" si="13"/>
        <v>66748004</v>
      </c>
      <c r="F647" s="10" t="s">
        <v>137</v>
      </c>
      <c r="G647" s="10" t="s">
        <v>138</v>
      </c>
      <c r="H647" s="168" t="s">
        <v>1128</v>
      </c>
    </row>
    <row r="648" spans="2:9">
      <c r="B648" t="s">
        <v>2077</v>
      </c>
      <c r="C648" s="8">
        <v>3500</v>
      </c>
      <c r="E648" s="8">
        <f t="shared" si="13"/>
        <v>66744504</v>
      </c>
      <c r="F648" s="10" t="s">
        <v>137</v>
      </c>
      <c r="G648" s="10" t="s">
        <v>138</v>
      </c>
      <c r="H648" s="168" t="s">
        <v>1128</v>
      </c>
    </row>
    <row r="649" spans="2:9">
      <c r="B649" t="s">
        <v>2077</v>
      </c>
      <c r="C649" s="8">
        <v>3500</v>
      </c>
      <c r="E649" s="8">
        <f t="shared" si="13"/>
        <v>66741004</v>
      </c>
      <c r="F649" s="10" t="s">
        <v>137</v>
      </c>
      <c r="G649" s="10" t="s">
        <v>138</v>
      </c>
      <c r="H649" s="168" t="s">
        <v>1128</v>
      </c>
    </row>
    <row r="650" spans="2:9">
      <c r="B650" t="s">
        <v>2077</v>
      </c>
      <c r="C650" s="8">
        <v>221000</v>
      </c>
      <c r="E650" s="8">
        <f t="shared" si="13"/>
        <v>66520004</v>
      </c>
      <c r="F650" s="10" t="s">
        <v>137</v>
      </c>
      <c r="G650" s="10" t="s">
        <v>138</v>
      </c>
      <c r="H650" s="168" t="s">
        <v>1128</v>
      </c>
    </row>
    <row r="651" spans="2:9">
      <c r="B651" t="s">
        <v>2077</v>
      </c>
      <c r="C651" s="8">
        <v>219000</v>
      </c>
      <c r="E651" s="8">
        <f t="shared" si="13"/>
        <v>66301004</v>
      </c>
      <c r="F651" s="10" t="s">
        <v>137</v>
      </c>
      <c r="G651" s="10" t="s">
        <v>138</v>
      </c>
      <c r="H651" s="168" t="s">
        <v>1128</v>
      </c>
    </row>
    <row r="652" spans="2:9">
      <c r="B652" t="s">
        <v>2077</v>
      </c>
      <c r="C652" s="8">
        <v>3500</v>
      </c>
      <c r="E652" s="8">
        <f t="shared" si="13"/>
        <v>66297504</v>
      </c>
      <c r="F652" s="10" t="s">
        <v>137</v>
      </c>
      <c r="G652" s="10" t="s">
        <v>138</v>
      </c>
      <c r="H652" s="168" t="s">
        <v>1128</v>
      </c>
    </row>
    <row r="653" spans="2:9">
      <c r="B653" t="s">
        <v>2077</v>
      </c>
      <c r="C653" s="8">
        <v>3500</v>
      </c>
      <c r="E653" s="8">
        <f t="shared" si="13"/>
        <v>66294004</v>
      </c>
      <c r="F653" s="10" t="s">
        <v>137</v>
      </c>
      <c r="G653" s="10" t="s">
        <v>138</v>
      </c>
      <c r="H653" s="168" t="s">
        <v>1128</v>
      </c>
    </row>
    <row r="654" spans="2:9">
      <c r="B654" t="s">
        <v>2077</v>
      </c>
      <c r="C654" s="8">
        <v>5000</v>
      </c>
      <c r="E654" s="8">
        <f t="shared" si="13"/>
        <v>66289004</v>
      </c>
      <c r="F654" s="10" t="s">
        <v>137</v>
      </c>
      <c r="G654" s="10" t="s">
        <v>138</v>
      </c>
      <c r="H654" s="168" t="s">
        <v>1128</v>
      </c>
    </row>
    <row r="655" spans="2:9">
      <c r="B655" t="s">
        <v>2079</v>
      </c>
      <c r="C655" s="8">
        <v>133930</v>
      </c>
      <c r="E655" s="8">
        <f t="shared" ref="E655:E722" si="14">E654-C655+D655</f>
        <v>66155074</v>
      </c>
      <c r="F655" s="10" t="s">
        <v>137</v>
      </c>
      <c r="G655" s="10" t="s">
        <v>138</v>
      </c>
      <c r="H655" t="s">
        <v>603</v>
      </c>
    </row>
    <row r="656" spans="2:9">
      <c r="B656" t="s">
        <v>2079</v>
      </c>
      <c r="C656" s="54">
        <v>31000</v>
      </c>
      <c r="D656" s="54"/>
      <c r="E656" s="54">
        <f t="shared" si="14"/>
        <v>66124074</v>
      </c>
      <c r="F656" s="10" t="s">
        <v>115</v>
      </c>
      <c r="G656" s="10" t="s">
        <v>120</v>
      </c>
      <c r="H656" s="14" t="s">
        <v>127</v>
      </c>
      <c r="I656" s="14" t="s">
        <v>444</v>
      </c>
    </row>
    <row r="657" spans="2:9">
      <c r="B657" t="s">
        <v>3151</v>
      </c>
      <c r="C657" s="8">
        <v>33288300</v>
      </c>
      <c r="E657" s="8">
        <f t="shared" si="14"/>
        <v>32835774</v>
      </c>
      <c r="F657" s="10" t="s">
        <v>137</v>
      </c>
      <c r="G657" s="10" t="s">
        <v>138</v>
      </c>
      <c r="H657" t="s">
        <v>603</v>
      </c>
    </row>
    <row r="658" spans="2:9">
      <c r="B658" t="s">
        <v>902</v>
      </c>
      <c r="C658" s="54">
        <v>16142053</v>
      </c>
      <c r="D658" s="54"/>
      <c r="E658" s="54">
        <f t="shared" si="14"/>
        <v>16693721</v>
      </c>
      <c r="F658" s="10" t="s">
        <v>115</v>
      </c>
      <c r="G658" s="10" t="s">
        <v>120</v>
      </c>
      <c r="H658" s="14" t="s">
        <v>127</v>
      </c>
      <c r="I658" s="14" t="s">
        <v>444</v>
      </c>
    </row>
    <row r="659" spans="2:9">
      <c r="B659" t="s">
        <v>400</v>
      </c>
      <c r="C659" s="8">
        <v>953000</v>
      </c>
      <c r="E659" s="8">
        <f t="shared" si="14"/>
        <v>15740721</v>
      </c>
      <c r="F659" s="10" t="s">
        <v>137</v>
      </c>
      <c r="G659" s="10" t="s">
        <v>138</v>
      </c>
      <c r="H659" t="s">
        <v>603</v>
      </c>
    </row>
    <row r="660" spans="2:9">
      <c r="B660" t="s">
        <v>2079</v>
      </c>
      <c r="C660" s="8">
        <v>179000</v>
      </c>
      <c r="E660" s="8">
        <f t="shared" si="14"/>
        <v>15561721</v>
      </c>
      <c r="F660" s="10" t="s">
        <v>137</v>
      </c>
      <c r="G660" s="10" t="s">
        <v>138</v>
      </c>
      <c r="H660" t="s">
        <v>603</v>
      </c>
    </row>
    <row r="661" spans="2:9">
      <c r="B661" t="s">
        <v>3152</v>
      </c>
      <c r="C661" s="8">
        <v>365000</v>
      </c>
      <c r="E661" s="8">
        <f t="shared" si="14"/>
        <v>15196721</v>
      </c>
      <c r="F661" s="10" t="s">
        <v>137</v>
      </c>
      <c r="G661" s="10" t="s">
        <v>138</v>
      </c>
      <c r="H661" t="s">
        <v>603</v>
      </c>
    </row>
    <row r="662" spans="2:9">
      <c r="B662" t="s">
        <v>2077</v>
      </c>
      <c r="C662" s="8">
        <v>78999</v>
      </c>
      <c r="E662" s="8">
        <f t="shared" si="14"/>
        <v>15117722</v>
      </c>
      <c r="F662" s="10" t="s">
        <v>137</v>
      </c>
      <c r="G662" s="10" t="s">
        <v>138</v>
      </c>
      <c r="H662" t="s">
        <v>603</v>
      </c>
    </row>
    <row r="663" spans="2:9">
      <c r="B663" t="s">
        <v>902</v>
      </c>
      <c r="C663" s="54">
        <v>3058000</v>
      </c>
      <c r="D663" s="54"/>
      <c r="E663" s="54">
        <f t="shared" si="14"/>
        <v>12059722</v>
      </c>
      <c r="F663" s="10" t="s">
        <v>115</v>
      </c>
      <c r="G663" s="10" t="s">
        <v>120</v>
      </c>
      <c r="H663" s="14" t="s">
        <v>127</v>
      </c>
      <c r="I663" s="14" t="s">
        <v>444</v>
      </c>
    </row>
    <row r="664" spans="2:9">
      <c r="B664" t="s">
        <v>2077</v>
      </c>
      <c r="C664" s="54">
        <v>62000</v>
      </c>
      <c r="D664" s="54"/>
      <c r="E664" s="54">
        <f t="shared" si="14"/>
        <v>11997722</v>
      </c>
      <c r="F664" s="10" t="s">
        <v>115</v>
      </c>
      <c r="G664" s="10" t="s">
        <v>120</v>
      </c>
      <c r="H664" s="14" t="s">
        <v>127</v>
      </c>
      <c r="I664" s="14" t="s">
        <v>444</v>
      </c>
    </row>
    <row r="665" spans="2:9">
      <c r="B665" t="s">
        <v>2080</v>
      </c>
      <c r="C665" s="54">
        <v>282200</v>
      </c>
      <c r="D665" s="54"/>
      <c r="E665" s="54">
        <f t="shared" si="14"/>
        <v>11715522</v>
      </c>
      <c r="F665" s="10" t="s">
        <v>115</v>
      </c>
      <c r="G665" s="10" t="s">
        <v>120</v>
      </c>
      <c r="H665" s="14" t="s">
        <v>127</v>
      </c>
      <c r="I665" s="14" t="s">
        <v>444</v>
      </c>
    </row>
    <row r="666" spans="2:9">
      <c r="B666" t="s">
        <v>2080</v>
      </c>
      <c r="C666" s="8">
        <v>80000</v>
      </c>
      <c r="E666" s="8">
        <f t="shared" si="14"/>
        <v>11635522</v>
      </c>
      <c r="F666" s="10" t="s">
        <v>736</v>
      </c>
      <c r="G666" s="10" t="s">
        <v>455</v>
      </c>
      <c r="H666" t="s">
        <v>64</v>
      </c>
    </row>
    <row r="667" spans="2:9">
      <c r="B667" t="s">
        <v>2081</v>
      </c>
      <c r="C667" s="54">
        <v>1125000</v>
      </c>
      <c r="D667" s="54"/>
      <c r="E667" s="54">
        <f t="shared" si="14"/>
        <v>10510522</v>
      </c>
      <c r="F667" s="10" t="s">
        <v>115</v>
      </c>
      <c r="G667" s="10" t="s">
        <v>120</v>
      </c>
      <c r="H667" s="14" t="s">
        <v>127</v>
      </c>
      <c r="I667" s="14" t="s">
        <v>444</v>
      </c>
    </row>
    <row r="668" spans="2:9">
      <c r="B668" t="s">
        <v>2081</v>
      </c>
      <c r="C668" s="54">
        <v>288000</v>
      </c>
      <c r="D668" s="54"/>
      <c r="E668" s="54">
        <f t="shared" si="14"/>
        <v>10222522</v>
      </c>
      <c r="F668" s="10" t="s">
        <v>115</v>
      </c>
      <c r="G668" s="10" t="s">
        <v>120</v>
      </c>
      <c r="H668" s="14" t="s">
        <v>127</v>
      </c>
      <c r="I668" s="14" t="s">
        <v>444</v>
      </c>
    </row>
    <row r="669" spans="2:9">
      <c r="B669" t="s">
        <v>3153</v>
      </c>
      <c r="C669" s="8">
        <v>10000</v>
      </c>
      <c r="E669" s="8">
        <f t="shared" si="14"/>
        <v>10212522</v>
      </c>
      <c r="F669" s="10" t="s">
        <v>113</v>
      </c>
      <c r="G669" s="10" t="s">
        <v>114</v>
      </c>
      <c r="H669" t="s">
        <v>64</v>
      </c>
    </row>
    <row r="670" spans="2:9">
      <c r="B670" t="s">
        <v>897</v>
      </c>
      <c r="C670" s="8">
        <v>685999</v>
      </c>
      <c r="E670" s="8">
        <f t="shared" si="14"/>
        <v>9526523</v>
      </c>
      <c r="F670" s="14" t="s">
        <v>319</v>
      </c>
      <c r="G670" s="14" t="s">
        <v>117</v>
      </c>
      <c r="H670" t="s">
        <v>64</v>
      </c>
    </row>
    <row r="671" spans="2:9">
      <c r="B671" t="s">
        <v>3154</v>
      </c>
      <c r="C671" s="8">
        <v>1151500</v>
      </c>
      <c r="E671" s="8">
        <f t="shared" si="14"/>
        <v>8375023</v>
      </c>
      <c r="F671" s="14" t="s">
        <v>248</v>
      </c>
      <c r="G671" s="14" t="s">
        <v>391</v>
      </c>
      <c r="H671" t="s">
        <v>64</v>
      </c>
    </row>
    <row r="672" spans="2:9">
      <c r="B672" t="s">
        <v>897</v>
      </c>
      <c r="C672" s="8">
        <v>566481</v>
      </c>
      <c r="E672" s="8">
        <f t="shared" si="14"/>
        <v>7808542</v>
      </c>
      <c r="F672" s="14" t="s">
        <v>319</v>
      </c>
      <c r="G672" s="14" t="s">
        <v>117</v>
      </c>
      <c r="H672" t="s">
        <v>64</v>
      </c>
    </row>
    <row r="673" spans="1:8">
      <c r="B673" t="s">
        <v>3155</v>
      </c>
      <c r="C673" s="8">
        <v>250700</v>
      </c>
      <c r="E673" s="8">
        <f t="shared" si="14"/>
        <v>7557842</v>
      </c>
      <c r="F673" s="14" t="s">
        <v>248</v>
      </c>
      <c r="G673" s="14" t="s">
        <v>407</v>
      </c>
      <c r="H673" t="s">
        <v>64</v>
      </c>
    </row>
    <row r="674" spans="1:8">
      <c r="B674" t="s">
        <v>1049</v>
      </c>
      <c r="C674" s="8">
        <v>168300</v>
      </c>
      <c r="E674" s="8">
        <f t="shared" si="14"/>
        <v>7389542</v>
      </c>
      <c r="F674" s="14" t="s">
        <v>248</v>
      </c>
      <c r="G674" s="14" t="s">
        <v>407</v>
      </c>
      <c r="H674" t="s">
        <v>64</v>
      </c>
    </row>
    <row r="675" spans="1:8">
      <c r="B675" t="s">
        <v>897</v>
      </c>
      <c r="C675" s="8">
        <v>662124</v>
      </c>
      <c r="E675" s="8">
        <f t="shared" si="14"/>
        <v>6727418</v>
      </c>
      <c r="F675" s="14" t="s">
        <v>319</v>
      </c>
      <c r="G675" s="14" t="s">
        <v>117</v>
      </c>
      <c r="H675" t="s">
        <v>64</v>
      </c>
    </row>
    <row r="676" spans="1:8">
      <c r="B676" t="s">
        <v>897</v>
      </c>
      <c r="C676" s="8">
        <v>675619</v>
      </c>
      <c r="E676" s="8">
        <f t="shared" si="14"/>
        <v>6051799</v>
      </c>
      <c r="F676" s="14" t="s">
        <v>319</v>
      </c>
      <c r="G676" s="14" t="s">
        <v>117</v>
      </c>
      <c r="H676" t="s">
        <v>64</v>
      </c>
    </row>
    <row r="677" spans="1:8">
      <c r="B677" t="s">
        <v>3156</v>
      </c>
      <c r="C677" s="8">
        <v>175000</v>
      </c>
      <c r="E677" s="8">
        <f t="shared" si="14"/>
        <v>5876799</v>
      </c>
      <c r="F677" s="14" t="s">
        <v>248</v>
      </c>
      <c r="G677" s="14" t="s">
        <v>391</v>
      </c>
      <c r="H677" t="s">
        <v>64</v>
      </c>
    </row>
    <row r="678" spans="1:8">
      <c r="B678" t="s">
        <v>912</v>
      </c>
      <c r="C678" s="8">
        <v>436065</v>
      </c>
      <c r="E678" s="8">
        <f t="shared" si="14"/>
        <v>5440734</v>
      </c>
      <c r="F678" s="14" t="s">
        <v>319</v>
      </c>
      <c r="G678" s="14" t="s">
        <v>117</v>
      </c>
      <c r="H678" t="s">
        <v>64</v>
      </c>
    </row>
    <row r="679" spans="1:8">
      <c r="B679" t="s">
        <v>912</v>
      </c>
      <c r="C679" s="8">
        <v>334473</v>
      </c>
      <c r="E679" s="8">
        <f t="shared" si="14"/>
        <v>5106261</v>
      </c>
      <c r="F679" s="14" t="s">
        <v>319</v>
      </c>
      <c r="G679" s="14" t="s">
        <v>117</v>
      </c>
      <c r="H679" t="s">
        <v>64</v>
      </c>
    </row>
    <row r="680" spans="1:8" s="14" customFormat="1">
      <c r="A680" s="138"/>
      <c r="B680" s="14" t="s">
        <v>4300</v>
      </c>
      <c r="C680" s="50">
        <v>5106261</v>
      </c>
      <c r="D680" s="50"/>
      <c r="E680" s="8">
        <f t="shared" si="14"/>
        <v>0</v>
      </c>
      <c r="F680" s="14" t="s">
        <v>107</v>
      </c>
      <c r="G680" s="14" t="s">
        <v>3102</v>
      </c>
    </row>
    <row r="681" spans="1:8" s="14" customFormat="1">
      <c r="A681" s="138">
        <v>44344</v>
      </c>
      <c r="B681" s="14" t="s">
        <v>4501</v>
      </c>
      <c r="C681" s="50"/>
      <c r="D681" s="50">
        <v>11189667</v>
      </c>
      <c r="E681" s="8">
        <f t="shared" si="14"/>
        <v>11189667</v>
      </c>
      <c r="F681" s="14" t="s">
        <v>252</v>
      </c>
      <c r="G681" s="14" t="s">
        <v>664</v>
      </c>
    </row>
    <row r="682" spans="1:8" s="14" customFormat="1">
      <c r="A682" s="138"/>
      <c r="B682" s="14" t="s">
        <v>4501</v>
      </c>
      <c r="C682" s="50">
        <v>11189667</v>
      </c>
      <c r="D682" s="50"/>
      <c r="E682" s="8">
        <f t="shared" si="14"/>
        <v>0</v>
      </c>
      <c r="F682" s="14" t="s">
        <v>115</v>
      </c>
      <c r="G682" s="14" t="s">
        <v>439</v>
      </c>
      <c r="H682" s="14" t="s">
        <v>4499</v>
      </c>
    </row>
    <row r="683" spans="1:8" s="14" customFormat="1">
      <c r="A683" s="138">
        <v>44349</v>
      </c>
      <c r="B683" s="14" t="s">
        <v>1848</v>
      </c>
      <c r="C683" s="50">
        <v>0</v>
      </c>
      <c r="D683" s="50">
        <v>29879167</v>
      </c>
      <c r="E683" s="8">
        <f t="shared" si="14"/>
        <v>29879167</v>
      </c>
      <c r="F683" s="14" t="s">
        <v>107</v>
      </c>
      <c r="G683" s="14" t="s">
        <v>274</v>
      </c>
      <c r="H683" s="14" t="s">
        <v>140</v>
      </c>
    </row>
    <row r="684" spans="1:8" s="14" customFormat="1">
      <c r="A684" s="138"/>
      <c r="B684" s="14" t="s">
        <v>1042</v>
      </c>
      <c r="C684" s="50">
        <v>284098</v>
      </c>
      <c r="D684" s="50"/>
      <c r="E684" s="8">
        <f t="shared" si="14"/>
        <v>29595069</v>
      </c>
      <c r="F684" s="14" t="s">
        <v>319</v>
      </c>
      <c r="G684" s="14" t="s">
        <v>117</v>
      </c>
      <c r="H684" s="14" t="s">
        <v>64</v>
      </c>
    </row>
    <row r="685" spans="1:8" s="14" customFormat="1">
      <c r="A685" s="138"/>
      <c r="B685" s="14" t="s">
        <v>3161</v>
      </c>
      <c r="C685" s="50">
        <v>5000</v>
      </c>
      <c r="D685" s="50"/>
      <c r="E685" s="8">
        <f t="shared" si="14"/>
        <v>29590069</v>
      </c>
      <c r="F685" s="14" t="s">
        <v>113</v>
      </c>
      <c r="G685" s="14" t="s">
        <v>114</v>
      </c>
      <c r="H685" s="14" t="s">
        <v>64</v>
      </c>
    </row>
    <row r="686" spans="1:8" s="14" customFormat="1">
      <c r="A686" s="138"/>
      <c r="B686" s="14" t="s">
        <v>912</v>
      </c>
      <c r="C686" s="50">
        <v>269663</v>
      </c>
      <c r="D686" s="50"/>
      <c r="E686" s="8">
        <f t="shared" si="14"/>
        <v>29320406</v>
      </c>
      <c r="F686" s="14" t="s">
        <v>319</v>
      </c>
      <c r="G686" s="14" t="s">
        <v>117</v>
      </c>
      <c r="H686" s="14" t="s">
        <v>64</v>
      </c>
    </row>
    <row r="687" spans="1:8" s="14" customFormat="1">
      <c r="A687" s="138"/>
      <c r="B687" s="14" t="s">
        <v>3162</v>
      </c>
      <c r="C687" s="50">
        <v>901203</v>
      </c>
      <c r="D687" s="50"/>
      <c r="E687" s="8">
        <f t="shared" si="14"/>
        <v>28419203</v>
      </c>
      <c r="F687" s="14" t="s">
        <v>319</v>
      </c>
      <c r="G687" s="14" t="s">
        <v>1045</v>
      </c>
      <c r="H687" s="14" t="s">
        <v>64</v>
      </c>
    </row>
    <row r="688" spans="1:8" s="14" customFormat="1">
      <c r="A688" s="138"/>
      <c r="B688" s="14" t="s">
        <v>3163</v>
      </c>
      <c r="C688" s="50">
        <v>273197</v>
      </c>
      <c r="D688" s="50"/>
      <c r="E688" s="8">
        <f t="shared" si="14"/>
        <v>28146006</v>
      </c>
      <c r="F688" s="14" t="s">
        <v>319</v>
      </c>
      <c r="G688" s="14" t="s">
        <v>117</v>
      </c>
      <c r="H688" s="14" t="s">
        <v>64</v>
      </c>
    </row>
    <row r="689" spans="1:9" s="14" customFormat="1">
      <c r="A689" s="138"/>
      <c r="B689" s="14" t="s">
        <v>897</v>
      </c>
      <c r="C689" s="50">
        <v>264767</v>
      </c>
      <c r="D689" s="50"/>
      <c r="E689" s="8">
        <f t="shared" si="14"/>
        <v>27881239</v>
      </c>
      <c r="F689" s="14" t="s">
        <v>319</v>
      </c>
      <c r="G689" s="14" t="s">
        <v>117</v>
      </c>
      <c r="H689" s="14" t="s">
        <v>64</v>
      </c>
    </row>
    <row r="690" spans="1:9" s="14" customFormat="1">
      <c r="A690" s="138"/>
      <c r="B690" s="14" t="s">
        <v>3164</v>
      </c>
      <c r="C690" s="50">
        <v>244339</v>
      </c>
      <c r="D690" s="50"/>
      <c r="E690" s="8">
        <f t="shared" si="14"/>
        <v>27636900</v>
      </c>
      <c r="F690" s="14" t="s">
        <v>319</v>
      </c>
      <c r="G690" s="14" t="s">
        <v>1045</v>
      </c>
      <c r="H690" s="14" t="s">
        <v>64</v>
      </c>
    </row>
    <row r="691" spans="1:9" s="14" customFormat="1">
      <c r="A691" s="138"/>
      <c r="B691" s="14" t="s">
        <v>897</v>
      </c>
      <c r="C691" s="50">
        <v>289400</v>
      </c>
      <c r="D691" s="50"/>
      <c r="E691" s="8">
        <f t="shared" si="14"/>
        <v>27347500</v>
      </c>
      <c r="F691" s="14" t="s">
        <v>319</v>
      </c>
      <c r="G691" s="14" t="s">
        <v>117</v>
      </c>
      <c r="H691" s="14" t="s">
        <v>64</v>
      </c>
    </row>
    <row r="692" spans="1:9" s="14" customFormat="1">
      <c r="A692" s="138"/>
      <c r="B692" s="14" t="s">
        <v>3165</v>
      </c>
      <c r="C692" s="50">
        <v>6291000</v>
      </c>
      <c r="D692" s="50"/>
      <c r="E692" s="8">
        <f t="shared" si="14"/>
        <v>21056500</v>
      </c>
      <c r="F692" s="14" t="s">
        <v>137</v>
      </c>
      <c r="G692" s="14" t="s">
        <v>138</v>
      </c>
      <c r="H692" s="168" t="s">
        <v>3033</v>
      </c>
    </row>
    <row r="693" spans="1:9" s="14" customFormat="1">
      <c r="A693" s="138"/>
      <c r="B693" s="14" t="s">
        <v>3166</v>
      </c>
      <c r="C693" s="50">
        <v>20206500</v>
      </c>
      <c r="D693" s="50"/>
      <c r="E693" s="8">
        <f t="shared" si="14"/>
        <v>850000</v>
      </c>
      <c r="F693" s="14" t="s">
        <v>137</v>
      </c>
      <c r="G693" s="14" t="s">
        <v>138</v>
      </c>
      <c r="H693" s="168" t="s">
        <v>3033</v>
      </c>
    </row>
    <row r="694" spans="1:9" s="14" customFormat="1">
      <c r="A694" s="138"/>
      <c r="B694" s="14" t="s">
        <v>3167</v>
      </c>
      <c r="C694" s="50">
        <v>840000</v>
      </c>
      <c r="D694" s="50"/>
      <c r="E694" s="8">
        <f t="shared" si="14"/>
        <v>10000</v>
      </c>
      <c r="F694" s="14" t="s">
        <v>319</v>
      </c>
      <c r="G694" s="14" t="s">
        <v>320</v>
      </c>
      <c r="H694" s="14" t="s">
        <v>64</v>
      </c>
    </row>
    <row r="695" spans="1:9" s="14" customFormat="1">
      <c r="A695" s="138"/>
      <c r="B695" s="14" t="s">
        <v>389</v>
      </c>
      <c r="C695" s="50">
        <v>10000</v>
      </c>
      <c r="D695" s="50"/>
      <c r="E695" s="8">
        <f t="shared" si="14"/>
        <v>0</v>
      </c>
      <c r="F695" s="14" t="s">
        <v>113</v>
      </c>
      <c r="G695" s="14" t="s">
        <v>114</v>
      </c>
      <c r="H695" s="14" t="s">
        <v>64</v>
      </c>
    </row>
    <row r="696" spans="1:9" s="14" customFormat="1">
      <c r="A696" s="138">
        <v>44349</v>
      </c>
      <c r="B696" s="14" t="s">
        <v>1850</v>
      </c>
      <c r="C696" s="50">
        <v>0</v>
      </c>
      <c r="D696" s="50">
        <v>2393915</v>
      </c>
      <c r="E696" s="8">
        <f t="shared" si="14"/>
        <v>2393915</v>
      </c>
      <c r="F696" s="14" t="s">
        <v>107</v>
      </c>
      <c r="G696" s="14" t="s">
        <v>274</v>
      </c>
      <c r="H696" s="14" t="s">
        <v>141</v>
      </c>
    </row>
    <row r="697" spans="1:9" s="14" customFormat="1">
      <c r="A697" s="138"/>
      <c r="B697" s="14" t="s">
        <v>3168</v>
      </c>
      <c r="C697" s="50">
        <v>5000</v>
      </c>
      <c r="D697" s="50"/>
      <c r="E697" s="8">
        <f t="shared" si="14"/>
        <v>2388915</v>
      </c>
      <c r="F697" s="14" t="s">
        <v>113</v>
      </c>
      <c r="G697" s="14" t="s">
        <v>114</v>
      </c>
      <c r="H697" s="14" t="s">
        <v>64</v>
      </c>
    </row>
    <row r="698" spans="1:9" s="14" customFormat="1">
      <c r="A698" s="138"/>
      <c r="B698" s="14" t="s">
        <v>3169</v>
      </c>
      <c r="C698" s="50">
        <v>284660</v>
      </c>
      <c r="D698" s="50"/>
      <c r="E698" s="8">
        <f t="shared" si="14"/>
        <v>2104255</v>
      </c>
      <c r="F698" s="14" t="s">
        <v>319</v>
      </c>
      <c r="G698" s="14" t="s">
        <v>117</v>
      </c>
      <c r="H698" s="14" t="s">
        <v>64</v>
      </c>
    </row>
    <row r="699" spans="1:9" s="14" customFormat="1">
      <c r="A699" s="138"/>
      <c r="B699" s="14" t="s">
        <v>897</v>
      </c>
      <c r="C699" s="50">
        <v>265761</v>
      </c>
      <c r="D699" s="50"/>
      <c r="E699" s="8">
        <f t="shared" si="14"/>
        <v>1838494</v>
      </c>
      <c r="F699" s="14" t="s">
        <v>319</v>
      </c>
      <c r="G699" s="14" t="s">
        <v>117</v>
      </c>
      <c r="H699" s="14" t="s">
        <v>64</v>
      </c>
    </row>
    <row r="700" spans="1:9" s="14" customFormat="1">
      <c r="A700" s="138"/>
      <c r="B700" s="14" t="s">
        <v>3170</v>
      </c>
      <c r="C700" s="50">
        <v>1264000</v>
      </c>
      <c r="D700" s="50"/>
      <c r="E700" s="8">
        <f t="shared" si="14"/>
        <v>574494</v>
      </c>
      <c r="F700" s="14" t="s">
        <v>319</v>
      </c>
      <c r="G700" s="14" t="s">
        <v>647</v>
      </c>
      <c r="H700" s="14" t="s">
        <v>64</v>
      </c>
    </row>
    <row r="701" spans="1:9" s="14" customFormat="1">
      <c r="A701" s="138"/>
      <c r="B701" s="14" t="s">
        <v>897</v>
      </c>
      <c r="C701" s="50">
        <v>293531</v>
      </c>
      <c r="D701" s="50"/>
      <c r="E701" s="8">
        <f t="shared" si="14"/>
        <v>280963</v>
      </c>
      <c r="F701" s="14" t="s">
        <v>319</v>
      </c>
      <c r="G701" s="14" t="s">
        <v>117</v>
      </c>
      <c r="H701" s="14" t="s">
        <v>64</v>
      </c>
    </row>
    <row r="702" spans="1:9" s="14" customFormat="1">
      <c r="A702" s="138"/>
      <c r="B702" s="14" t="s">
        <v>897</v>
      </c>
      <c r="C702" s="50">
        <v>270963</v>
      </c>
      <c r="D702" s="50"/>
      <c r="E702" s="8">
        <f t="shared" si="14"/>
        <v>10000</v>
      </c>
      <c r="F702" s="14" t="s">
        <v>319</v>
      </c>
      <c r="G702" s="14" t="s">
        <v>117</v>
      </c>
      <c r="H702" s="14" t="s">
        <v>64</v>
      </c>
    </row>
    <row r="703" spans="1:9" s="14" customFormat="1">
      <c r="A703" s="138"/>
      <c r="B703" s="14" t="s">
        <v>389</v>
      </c>
      <c r="C703" s="50">
        <v>10000</v>
      </c>
      <c r="D703" s="50"/>
      <c r="E703" s="8">
        <f t="shared" si="14"/>
        <v>0</v>
      </c>
      <c r="F703" s="14" t="s">
        <v>113</v>
      </c>
      <c r="G703" s="14" t="s">
        <v>114</v>
      </c>
      <c r="H703" s="14" t="s">
        <v>64</v>
      </c>
    </row>
    <row r="704" spans="1:9" s="14" customFormat="1">
      <c r="A704" s="3">
        <v>44354</v>
      </c>
      <c r="B704" t="s">
        <v>1931</v>
      </c>
      <c r="C704" s="8">
        <v>0</v>
      </c>
      <c r="D704" s="8">
        <v>146850</v>
      </c>
      <c r="E704" s="8">
        <f t="shared" si="14"/>
        <v>146850</v>
      </c>
      <c r="F704" t="s">
        <v>581</v>
      </c>
      <c r="G704" t="s">
        <v>582</v>
      </c>
      <c r="H704" s="14" t="s">
        <v>1131</v>
      </c>
      <c r="I704">
        <v>20</v>
      </c>
    </row>
    <row r="705" spans="1:12" s="14" customFormat="1">
      <c r="A705" s="138"/>
      <c r="B705" t="s">
        <v>1931</v>
      </c>
      <c r="C705" s="8">
        <v>146850</v>
      </c>
      <c r="D705" s="50"/>
      <c r="E705" s="8">
        <f t="shared" si="14"/>
        <v>0</v>
      </c>
      <c r="F705" s="14" t="s">
        <v>714</v>
      </c>
      <c r="G705" s="14" t="s">
        <v>715</v>
      </c>
      <c r="H705" s="14" t="s">
        <v>1131</v>
      </c>
      <c r="I705">
        <v>20</v>
      </c>
    </row>
    <row r="706" spans="1:12" s="14" customFormat="1">
      <c r="A706" s="3">
        <v>44355</v>
      </c>
      <c r="B706" s="7" t="s">
        <v>3493</v>
      </c>
      <c r="C706" s="8">
        <v>0</v>
      </c>
      <c r="D706" s="8">
        <v>75000000</v>
      </c>
      <c r="E706" s="8">
        <f t="shared" si="14"/>
        <v>75000000</v>
      </c>
      <c r="F706" s="83" t="s">
        <v>107</v>
      </c>
      <c r="G706" s="14" t="s">
        <v>666</v>
      </c>
      <c r="H706" s="14" t="s">
        <v>3405</v>
      </c>
      <c r="I706" t="s">
        <v>3495</v>
      </c>
    </row>
    <row r="707" spans="1:12" s="14" customFormat="1">
      <c r="A707" s="3">
        <v>44355</v>
      </c>
      <c r="B707" s="7" t="s">
        <v>3493</v>
      </c>
      <c r="C707" s="8">
        <v>0</v>
      </c>
      <c r="D707" s="8">
        <v>90000000</v>
      </c>
      <c r="E707" s="8">
        <f t="shared" si="14"/>
        <v>165000000</v>
      </c>
      <c r="F707" s="83" t="s">
        <v>107</v>
      </c>
      <c r="G707" s="14" t="s">
        <v>666</v>
      </c>
      <c r="H707" s="14" t="s">
        <v>3405</v>
      </c>
      <c r="I707" t="s">
        <v>3495</v>
      </c>
    </row>
    <row r="708" spans="1:12" s="14" customFormat="1">
      <c r="A708" s="3">
        <v>44355</v>
      </c>
      <c r="B708" s="7" t="s">
        <v>3493</v>
      </c>
      <c r="C708" s="8">
        <v>0</v>
      </c>
      <c r="D708" s="8">
        <v>85000000</v>
      </c>
      <c r="E708" s="8">
        <f t="shared" si="14"/>
        <v>250000000</v>
      </c>
      <c r="F708" s="83" t="s">
        <v>107</v>
      </c>
      <c r="G708" s="14" t="s">
        <v>666</v>
      </c>
      <c r="H708" s="14" t="s">
        <v>3405</v>
      </c>
      <c r="I708" t="s">
        <v>3495</v>
      </c>
    </row>
    <row r="709" spans="1:12" s="14" customFormat="1">
      <c r="A709" s="3">
        <v>44355</v>
      </c>
      <c r="B709" s="7" t="s">
        <v>3494</v>
      </c>
      <c r="C709" s="8">
        <v>0</v>
      </c>
      <c r="D709" s="8">
        <v>50000000</v>
      </c>
      <c r="E709" s="8">
        <f t="shared" si="14"/>
        <v>300000000</v>
      </c>
      <c r="F709" s="83" t="s">
        <v>107</v>
      </c>
      <c r="G709" s="14" t="s">
        <v>666</v>
      </c>
      <c r="H709" s="14" t="s">
        <v>3405</v>
      </c>
      <c r="I709" t="s">
        <v>3495</v>
      </c>
    </row>
    <row r="710" spans="1:12" s="14" customFormat="1">
      <c r="A710" s="138"/>
      <c r="B710" s="14" t="s">
        <v>3496</v>
      </c>
      <c r="C710" s="53">
        <v>2300000</v>
      </c>
      <c r="D710" s="53">
        <v>0</v>
      </c>
      <c r="E710" s="54">
        <f t="shared" si="14"/>
        <v>297700000</v>
      </c>
      <c r="F710" s="14" t="s">
        <v>137</v>
      </c>
      <c r="G710" s="14" t="s">
        <v>138</v>
      </c>
      <c r="H710" s="168" t="s">
        <v>3014</v>
      </c>
    </row>
    <row r="711" spans="1:12" s="14" customFormat="1">
      <c r="A711" s="138"/>
      <c r="B711" s="14" t="s">
        <v>3497</v>
      </c>
      <c r="C711" s="53">
        <v>300000</v>
      </c>
      <c r="D711" s="53">
        <v>0</v>
      </c>
      <c r="E711" s="54">
        <f t="shared" si="14"/>
        <v>297400000</v>
      </c>
      <c r="F711" s="14" t="s">
        <v>137</v>
      </c>
      <c r="G711" s="14" t="s">
        <v>138</v>
      </c>
      <c r="H711" s="14" t="s">
        <v>3014</v>
      </c>
    </row>
    <row r="712" spans="1:12" s="14" customFormat="1">
      <c r="A712" s="138"/>
      <c r="B712" s="14" t="s">
        <v>3498</v>
      </c>
      <c r="C712" s="53">
        <v>220000000</v>
      </c>
      <c r="D712" s="53">
        <v>0</v>
      </c>
      <c r="E712" s="54">
        <f t="shared" si="14"/>
        <v>77400000</v>
      </c>
      <c r="F712" s="14" t="s">
        <v>137</v>
      </c>
      <c r="G712" s="14" t="s">
        <v>138</v>
      </c>
      <c r="H712" s="14" t="s">
        <v>3014</v>
      </c>
    </row>
    <row r="713" spans="1:12" s="14" customFormat="1">
      <c r="A713" s="138"/>
      <c r="B713" s="14" t="s">
        <v>3499</v>
      </c>
      <c r="C713" s="53">
        <v>15000000</v>
      </c>
      <c r="D713" s="53">
        <v>0</v>
      </c>
      <c r="E713" s="54">
        <f t="shared" si="14"/>
        <v>62400000</v>
      </c>
      <c r="F713" s="14" t="s">
        <v>137</v>
      </c>
      <c r="G713" s="14" t="s">
        <v>138</v>
      </c>
      <c r="H713" s="14" t="s">
        <v>3014</v>
      </c>
    </row>
    <row r="714" spans="1:12" s="14" customFormat="1">
      <c r="A714" s="138"/>
      <c r="B714" s="14" t="s">
        <v>3500</v>
      </c>
      <c r="C714" s="53">
        <v>4000000</v>
      </c>
      <c r="D714" s="53">
        <v>0</v>
      </c>
      <c r="E714" s="54">
        <f t="shared" si="14"/>
        <v>58400000</v>
      </c>
      <c r="F714" s="14" t="s">
        <v>137</v>
      </c>
      <c r="G714" s="14" t="s">
        <v>138</v>
      </c>
      <c r="H714" s="14" t="s">
        <v>3014</v>
      </c>
    </row>
    <row r="715" spans="1:12" s="14" customFormat="1">
      <c r="A715" s="138"/>
      <c r="B715" s="14" t="s">
        <v>3501</v>
      </c>
      <c r="C715" s="53">
        <v>1140000</v>
      </c>
      <c r="D715" s="53">
        <v>0</v>
      </c>
      <c r="E715" s="54">
        <f t="shared" si="14"/>
        <v>57260000</v>
      </c>
      <c r="F715" s="14" t="s">
        <v>137</v>
      </c>
      <c r="G715" s="14" t="s">
        <v>138</v>
      </c>
      <c r="H715" s="14" t="s">
        <v>3014</v>
      </c>
    </row>
    <row r="716" spans="1:12" s="14" customFormat="1">
      <c r="A716" s="138"/>
      <c r="B716" s="14" t="s">
        <v>3502</v>
      </c>
      <c r="C716" s="53">
        <v>200000</v>
      </c>
      <c r="D716" s="53">
        <v>0</v>
      </c>
      <c r="E716" s="54">
        <f t="shared" si="14"/>
        <v>57060000</v>
      </c>
      <c r="F716" s="14" t="s">
        <v>137</v>
      </c>
      <c r="G716" s="14" t="s">
        <v>138</v>
      </c>
      <c r="H716" s="14" t="s">
        <v>3014</v>
      </c>
    </row>
    <row r="717" spans="1:12" s="14" customFormat="1">
      <c r="A717" s="138"/>
      <c r="B717" s="14" t="s">
        <v>3503</v>
      </c>
      <c r="C717" s="53">
        <v>100000</v>
      </c>
      <c r="D717" s="53">
        <v>0</v>
      </c>
      <c r="E717" s="54">
        <f t="shared" si="14"/>
        <v>56960000</v>
      </c>
      <c r="F717" s="14" t="s">
        <v>137</v>
      </c>
      <c r="G717" s="14" t="s">
        <v>138</v>
      </c>
      <c r="H717" s="14" t="s">
        <v>3014</v>
      </c>
    </row>
    <row r="718" spans="1:12" s="14" customFormat="1">
      <c r="A718" s="138"/>
      <c r="B718" s="14" t="s">
        <v>3504</v>
      </c>
      <c r="C718" s="53">
        <v>1500000</v>
      </c>
      <c r="D718" s="53">
        <v>0</v>
      </c>
      <c r="E718" s="54">
        <f t="shared" si="14"/>
        <v>55460000</v>
      </c>
      <c r="F718" s="14" t="s">
        <v>137</v>
      </c>
      <c r="G718" s="14" t="s">
        <v>138</v>
      </c>
      <c r="H718" s="14" t="s">
        <v>3014</v>
      </c>
      <c r="K718" s="14" t="s">
        <v>4150</v>
      </c>
      <c r="L718" s="14" t="s">
        <v>119</v>
      </c>
    </row>
    <row r="719" spans="1:12" s="14" customFormat="1">
      <c r="A719" s="138"/>
      <c r="B719" s="14" t="s">
        <v>3505</v>
      </c>
      <c r="C719" s="53">
        <v>900000</v>
      </c>
      <c r="D719" s="53">
        <v>0</v>
      </c>
      <c r="E719" s="54">
        <f t="shared" si="14"/>
        <v>54560000</v>
      </c>
      <c r="F719" s="14" t="s">
        <v>137</v>
      </c>
      <c r="G719" s="14" t="s">
        <v>138</v>
      </c>
      <c r="H719" s="14" t="s">
        <v>3014</v>
      </c>
      <c r="K719" s="14" t="s">
        <v>4150</v>
      </c>
      <c r="L719" s="14" t="s">
        <v>459</v>
      </c>
    </row>
    <row r="720" spans="1:12" s="14" customFormat="1">
      <c r="A720" s="138"/>
      <c r="B720" s="14" t="s">
        <v>3506</v>
      </c>
      <c r="C720" s="53">
        <v>900000</v>
      </c>
      <c r="D720" s="53">
        <v>0</v>
      </c>
      <c r="E720" s="54">
        <f t="shared" si="14"/>
        <v>53660000</v>
      </c>
      <c r="F720" s="14" t="s">
        <v>137</v>
      </c>
      <c r="G720" s="14" t="s">
        <v>138</v>
      </c>
      <c r="H720" s="14" t="s">
        <v>3014</v>
      </c>
      <c r="K720" s="14" t="s">
        <v>4150</v>
      </c>
      <c r="L720" s="14" t="s">
        <v>458</v>
      </c>
    </row>
    <row r="721" spans="1:12" s="14" customFormat="1">
      <c r="A721" s="138"/>
      <c r="B721" s="14" t="s">
        <v>3507</v>
      </c>
      <c r="C721" s="53">
        <v>900000</v>
      </c>
      <c r="D721" s="53">
        <v>0</v>
      </c>
      <c r="E721" s="54">
        <f t="shared" si="14"/>
        <v>52760000</v>
      </c>
      <c r="F721" s="14" t="s">
        <v>137</v>
      </c>
      <c r="G721" s="14" t="s">
        <v>138</v>
      </c>
      <c r="H721" s="14" t="s">
        <v>3014</v>
      </c>
    </row>
    <row r="722" spans="1:12" s="14" customFormat="1">
      <c r="A722" s="138"/>
      <c r="B722" s="14" t="s">
        <v>3508</v>
      </c>
      <c r="C722" s="53">
        <v>450000</v>
      </c>
      <c r="D722" s="53">
        <v>0</v>
      </c>
      <c r="E722" s="54">
        <f t="shared" si="14"/>
        <v>52310000</v>
      </c>
      <c r="F722" s="14" t="s">
        <v>137</v>
      </c>
      <c r="G722" s="14" t="s">
        <v>138</v>
      </c>
      <c r="H722" s="14" t="s">
        <v>3014</v>
      </c>
      <c r="K722" s="14" t="s">
        <v>4150</v>
      </c>
      <c r="L722" s="14" t="s">
        <v>2083</v>
      </c>
    </row>
    <row r="723" spans="1:12" s="14" customFormat="1">
      <c r="A723" s="138"/>
      <c r="B723" s="14" t="s">
        <v>3509</v>
      </c>
      <c r="C723" s="53">
        <v>320000</v>
      </c>
      <c r="D723" s="53">
        <v>0</v>
      </c>
      <c r="E723" s="54">
        <f t="shared" ref="E723:E789" si="15">E722-C723+D723</f>
        <v>51990000</v>
      </c>
      <c r="F723" s="14" t="s">
        <v>137</v>
      </c>
      <c r="G723" s="14" t="s">
        <v>138</v>
      </c>
      <c r="H723" s="14" t="s">
        <v>3014</v>
      </c>
    </row>
    <row r="724" spans="1:12" s="14" customFormat="1">
      <c r="A724" s="138"/>
      <c r="B724" s="14" t="s">
        <v>3510</v>
      </c>
      <c r="C724" s="53">
        <v>318470</v>
      </c>
      <c r="D724" s="53">
        <v>0</v>
      </c>
      <c r="E724" s="54">
        <f t="shared" si="15"/>
        <v>51671530</v>
      </c>
      <c r="F724" s="14" t="s">
        <v>137</v>
      </c>
      <c r="G724" s="14" t="s">
        <v>138</v>
      </c>
      <c r="H724" s="14" t="s">
        <v>3014</v>
      </c>
    </row>
    <row r="725" spans="1:12" s="14" customFormat="1">
      <c r="A725" s="138"/>
      <c r="B725" s="14" t="s">
        <v>3511</v>
      </c>
      <c r="C725" s="53">
        <v>150000</v>
      </c>
      <c r="D725" s="53">
        <v>0</v>
      </c>
      <c r="E725" s="54">
        <f t="shared" si="15"/>
        <v>51521530</v>
      </c>
      <c r="F725" s="14" t="s">
        <v>137</v>
      </c>
      <c r="G725" s="14" t="s">
        <v>138</v>
      </c>
      <c r="H725" s="14" t="s">
        <v>3014</v>
      </c>
    </row>
    <row r="726" spans="1:12" s="14" customFormat="1">
      <c r="A726" s="138"/>
      <c r="B726" s="14" t="s">
        <v>3512</v>
      </c>
      <c r="C726" s="53">
        <v>558600</v>
      </c>
      <c r="D726" s="53">
        <v>0</v>
      </c>
      <c r="E726" s="54">
        <f t="shared" si="15"/>
        <v>50962930</v>
      </c>
      <c r="F726" s="14" t="s">
        <v>137</v>
      </c>
      <c r="G726" s="14" t="s">
        <v>138</v>
      </c>
      <c r="H726" s="14" t="s">
        <v>3014</v>
      </c>
    </row>
    <row r="727" spans="1:12" s="14" customFormat="1">
      <c r="A727" s="138"/>
      <c r="B727" s="14" t="s">
        <v>3513</v>
      </c>
      <c r="C727" s="53">
        <v>300000</v>
      </c>
      <c r="D727" s="53">
        <v>0</v>
      </c>
      <c r="E727" s="54">
        <f t="shared" si="15"/>
        <v>50662930</v>
      </c>
      <c r="F727" s="14" t="s">
        <v>137</v>
      </c>
      <c r="G727" s="14" t="s">
        <v>138</v>
      </c>
      <c r="H727" s="14" t="s">
        <v>3014</v>
      </c>
    </row>
    <row r="728" spans="1:12" s="14" customFormat="1">
      <c r="A728" s="138"/>
      <c r="B728" s="14" t="s">
        <v>3514</v>
      </c>
      <c r="C728" s="53">
        <v>14553000</v>
      </c>
      <c r="D728" s="53">
        <v>0</v>
      </c>
      <c r="E728" s="54">
        <f t="shared" si="15"/>
        <v>36109930</v>
      </c>
      <c r="F728" s="14" t="s">
        <v>137</v>
      </c>
      <c r="G728" s="14" t="s">
        <v>138</v>
      </c>
      <c r="H728" s="14" t="s">
        <v>3014</v>
      </c>
    </row>
    <row r="729" spans="1:12" s="14" customFormat="1">
      <c r="A729" s="138"/>
      <c r="B729" s="14" t="s">
        <v>3515</v>
      </c>
      <c r="C729" s="53">
        <v>10000000</v>
      </c>
      <c r="D729" s="53">
        <v>0</v>
      </c>
      <c r="E729" s="54">
        <f t="shared" si="15"/>
        <v>26109930</v>
      </c>
      <c r="F729" s="14" t="s">
        <v>137</v>
      </c>
      <c r="G729" s="14" t="s">
        <v>138</v>
      </c>
      <c r="H729" s="14" t="s">
        <v>3014</v>
      </c>
    </row>
    <row r="730" spans="1:12" s="14" customFormat="1">
      <c r="A730" s="138"/>
      <c r="B730" s="14" t="s">
        <v>419</v>
      </c>
      <c r="C730" s="50">
        <v>0</v>
      </c>
      <c r="D730" s="50">
        <v>70</v>
      </c>
      <c r="E730" s="8">
        <f t="shared" si="15"/>
        <v>26110000</v>
      </c>
      <c r="F730" s="14" t="s">
        <v>252</v>
      </c>
      <c r="G730" s="14" t="s">
        <v>664</v>
      </c>
    </row>
    <row r="731" spans="1:12" s="14" customFormat="1">
      <c r="A731" s="138"/>
      <c r="B731" s="7" t="s">
        <v>2280</v>
      </c>
      <c r="C731" s="8">
        <v>26110000</v>
      </c>
      <c r="D731" s="8">
        <v>0</v>
      </c>
      <c r="E731" s="8">
        <f t="shared" si="15"/>
        <v>0</v>
      </c>
      <c r="F731" s="83" t="s">
        <v>107</v>
      </c>
      <c r="G731" s="14" t="s">
        <v>668</v>
      </c>
      <c r="H731" s="14" t="s">
        <v>3405</v>
      </c>
      <c r="I731" t="s">
        <v>3495</v>
      </c>
    </row>
    <row r="732" spans="1:12" s="14" customFormat="1">
      <c r="A732" s="3">
        <v>44362</v>
      </c>
      <c r="B732" t="s">
        <v>2087</v>
      </c>
      <c r="C732" s="8">
        <v>0</v>
      </c>
      <c r="D732" s="8">
        <v>47262864</v>
      </c>
      <c r="E732" s="8">
        <f t="shared" si="15"/>
        <v>47262864</v>
      </c>
      <c r="F732" t="s">
        <v>581</v>
      </c>
      <c r="G732" t="s">
        <v>582</v>
      </c>
      <c r="H732" s="14" t="s">
        <v>1015</v>
      </c>
      <c r="I732">
        <v>29</v>
      </c>
    </row>
    <row r="733" spans="1:12" s="14" customFormat="1">
      <c r="A733" s="138"/>
      <c r="B733" t="s">
        <v>2087</v>
      </c>
      <c r="C733" s="8">
        <v>39385720</v>
      </c>
      <c r="D733" s="8"/>
      <c r="E733" s="8">
        <f t="shared" si="15"/>
        <v>7877144</v>
      </c>
      <c r="F733" s="83" t="s">
        <v>568</v>
      </c>
      <c r="G733" s="14" t="s">
        <v>4395</v>
      </c>
      <c r="H733" s="14" t="s">
        <v>1015</v>
      </c>
      <c r="I733">
        <v>29</v>
      </c>
    </row>
    <row r="734" spans="1:12" s="14" customFormat="1">
      <c r="A734" s="138"/>
      <c r="B734" t="s">
        <v>2087</v>
      </c>
      <c r="C734" s="8">
        <v>7877144</v>
      </c>
      <c r="D734" s="8"/>
      <c r="E734" s="8">
        <f t="shared" si="15"/>
        <v>0</v>
      </c>
      <c r="F734" s="83" t="s">
        <v>714</v>
      </c>
      <c r="G734" s="14" t="s">
        <v>715</v>
      </c>
      <c r="H734" s="14" t="s">
        <v>1015</v>
      </c>
      <c r="I734">
        <v>29</v>
      </c>
    </row>
    <row r="735" spans="1:12" s="14" customFormat="1">
      <c r="A735" s="3">
        <v>44364</v>
      </c>
      <c r="B735" s="7" t="s">
        <v>1654</v>
      </c>
      <c r="C735" s="8">
        <v>0</v>
      </c>
      <c r="D735" s="8">
        <v>2500000</v>
      </c>
      <c r="E735" s="8">
        <f t="shared" si="15"/>
        <v>2500000</v>
      </c>
      <c r="F735" s="83" t="s">
        <v>107</v>
      </c>
      <c r="G735" s="14" t="s">
        <v>666</v>
      </c>
      <c r="H735" s="14" t="s">
        <v>3405</v>
      </c>
      <c r="I735" t="s">
        <v>3516</v>
      </c>
    </row>
    <row r="736" spans="1:12" s="14" customFormat="1">
      <c r="A736" s="138"/>
      <c r="B736" s="7" t="s">
        <v>3517</v>
      </c>
      <c r="C736" s="54">
        <v>800000</v>
      </c>
      <c r="D736" s="54">
        <v>0</v>
      </c>
      <c r="E736" s="54">
        <f t="shared" si="15"/>
        <v>1700000</v>
      </c>
      <c r="F736" s="80" t="s">
        <v>137</v>
      </c>
      <c r="G736" s="14" t="s">
        <v>138</v>
      </c>
      <c r="H736" s="168" t="s">
        <v>3033</v>
      </c>
      <c r="I736"/>
    </row>
    <row r="737" spans="1:9" s="14" customFormat="1">
      <c r="A737" s="138"/>
      <c r="B737" s="7" t="s">
        <v>3518</v>
      </c>
      <c r="C737" s="54">
        <v>130000</v>
      </c>
      <c r="D737" s="54">
        <v>0</v>
      </c>
      <c r="E737" s="54">
        <f t="shared" si="15"/>
        <v>1570000</v>
      </c>
      <c r="F737" s="80" t="s">
        <v>137</v>
      </c>
      <c r="G737" s="14" t="s">
        <v>138</v>
      </c>
      <c r="H737" s="168" t="s">
        <v>3033</v>
      </c>
      <c r="I737"/>
    </row>
    <row r="738" spans="1:9" s="14" customFormat="1">
      <c r="A738" s="138"/>
      <c r="B738" s="7" t="s">
        <v>3519</v>
      </c>
      <c r="C738" s="8">
        <v>55000</v>
      </c>
      <c r="D738" s="8">
        <v>0</v>
      </c>
      <c r="E738" s="8">
        <f t="shared" si="15"/>
        <v>1515000</v>
      </c>
      <c r="F738" s="83" t="s">
        <v>248</v>
      </c>
      <c r="G738" s="14" t="s">
        <v>407</v>
      </c>
      <c r="H738" s="14" t="s">
        <v>64</v>
      </c>
      <c r="I738"/>
    </row>
    <row r="739" spans="1:9" s="14" customFormat="1">
      <c r="A739" s="138"/>
      <c r="B739" s="7" t="s">
        <v>3520</v>
      </c>
      <c r="C739" s="54">
        <v>4000</v>
      </c>
      <c r="D739" s="54">
        <v>0</v>
      </c>
      <c r="E739" s="54">
        <f t="shared" si="15"/>
        <v>1511000</v>
      </c>
      <c r="F739" s="80" t="s">
        <v>137</v>
      </c>
      <c r="G739" s="14" t="s">
        <v>138</v>
      </c>
      <c r="H739" s="168" t="s">
        <v>3033</v>
      </c>
      <c r="I739"/>
    </row>
    <row r="740" spans="1:9" s="14" customFormat="1">
      <c r="A740" s="138"/>
      <c r="B740" s="7" t="s">
        <v>3521</v>
      </c>
      <c r="C740" s="54">
        <v>10000</v>
      </c>
      <c r="D740" s="54">
        <v>0</v>
      </c>
      <c r="E740" s="54">
        <f t="shared" si="15"/>
        <v>1501000</v>
      </c>
      <c r="F740" s="80" t="s">
        <v>137</v>
      </c>
      <c r="G740" s="14" t="s">
        <v>138</v>
      </c>
      <c r="H740" s="168" t="s">
        <v>3033</v>
      </c>
      <c r="I740"/>
    </row>
    <row r="741" spans="1:9" s="14" customFormat="1">
      <c r="A741" s="138"/>
      <c r="B741" s="7" t="s">
        <v>3522</v>
      </c>
      <c r="C741" s="8">
        <v>70000</v>
      </c>
      <c r="D741" s="8">
        <v>0</v>
      </c>
      <c r="E741" s="8">
        <f t="shared" si="15"/>
        <v>1431000</v>
      </c>
      <c r="F741" s="83" t="s">
        <v>319</v>
      </c>
      <c r="G741" s="14" t="s">
        <v>117</v>
      </c>
      <c r="H741" s="14" t="s">
        <v>64</v>
      </c>
      <c r="I741"/>
    </row>
    <row r="742" spans="1:9" s="14" customFormat="1">
      <c r="A742" s="138"/>
      <c r="B742" s="7" t="s">
        <v>3523</v>
      </c>
      <c r="C742" s="54">
        <v>25000</v>
      </c>
      <c r="D742" s="54">
        <v>0</v>
      </c>
      <c r="E742" s="54">
        <f t="shared" si="15"/>
        <v>1406000</v>
      </c>
      <c r="F742" s="80" t="s">
        <v>137</v>
      </c>
      <c r="G742" s="14" t="s">
        <v>138</v>
      </c>
      <c r="H742" s="168" t="s">
        <v>3033</v>
      </c>
      <c r="I742"/>
    </row>
    <row r="743" spans="1:9" s="14" customFormat="1">
      <c r="A743" s="138"/>
      <c r="B743" s="7" t="s">
        <v>3524</v>
      </c>
      <c r="C743" s="54">
        <v>9000</v>
      </c>
      <c r="D743" s="54">
        <v>0</v>
      </c>
      <c r="E743" s="54">
        <f t="shared" si="15"/>
        <v>1397000</v>
      </c>
      <c r="F743" s="80" t="s">
        <v>137</v>
      </c>
      <c r="G743" s="14" t="s">
        <v>138</v>
      </c>
      <c r="H743" s="168" t="s">
        <v>3033</v>
      </c>
      <c r="I743"/>
    </row>
    <row r="744" spans="1:9" s="14" customFormat="1">
      <c r="A744" s="138"/>
      <c r="B744" s="7" t="s">
        <v>3525</v>
      </c>
      <c r="C744" s="54">
        <v>230000</v>
      </c>
      <c r="D744" s="54">
        <v>0</v>
      </c>
      <c r="E744" s="54">
        <f t="shared" si="15"/>
        <v>1167000</v>
      </c>
      <c r="F744" s="80" t="s">
        <v>137</v>
      </c>
      <c r="G744" s="14" t="s">
        <v>138</v>
      </c>
      <c r="H744" s="168" t="s">
        <v>3033</v>
      </c>
      <c r="I744"/>
    </row>
    <row r="745" spans="1:9" s="14" customFormat="1">
      <c r="A745" s="138"/>
      <c r="B745" s="7" t="s">
        <v>3526</v>
      </c>
      <c r="C745" s="54">
        <v>5000</v>
      </c>
      <c r="D745" s="54">
        <v>0</v>
      </c>
      <c r="E745" s="54">
        <f t="shared" si="15"/>
        <v>1162000</v>
      </c>
      <c r="F745" s="80" t="s">
        <v>137</v>
      </c>
      <c r="G745" s="14" t="s">
        <v>138</v>
      </c>
      <c r="H745" s="168" t="s">
        <v>3033</v>
      </c>
      <c r="I745"/>
    </row>
    <row r="746" spans="1:9" s="14" customFormat="1">
      <c r="A746" s="138"/>
      <c r="B746" s="7" t="s">
        <v>3527</v>
      </c>
      <c r="C746" s="54">
        <v>500000</v>
      </c>
      <c r="D746" s="54">
        <v>0</v>
      </c>
      <c r="E746" s="54">
        <f t="shared" si="15"/>
        <v>662000</v>
      </c>
      <c r="F746" s="80" t="s">
        <v>137</v>
      </c>
      <c r="G746" s="14" t="s">
        <v>138</v>
      </c>
      <c r="H746" s="168" t="s">
        <v>3033</v>
      </c>
      <c r="I746"/>
    </row>
    <row r="747" spans="1:9" s="14" customFormat="1">
      <c r="A747" s="138"/>
      <c r="B747" s="7" t="s">
        <v>3528</v>
      </c>
      <c r="C747" s="54">
        <v>200000</v>
      </c>
      <c r="D747" s="54">
        <v>0</v>
      </c>
      <c r="E747" s="54">
        <f t="shared" si="15"/>
        <v>462000</v>
      </c>
      <c r="F747" s="80" t="s">
        <v>115</v>
      </c>
      <c r="G747" s="14" t="s">
        <v>120</v>
      </c>
      <c r="H747" s="14" t="s">
        <v>127</v>
      </c>
      <c r="I747" s="14" t="s">
        <v>444</v>
      </c>
    </row>
    <row r="748" spans="1:9" s="14" customFormat="1">
      <c r="A748" s="138"/>
      <c r="B748" s="7" t="s">
        <v>3529</v>
      </c>
      <c r="C748" s="54">
        <v>24000</v>
      </c>
      <c r="D748" s="54">
        <v>0</v>
      </c>
      <c r="E748" s="54">
        <f t="shared" si="15"/>
        <v>438000</v>
      </c>
      <c r="F748" s="80" t="s">
        <v>137</v>
      </c>
      <c r="G748" s="14" t="s">
        <v>138</v>
      </c>
      <c r="H748" s="168" t="s">
        <v>3033</v>
      </c>
      <c r="I748"/>
    </row>
    <row r="749" spans="1:9" s="14" customFormat="1">
      <c r="A749" s="138"/>
      <c r="B749" s="7" t="s">
        <v>3530</v>
      </c>
      <c r="C749" s="54">
        <v>25000</v>
      </c>
      <c r="D749" s="54">
        <v>0</v>
      </c>
      <c r="E749" s="54">
        <f t="shared" si="15"/>
        <v>413000</v>
      </c>
      <c r="F749" s="80" t="s">
        <v>137</v>
      </c>
      <c r="G749" s="14" t="s">
        <v>138</v>
      </c>
      <c r="H749" s="168" t="s">
        <v>3033</v>
      </c>
      <c r="I749"/>
    </row>
    <row r="750" spans="1:9" s="14" customFormat="1">
      <c r="A750" s="138"/>
      <c r="B750" s="7" t="s">
        <v>3531</v>
      </c>
      <c r="C750" s="54">
        <v>21000</v>
      </c>
      <c r="D750" s="54">
        <v>0</v>
      </c>
      <c r="E750" s="54">
        <f t="shared" si="15"/>
        <v>392000</v>
      </c>
      <c r="F750" s="80" t="s">
        <v>137</v>
      </c>
      <c r="G750" s="14" t="s">
        <v>138</v>
      </c>
      <c r="H750" s="168" t="s">
        <v>3033</v>
      </c>
      <c r="I750"/>
    </row>
    <row r="751" spans="1:9" s="14" customFormat="1">
      <c r="A751" s="138"/>
      <c r="B751" s="7" t="s">
        <v>3532</v>
      </c>
      <c r="C751" s="54">
        <v>27000</v>
      </c>
      <c r="D751" s="54">
        <v>0</v>
      </c>
      <c r="E751" s="54">
        <f t="shared" si="15"/>
        <v>365000</v>
      </c>
      <c r="F751" s="80" t="s">
        <v>137</v>
      </c>
      <c r="G751" s="14" t="s">
        <v>138</v>
      </c>
      <c r="H751" s="168" t="s">
        <v>3033</v>
      </c>
      <c r="I751"/>
    </row>
    <row r="752" spans="1:9" s="14" customFormat="1">
      <c r="A752" s="138"/>
      <c r="B752" s="7" t="s">
        <v>3533</v>
      </c>
      <c r="C752" s="54">
        <v>24000</v>
      </c>
      <c r="D752" s="54">
        <v>0</v>
      </c>
      <c r="E752" s="54">
        <f t="shared" si="15"/>
        <v>341000</v>
      </c>
      <c r="F752" s="80" t="s">
        <v>137</v>
      </c>
      <c r="G752" s="14" t="s">
        <v>138</v>
      </c>
      <c r="H752" s="168" t="s">
        <v>3033</v>
      </c>
      <c r="I752"/>
    </row>
    <row r="753" spans="1:9" s="14" customFormat="1">
      <c r="A753" s="138"/>
      <c r="B753" s="7" t="s">
        <v>3534</v>
      </c>
      <c r="C753" s="54">
        <v>29000</v>
      </c>
      <c r="D753" s="54">
        <v>0</v>
      </c>
      <c r="E753" s="54">
        <f t="shared" si="15"/>
        <v>312000</v>
      </c>
      <c r="F753" s="80" t="s">
        <v>137</v>
      </c>
      <c r="G753" s="14" t="s">
        <v>138</v>
      </c>
      <c r="H753" s="168" t="s">
        <v>3033</v>
      </c>
      <c r="I753"/>
    </row>
    <row r="754" spans="1:9" s="14" customFormat="1">
      <c r="A754" s="138"/>
      <c r="B754" s="7" t="s">
        <v>3535</v>
      </c>
      <c r="C754" s="54">
        <v>24000</v>
      </c>
      <c r="D754" s="54">
        <v>0</v>
      </c>
      <c r="E754" s="54">
        <f t="shared" si="15"/>
        <v>288000</v>
      </c>
      <c r="F754" s="80" t="s">
        <v>137</v>
      </c>
      <c r="G754" s="14" t="s">
        <v>138</v>
      </c>
      <c r="H754" s="168" t="s">
        <v>3033</v>
      </c>
      <c r="I754"/>
    </row>
    <row r="755" spans="1:9" s="14" customFormat="1">
      <c r="A755" s="138"/>
      <c r="B755" s="7" t="s">
        <v>3536</v>
      </c>
      <c r="C755" s="54">
        <v>24000</v>
      </c>
      <c r="D755" s="54">
        <v>0</v>
      </c>
      <c r="E755" s="54">
        <f t="shared" si="15"/>
        <v>264000</v>
      </c>
      <c r="F755" s="80" t="s">
        <v>137</v>
      </c>
      <c r="G755" s="14" t="s">
        <v>138</v>
      </c>
      <c r="H755" s="168" t="s">
        <v>3033</v>
      </c>
      <c r="I755"/>
    </row>
    <row r="756" spans="1:9" s="14" customFormat="1">
      <c r="A756" s="138"/>
      <c r="B756" s="7" t="s">
        <v>3537</v>
      </c>
      <c r="C756" s="54">
        <v>24000</v>
      </c>
      <c r="D756" s="54">
        <v>0</v>
      </c>
      <c r="E756" s="54">
        <f t="shared" si="15"/>
        <v>240000</v>
      </c>
      <c r="F756" s="80" t="s">
        <v>137</v>
      </c>
      <c r="G756" s="14" t="s">
        <v>138</v>
      </c>
      <c r="H756" s="168" t="s">
        <v>3033</v>
      </c>
      <c r="I756"/>
    </row>
    <row r="757" spans="1:9" s="14" customFormat="1">
      <c r="A757" s="138"/>
      <c r="B757" s="7" t="s">
        <v>3538</v>
      </c>
      <c r="C757" s="54">
        <v>25000</v>
      </c>
      <c r="D757" s="54">
        <v>0</v>
      </c>
      <c r="E757" s="54">
        <f t="shared" si="15"/>
        <v>215000</v>
      </c>
      <c r="F757" s="80" t="s">
        <v>137</v>
      </c>
      <c r="G757" s="14" t="s">
        <v>138</v>
      </c>
      <c r="H757" s="168" t="s">
        <v>3033</v>
      </c>
      <c r="I757"/>
    </row>
    <row r="758" spans="1:9" s="14" customFormat="1">
      <c r="A758" s="138"/>
      <c r="B758" s="7" t="s">
        <v>3539</v>
      </c>
      <c r="C758" s="54">
        <v>29000</v>
      </c>
      <c r="D758" s="54">
        <v>0</v>
      </c>
      <c r="E758" s="54">
        <f t="shared" si="15"/>
        <v>186000</v>
      </c>
      <c r="F758" s="80" t="s">
        <v>137</v>
      </c>
      <c r="G758" s="14" t="s">
        <v>138</v>
      </c>
      <c r="H758" s="168" t="s">
        <v>3033</v>
      </c>
      <c r="I758"/>
    </row>
    <row r="759" spans="1:9" s="14" customFormat="1">
      <c r="A759" s="138"/>
      <c r="B759" s="7" t="s">
        <v>3540</v>
      </c>
      <c r="C759" s="8">
        <v>115999</v>
      </c>
      <c r="D759" s="8">
        <v>0</v>
      </c>
      <c r="E759" s="8">
        <f t="shared" si="15"/>
        <v>70001</v>
      </c>
      <c r="F759" s="83" t="s">
        <v>248</v>
      </c>
      <c r="G759" s="14" t="s">
        <v>407</v>
      </c>
      <c r="H759" s="14" t="s">
        <v>64</v>
      </c>
      <c r="I759"/>
    </row>
    <row r="760" spans="1:9" s="14" customFormat="1">
      <c r="A760" s="138"/>
      <c r="B760" s="7" t="s">
        <v>3541</v>
      </c>
      <c r="C760" s="54">
        <v>15000</v>
      </c>
      <c r="D760" s="54">
        <v>0</v>
      </c>
      <c r="E760" s="54">
        <f t="shared" si="15"/>
        <v>55001</v>
      </c>
      <c r="F760" s="80" t="s">
        <v>137</v>
      </c>
      <c r="G760" s="14" t="s">
        <v>138</v>
      </c>
      <c r="H760" s="168" t="s">
        <v>3033</v>
      </c>
      <c r="I760"/>
    </row>
    <row r="761" spans="1:9" s="14" customFormat="1">
      <c r="A761" s="138"/>
      <c r="B761" s="7" t="s">
        <v>3542</v>
      </c>
      <c r="C761" s="54">
        <v>44000</v>
      </c>
      <c r="D761" s="54">
        <v>0</v>
      </c>
      <c r="E761" s="54">
        <f t="shared" si="15"/>
        <v>11001</v>
      </c>
      <c r="F761" s="80" t="s">
        <v>137</v>
      </c>
      <c r="G761" s="14" t="s">
        <v>138</v>
      </c>
      <c r="H761" s="14" t="s">
        <v>603</v>
      </c>
      <c r="I761"/>
    </row>
    <row r="762" spans="1:9" s="14" customFormat="1">
      <c r="A762" s="138"/>
      <c r="B762" s="7" t="s">
        <v>1751</v>
      </c>
      <c r="C762" s="8">
        <v>11001</v>
      </c>
      <c r="D762" s="8">
        <v>0</v>
      </c>
      <c r="E762" s="8">
        <f t="shared" si="15"/>
        <v>0</v>
      </c>
      <c r="F762" s="83" t="s">
        <v>107</v>
      </c>
      <c r="G762" s="14" t="s">
        <v>668</v>
      </c>
      <c r="H762" s="14" t="s">
        <v>3405</v>
      </c>
      <c r="I762" t="s">
        <v>3516</v>
      </c>
    </row>
    <row r="763" spans="1:9" s="14" customFormat="1">
      <c r="A763" s="138">
        <v>44364</v>
      </c>
      <c r="B763" s="14" t="s">
        <v>1652</v>
      </c>
      <c r="C763" s="50">
        <v>0</v>
      </c>
      <c r="D763" s="50">
        <v>66422384</v>
      </c>
      <c r="E763" s="8">
        <f t="shared" si="15"/>
        <v>66422384</v>
      </c>
      <c r="F763" s="14" t="s">
        <v>107</v>
      </c>
      <c r="G763" s="14" t="s">
        <v>666</v>
      </c>
      <c r="H763" s="14" t="s">
        <v>142</v>
      </c>
    </row>
    <row r="764" spans="1:9" s="14" customFormat="1">
      <c r="A764" s="138"/>
      <c r="B764" s="14" t="s">
        <v>3369</v>
      </c>
      <c r="C764" s="53">
        <v>440000</v>
      </c>
      <c r="D764" s="53"/>
      <c r="E764" s="54">
        <f t="shared" si="15"/>
        <v>65982384</v>
      </c>
      <c r="F764" s="14" t="s">
        <v>137</v>
      </c>
      <c r="G764" s="14" t="s">
        <v>138</v>
      </c>
      <c r="H764" s="14" t="s">
        <v>251</v>
      </c>
    </row>
    <row r="765" spans="1:9" s="14" customFormat="1">
      <c r="A765" s="138"/>
      <c r="B765" s="14" t="s">
        <v>3370</v>
      </c>
      <c r="C765" s="50">
        <v>678500</v>
      </c>
      <c r="D765" s="50"/>
      <c r="E765" s="8">
        <f t="shared" si="15"/>
        <v>65303884</v>
      </c>
      <c r="F765" s="14" t="s">
        <v>248</v>
      </c>
      <c r="G765" s="14" t="s">
        <v>407</v>
      </c>
      <c r="H765" s="14" t="s">
        <v>64</v>
      </c>
    </row>
    <row r="766" spans="1:9" s="14" customFormat="1">
      <c r="A766" s="138"/>
      <c r="B766" s="14" t="s">
        <v>3360</v>
      </c>
      <c r="C766" s="50">
        <v>560505</v>
      </c>
      <c r="D766" s="50"/>
      <c r="E766" s="8">
        <f t="shared" si="15"/>
        <v>64743379</v>
      </c>
      <c r="F766" s="14" t="s">
        <v>736</v>
      </c>
      <c r="G766" s="14" t="s">
        <v>455</v>
      </c>
      <c r="H766" s="14" t="s">
        <v>64</v>
      </c>
    </row>
    <row r="767" spans="1:9" s="14" customFormat="1">
      <c r="A767" s="138"/>
      <c r="B767" s="14" t="s">
        <v>3361</v>
      </c>
      <c r="C767" s="53">
        <v>248000</v>
      </c>
      <c r="D767" s="53"/>
      <c r="E767" s="54">
        <f t="shared" si="15"/>
        <v>64495379</v>
      </c>
      <c r="F767" s="14" t="s">
        <v>137</v>
      </c>
      <c r="G767" s="14" t="s">
        <v>138</v>
      </c>
      <c r="H767" s="168" t="s">
        <v>3032</v>
      </c>
    </row>
    <row r="768" spans="1:9" s="14" customFormat="1">
      <c r="A768" s="138"/>
      <c r="B768" s="14" t="s">
        <v>3362</v>
      </c>
      <c r="C768" s="53">
        <v>23950000</v>
      </c>
      <c r="D768" s="53"/>
      <c r="E768" s="54">
        <f t="shared" si="15"/>
        <v>40545379</v>
      </c>
      <c r="F768" s="14" t="s">
        <v>137</v>
      </c>
      <c r="G768" s="14" t="s">
        <v>138</v>
      </c>
      <c r="H768" s="14" t="s">
        <v>3019</v>
      </c>
    </row>
    <row r="769" spans="1:9" s="14" customFormat="1">
      <c r="A769" s="138"/>
      <c r="B769" s="14" t="s">
        <v>3363</v>
      </c>
      <c r="C769" s="50">
        <v>100000</v>
      </c>
      <c r="D769" s="50"/>
      <c r="E769" s="8">
        <f t="shared" si="15"/>
        <v>40445379</v>
      </c>
      <c r="F769" s="14" t="s">
        <v>319</v>
      </c>
      <c r="G769" s="14" t="s">
        <v>117</v>
      </c>
      <c r="H769" s="14" t="s">
        <v>64</v>
      </c>
    </row>
    <row r="770" spans="1:9" s="14" customFormat="1">
      <c r="A770" s="138"/>
      <c r="B770" s="14" t="s">
        <v>3364</v>
      </c>
      <c r="C770" s="50">
        <v>100000</v>
      </c>
      <c r="D770" s="50"/>
      <c r="E770" s="8">
        <f t="shared" si="15"/>
        <v>40345379</v>
      </c>
      <c r="F770" s="14" t="s">
        <v>319</v>
      </c>
      <c r="G770" s="14" t="s">
        <v>117</v>
      </c>
      <c r="H770" s="14" t="s">
        <v>64</v>
      </c>
    </row>
    <row r="771" spans="1:9" s="14" customFormat="1">
      <c r="A771" s="138"/>
      <c r="B771" s="14" t="s">
        <v>3365</v>
      </c>
      <c r="C771" s="50">
        <v>280100</v>
      </c>
      <c r="D771" s="50"/>
      <c r="E771" s="8">
        <f t="shared" si="15"/>
        <v>40065279</v>
      </c>
      <c r="F771" s="14" t="s">
        <v>137</v>
      </c>
      <c r="G771" s="14" t="s">
        <v>138</v>
      </c>
      <c r="H771" s="168" t="s">
        <v>3020</v>
      </c>
    </row>
    <row r="772" spans="1:9" s="14" customFormat="1">
      <c r="A772" s="138"/>
      <c r="B772" s="14" t="s">
        <v>3366</v>
      </c>
      <c r="C772" s="50">
        <v>12000000</v>
      </c>
      <c r="D772" s="50"/>
      <c r="E772" s="8">
        <f t="shared" si="15"/>
        <v>28065279</v>
      </c>
      <c r="F772" s="14" t="s">
        <v>137</v>
      </c>
      <c r="G772" s="14" t="s">
        <v>138</v>
      </c>
      <c r="H772" s="168" t="s">
        <v>3020</v>
      </c>
    </row>
    <row r="773" spans="1:9" s="14" customFormat="1">
      <c r="A773" s="138"/>
      <c r="B773" s="14" t="s">
        <v>3366</v>
      </c>
      <c r="C773" s="50">
        <v>4597995</v>
      </c>
      <c r="D773" s="50"/>
      <c r="E773" s="8">
        <f t="shared" si="15"/>
        <v>23467284</v>
      </c>
      <c r="F773" s="14" t="s">
        <v>137</v>
      </c>
      <c r="G773" s="14" t="s">
        <v>138</v>
      </c>
      <c r="H773" s="168" t="s">
        <v>3020</v>
      </c>
    </row>
    <row r="774" spans="1:9" s="14" customFormat="1">
      <c r="A774" s="138"/>
      <c r="B774" s="14" t="s">
        <v>3366</v>
      </c>
      <c r="C774" s="50">
        <v>20291700</v>
      </c>
      <c r="D774" s="50"/>
      <c r="E774" s="8">
        <f t="shared" si="15"/>
        <v>3175584</v>
      </c>
      <c r="F774" s="14" t="s">
        <v>137</v>
      </c>
      <c r="G774" s="14" t="s">
        <v>138</v>
      </c>
      <c r="H774" s="168" t="s">
        <v>3020</v>
      </c>
    </row>
    <row r="775" spans="1:9" s="14" customFormat="1">
      <c r="A775" s="138"/>
      <c r="B775" s="14" t="s">
        <v>1031</v>
      </c>
      <c r="C775" s="50">
        <v>10000</v>
      </c>
      <c r="D775" s="50"/>
      <c r="E775" s="8">
        <f t="shared" si="15"/>
        <v>3165584</v>
      </c>
      <c r="F775" s="14" t="s">
        <v>113</v>
      </c>
      <c r="G775" s="14" t="s">
        <v>114</v>
      </c>
      <c r="H775" s="14" t="s">
        <v>64</v>
      </c>
    </row>
    <row r="776" spans="1:9" s="14" customFormat="1">
      <c r="A776" s="138"/>
      <c r="B776" s="14" t="s">
        <v>3999</v>
      </c>
      <c r="C776" s="50">
        <v>0</v>
      </c>
      <c r="D776" s="50">
        <f>1707333*12</f>
        <v>20487996</v>
      </c>
      <c r="E776" s="8">
        <f t="shared" si="15"/>
        <v>23653580</v>
      </c>
      <c r="F776" s="14" t="s">
        <v>115</v>
      </c>
      <c r="G776" s="14" t="s">
        <v>440</v>
      </c>
      <c r="H776" s="14" t="s">
        <v>4001</v>
      </c>
    </row>
    <row r="777" spans="1:9" s="14" customFormat="1">
      <c r="A777" s="138"/>
      <c r="B777" s="14" t="s">
        <v>4000</v>
      </c>
      <c r="C777" s="50">
        <v>0</v>
      </c>
      <c r="D777" s="50">
        <f>1458250*12</f>
        <v>17499000</v>
      </c>
      <c r="E777" s="8">
        <f t="shared" si="15"/>
        <v>41152580</v>
      </c>
      <c r="F777" s="14" t="s">
        <v>115</v>
      </c>
      <c r="G777" s="14" t="s">
        <v>440</v>
      </c>
      <c r="H777" s="14" t="s">
        <v>4002</v>
      </c>
    </row>
    <row r="778" spans="1:9" s="14" customFormat="1">
      <c r="A778" s="138"/>
      <c r="B778" s="14" t="s">
        <v>3999</v>
      </c>
      <c r="C778" s="50">
        <f>1707333*12</f>
        <v>20487996</v>
      </c>
      <c r="D778" s="50">
        <v>0</v>
      </c>
      <c r="E778" s="8">
        <f t="shared" si="15"/>
        <v>20664584</v>
      </c>
      <c r="F778" s="14" t="s">
        <v>736</v>
      </c>
      <c r="G778" s="14" t="s">
        <v>3994</v>
      </c>
      <c r="H778" s="14" t="s">
        <v>64</v>
      </c>
    </row>
    <row r="779" spans="1:9" s="14" customFormat="1">
      <c r="A779" s="138"/>
      <c r="B779" s="14" t="s">
        <v>4000</v>
      </c>
      <c r="C779" s="50">
        <f>1458250*12</f>
        <v>17499000</v>
      </c>
      <c r="D779" s="50">
        <v>0</v>
      </c>
      <c r="E779" s="8">
        <f t="shared" si="15"/>
        <v>3165584</v>
      </c>
      <c r="F779" s="14" t="s">
        <v>736</v>
      </c>
      <c r="G779" s="14" t="s">
        <v>3994</v>
      </c>
      <c r="H779" s="14" t="s">
        <v>64</v>
      </c>
    </row>
    <row r="780" spans="1:9" s="14" customFormat="1">
      <c r="A780" s="138"/>
      <c r="B780" s="14" t="s">
        <v>3367</v>
      </c>
      <c r="C780" s="50">
        <v>1707333</v>
      </c>
      <c r="D780" s="50">
        <v>0</v>
      </c>
      <c r="E780" s="8">
        <f t="shared" si="15"/>
        <v>1458251</v>
      </c>
      <c r="F780" s="14" t="s">
        <v>115</v>
      </c>
      <c r="G780" s="14" t="s">
        <v>440</v>
      </c>
      <c r="H780" s="14" t="s">
        <v>4001</v>
      </c>
      <c r="I780" s="14" t="s">
        <v>64</v>
      </c>
    </row>
    <row r="781" spans="1:9" s="14" customFormat="1">
      <c r="A781" s="138"/>
      <c r="B781" s="14" t="s">
        <v>3368</v>
      </c>
      <c r="C781" s="50">
        <v>1458250</v>
      </c>
      <c r="D781" s="50">
        <v>0</v>
      </c>
      <c r="E781" s="8">
        <f t="shared" si="15"/>
        <v>1</v>
      </c>
      <c r="F781" s="14" t="s">
        <v>115</v>
      </c>
      <c r="G781" s="14" t="s">
        <v>440</v>
      </c>
      <c r="H781" s="14" t="s">
        <v>4002</v>
      </c>
      <c r="I781" s="14" t="s">
        <v>64</v>
      </c>
    </row>
    <row r="782" spans="1:9" s="14" customFormat="1">
      <c r="A782" s="138"/>
      <c r="B782" s="14" t="s">
        <v>419</v>
      </c>
      <c r="C782" s="50">
        <v>1</v>
      </c>
      <c r="D782" s="50">
        <v>0</v>
      </c>
      <c r="E782" s="8">
        <f t="shared" si="15"/>
        <v>0</v>
      </c>
      <c r="F782" s="14" t="s">
        <v>252</v>
      </c>
      <c r="G782" s="14" t="s">
        <v>665</v>
      </c>
    </row>
    <row r="783" spans="1:9" s="14" customFormat="1">
      <c r="A783" s="138">
        <v>44364</v>
      </c>
      <c r="B783" s="14" t="s">
        <v>1653</v>
      </c>
      <c r="C783" s="50">
        <v>0</v>
      </c>
      <c r="D783" s="50">
        <v>38896590</v>
      </c>
      <c r="E783" s="8">
        <f t="shared" si="15"/>
        <v>38896590</v>
      </c>
      <c r="F783" s="14" t="s">
        <v>107</v>
      </c>
      <c r="G783" s="14" t="s">
        <v>666</v>
      </c>
      <c r="H783" s="14" t="s">
        <v>143</v>
      </c>
    </row>
    <row r="784" spans="1:9" s="14" customFormat="1">
      <c r="A784" s="138"/>
      <c r="B784" s="14" t="s">
        <v>4300</v>
      </c>
      <c r="C784" s="50">
        <v>0</v>
      </c>
      <c r="D784" s="50">
        <v>5106261</v>
      </c>
      <c r="E784" s="8">
        <f t="shared" si="15"/>
        <v>44002851</v>
      </c>
      <c r="F784" s="14" t="s">
        <v>107</v>
      </c>
      <c r="G784" s="14" t="s">
        <v>3102</v>
      </c>
    </row>
    <row r="785" spans="1:8" s="14" customFormat="1">
      <c r="A785" s="138"/>
      <c r="B785" s="14" t="s">
        <v>1052</v>
      </c>
      <c r="C785" s="50">
        <v>5000</v>
      </c>
      <c r="D785" s="50">
        <v>0</v>
      </c>
      <c r="E785" s="8">
        <f t="shared" si="15"/>
        <v>43997851</v>
      </c>
      <c r="F785" s="14" t="s">
        <v>113</v>
      </c>
      <c r="G785" s="14" t="s">
        <v>114</v>
      </c>
      <c r="H785" s="14" t="s">
        <v>64</v>
      </c>
    </row>
    <row r="786" spans="1:8" s="14" customFormat="1">
      <c r="A786" s="138"/>
      <c r="B786" s="14" t="s">
        <v>4290</v>
      </c>
      <c r="C786" s="50">
        <v>1508870</v>
      </c>
      <c r="D786" s="50">
        <v>0</v>
      </c>
      <c r="E786" s="8">
        <f t="shared" si="15"/>
        <v>42488981</v>
      </c>
      <c r="F786" s="14" t="s">
        <v>137</v>
      </c>
      <c r="G786" s="14" t="s">
        <v>138</v>
      </c>
      <c r="H786" s="168" t="s">
        <v>3020</v>
      </c>
    </row>
    <row r="787" spans="1:8" s="14" customFormat="1">
      <c r="A787" s="138"/>
      <c r="B787" s="14" t="s">
        <v>902</v>
      </c>
      <c r="C787" s="50">
        <v>368445</v>
      </c>
      <c r="D787" s="50">
        <v>0</v>
      </c>
      <c r="E787" s="8">
        <f t="shared" si="15"/>
        <v>42120536</v>
      </c>
      <c r="F787" s="14" t="s">
        <v>137</v>
      </c>
      <c r="G787" s="14" t="s">
        <v>138</v>
      </c>
      <c r="H787" s="168" t="s">
        <v>3033</v>
      </c>
    </row>
    <row r="788" spans="1:8" s="14" customFormat="1">
      <c r="A788" s="138"/>
      <c r="B788" s="14" t="s">
        <v>4291</v>
      </c>
      <c r="C788" s="50">
        <v>815381</v>
      </c>
      <c r="D788" s="50">
        <v>0</v>
      </c>
      <c r="E788" s="8">
        <f t="shared" si="15"/>
        <v>41305155</v>
      </c>
      <c r="F788" s="14" t="s">
        <v>137</v>
      </c>
      <c r="G788" s="14" t="s">
        <v>138</v>
      </c>
      <c r="H788" s="168" t="s">
        <v>3020</v>
      </c>
    </row>
    <row r="789" spans="1:8" s="14" customFormat="1">
      <c r="A789" s="138"/>
      <c r="B789" s="14" t="s">
        <v>4491</v>
      </c>
      <c r="C789" s="53">
        <v>6227499</v>
      </c>
      <c r="D789" s="53">
        <v>0</v>
      </c>
      <c r="E789" s="54">
        <f t="shared" si="15"/>
        <v>35077656</v>
      </c>
      <c r="F789" s="14" t="s">
        <v>736</v>
      </c>
      <c r="G789" s="14" t="s">
        <v>455</v>
      </c>
      <c r="H789" s="14" t="s">
        <v>64</v>
      </c>
    </row>
    <row r="790" spans="1:8" s="14" customFormat="1">
      <c r="A790" s="138"/>
      <c r="B790" s="14" t="s">
        <v>4292</v>
      </c>
      <c r="C790" s="53">
        <v>2451000</v>
      </c>
      <c r="D790" s="53">
        <v>0</v>
      </c>
      <c r="E790" s="54">
        <f t="shared" ref="E790:E870" si="16">E789-C790+D790</f>
        <v>32626656</v>
      </c>
      <c r="F790" s="14" t="s">
        <v>137</v>
      </c>
      <c r="G790" s="14" t="s">
        <v>138</v>
      </c>
      <c r="H790" s="168" t="s">
        <v>1128</v>
      </c>
    </row>
    <row r="791" spans="1:8" s="14" customFormat="1">
      <c r="A791" s="138"/>
      <c r="B791" s="14" t="s">
        <v>902</v>
      </c>
      <c r="C791" s="53">
        <v>7648025</v>
      </c>
      <c r="D791" s="53">
        <v>0</v>
      </c>
      <c r="E791" s="54">
        <f t="shared" si="16"/>
        <v>24978631</v>
      </c>
      <c r="F791" s="14" t="s">
        <v>137</v>
      </c>
      <c r="G791" s="14" t="s">
        <v>138</v>
      </c>
      <c r="H791" s="14" t="s">
        <v>1127</v>
      </c>
    </row>
    <row r="792" spans="1:8" s="14" customFormat="1">
      <c r="A792" s="138"/>
      <c r="B792" s="14" t="s">
        <v>4293</v>
      </c>
      <c r="C792" s="53">
        <v>4300000</v>
      </c>
      <c r="D792" s="53">
        <v>0</v>
      </c>
      <c r="E792" s="54">
        <f t="shared" si="16"/>
        <v>20678631</v>
      </c>
      <c r="F792" s="14" t="s">
        <v>137</v>
      </c>
      <c r="G792" s="14" t="s">
        <v>138</v>
      </c>
      <c r="H792" s="168" t="s">
        <v>3033</v>
      </c>
    </row>
    <row r="793" spans="1:8" s="14" customFormat="1">
      <c r="A793" s="138"/>
      <c r="B793" s="14" t="s">
        <v>4492</v>
      </c>
      <c r="C793" s="53">
        <v>12000</v>
      </c>
      <c r="D793" s="53">
        <v>0</v>
      </c>
      <c r="E793" s="54">
        <f t="shared" si="16"/>
        <v>20666631</v>
      </c>
      <c r="F793" s="14" t="s">
        <v>319</v>
      </c>
      <c r="G793" s="14" t="s">
        <v>117</v>
      </c>
      <c r="H793" s="14" t="s">
        <v>64</v>
      </c>
    </row>
    <row r="794" spans="1:8" s="14" customFormat="1">
      <c r="A794" s="138"/>
      <c r="B794" s="14" t="s">
        <v>4294</v>
      </c>
      <c r="C794" s="50">
        <v>214000</v>
      </c>
      <c r="D794" s="50">
        <v>0</v>
      </c>
      <c r="E794" s="8">
        <f t="shared" si="16"/>
        <v>20452631</v>
      </c>
      <c r="F794" s="14" t="s">
        <v>137</v>
      </c>
      <c r="G794" s="14" t="s">
        <v>138</v>
      </c>
      <c r="H794" s="168" t="s">
        <v>3033</v>
      </c>
    </row>
    <row r="795" spans="1:8" s="14" customFormat="1">
      <c r="A795" s="138"/>
      <c r="B795" s="14" t="s">
        <v>4294</v>
      </c>
      <c r="C795" s="50">
        <v>214000</v>
      </c>
      <c r="D795" s="50">
        <v>0</v>
      </c>
      <c r="E795" s="8">
        <f t="shared" si="16"/>
        <v>20238631</v>
      </c>
      <c r="F795" s="14" t="s">
        <v>137</v>
      </c>
      <c r="G795" s="14" t="s">
        <v>138</v>
      </c>
      <c r="H795" s="168" t="s">
        <v>3033</v>
      </c>
    </row>
    <row r="796" spans="1:8" s="14" customFormat="1">
      <c r="A796" s="138"/>
      <c r="B796" s="14" t="s">
        <v>4294</v>
      </c>
      <c r="C796" s="50">
        <v>214000</v>
      </c>
      <c r="D796" s="50">
        <v>0</v>
      </c>
      <c r="E796" s="8">
        <f t="shared" si="16"/>
        <v>20024631</v>
      </c>
      <c r="F796" s="14" t="s">
        <v>137</v>
      </c>
      <c r="G796" s="14" t="s">
        <v>138</v>
      </c>
      <c r="H796" s="168" t="s">
        <v>3033</v>
      </c>
    </row>
    <row r="797" spans="1:8" s="14" customFormat="1">
      <c r="A797" s="138"/>
      <c r="B797" s="14" t="s">
        <v>4294</v>
      </c>
      <c r="C797" s="50">
        <v>214000</v>
      </c>
      <c r="D797" s="50">
        <v>0</v>
      </c>
      <c r="E797" s="8">
        <f t="shared" si="16"/>
        <v>19810631</v>
      </c>
      <c r="F797" s="14" t="s">
        <v>137</v>
      </c>
      <c r="G797" s="14" t="s">
        <v>138</v>
      </c>
      <c r="H797" s="168" t="s">
        <v>3033</v>
      </c>
    </row>
    <row r="798" spans="1:8" s="14" customFormat="1">
      <c r="A798" s="138"/>
      <c r="B798" s="14" t="s">
        <v>4294</v>
      </c>
      <c r="C798" s="50">
        <v>214000</v>
      </c>
      <c r="D798" s="50">
        <v>0</v>
      </c>
      <c r="E798" s="8">
        <f t="shared" si="16"/>
        <v>19596631</v>
      </c>
      <c r="F798" s="14" t="s">
        <v>137</v>
      </c>
      <c r="G798" s="14" t="s">
        <v>138</v>
      </c>
      <c r="H798" s="168" t="s">
        <v>3033</v>
      </c>
    </row>
    <row r="799" spans="1:8" s="14" customFormat="1">
      <c r="A799" s="138"/>
      <c r="B799" s="14" t="s">
        <v>4294</v>
      </c>
      <c r="C799" s="50">
        <v>214000</v>
      </c>
      <c r="D799" s="50">
        <v>0</v>
      </c>
      <c r="E799" s="8">
        <f t="shared" si="16"/>
        <v>19382631</v>
      </c>
      <c r="F799" s="14" t="s">
        <v>137</v>
      </c>
      <c r="G799" s="14" t="s">
        <v>138</v>
      </c>
      <c r="H799" s="168" t="s">
        <v>3033</v>
      </c>
    </row>
    <row r="800" spans="1:8" s="14" customFormat="1">
      <c r="A800" s="138"/>
      <c r="B800" s="14" t="s">
        <v>4294</v>
      </c>
      <c r="C800" s="50">
        <v>214000</v>
      </c>
      <c r="D800" s="50">
        <v>0</v>
      </c>
      <c r="E800" s="8">
        <f t="shared" si="16"/>
        <v>19168631</v>
      </c>
      <c r="F800" s="14" t="s">
        <v>137</v>
      </c>
      <c r="G800" s="14" t="s">
        <v>138</v>
      </c>
      <c r="H800" s="168" t="s">
        <v>3033</v>
      </c>
    </row>
    <row r="801" spans="1:8" s="14" customFormat="1">
      <c r="A801" s="138"/>
      <c r="B801" s="14" t="s">
        <v>4294</v>
      </c>
      <c r="C801" s="50">
        <v>214000</v>
      </c>
      <c r="D801" s="50">
        <v>0</v>
      </c>
      <c r="E801" s="8">
        <f t="shared" si="16"/>
        <v>18954631</v>
      </c>
      <c r="F801" s="14" t="s">
        <v>137</v>
      </c>
      <c r="G801" s="14" t="s">
        <v>138</v>
      </c>
      <c r="H801" s="168" t="s">
        <v>3033</v>
      </c>
    </row>
    <row r="802" spans="1:8" s="14" customFormat="1">
      <c r="A802" s="138"/>
      <c r="B802" s="14" t="s">
        <v>4293</v>
      </c>
      <c r="C802" s="50">
        <v>164000</v>
      </c>
      <c r="D802" s="50">
        <v>0</v>
      </c>
      <c r="E802" s="8">
        <f t="shared" si="16"/>
        <v>18790631</v>
      </c>
      <c r="F802" s="14" t="s">
        <v>137</v>
      </c>
      <c r="G802" s="14" t="s">
        <v>138</v>
      </c>
      <c r="H802" s="168" t="s">
        <v>3033</v>
      </c>
    </row>
    <row r="803" spans="1:8" s="14" customFormat="1">
      <c r="A803" s="138"/>
      <c r="B803" s="14" t="s">
        <v>902</v>
      </c>
      <c r="C803" s="50">
        <v>3199000</v>
      </c>
      <c r="D803" s="50">
        <v>0</v>
      </c>
      <c r="E803" s="8">
        <f t="shared" si="16"/>
        <v>15591631</v>
      </c>
      <c r="F803" s="14" t="s">
        <v>137</v>
      </c>
      <c r="G803" s="14" t="s">
        <v>138</v>
      </c>
      <c r="H803" s="168" t="s">
        <v>3033</v>
      </c>
    </row>
    <row r="804" spans="1:8" s="14" customFormat="1">
      <c r="A804" s="138"/>
      <c r="B804" s="14" t="s">
        <v>4295</v>
      </c>
      <c r="C804" s="50">
        <v>2184306</v>
      </c>
      <c r="D804" s="50">
        <v>0</v>
      </c>
      <c r="E804" s="8">
        <f t="shared" si="16"/>
        <v>13407325</v>
      </c>
      <c r="F804" s="14" t="s">
        <v>137</v>
      </c>
      <c r="G804" s="14" t="s">
        <v>138</v>
      </c>
      <c r="H804" s="168" t="s">
        <v>3033</v>
      </c>
    </row>
    <row r="805" spans="1:8" s="14" customFormat="1">
      <c r="A805" s="138"/>
      <c r="B805" s="14" t="s">
        <v>4295</v>
      </c>
      <c r="C805" s="50">
        <v>229000</v>
      </c>
      <c r="D805" s="50">
        <v>0</v>
      </c>
      <c r="E805" s="8">
        <f t="shared" si="16"/>
        <v>13178325</v>
      </c>
      <c r="F805" s="14" t="s">
        <v>137</v>
      </c>
      <c r="G805" s="14" t="s">
        <v>138</v>
      </c>
      <c r="H805" s="168" t="s">
        <v>3033</v>
      </c>
    </row>
    <row r="806" spans="1:8" s="14" customFormat="1">
      <c r="A806" s="138"/>
      <c r="B806" s="14" t="s">
        <v>4489</v>
      </c>
      <c r="C806" s="53">
        <v>0</v>
      </c>
      <c r="D806" s="53">
        <f>1749750*12</f>
        <v>20997000</v>
      </c>
      <c r="E806" s="54">
        <f t="shared" si="16"/>
        <v>34175325</v>
      </c>
      <c r="F806" s="14" t="s">
        <v>115</v>
      </c>
      <c r="G806" s="14" t="s">
        <v>440</v>
      </c>
      <c r="H806" s="168" t="s">
        <v>4490</v>
      </c>
    </row>
    <row r="807" spans="1:8" s="14" customFormat="1">
      <c r="A807" s="138"/>
      <c r="B807" s="14" t="s">
        <v>4489</v>
      </c>
      <c r="C807" s="53">
        <f>1749750*12</f>
        <v>20997000</v>
      </c>
      <c r="D807" s="53">
        <v>0</v>
      </c>
      <c r="E807" s="54">
        <f t="shared" si="16"/>
        <v>13178325</v>
      </c>
      <c r="F807" s="14" t="s">
        <v>137</v>
      </c>
      <c r="G807" s="14" t="s">
        <v>138</v>
      </c>
      <c r="H807" s="168" t="s">
        <v>3012</v>
      </c>
    </row>
    <row r="808" spans="1:8" s="14" customFormat="1">
      <c r="A808" s="138"/>
      <c r="B808" s="14" t="s">
        <v>4489</v>
      </c>
      <c r="C808" s="53">
        <v>1749750</v>
      </c>
      <c r="D808" s="53">
        <v>0</v>
      </c>
      <c r="E808" s="54">
        <f t="shared" si="16"/>
        <v>11428575</v>
      </c>
      <c r="F808" s="14" t="s">
        <v>115</v>
      </c>
      <c r="G808" s="14" t="s">
        <v>440</v>
      </c>
      <c r="H808" s="168" t="s">
        <v>4490</v>
      </c>
    </row>
    <row r="809" spans="1:8" s="14" customFormat="1">
      <c r="A809" s="138"/>
      <c r="B809" s="14" t="s">
        <v>897</v>
      </c>
      <c r="C809" s="50">
        <v>275783</v>
      </c>
      <c r="D809" s="50">
        <v>0</v>
      </c>
      <c r="E809" s="8">
        <f t="shared" si="16"/>
        <v>11152792</v>
      </c>
      <c r="F809" s="14" t="s">
        <v>319</v>
      </c>
      <c r="G809" s="14" t="s">
        <v>117</v>
      </c>
      <c r="H809" s="14" t="s">
        <v>64</v>
      </c>
    </row>
    <row r="810" spans="1:8" s="14" customFormat="1">
      <c r="A810" s="138"/>
      <c r="B810" s="14" t="s">
        <v>4296</v>
      </c>
      <c r="C810" s="50">
        <v>1200000</v>
      </c>
      <c r="D810" s="50">
        <v>0</v>
      </c>
      <c r="E810" s="8">
        <f t="shared" si="16"/>
        <v>9952792</v>
      </c>
      <c r="F810" s="14" t="s">
        <v>137</v>
      </c>
      <c r="G810" s="14" t="s">
        <v>138</v>
      </c>
      <c r="H810" s="168" t="s">
        <v>3012</v>
      </c>
    </row>
    <row r="811" spans="1:8" s="14" customFormat="1">
      <c r="A811" s="138"/>
      <c r="B811" s="14" t="s">
        <v>4297</v>
      </c>
      <c r="C811" s="50">
        <v>48500</v>
      </c>
      <c r="D811" s="50">
        <v>0</v>
      </c>
      <c r="E811" s="8">
        <f t="shared" si="16"/>
        <v>9904292</v>
      </c>
      <c r="F811" s="14" t="s">
        <v>137</v>
      </c>
      <c r="G811" s="14" t="s">
        <v>138</v>
      </c>
      <c r="H811" s="168" t="s">
        <v>3012</v>
      </c>
    </row>
    <row r="812" spans="1:8" s="14" customFormat="1">
      <c r="A812" s="138"/>
      <c r="B812" s="14" t="s">
        <v>4297</v>
      </c>
      <c r="C812" s="50">
        <v>2278800</v>
      </c>
      <c r="D812" s="50">
        <v>0</v>
      </c>
      <c r="E812" s="8">
        <f t="shared" si="16"/>
        <v>7625492</v>
      </c>
      <c r="F812" s="14" t="s">
        <v>137</v>
      </c>
      <c r="G812" s="14" t="s">
        <v>138</v>
      </c>
      <c r="H812" s="168" t="s">
        <v>3012</v>
      </c>
    </row>
    <row r="813" spans="1:8" s="14" customFormat="1">
      <c r="A813" s="138"/>
      <c r="B813" s="14" t="s">
        <v>4298</v>
      </c>
      <c r="C813" s="50">
        <v>255000</v>
      </c>
      <c r="D813" s="50">
        <v>0</v>
      </c>
      <c r="E813" s="8">
        <f t="shared" si="16"/>
        <v>7370492</v>
      </c>
      <c r="F813" s="14" t="s">
        <v>137</v>
      </c>
      <c r="G813" s="14" t="s">
        <v>138</v>
      </c>
      <c r="H813" s="168" t="s">
        <v>3012</v>
      </c>
    </row>
    <row r="814" spans="1:8" s="14" customFormat="1">
      <c r="A814" s="138"/>
      <c r="B814" s="14" t="s">
        <v>3234</v>
      </c>
      <c r="C814" s="50">
        <v>100000</v>
      </c>
      <c r="D814" s="50">
        <v>0</v>
      </c>
      <c r="E814" s="8">
        <f t="shared" si="16"/>
        <v>7270492</v>
      </c>
      <c r="F814" s="14" t="s">
        <v>113</v>
      </c>
      <c r="G814" s="14" t="s">
        <v>478</v>
      </c>
      <c r="H814" s="14" t="s">
        <v>64</v>
      </c>
    </row>
    <row r="815" spans="1:8" s="14" customFormat="1">
      <c r="A815" s="138"/>
      <c r="B815" s="14" t="s">
        <v>3210</v>
      </c>
      <c r="C815" s="50">
        <v>2264186</v>
      </c>
      <c r="D815" s="50">
        <v>0</v>
      </c>
      <c r="E815" s="8">
        <f t="shared" si="16"/>
        <v>5006306</v>
      </c>
      <c r="F815" s="14" t="s">
        <v>113</v>
      </c>
      <c r="G815" s="14" t="s">
        <v>478</v>
      </c>
      <c r="H815" s="14" t="s">
        <v>64</v>
      </c>
    </row>
    <row r="816" spans="1:8" s="14" customFormat="1">
      <c r="A816" s="138"/>
      <c r="B816" s="14" t="s">
        <v>3235</v>
      </c>
      <c r="C816" s="50">
        <v>10000</v>
      </c>
      <c r="D816" s="50">
        <v>0</v>
      </c>
      <c r="E816" s="8">
        <f t="shared" si="16"/>
        <v>4996306</v>
      </c>
      <c r="F816" s="14" t="s">
        <v>113</v>
      </c>
      <c r="G816" s="14" t="s">
        <v>114</v>
      </c>
      <c r="H816" s="14" t="s">
        <v>64</v>
      </c>
    </row>
    <row r="817" spans="1:9" s="14" customFormat="1">
      <c r="A817" s="138"/>
      <c r="B817" s="14" t="s">
        <v>3144</v>
      </c>
      <c r="C817" s="50">
        <v>899500</v>
      </c>
      <c r="D817" s="50">
        <v>0</v>
      </c>
      <c r="E817" s="8">
        <f t="shared" si="16"/>
        <v>4096806</v>
      </c>
      <c r="F817" s="14" t="s">
        <v>248</v>
      </c>
      <c r="G817" s="14" t="s">
        <v>407</v>
      </c>
      <c r="H817" s="14" t="s">
        <v>64</v>
      </c>
    </row>
    <row r="818" spans="1:9" s="14" customFormat="1">
      <c r="A818" s="138"/>
      <c r="B818" s="14" t="s">
        <v>1052</v>
      </c>
      <c r="C818" s="50">
        <v>5000</v>
      </c>
      <c r="D818" s="50">
        <v>0</v>
      </c>
      <c r="E818" s="8">
        <f t="shared" si="16"/>
        <v>4091806</v>
      </c>
      <c r="F818" s="14" t="s">
        <v>113</v>
      </c>
      <c r="G818" s="14" t="s">
        <v>114</v>
      </c>
      <c r="H818" s="14" t="s">
        <v>64</v>
      </c>
    </row>
    <row r="819" spans="1:9" s="14" customFormat="1">
      <c r="A819" s="138"/>
      <c r="B819" s="14" t="s">
        <v>897</v>
      </c>
      <c r="C819" s="50">
        <v>775657</v>
      </c>
      <c r="D819" s="50">
        <v>0</v>
      </c>
      <c r="E819" s="8">
        <f t="shared" si="16"/>
        <v>3316149</v>
      </c>
      <c r="F819" s="14" t="s">
        <v>319</v>
      </c>
      <c r="G819" s="14" t="s">
        <v>117</v>
      </c>
      <c r="H819" s="14" t="s">
        <v>64</v>
      </c>
    </row>
    <row r="820" spans="1:9" s="14" customFormat="1">
      <c r="A820" s="138"/>
      <c r="B820" s="14" t="s">
        <v>897</v>
      </c>
      <c r="C820" s="50">
        <v>721914</v>
      </c>
      <c r="D820" s="50">
        <v>0</v>
      </c>
      <c r="E820" s="8">
        <f t="shared" si="16"/>
        <v>2594235</v>
      </c>
      <c r="F820" s="14" t="s">
        <v>319</v>
      </c>
      <c r="G820" s="14" t="s">
        <v>117</v>
      </c>
      <c r="H820" s="14" t="s">
        <v>64</v>
      </c>
    </row>
    <row r="821" spans="1:9" s="14" customFormat="1">
      <c r="A821" s="138"/>
      <c r="B821" s="14" t="s">
        <v>4299</v>
      </c>
      <c r="C821" s="50">
        <v>793903</v>
      </c>
      <c r="D821" s="50">
        <v>0</v>
      </c>
      <c r="E821" s="8">
        <f t="shared" si="16"/>
        <v>1800332</v>
      </c>
      <c r="F821" s="14" t="s">
        <v>248</v>
      </c>
      <c r="G821" s="14" t="s">
        <v>407</v>
      </c>
      <c r="H821" s="14" t="s">
        <v>64</v>
      </c>
    </row>
    <row r="822" spans="1:9" s="14" customFormat="1">
      <c r="A822" s="138"/>
      <c r="B822" s="14" t="s">
        <v>897</v>
      </c>
      <c r="C822" s="50">
        <v>329715</v>
      </c>
      <c r="D822" s="50">
        <v>0</v>
      </c>
      <c r="E822" s="8">
        <f t="shared" si="16"/>
        <v>1470617</v>
      </c>
      <c r="F822" s="14" t="s">
        <v>319</v>
      </c>
      <c r="G822" s="14" t="s">
        <v>117</v>
      </c>
      <c r="H822" s="14" t="s">
        <v>64</v>
      </c>
    </row>
    <row r="823" spans="1:9" s="14" customFormat="1">
      <c r="A823" s="138"/>
      <c r="B823" s="14" t="s">
        <v>897</v>
      </c>
      <c r="C823" s="50">
        <v>718860</v>
      </c>
      <c r="D823" s="50">
        <v>0</v>
      </c>
      <c r="E823" s="8">
        <f t="shared" si="16"/>
        <v>751757</v>
      </c>
      <c r="F823" s="14" t="s">
        <v>319</v>
      </c>
      <c r="G823" s="14" t="s">
        <v>117</v>
      </c>
      <c r="H823" s="14" t="s">
        <v>64</v>
      </c>
    </row>
    <row r="824" spans="1:9" s="14" customFormat="1">
      <c r="A824" s="138"/>
      <c r="B824" s="14" t="s">
        <v>897</v>
      </c>
      <c r="C824" s="50">
        <v>600562</v>
      </c>
      <c r="D824" s="50">
        <v>0</v>
      </c>
      <c r="E824" s="8">
        <f t="shared" si="16"/>
        <v>151195</v>
      </c>
      <c r="F824" s="14" t="s">
        <v>319</v>
      </c>
      <c r="G824" s="14" t="s">
        <v>117</v>
      </c>
      <c r="H824" s="14" t="s">
        <v>64</v>
      </c>
    </row>
    <row r="825" spans="1:9" s="14" customFormat="1">
      <c r="A825" s="138"/>
      <c r="B825" s="14" t="s">
        <v>3210</v>
      </c>
      <c r="C825" s="50">
        <v>151195</v>
      </c>
      <c r="D825" s="50">
        <v>0</v>
      </c>
      <c r="E825" s="8">
        <f t="shared" si="16"/>
        <v>0</v>
      </c>
      <c r="F825" s="14" t="s">
        <v>113</v>
      </c>
      <c r="G825" s="14" t="s">
        <v>478</v>
      </c>
      <c r="H825" s="14" t="s">
        <v>64</v>
      </c>
    </row>
    <row r="826" spans="1:9" s="14" customFormat="1">
      <c r="A826" s="3">
        <v>44368</v>
      </c>
      <c r="B826" t="s">
        <v>1790</v>
      </c>
      <c r="C826" s="54">
        <v>0</v>
      </c>
      <c r="D826" s="54">
        <v>45044366.800000012</v>
      </c>
      <c r="E826" s="8">
        <f t="shared" si="16"/>
        <v>45044366.800000012</v>
      </c>
      <c r="F826" t="s">
        <v>581</v>
      </c>
      <c r="G826" t="s">
        <v>582</v>
      </c>
      <c r="H826" s="14" t="s">
        <v>1128</v>
      </c>
      <c r="I826">
        <v>17</v>
      </c>
    </row>
    <row r="827" spans="1:9" s="14" customFormat="1">
      <c r="A827" s="138"/>
      <c r="B827" t="s">
        <v>1790</v>
      </c>
      <c r="C827" s="50">
        <v>37536972.800000004</v>
      </c>
      <c r="D827" s="50"/>
      <c r="E827" s="8">
        <f t="shared" si="16"/>
        <v>7507394.0000000075</v>
      </c>
      <c r="F827" s="14" t="s">
        <v>568</v>
      </c>
      <c r="G827" s="14" t="s">
        <v>4395</v>
      </c>
      <c r="H827" s="14" t="s">
        <v>1128</v>
      </c>
      <c r="I827">
        <v>17</v>
      </c>
    </row>
    <row r="828" spans="1:9" s="14" customFormat="1">
      <c r="A828" s="138"/>
      <c r="B828" t="s">
        <v>1790</v>
      </c>
      <c r="C828" s="50">
        <v>7507394.0000000075</v>
      </c>
      <c r="D828" s="50"/>
      <c r="E828" s="8">
        <f t="shared" si="16"/>
        <v>0</v>
      </c>
      <c r="F828" t="s">
        <v>714</v>
      </c>
      <c r="G828" t="s">
        <v>715</v>
      </c>
      <c r="H828" s="14" t="s">
        <v>1128</v>
      </c>
      <c r="I828">
        <v>17</v>
      </c>
    </row>
    <row r="829" spans="1:9" s="14" customFormat="1">
      <c r="A829" s="3">
        <v>44368</v>
      </c>
      <c r="B829" t="s">
        <v>4626</v>
      </c>
      <c r="C829" s="54">
        <v>0</v>
      </c>
      <c r="D829" s="54">
        <v>18864000</v>
      </c>
      <c r="E829" s="54">
        <f t="shared" si="16"/>
        <v>18864000</v>
      </c>
      <c r="F829" t="s">
        <v>581</v>
      </c>
      <c r="G829" t="s">
        <v>582</v>
      </c>
      <c r="H829" s="14" t="s">
        <v>2958</v>
      </c>
      <c r="I829">
        <v>33</v>
      </c>
    </row>
    <row r="830" spans="1:9" s="14" customFormat="1">
      <c r="A830" s="3"/>
      <c r="B830" t="s">
        <v>4626</v>
      </c>
      <c r="C830" s="54">
        <v>15720000</v>
      </c>
      <c r="D830" s="54">
        <v>0</v>
      </c>
      <c r="E830" s="54">
        <f t="shared" si="16"/>
        <v>3144000</v>
      </c>
      <c r="F830" t="s">
        <v>568</v>
      </c>
      <c r="G830" t="s">
        <v>4395</v>
      </c>
      <c r="H830" s="14" t="s">
        <v>2958</v>
      </c>
      <c r="I830">
        <v>33</v>
      </c>
    </row>
    <row r="831" spans="1:9" s="14" customFormat="1">
      <c r="A831" s="138"/>
      <c r="B831" t="s">
        <v>4626</v>
      </c>
      <c r="C831" s="54">
        <v>3144000</v>
      </c>
      <c r="D831" s="54">
        <v>0</v>
      </c>
      <c r="E831" s="54">
        <f t="shared" si="16"/>
        <v>0</v>
      </c>
      <c r="F831" t="s">
        <v>714</v>
      </c>
      <c r="G831" t="s">
        <v>715</v>
      </c>
      <c r="H831" s="14" t="s">
        <v>2958</v>
      </c>
      <c r="I831"/>
    </row>
    <row r="832" spans="1:9" s="14" customFormat="1">
      <c r="A832" s="3">
        <v>44375</v>
      </c>
      <c r="B832" t="s">
        <v>1925</v>
      </c>
      <c r="C832" s="54">
        <v>0</v>
      </c>
      <c r="D832" s="54">
        <v>12545454.5</v>
      </c>
      <c r="E832" s="54">
        <f t="shared" si="16"/>
        <v>12545454.5</v>
      </c>
      <c r="F832" t="s">
        <v>581</v>
      </c>
      <c r="G832" t="s">
        <v>582</v>
      </c>
      <c r="H832" s="14" t="s">
        <v>3019</v>
      </c>
      <c r="I832">
        <v>36</v>
      </c>
    </row>
    <row r="833" spans="1:9" s="14" customFormat="1">
      <c r="A833" s="138"/>
      <c r="B833" t="s">
        <v>1925</v>
      </c>
      <c r="C833" s="50">
        <v>10454545.5</v>
      </c>
      <c r="D833" s="50"/>
      <c r="E833" s="8">
        <f t="shared" si="16"/>
        <v>2090909</v>
      </c>
      <c r="F833" s="14" t="s">
        <v>568</v>
      </c>
      <c r="G833" s="14" t="s">
        <v>4395</v>
      </c>
      <c r="H833" s="14" t="s">
        <v>3019</v>
      </c>
      <c r="I833">
        <v>36</v>
      </c>
    </row>
    <row r="834" spans="1:9" s="14" customFormat="1">
      <c r="A834" s="138"/>
      <c r="B834" t="s">
        <v>1925</v>
      </c>
      <c r="C834" s="50">
        <v>2090909</v>
      </c>
      <c r="D834" s="50"/>
      <c r="E834" s="8">
        <f t="shared" si="16"/>
        <v>0</v>
      </c>
      <c r="F834" t="s">
        <v>714</v>
      </c>
      <c r="G834" t="s">
        <v>715</v>
      </c>
      <c r="H834" s="14" t="s">
        <v>3019</v>
      </c>
      <c r="I834">
        <v>36</v>
      </c>
    </row>
    <row r="835" spans="1:9" s="14" customFormat="1">
      <c r="A835" s="3">
        <v>44375</v>
      </c>
      <c r="B835" t="s">
        <v>1927</v>
      </c>
      <c r="C835" s="8">
        <v>0</v>
      </c>
      <c r="D835" s="8">
        <v>6654546.299999997</v>
      </c>
      <c r="E835" s="8">
        <f t="shared" si="16"/>
        <v>6654546.299999997</v>
      </c>
      <c r="F835" t="s">
        <v>581</v>
      </c>
      <c r="G835" t="s">
        <v>582</v>
      </c>
      <c r="H835" s="14" t="s">
        <v>3011</v>
      </c>
      <c r="I835" t="s">
        <v>4498</v>
      </c>
    </row>
    <row r="836" spans="1:9" s="14" customFormat="1">
      <c r="A836" s="138"/>
      <c r="B836" t="s">
        <v>1927</v>
      </c>
      <c r="C836" s="50">
        <v>5545455.3000000007</v>
      </c>
      <c r="D836" s="50"/>
      <c r="E836" s="8">
        <f t="shared" si="16"/>
        <v>1109090.9999999963</v>
      </c>
      <c r="F836" s="14" t="s">
        <v>568</v>
      </c>
      <c r="G836" s="14" t="s">
        <v>4395</v>
      </c>
      <c r="H836" s="14" t="s">
        <v>3011</v>
      </c>
      <c r="I836" t="s">
        <v>3382</v>
      </c>
    </row>
    <row r="837" spans="1:9" s="14" customFormat="1">
      <c r="A837" s="138"/>
      <c r="B837" t="s">
        <v>1927</v>
      </c>
      <c r="C837" s="50">
        <v>1109090.9999999963</v>
      </c>
      <c r="D837" s="50"/>
      <c r="E837" s="8">
        <f t="shared" si="16"/>
        <v>0</v>
      </c>
      <c r="F837" t="s">
        <v>714</v>
      </c>
      <c r="G837" t="s">
        <v>715</v>
      </c>
      <c r="H837" s="14" t="s">
        <v>3011</v>
      </c>
      <c r="I837" s="169" t="s">
        <v>3382</v>
      </c>
    </row>
    <row r="838" spans="1:9" s="14" customFormat="1">
      <c r="A838" s="3">
        <v>44375</v>
      </c>
      <c r="B838" t="s">
        <v>1926</v>
      </c>
      <c r="C838" s="8">
        <v>0</v>
      </c>
      <c r="D838" s="8">
        <v>1781999.9999999981</v>
      </c>
      <c r="E838" s="8">
        <f t="shared" si="16"/>
        <v>1781999.9999999981</v>
      </c>
      <c r="F838" t="s">
        <v>581</v>
      </c>
      <c r="G838" t="s">
        <v>582</v>
      </c>
      <c r="H838" s="14" t="s">
        <v>3012</v>
      </c>
      <c r="I838">
        <v>46</v>
      </c>
    </row>
    <row r="839" spans="1:9" s="14" customFormat="1">
      <c r="A839" s="138"/>
      <c r="B839" t="s">
        <v>1926</v>
      </c>
      <c r="C839" s="50">
        <v>1485000</v>
      </c>
      <c r="D839" s="50"/>
      <c r="E839" s="8">
        <f t="shared" si="16"/>
        <v>296999.99999999814</v>
      </c>
      <c r="F839" s="14" t="s">
        <v>568</v>
      </c>
      <c r="G839" s="14" t="s">
        <v>4395</v>
      </c>
      <c r="H839" s="14" t="s">
        <v>3012</v>
      </c>
      <c r="I839">
        <v>46</v>
      </c>
    </row>
    <row r="840" spans="1:9" s="14" customFormat="1">
      <c r="A840" s="138"/>
      <c r="B840" t="s">
        <v>1926</v>
      </c>
      <c r="C840" s="50">
        <v>296999.99999999814</v>
      </c>
      <c r="D840" s="50"/>
      <c r="E840" s="8">
        <f t="shared" si="16"/>
        <v>0</v>
      </c>
      <c r="F840" t="s">
        <v>714</v>
      </c>
      <c r="G840" t="s">
        <v>715</v>
      </c>
      <c r="H840" s="14" t="s">
        <v>3012</v>
      </c>
      <c r="I840">
        <v>46</v>
      </c>
    </row>
    <row r="841" spans="1:9" s="14" customFormat="1">
      <c r="A841" s="138">
        <v>44376</v>
      </c>
      <c r="B841" s="49" t="s">
        <v>1696</v>
      </c>
      <c r="C841" s="50">
        <v>0</v>
      </c>
      <c r="D841" s="50">
        <v>11400000</v>
      </c>
      <c r="E841" s="8">
        <f t="shared" si="16"/>
        <v>11400000</v>
      </c>
      <c r="F841" s="83" t="s">
        <v>107</v>
      </c>
      <c r="G841" s="14" t="s">
        <v>666</v>
      </c>
      <c r="H841" s="14" t="s">
        <v>3405</v>
      </c>
      <c r="I841" s="14" t="s">
        <v>3555</v>
      </c>
    </row>
    <row r="842" spans="1:9" s="64" customFormat="1">
      <c r="A842" s="12"/>
      <c r="B842" s="7" t="s">
        <v>3556</v>
      </c>
      <c r="C842" s="54">
        <v>1000000</v>
      </c>
      <c r="D842" s="54"/>
      <c r="E842" s="54">
        <f t="shared" si="16"/>
        <v>10400000</v>
      </c>
      <c r="F842" s="80" t="s">
        <v>137</v>
      </c>
      <c r="G842" s="14" t="s">
        <v>138</v>
      </c>
      <c r="H842" s="168" t="s">
        <v>3033</v>
      </c>
      <c r="I842"/>
    </row>
    <row r="843" spans="1:9" s="64" customFormat="1">
      <c r="A843" s="12"/>
      <c r="B843" s="7" t="s">
        <v>3557</v>
      </c>
      <c r="C843" s="54">
        <v>24000</v>
      </c>
      <c r="D843" s="54"/>
      <c r="E843" s="54">
        <f t="shared" si="16"/>
        <v>10376000</v>
      </c>
      <c r="F843" s="80" t="s">
        <v>137</v>
      </c>
      <c r="G843" s="14" t="s">
        <v>138</v>
      </c>
      <c r="H843" s="168" t="s">
        <v>3033</v>
      </c>
      <c r="I843"/>
    </row>
    <row r="844" spans="1:9" s="64" customFormat="1">
      <c r="A844" s="12"/>
      <c r="B844" s="7" t="s">
        <v>3558</v>
      </c>
      <c r="C844" s="54">
        <v>24000</v>
      </c>
      <c r="D844" s="54"/>
      <c r="E844" s="54">
        <f t="shared" si="16"/>
        <v>10352000</v>
      </c>
      <c r="F844" s="80" t="s">
        <v>137</v>
      </c>
      <c r="G844" s="14" t="s">
        <v>138</v>
      </c>
      <c r="H844" s="168" t="s">
        <v>3033</v>
      </c>
      <c r="I844"/>
    </row>
    <row r="845" spans="1:9" s="14" customFormat="1">
      <c r="A845" s="138"/>
      <c r="B845" s="14" t="s">
        <v>3559</v>
      </c>
      <c r="C845" s="53">
        <v>23000</v>
      </c>
      <c r="D845" s="53"/>
      <c r="E845" s="54">
        <f t="shared" si="16"/>
        <v>10329000</v>
      </c>
      <c r="F845" s="80" t="s">
        <v>137</v>
      </c>
      <c r="G845" s="14" t="s">
        <v>138</v>
      </c>
      <c r="H845" s="168" t="s">
        <v>3033</v>
      </c>
    </row>
    <row r="846" spans="1:9" s="14" customFormat="1">
      <c r="A846" s="138"/>
      <c r="B846" s="14" t="s">
        <v>3560</v>
      </c>
      <c r="C846" s="53">
        <v>24000</v>
      </c>
      <c r="D846" s="53"/>
      <c r="E846" s="54">
        <f t="shared" si="16"/>
        <v>10305000</v>
      </c>
      <c r="F846" s="80" t="s">
        <v>137</v>
      </c>
      <c r="G846" s="14" t="s">
        <v>138</v>
      </c>
      <c r="H846" s="168" t="s">
        <v>3033</v>
      </c>
    </row>
    <row r="847" spans="1:9" s="14" customFormat="1">
      <c r="A847" s="138"/>
      <c r="B847" s="14" t="s">
        <v>3561</v>
      </c>
      <c r="C847" s="53">
        <v>24000</v>
      </c>
      <c r="D847" s="53"/>
      <c r="E847" s="54">
        <f t="shared" si="16"/>
        <v>10281000</v>
      </c>
      <c r="F847" s="80" t="s">
        <v>137</v>
      </c>
      <c r="G847" s="14" t="s">
        <v>138</v>
      </c>
      <c r="H847" s="168" t="s">
        <v>3033</v>
      </c>
    </row>
    <row r="848" spans="1:9" s="14" customFormat="1">
      <c r="A848" s="138"/>
      <c r="B848" s="14" t="s">
        <v>3562</v>
      </c>
      <c r="C848" s="53">
        <v>25000</v>
      </c>
      <c r="D848" s="53"/>
      <c r="E848" s="54">
        <f t="shared" si="16"/>
        <v>10256000</v>
      </c>
      <c r="F848" s="80" t="s">
        <v>137</v>
      </c>
      <c r="G848" s="14" t="s">
        <v>138</v>
      </c>
      <c r="H848" s="168" t="s">
        <v>3033</v>
      </c>
    </row>
    <row r="849" spans="1:9" s="14" customFormat="1">
      <c r="A849" s="138"/>
      <c r="B849" s="14" t="s">
        <v>3563</v>
      </c>
      <c r="C849" s="53">
        <v>24000</v>
      </c>
      <c r="D849" s="53"/>
      <c r="E849" s="54">
        <f t="shared" si="16"/>
        <v>10232000</v>
      </c>
      <c r="F849" s="80" t="s">
        <v>137</v>
      </c>
      <c r="G849" s="14" t="s">
        <v>138</v>
      </c>
      <c r="H849" s="168" t="s">
        <v>3033</v>
      </c>
    </row>
    <row r="850" spans="1:9" s="14" customFormat="1">
      <c r="A850" s="138"/>
      <c r="B850" s="14" t="s">
        <v>3564</v>
      </c>
      <c r="C850" s="53">
        <v>24000</v>
      </c>
      <c r="D850" s="53"/>
      <c r="E850" s="54">
        <f t="shared" si="16"/>
        <v>10208000</v>
      </c>
      <c r="F850" s="80" t="s">
        <v>137</v>
      </c>
      <c r="G850" s="14" t="s">
        <v>138</v>
      </c>
      <c r="H850" s="168" t="s">
        <v>3033</v>
      </c>
    </row>
    <row r="851" spans="1:9" s="14" customFormat="1">
      <c r="A851" s="138"/>
      <c r="B851" s="14" t="s">
        <v>3565</v>
      </c>
      <c r="C851" s="53">
        <v>24000</v>
      </c>
      <c r="D851" s="53"/>
      <c r="E851" s="54">
        <f t="shared" si="16"/>
        <v>10184000</v>
      </c>
      <c r="F851" s="80" t="s">
        <v>137</v>
      </c>
      <c r="G851" s="14" t="s">
        <v>138</v>
      </c>
      <c r="H851" s="168" t="s">
        <v>3033</v>
      </c>
    </row>
    <row r="852" spans="1:9" s="14" customFormat="1">
      <c r="A852" s="138"/>
      <c r="B852" s="14" t="s">
        <v>3566</v>
      </c>
      <c r="C852" s="53">
        <v>24000</v>
      </c>
      <c r="D852" s="53"/>
      <c r="E852" s="54">
        <f t="shared" si="16"/>
        <v>10160000</v>
      </c>
      <c r="F852" s="80" t="s">
        <v>137</v>
      </c>
      <c r="G852" s="14" t="s">
        <v>138</v>
      </c>
      <c r="H852" s="168" t="s">
        <v>3033</v>
      </c>
    </row>
    <row r="853" spans="1:9" s="14" customFormat="1">
      <c r="A853" s="138"/>
      <c r="B853" s="14" t="s">
        <v>3567</v>
      </c>
      <c r="C853" s="53">
        <v>500000</v>
      </c>
      <c r="D853" s="53"/>
      <c r="E853" s="54">
        <f t="shared" si="16"/>
        <v>9660000</v>
      </c>
      <c r="F853" s="80" t="s">
        <v>137</v>
      </c>
      <c r="G853" s="14" t="s">
        <v>138</v>
      </c>
      <c r="H853" s="168" t="s">
        <v>3033</v>
      </c>
    </row>
    <row r="854" spans="1:9" s="14" customFormat="1">
      <c r="A854" s="138"/>
      <c r="B854" s="14" t="s">
        <v>3568</v>
      </c>
      <c r="C854" s="53">
        <v>345000</v>
      </c>
      <c r="D854" s="53"/>
      <c r="E854" s="54">
        <f t="shared" si="16"/>
        <v>9315000</v>
      </c>
      <c r="F854" s="80" t="s">
        <v>137</v>
      </c>
      <c r="G854" s="14" t="s">
        <v>138</v>
      </c>
      <c r="H854" s="168" t="s">
        <v>3033</v>
      </c>
    </row>
    <row r="855" spans="1:9" s="14" customFormat="1">
      <c r="A855" s="138"/>
      <c r="B855" s="14" t="s">
        <v>3569</v>
      </c>
      <c r="C855" s="53">
        <v>353000</v>
      </c>
      <c r="D855" s="53"/>
      <c r="E855" s="54">
        <f t="shared" si="16"/>
        <v>8962000</v>
      </c>
      <c r="F855" s="80" t="s">
        <v>137</v>
      </c>
      <c r="G855" s="14" t="s">
        <v>138</v>
      </c>
      <c r="H855" s="168" t="s">
        <v>3033</v>
      </c>
    </row>
    <row r="856" spans="1:9" s="14" customFormat="1">
      <c r="A856" s="138"/>
      <c r="B856" s="14" t="s">
        <v>3570</v>
      </c>
      <c r="C856" s="53">
        <v>371000</v>
      </c>
      <c r="D856" s="53"/>
      <c r="E856" s="54">
        <f t="shared" si="16"/>
        <v>8591000</v>
      </c>
      <c r="F856" s="14" t="s">
        <v>115</v>
      </c>
      <c r="G856" s="14" t="s">
        <v>120</v>
      </c>
      <c r="H856" s="14" t="s">
        <v>127</v>
      </c>
      <c r="I856" s="14" t="s">
        <v>444</v>
      </c>
    </row>
    <row r="857" spans="1:9" s="14" customFormat="1">
      <c r="A857" s="138"/>
      <c r="B857" s="14" t="s">
        <v>3571</v>
      </c>
      <c r="C857" s="53">
        <v>280000</v>
      </c>
      <c r="D857" s="53"/>
      <c r="E857" s="54">
        <f t="shared" si="16"/>
        <v>8311000</v>
      </c>
      <c r="F857" s="14" t="s">
        <v>137</v>
      </c>
      <c r="G857" s="14" t="s">
        <v>138</v>
      </c>
      <c r="H857" s="168" t="s">
        <v>3033</v>
      </c>
    </row>
    <row r="858" spans="1:9" s="14" customFormat="1">
      <c r="A858" s="138"/>
      <c r="B858" s="14" t="s">
        <v>3572</v>
      </c>
      <c r="C858" s="53">
        <v>1440000</v>
      </c>
      <c r="D858" s="53"/>
      <c r="E858" s="54">
        <f t="shared" si="16"/>
        <v>6871000</v>
      </c>
      <c r="F858" s="14" t="s">
        <v>137</v>
      </c>
      <c r="G858" s="14" t="s">
        <v>138</v>
      </c>
      <c r="H858" s="168" t="s">
        <v>3033</v>
      </c>
    </row>
    <row r="859" spans="1:9" s="14" customFormat="1">
      <c r="A859" s="138"/>
      <c r="B859" s="14" t="s">
        <v>3573</v>
      </c>
      <c r="C859" s="53">
        <v>379099</v>
      </c>
      <c r="D859" s="53"/>
      <c r="E859" s="54">
        <f t="shared" si="16"/>
        <v>6491901</v>
      </c>
      <c r="F859" s="14" t="s">
        <v>137</v>
      </c>
      <c r="G859" s="14" t="s">
        <v>138</v>
      </c>
      <c r="H859" s="168" t="s">
        <v>3033</v>
      </c>
    </row>
    <row r="860" spans="1:9" s="14" customFormat="1">
      <c r="A860" s="138"/>
      <c r="B860" s="14" t="s">
        <v>3574</v>
      </c>
      <c r="C860" s="53">
        <v>100000</v>
      </c>
      <c r="D860" s="53"/>
      <c r="E860" s="54">
        <f t="shared" si="16"/>
        <v>6391901</v>
      </c>
      <c r="F860" s="14" t="s">
        <v>137</v>
      </c>
      <c r="G860" s="14" t="s">
        <v>138</v>
      </c>
      <c r="H860" s="168" t="s">
        <v>3033</v>
      </c>
    </row>
    <row r="861" spans="1:9" s="14" customFormat="1">
      <c r="A861" s="138"/>
      <c r="B861" s="14" t="s">
        <v>3575</v>
      </c>
      <c r="C861" s="53">
        <v>75000</v>
      </c>
      <c r="D861" s="53"/>
      <c r="E861" s="54">
        <f t="shared" si="16"/>
        <v>6316901</v>
      </c>
      <c r="F861" s="14" t="s">
        <v>137</v>
      </c>
      <c r="G861" s="14" t="s">
        <v>138</v>
      </c>
      <c r="H861" s="168" t="s">
        <v>3033</v>
      </c>
    </row>
    <row r="862" spans="1:9" s="14" customFormat="1">
      <c r="A862" s="138"/>
      <c r="B862" s="14" t="s">
        <v>3576</v>
      </c>
      <c r="C862" s="53">
        <v>60000</v>
      </c>
      <c r="D862" s="53"/>
      <c r="E862" s="54">
        <f t="shared" si="16"/>
        <v>6256901</v>
      </c>
      <c r="F862" s="14" t="s">
        <v>137</v>
      </c>
      <c r="G862" s="14" t="s">
        <v>138</v>
      </c>
      <c r="H862" s="168" t="s">
        <v>3033</v>
      </c>
    </row>
    <row r="863" spans="1:9" s="14" customFormat="1">
      <c r="A863" s="138"/>
      <c r="B863" s="14" t="s">
        <v>3577</v>
      </c>
      <c r="C863" s="53">
        <v>120000</v>
      </c>
      <c r="D863" s="53"/>
      <c r="E863" s="54">
        <f t="shared" si="16"/>
        <v>6136901</v>
      </c>
      <c r="F863" s="14" t="s">
        <v>137</v>
      </c>
      <c r="G863" s="14" t="s">
        <v>138</v>
      </c>
      <c r="H863" s="168" t="s">
        <v>3033</v>
      </c>
    </row>
    <row r="864" spans="1:9" s="14" customFormat="1">
      <c r="A864" s="138"/>
      <c r="B864" s="14" t="s">
        <v>3578</v>
      </c>
      <c r="C864" s="53">
        <v>150000</v>
      </c>
      <c r="D864" s="53"/>
      <c r="E864" s="54">
        <f t="shared" si="16"/>
        <v>5986901</v>
      </c>
      <c r="F864" s="14" t="s">
        <v>115</v>
      </c>
      <c r="G864" s="14" t="s">
        <v>120</v>
      </c>
      <c r="H864" s="14" t="s">
        <v>127</v>
      </c>
      <c r="I864" s="14" t="s">
        <v>444</v>
      </c>
    </row>
    <row r="865" spans="1:9" s="14" customFormat="1">
      <c r="A865" s="138"/>
      <c r="B865" s="14" t="s">
        <v>3579</v>
      </c>
      <c r="C865" s="53">
        <v>35000</v>
      </c>
      <c r="D865" s="53"/>
      <c r="E865" s="54">
        <f t="shared" si="16"/>
        <v>5951901</v>
      </c>
      <c r="F865" s="14" t="s">
        <v>115</v>
      </c>
      <c r="G865" s="14" t="s">
        <v>120</v>
      </c>
      <c r="H865" s="14" t="s">
        <v>127</v>
      </c>
      <c r="I865" s="14" t="s">
        <v>444</v>
      </c>
    </row>
    <row r="866" spans="1:9" s="14" customFormat="1">
      <c r="A866" s="138"/>
      <c r="B866" s="14" t="s">
        <v>3580</v>
      </c>
      <c r="C866" s="53">
        <v>161700</v>
      </c>
      <c r="D866" s="53"/>
      <c r="E866" s="54">
        <f t="shared" si="16"/>
        <v>5790201</v>
      </c>
      <c r="F866" s="14" t="s">
        <v>115</v>
      </c>
      <c r="G866" s="14" t="s">
        <v>120</v>
      </c>
      <c r="H866" s="14" t="s">
        <v>127</v>
      </c>
      <c r="I866" s="14" t="s">
        <v>444</v>
      </c>
    </row>
    <row r="867" spans="1:9" s="14" customFormat="1">
      <c r="A867" s="138"/>
      <c r="B867" s="14" t="s">
        <v>3581</v>
      </c>
      <c r="C867" s="53">
        <v>167100</v>
      </c>
      <c r="D867" s="53"/>
      <c r="E867" s="54">
        <f t="shared" si="16"/>
        <v>5623101</v>
      </c>
      <c r="F867" s="14" t="s">
        <v>115</v>
      </c>
      <c r="G867" s="14" t="s">
        <v>120</v>
      </c>
      <c r="H867" s="14" t="s">
        <v>127</v>
      </c>
      <c r="I867" s="14" t="s">
        <v>444</v>
      </c>
    </row>
    <row r="868" spans="1:9" s="14" customFormat="1">
      <c r="A868" s="138"/>
      <c r="B868" s="14" t="s">
        <v>3582</v>
      </c>
      <c r="C868" s="53">
        <v>134000</v>
      </c>
      <c r="D868" s="53"/>
      <c r="E868" s="54">
        <f t="shared" si="16"/>
        <v>5489101</v>
      </c>
      <c r="F868" s="14" t="s">
        <v>115</v>
      </c>
      <c r="G868" s="14" t="s">
        <v>120</v>
      </c>
      <c r="H868" s="14" t="s">
        <v>127</v>
      </c>
      <c r="I868" s="14" t="s">
        <v>444</v>
      </c>
    </row>
    <row r="869" spans="1:9" s="14" customFormat="1">
      <c r="A869" s="138"/>
      <c r="B869" s="14" t="s">
        <v>3583</v>
      </c>
      <c r="C869" s="53">
        <v>129000</v>
      </c>
      <c r="D869" s="53"/>
      <c r="E869" s="54">
        <f t="shared" si="16"/>
        <v>5360101</v>
      </c>
      <c r="F869" s="14" t="s">
        <v>115</v>
      </c>
      <c r="G869" s="14" t="s">
        <v>120</v>
      </c>
      <c r="H869" s="14" t="s">
        <v>127</v>
      </c>
      <c r="I869" s="14" t="s">
        <v>444</v>
      </c>
    </row>
    <row r="870" spans="1:9" s="14" customFormat="1">
      <c r="A870" s="138"/>
      <c r="B870" s="14" t="s">
        <v>3584</v>
      </c>
      <c r="C870" s="53">
        <v>163200</v>
      </c>
      <c r="D870" s="53"/>
      <c r="E870" s="54">
        <f t="shared" si="16"/>
        <v>5196901</v>
      </c>
      <c r="F870" s="14" t="s">
        <v>115</v>
      </c>
      <c r="G870" s="14" t="s">
        <v>120</v>
      </c>
      <c r="H870" s="14" t="s">
        <v>127</v>
      </c>
      <c r="I870" s="14" t="s">
        <v>444</v>
      </c>
    </row>
    <row r="871" spans="1:9" s="14" customFormat="1">
      <c r="A871" s="138"/>
      <c r="B871" s="14" t="s">
        <v>3585</v>
      </c>
      <c r="C871" s="53">
        <v>135700</v>
      </c>
      <c r="D871" s="53"/>
      <c r="E871" s="54">
        <f t="shared" ref="E871:E937" si="17">E870-C871+D871</f>
        <v>5061201</v>
      </c>
      <c r="F871" s="14" t="s">
        <v>115</v>
      </c>
      <c r="G871" s="14" t="s">
        <v>120</v>
      </c>
      <c r="H871" s="14" t="s">
        <v>127</v>
      </c>
      <c r="I871" s="14" t="s">
        <v>444</v>
      </c>
    </row>
    <row r="872" spans="1:9" s="14" customFormat="1">
      <c r="A872" s="138"/>
      <c r="B872" s="14" t="s">
        <v>3586</v>
      </c>
      <c r="C872" s="53">
        <v>161800</v>
      </c>
      <c r="D872" s="53"/>
      <c r="E872" s="54">
        <f t="shared" si="17"/>
        <v>4899401</v>
      </c>
      <c r="F872" s="14" t="s">
        <v>115</v>
      </c>
      <c r="G872" s="14" t="s">
        <v>120</v>
      </c>
      <c r="H872" s="14" t="s">
        <v>127</v>
      </c>
      <c r="I872" s="14" t="s">
        <v>444</v>
      </c>
    </row>
    <row r="873" spans="1:9" s="14" customFormat="1">
      <c r="A873" s="138"/>
      <c r="B873" s="14" t="s">
        <v>3587</v>
      </c>
      <c r="C873" s="53">
        <v>167500</v>
      </c>
      <c r="D873" s="53"/>
      <c r="E873" s="54">
        <f t="shared" si="17"/>
        <v>4731901</v>
      </c>
      <c r="F873" s="14" t="s">
        <v>115</v>
      </c>
      <c r="G873" s="14" t="s">
        <v>120</v>
      </c>
      <c r="H873" s="14" t="s">
        <v>127</v>
      </c>
      <c r="I873" s="14" t="s">
        <v>444</v>
      </c>
    </row>
    <row r="874" spans="1:9" s="14" customFormat="1">
      <c r="A874" s="138"/>
      <c r="B874" s="14" t="s">
        <v>3588</v>
      </c>
      <c r="C874" s="53">
        <v>164300</v>
      </c>
      <c r="D874" s="53"/>
      <c r="E874" s="54">
        <f t="shared" si="17"/>
        <v>4567601</v>
      </c>
      <c r="F874" s="14" t="s">
        <v>115</v>
      </c>
      <c r="G874" s="14" t="s">
        <v>120</v>
      </c>
      <c r="H874" s="14" t="s">
        <v>127</v>
      </c>
      <c r="I874" s="14" t="s">
        <v>444</v>
      </c>
    </row>
    <row r="875" spans="1:9" s="14" customFormat="1">
      <c r="A875" s="138"/>
      <c r="B875" s="14" t="s">
        <v>3589</v>
      </c>
      <c r="C875" s="53">
        <v>127500</v>
      </c>
      <c r="D875" s="53"/>
      <c r="E875" s="54">
        <f t="shared" si="17"/>
        <v>4440101</v>
      </c>
      <c r="F875" s="14" t="s">
        <v>115</v>
      </c>
      <c r="G875" s="14" t="s">
        <v>120</v>
      </c>
      <c r="H875" s="14" t="s">
        <v>127</v>
      </c>
      <c r="I875" s="14" t="s">
        <v>444</v>
      </c>
    </row>
    <row r="876" spans="1:9" s="14" customFormat="1">
      <c r="A876" s="138"/>
      <c r="B876" s="14" t="s">
        <v>3590</v>
      </c>
      <c r="C876" s="53">
        <v>169100</v>
      </c>
      <c r="D876" s="53"/>
      <c r="E876" s="54">
        <f t="shared" si="17"/>
        <v>4271001</v>
      </c>
      <c r="F876" s="14" t="s">
        <v>115</v>
      </c>
      <c r="G876" s="14" t="s">
        <v>120</v>
      </c>
      <c r="H876" s="14" t="s">
        <v>127</v>
      </c>
      <c r="I876" s="14" t="s">
        <v>444</v>
      </c>
    </row>
    <row r="877" spans="1:9" s="14" customFormat="1">
      <c r="A877" s="138"/>
      <c r="B877" s="14" t="s">
        <v>3591</v>
      </c>
      <c r="C877" s="53">
        <v>103000</v>
      </c>
      <c r="D877" s="53"/>
      <c r="E877" s="54">
        <f t="shared" si="17"/>
        <v>4168001</v>
      </c>
      <c r="F877" s="14" t="s">
        <v>115</v>
      </c>
      <c r="G877" s="14" t="s">
        <v>120</v>
      </c>
      <c r="H877" s="14" t="s">
        <v>127</v>
      </c>
      <c r="I877" s="14" t="s">
        <v>444</v>
      </c>
    </row>
    <row r="878" spans="1:9" s="14" customFormat="1">
      <c r="A878" s="138"/>
      <c r="B878" s="14" t="s">
        <v>3592</v>
      </c>
      <c r="C878" s="53">
        <v>175700</v>
      </c>
      <c r="D878" s="53"/>
      <c r="E878" s="54">
        <f t="shared" si="17"/>
        <v>3992301</v>
      </c>
      <c r="F878" s="14" t="s">
        <v>115</v>
      </c>
      <c r="G878" s="14" t="s">
        <v>120</v>
      </c>
      <c r="H878" s="14" t="s">
        <v>127</v>
      </c>
      <c r="I878" s="14" t="s">
        <v>444</v>
      </c>
    </row>
    <row r="879" spans="1:9" s="14" customFormat="1">
      <c r="A879" s="138"/>
      <c r="B879" s="14" t="s">
        <v>3593</v>
      </c>
      <c r="C879" s="53">
        <v>131600</v>
      </c>
      <c r="D879" s="53"/>
      <c r="E879" s="54">
        <f t="shared" si="17"/>
        <v>3860701</v>
      </c>
      <c r="F879" s="14" t="s">
        <v>115</v>
      </c>
      <c r="G879" s="14" t="s">
        <v>120</v>
      </c>
      <c r="H879" s="14" t="s">
        <v>127</v>
      </c>
      <c r="I879" s="14" t="s">
        <v>444</v>
      </c>
    </row>
    <row r="880" spans="1:9" s="14" customFormat="1">
      <c r="A880" s="138"/>
      <c r="B880" s="14" t="s">
        <v>3594</v>
      </c>
      <c r="C880" s="53">
        <v>158800</v>
      </c>
      <c r="D880" s="53"/>
      <c r="E880" s="54">
        <f t="shared" si="17"/>
        <v>3701901</v>
      </c>
      <c r="F880" s="14" t="s">
        <v>115</v>
      </c>
      <c r="G880" s="14" t="s">
        <v>120</v>
      </c>
      <c r="H880" s="14" t="s">
        <v>127</v>
      </c>
      <c r="I880" s="14" t="s">
        <v>444</v>
      </c>
    </row>
    <row r="881" spans="1:9" s="14" customFormat="1">
      <c r="A881" s="138"/>
      <c r="B881" s="14" t="s">
        <v>3595</v>
      </c>
      <c r="C881" s="53">
        <v>162800</v>
      </c>
      <c r="D881" s="53"/>
      <c r="E881" s="54">
        <f t="shared" si="17"/>
        <v>3539101</v>
      </c>
      <c r="F881" s="14" t="s">
        <v>115</v>
      </c>
      <c r="G881" s="14" t="s">
        <v>120</v>
      </c>
      <c r="H881" s="14" t="s">
        <v>127</v>
      </c>
      <c r="I881" s="14" t="s">
        <v>444</v>
      </c>
    </row>
    <row r="882" spans="1:9" s="14" customFormat="1">
      <c r="A882" s="138"/>
      <c r="B882" s="14" t="s">
        <v>3596</v>
      </c>
      <c r="C882" s="53">
        <v>147000</v>
      </c>
      <c r="D882" s="53"/>
      <c r="E882" s="54">
        <f t="shared" si="17"/>
        <v>3392101</v>
      </c>
      <c r="F882" s="14" t="s">
        <v>115</v>
      </c>
      <c r="G882" s="14" t="s">
        <v>120</v>
      </c>
      <c r="H882" s="14" t="s">
        <v>127</v>
      </c>
      <c r="I882" s="14" t="s">
        <v>444</v>
      </c>
    </row>
    <row r="883" spans="1:9" s="14" customFormat="1">
      <c r="A883" s="138"/>
      <c r="B883" s="14" t="s">
        <v>3597</v>
      </c>
      <c r="C883" s="53">
        <v>182300</v>
      </c>
      <c r="D883" s="53"/>
      <c r="E883" s="54">
        <f t="shared" si="17"/>
        <v>3209801</v>
      </c>
      <c r="F883" s="14" t="s">
        <v>115</v>
      </c>
      <c r="G883" s="14" t="s">
        <v>120</v>
      </c>
      <c r="H883" s="14" t="s">
        <v>127</v>
      </c>
      <c r="I883" s="14" t="s">
        <v>444</v>
      </c>
    </row>
    <row r="884" spans="1:9" s="14" customFormat="1">
      <c r="A884" s="138"/>
      <c r="B884" s="14" t="s">
        <v>3598</v>
      </c>
      <c r="C884" s="53">
        <v>190600</v>
      </c>
      <c r="D884" s="53"/>
      <c r="E884" s="54">
        <f t="shared" si="17"/>
        <v>3019201</v>
      </c>
      <c r="F884" s="14" t="s">
        <v>115</v>
      </c>
      <c r="G884" s="14" t="s">
        <v>120</v>
      </c>
      <c r="H884" s="14" t="s">
        <v>127</v>
      </c>
      <c r="I884" s="14" t="s">
        <v>444</v>
      </c>
    </row>
    <row r="885" spans="1:9" s="14" customFormat="1">
      <c r="A885" s="138"/>
      <c r="B885" s="14" t="s">
        <v>3599</v>
      </c>
      <c r="C885" s="53">
        <v>162600</v>
      </c>
      <c r="D885" s="53"/>
      <c r="E885" s="54">
        <f t="shared" si="17"/>
        <v>2856601</v>
      </c>
      <c r="F885" s="14" t="s">
        <v>115</v>
      </c>
      <c r="G885" s="14" t="s">
        <v>120</v>
      </c>
      <c r="H885" s="14" t="s">
        <v>127</v>
      </c>
      <c r="I885" s="14" t="s">
        <v>444</v>
      </c>
    </row>
    <row r="886" spans="1:9" s="14" customFormat="1">
      <c r="A886" s="138"/>
      <c r="B886" s="14" t="s">
        <v>3600</v>
      </c>
      <c r="C886" s="53">
        <v>156100</v>
      </c>
      <c r="D886" s="53"/>
      <c r="E886" s="54">
        <f t="shared" si="17"/>
        <v>2700501</v>
      </c>
      <c r="F886" s="14" t="s">
        <v>115</v>
      </c>
      <c r="G886" s="14" t="s">
        <v>120</v>
      </c>
      <c r="H886" s="14" t="s">
        <v>127</v>
      </c>
      <c r="I886" s="14" t="s">
        <v>444</v>
      </c>
    </row>
    <row r="887" spans="1:9" s="14" customFormat="1">
      <c r="A887" s="138"/>
      <c r="B887" s="14" t="s">
        <v>3601</v>
      </c>
      <c r="C887" s="53">
        <v>159100</v>
      </c>
      <c r="D887" s="53"/>
      <c r="E887" s="54">
        <f t="shared" si="17"/>
        <v>2541401</v>
      </c>
      <c r="F887" s="14" t="s">
        <v>115</v>
      </c>
      <c r="G887" s="14" t="s">
        <v>120</v>
      </c>
      <c r="H887" s="14" t="s">
        <v>127</v>
      </c>
      <c r="I887" s="14" t="s">
        <v>444</v>
      </c>
    </row>
    <row r="888" spans="1:9" s="14" customFormat="1">
      <c r="A888" s="138"/>
      <c r="B888" s="14" t="s">
        <v>3602</v>
      </c>
      <c r="C888" s="53">
        <v>157900</v>
      </c>
      <c r="D888" s="53"/>
      <c r="E888" s="54">
        <f t="shared" si="17"/>
        <v>2383501</v>
      </c>
      <c r="F888" s="14" t="s">
        <v>115</v>
      </c>
      <c r="G888" s="14" t="s">
        <v>120</v>
      </c>
      <c r="H888" s="14" t="s">
        <v>127</v>
      </c>
      <c r="I888" s="14" t="s">
        <v>444</v>
      </c>
    </row>
    <row r="889" spans="1:9" s="14" customFormat="1">
      <c r="A889" s="138"/>
      <c r="B889" s="14" t="s">
        <v>3603</v>
      </c>
      <c r="C889" s="53">
        <v>158800</v>
      </c>
      <c r="D889" s="53"/>
      <c r="E889" s="54">
        <f t="shared" si="17"/>
        <v>2224701</v>
      </c>
      <c r="F889" s="14" t="s">
        <v>115</v>
      </c>
      <c r="G889" s="14" t="s">
        <v>120</v>
      </c>
      <c r="H889" s="14" t="s">
        <v>127</v>
      </c>
      <c r="I889" s="14" t="s">
        <v>444</v>
      </c>
    </row>
    <row r="890" spans="1:9" s="14" customFormat="1">
      <c r="A890" s="138"/>
      <c r="B890" s="14" t="s">
        <v>3604</v>
      </c>
      <c r="C890" s="53">
        <v>155400</v>
      </c>
      <c r="D890" s="53"/>
      <c r="E890" s="54">
        <f t="shared" si="17"/>
        <v>2069301</v>
      </c>
      <c r="F890" s="14" t="s">
        <v>115</v>
      </c>
      <c r="G890" s="14" t="s">
        <v>120</v>
      </c>
      <c r="H890" s="14" t="s">
        <v>127</v>
      </c>
      <c r="I890" s="14" t="s">
        <v>444</v>
      </c>
    </row>
    <row r="891" spans="1:9" s="14" customFormat="1">
      <c r="A891" s="138"/>
      <c r="B891" s="14" t="s">
        <v>3605</v>
      </c>
      <c r="C891" s="53">
        <v>173525</v>
      </c>
      <c r="D891" s="53"/>
      <c r="E891" s="54">
        <f t="shared" si="17"/>
        <v>1895776</v>
      </c>
      <c r="F891" s="14" t="s">
        <v>115</v>
      </c>
      <c r="G891" s="14" t="s">
        <v>120</v>
      </c>
      <c r="H891" s="14" t="s">
        <v>127</v>
      </c>
      <c r="I891" s="14" t="s">
        <v>444</v>
      </c>
    </row>
    <row r="892" spans="1:9" s="14" customFormat="1">
      <c r="A892" s="138"/>
      <c r="B892" s="14" t="s">
        <v>3606</v>
      </c>
      <c r="C892" s="53">
        <v>44368</v>
      </c>
      <c r="D892" s="53"/>
      <c r="E892" s="54">
        <f t="shared" si="17"/>
        <v>1851408</v>
      </c>
      <c r="F892" s="14" t="s">
        <v>115</v>
      </c>
      <c r="G892" s="14" t="s">
        <v>120</v>
      </c>
      <c r="H892" s="14" t="s">
        <v>127</v>
      </c>
      <c r="I892" s="14" t="s">
        <v>444</v>
      </c>
    </row>
    <row r="893" spans="1:9" s="14" customFormat="1">
      <c r="A893" s="138"/>
      <c r="B893" s="14" t="s">
        <v>3607</v>
      </c>
      <c r="C893" s="53">
        <v>190632</v>
      </c>
      <c r="D893" s="53"/>
      <c r="E893" s="54">
        <f t="shared" si="17"/>
        <v>1660776</v>
      </c>
      <c r="F893" s="14" t="s">
        <v>115</v>
      </c>
      <c r="G893" s="14" t="s">
        <v>120</v>
      </c>
      <c r="H893" s="14" t="s">
        <v>127</v>
      </c>
      <c r="I893" s="14" t="s">
        <v>444</v>
      </c>
    </row>
    <row r="894" spans="1:9" s="14" customFormat="1">
      <c r="A894" s="138"/>
      <c r="B894" s="14" t="s">
        <v>3608</v>
      </c>
      <c r="C894" s="53">
        <v>9500</v>
      </c>
      <c r="D894" s="53"/>
      <c r="E894" s="54">
        <f t="shared" si="17"/>
        <v>1651276</v>
      </c>
      <c r="F894" s="14" t="s">
        <v>115</v>
      </c>
      <c r="G894" s="14" t="s">
        <v>120</v>
      </c>
      <c r="H894" s="14" t="s">
        <v>127</v>
      </c>
      <c r="I894" s="14" t="s">
        <v>444</v>
      </c>
    </row>
    <row r="895" spans="1:9" s="14" customFormat="1">
      <c r="A895" s="138"/>
      <c r="B895" s="14" t="s">
        <v>3609</v>
      </c>
      <c r="C895" s="53">
        <v>55999</v>
      </c>
      <c r="D895" s="53"/>
      <c r="E895" s="54">
        <f t="shared" si="17"/>
        <v>1595277</v>
      </c>
      <c r="F895" s="14" t="s">
        <v>115</v>
      </c>
      <c r="G895" s="14" t="s">
        <v>120</v>
      </c>
      <c r="H895" s="14" t="s">
        <v>127</v>
      </c>
      <c r="I895" s="14" t="s">
        <v>444</v>
      </c>
    </row>
    <row r="896" spans="1:9" s="14" customFormat="1">
      <c r="A896" s="138"/>
      <c r="B896" s="14" t="s">
        <v>3610</v>
      </c>
      <c r="C896" s="53">
        <v>9000</v>
      </c>
      <c r="D896" s="53"/>
      <c r="E896" s="54">
        <f t="shared" si="17"/>
        <v>1586277</v>
      </c>
      <c r="F896" s="14" t="s">
        <v>115</v>
      </c>
      <c r="G896" s="14" t="s">
        <v>120</v>
      </c>
      <c r="H896" s="14" t="s">
        <v>127</v>
      </c>
      <c r="I896" s="14" t="s">
        <v>444</v>
      </c>
    </row>
    <row r="897" spans="1:9" s="14" customFormat="1">
      <c r="A897" s="138"/>
      <c r="B897" s="14" t="s">
        <v>3611</v>
      </c>
      <c r="C897" s="53">
        <v>21000</v>
      </c>
      <c r="D897" s="53"/>
      <c r="E897" s="54">
        <f t="shared" si="17"/>
        <v>1565277</v>
      </c>
      <c r="F897" s="14" t="s">
        <v>115</v>
      </c>
      <c r="G897" s="14" t="s">
        <v>120</v>
      </c>
      <c r="H897" s="14" t="s">
        <v>127</v>
      </c>
      <c r="I897" s="14" t="s">
        <v>444</v>
      </c>
    </row>
    <row r="898" spans="1:9" s="14" customFormat="1">
      <c r="A898" s="138"/>
      <c r="B898" s="14" t="s">
        <v>3612</v>
      </c>
      <c r="C898" s="53">
        <v>41999</v>
      </c>
      <c r="D898" s="53"/>
      <c r="E898" s="54">
        <f t="shared" si="17"/>
        <v>1523278</v>
      </c>
      <c r="F898" s="14" t="s">
        <v>115</v>
      </c>
      <c r="G898" s="14" t="s">
        <v>120</v>
      </c>
      <c r="H898" s="14" t="s">
        <v>127</v>
      </c>
      <c r="I898" s="14" t="s">
        <v>444</v>
      </c>
    </row>
    <row r="899" spans="1:9" s="14" customFormat="1">
      <c r="A899" s="138"/>
      <c r="B899" s="14" t="s">
        <v>3613</v>
      </c>
      <c r="C899" s="53">
        <v>26999</v>
      </c>
      <c r="D899" s="53"/>
      <c r="E899" s="54">
        <f t="shared" si="17"/>
        <v>1496279</v>
      </c>
      <c r="F899" s="14" t="s">
        <v>115</v>
      </c>
      <c r="G899" s="14" t="s">
        <v>120</v>
      </c>
      <c r="H899" s="14" t="s">
        <v>127</v>
      </c>
      <c r="I899" s="14" t="s">
        <v>444</v>
      </c>
    </row>
    <row r="900" spans="1:9" s="14" customFormat="1">
      <c r="A900" s="138"/>
      <c r="B900" s="14" t="s">
        <v>3614</v>
      </c>
      <c r="C900" s="53">
        <v>19999</v>
      </c>
      <c r="D900" s="53"/>
      <c r="E900" s="54">
        <f t="shared" si="17"/>
        <v>1476280</v>
      </c>
      <c r="F900" s="14" t="s">
        <v>115</v>
      </c>
      <c r="G900" s="14" t="s">
        <v>120</v>
      </c>
      <c r="H900" s="14" t="s">
        <v>127</v>
      </c>
      <c r="I900" s="14" t="s">
        <v>444</v>
      </c>
    </row>
    <row r="901" spans="1:9" s="14" customFormat="1">
      <c r="A901" s="138"/>
      <c r="B901" s="14" t="s">
        <v>3615</v>
      </c>
      <c r="C901" s="53">
        <v>17000</v>
      </c>
      <c r="D901" s="53"/>
      <c r="E901" s="54">
        <f t="shared" si="17"/>
        <v>1459280</v>
      </c>
      <c r="F901" s="14" t="s">
        <v>115</v>
      </c>
      <c r="G901" s="14" t="s">
        <v>120</v>
      </c>
      <c r="H901" s="14" t="s">
        <v>127</v>
      </c>
      <c r="I901" s="14" t="s">
        <v>444</v>
      </c>
    </row>
    <row r="902" spans="1:9" s="14" customFormat="1">
      <c r="A902" s="138"/>
      <c r="B902" s="14" t="s">
        <v>3616</v>
      </c>
      <c r="C902" s="53">
        <v>173700</v>
      </c>
      <c r="D902" s="53"/>
      <c r="E902" s="54">
        <f t="shared" si="17"/>
        <v>1285580</v>
      </c>
      <c r="F902" s="14" t="s">
        <v>115</v>
      </c>
      <c r="G902" s="14" t="s">
        <v>120</v>
      </c>
      <c r="H902" s="14" t="s">
        <v>127</v>
      </c>
      <c r="I902" s="14" t="s">
        <v>444</v>
      </c>
    </row>
    <row r="903" spans="1:9" s="14" customFormat="1">
      <c r="A903" s="138"/>
      <c r="B903" s="14" t="s">
        <v>3617</v>
      </c>
      <c r="C903" s="53">
        <v>55000</v>
      </c>
      <c r="D903" s="53"/>
      <c r="E903" s="54">
        <f t="shared" si="17"/>
        <v>1230580</v>
      </c>
      <c r="F903" s="14" t="s">
        <v>115</v>
      </c>
      <c r="G903" s="14" t="s">
        <v>120</v>
      </c>
      <c r="H903" s="14" t="s">
        <v>127</v>
      </c>
      <c r="I903" s="14" t="s">
        <v>444</v>
      </c>
    </row>
    <row r="904" spans="1:9" s="14" customFormat="1">
      <c r="A904" s="138"/>
      <c r="B904" s="14" t="s">
        <v>3618</v>
      </c>
      <c r="C904" s="53">
        <v>127500</v>
      </c>
      <c r="D904" s="53"/>
      <c r="E904" s="54">
        <f t="shared" si="17"/>
        <v>1103080</v>
      </c>
      <c r="F904" s="14" t="s">
        <v>115</v>
      </c>
      <c r="G904" s="14" t="s">
        <v>120</v>
      </c>
      <c r="H904" s="14" t="s">
        <v>127</v>
      </c>
      <c r="I904" s="14" t="s">
        <v>444</v>
      </c>
    </row>
    <row r="905" spans="1:9" s="14" customFormat="1">
      <c r="A905" s="138"/>
      <c r="B905" s="14" t="s">
        <v>3619</v>
      </c>
      <c r="C905" s="53">
        <v>51000</v>
      </c>
      <c r="D905" s="53"/>
      <c r="E905" s="54">
        <f t="shared" si="17"/>
        <v>1052080</v>
      </c>
      <c r="F905" s="14" t="s">
        <v>115</v>
      </c>
      <c r="G905" s="14" t="s">
        <v>120</v>
      </c>
      <c r="H905" s="14" t="s">
        <v>127</v>
      </c>
      <c r="I905" s="14" t="s">
        <v>444</v>
      </c>
    </row>
    <row r="906" spans="1:9" s="14" customFormat="1">
      <c r="A906" s="138"/>
      <c r="B906" s="14" t="s">
        <v>3620</v>
      </c>
      <c r="C906" s="53">
        <v>257100</v>
      </c>
      <c r="D906" s="53"/>
      <c r="E906" s="54">
        <f t="shared" si="17"/>
        <v>794980</v>
      </c>
      <c r="F906" s="14" t="s">
        <v>115</v>
      </c>
      <c r="G906" s="14" t="s">
        <v>120</v>
      </c>
      <c r="H906" s="14" t="s">
        <v>127</v>
      </c>
      <c r="I906" s="14" t="s">
        <v>444</v>
      </c>
    </row>
    <row r="907" spans="1:9" s="14" customFormat="1">
      <c r="A907" s="138"/>
      <c r="B907" s="14" t="s">
        <v>3621</v>
      </c>
      <c r="C907" s="53">
        <v>35200</v>
      </c>
      <c r="D907" s="53"/>
      <c r="E907" s="54">
        <f t="shared" si="17"/>
        <v>759780</v>
      </c>
      <c r="F907" s="14" t="s">
        <v>115</v>
      </c>
      <c r="G907" s="14" t="s">
        <v>120</v>
      </c>
      <c r="H907" s="14" t="s">
        <v>127</v>
      </c>
      <c r="I907" s="14" t="s">
        <v>444</v>
      </c>
    </row>
    <row r="908" spans="1:9" s="14" customFormat="1">
      <c r="A908" s="138"/>
      <c r="B908" s="14" t="s">
        <v>3622</v>
      </c>
      <c r="C908" s="53">
        <v>13250</v>
      </c>
      <c r="D908" s="53"/>
      <c r="E908" s="54">
        <f t="shared" si="17"/>
        <v>746530</v>
      </c>
      <c r="F908" s="14" t="s">
        <v>115</v>
      </c>
      <c r="G908" s="14" t="s">
        <v>120</v>
      </c>
      <c r="H908" s="14" t="s">
        <v>127</v>
      </c>
      <c r="I908" s="14" t="s">
        <v>444</v>
      </c>
    </row>
    <row r="909" spans="1:9" s="14" customFormat="1">
      <c r="A909" s="138"/>
      <c r="B909" s="14" t="s">
        <v>3623</v>
      </c>
      <c r="C909" s="53">
        <v>4000</v>
      </c>
      <c r="D909" s="53"/>
      <c r="E909" s="54">
        <f t="shared" si="17"/>
        <v>742530</v>
      </c>
      <c r="F909" s="14" t="s">
        <v>115</v>
      </c>
      <c r="G909" s="14" t="s">
        <v>120</v>
      </c>
      <c r="H909" s="14" t="s">
        <v>127</v>
      </c>
      <c r="I909" s="14" t="s">
        <v>444</v>
      </c>
    </row>
    <row r="910" spans="1:9" s="14" customFormat="1">
      <c r="A910" s="138"/>
      <c r="B910" s="14" t="s">
        <v>3624</v>
      </c>
      <c r="C910" s="53">
        <v>71999</v>
      </c>
      <c r="D910" s="53"/>
      <c r="E910" s="54">
        <f t="shared" si="17"/>
        <v>670531</v>
      </c>
      <c r="F910" s="14" t="s">
        <v>115</v>
      </c>
      <c r="G910" s="14" t="s">
        <v>120</v>
      </c>
      <c r="H910" s="14" t="s">
        <v>127</v>
      </c>
      <c r="I910" s="14" t="s">
        <v>444</v>
      </c>
    </row>
    <row r="911" spans="1:9" s="14" customFormat="1">
      <c r="A911" s="138"/>
      <c r="B911" s="14" t="s">
        <v>3625</v>
      </c>
      <c r="C911" s="53">
        <v>45000</v>
      </c>
      <c r="D911" s="53"/>
      <c r="E911" s="54">
        <f t="shared" si="17"/>
        <v>625531</v>
      </c>
      <c r="F911" s="14" t="s">
        <v>115</v>
      </c>
      <c r="G911" s="14" t="s">
        <v>120</v>
      </c>
      <c r="H911" s="14" t="s">
        <v>127</v>
      </c>
      <c r="I911" s="14" t="s">
        <v>444</v>
      </c>
    </row>
    <row r="912" spans="1:9" s="14" customFormat="1">
      <c r="A912" s="138"/>
      <c r="B912" s="14" t="s">
        <v>3626</v>
      </c>
      <c r="C912" s="53">
        <v>32500</v>
      </c>
      <c r="D912" s="53"/>
      <c r="E912" s="54">
        <f t="shared" si="17"/>
        <v>593031</v>
      </c>
      <c r="F912" s="14" t="s">
        <v>115</v>
      </c>
      <c r="G912" s="14" t="s">
        <v>120</v>
      </c>
      <c r="H912" s="14" t="s">
        <v>127</v>
      </c>
      <c r="I912" s="14" t="s">
        <v>444</v>
      </c>
    </row>
    <row r="913" spans="1:9" s="14" customFormat="1">
      <c r="A913" s="138"/>
      <c r="B913" s="14" t="s">
        <v>3627</v>
      </c>
      <c r="C913" s="53">
        <v>100000</v>
      </c>
      <c r="D913" s="53"/>
      <c r="E913" s="54">
        <f t="shared" si="17"/>
        <v>493031</v>
      </c>
      <c r="F913" s="14" t="s">
        <v>115</v>
      </c>
      <c r="G913" s="14" t="s">
        <v>120</v>
      </c>
      <c r="H913" s="14" t="s">
        <v>127</v>
      </c>
      <c r="I913" s="14" t="s">
        <v>444</v>
      </c>
    </row>
    <row r="914" spans="1:9" s="14" customFormat="1">
      <c r="A914" s="138"/>
      <c r="B914" s="14" t="s">
        <v>3628</v>
      </c>
      <c r="C914" s="53">
        <v>250000</v>
      </c>
      <c r="D914" s="53"/>
      <c r="E914" s="54">
        <f t="shared" si="17"/>
        <v>243031</v>
      </c>
      <c r="F914" s="14" t="s">
        <v>115</v>
      </c>
      <c r="G914" s="14" t="s">
        <v>120</v>
      </c>
      <c r="H914" s="14" t="s">
        <v>127</v>
      </c>
      <c r="I914" s="14" t="s">
        <v>444</v>
      </c>
    </row>
    <row r="915" spans="1:9" s="14" customFormat="1">
      <c r="A915" s="138"/>
      <c r="B915" s="14" t="s">
        <v>3629</v>
      </c>
      <c r="C915" s="53">
        <v>80000</v>
      </c>
      <c r="D915" s="53"/>
      <c r="E915" s="54">
        <f t="shared" si="17"/>
        <v>163031</v>
      </c>
      <c r="F915" s="14" t="s">
        <v>115</v>
      </c>
      <c r="G915" s="14" t="s">
        <v>120</v>
      </c>
      <c r="H915" s="14" t="s">
        <v>127</v>
      </c>
      <c r="I915" s="14" t="s">
        <v>444</v>
      </c>
    </row>
    <row r="916" spans="1:9" s="14" customFormat="1">
      <c r="A916" s="138"/>
      <c r="B916" s="14" t="s">
        <v>3630</v>
      </c>
      <c r="C916" s="53">
        <v>100000</v>
      </c>
      <c r="D916" s="53"/>
      <c r="E916" s="54">
        <f t="shared" si="17"/>
        <v>63031</v>
      </c>
      <c r="F916" s="14" t="s">
        <v>115</v>
      </c>
      <c r="G916" s="14" t="s">
        <v>120</v>
      </c>
      <c r="H916" s="14" t="s">
        <v>127</v>
      </c>
      <c r="I916" s="14" t="s">
        <v>444</v>
      </c>
    </row>
    <row r="917" spans="1:9" s="14" customFormat="1">
      <c r="A917" s="138"/>
      <c r="B917" s="7" t="s">
        <v>2286</v>
      </c>
      <c r="C917" s="54">
        <v>63031</v>
      </c>
      <c r="D917" s="54">
        <v>0</v>
      </c>
      <c r="E917" s="8">
        <f t="shared" si="17"/>
        <v>0</v>
      </c>
      <c r="F917" s="80" t="s">
        <v>107</v>
      </c>
      <c r="G917" s="14" t="s">
        <v>668</v>
      </c>
      <c r="H917" s="14" t="s">
        <v>3405</v>
      </c>
      <c r="I917" t="s">
        <v>3555</v>
      </c>
    </row>
    <row r="918" spans="1:9" s="14" customFormat="1">
      <c r="A918" s="3">
        <v>44377</v>
      </c>
      <c r="B918" t="s">
        <v>1922</v>
      </c>
      <c r="C918" s="8">
        <v>0</v>
      </c>
      <c r="D918" s="8">
        <v>29190018</v>
      </c>
      <c r="E918" s="8">
        <f t="shared" si="17"/>
        <v>29190018</v>
      </c>
      <c r="F918" t="s">
        <v>581</v>
      </c>
      <c r="G918" t="s">
        <v>582</v>
      </c>
      <c r="H918" s="14" t="s">
        <v>3012</v>
      </c>
      <c r="I918">
        <v>41</v>
      </c>
    </row>
    <row r="919" spans="1:9" s="14" customFormat="1">
      <c r="A919" s="138"/>
      <c r="B919" t="s">
        <v>1922</v>
      </c>
      <c r="C919" s="54">
        <v>24325015</v>
      </c>
      <c r="D919" s="54"/>
      <c r="E919" s="8">
        <f t="shared" si="17"/>
        <v>4865003</v>
      </c>
      <c r="F919" s="14" t="s">
        <v>568</v>
      </c>
      <c r="G919" s="14" t="s">
        <v>4395</v>
      </c>
      <c r="H919" s="14" t="s">
        <v>3012</v>
      </c>
      <c r="I919">
        <v>41</v>
      </c>
    </row>
    <row r="920" spans="1:9" s="14" customFormat="1">
      <c r="A920" s="138"/>
      <c r="B920" t="s">
        <v>1922</v>
      </c>
      <c r="C920" s="54">
        <v>4865003</v>
      </c>
      <c r="D920" s="54"/>
      <c r="E920" s="8">
        <f t="shared" si="17"/>
        <v>0</v>
      </c>
      <c r="F920" t="s">
        <v>714</v>
      </c>
      <c r="G920" t="s">
        <v>715</v>
      </c>
      <c r="H920" s="14" t="s">
        <v>3012</v>
      </c>
      <c r="I920">
        <v>41</v>
      </c>
    </row>
    <row r="921" spans="1:9" s="14" customFormat="1">
      <c r="A921" s="138">
        <v>44379</v>
      </c>
      <c r="B921" s="14" t="s">
        <v>1878</v>
      </c>
      <c r="C921" s="50">
        <v>0</v>
      </c>
      <c r="D921" s="50">
        <v>37601358</v>
      </c>
      <c r="E921" s="8">
        <f t="shared" si="17"/>
        <v>37601358</v>
      </c>
      <c r="F921" s="14" t="s">
        <v>107</v>
      </c>
      <c r="G921" s="14" t="s">
        <v>274</v>
      </c>
      <c r="H921" s="14" t="s">
        <v>140</v>
      </c>
    </row>
    <row r="922" spans="1:9" s="14" customFormat="1">
      <c r="A922" s="138"/>
      <c r="B922" s="14" t="s">
        <v>3171</v>
      </c>
      <c r="C922" s="50">
        <v>892026</v>
      </c>
      <c r="D922" s="50"/>
      <c r="E922" s="8">
        <f t="shared" si="17"/>
        <v>36709332</v>
      </c>
      <c r="F922" s="14" t="s">
        <v>319</v>
      </c>
      <c r="G922" s="14" t="s">
        <v>1045</v>
      </c>
      <c r="H922" s="14" t="s">
        <v>64</v>
      </c>
    </row>
    <row r="923" spans="1:9" s="14" customFormat="1">
      <c r="A923" s="138"/>
      <c r="B923" s="14" t="s">
        <v>3172</v>
      </c>
      <c r="C923" s="50">
        <v>5000</v>
      </c>
      <c r="D923" s="50"/>
      <c r="E923" s="8">
        <f t="shared" si="17"/>
        <v>36704332</v>
      </c>
      <c r="F923" s="14" t="s">
        <v>113</v>
      </c>
      <c r="G923" s="14" t="s">
        <v>114</v>
      </c>
      <c r="H923" s="14" t="s">
        <v>64</v>
      </c>
    </row>
    <row r="924" spans="1:9">
      <c r="B924" t="s">
        <v>394</v>
      </c>
      <c r="C924" s="54">
        <v>1494994</v>
      </c>
      <c r="D924" s="54"/>
      <c r="E924" s="54">
        <f t="shared" si="17"/>
        <v>35209338</v>
      </c>
      <c r="F924" s="14" t="s">
        <v>137</v>
      </c>
      <c r="G924" s="14" t="s">
        <v>138</v>
      </c>
      <c r="H924" t="s">
        <v>1127</v>
      </c>
    </row>
    <row r="925" spans="1:9" s="14" customFormat="1">
      <c r="A925" s="138"/>
      <c r="B925" s="14" t="s">
        <v>3173</v>
      </c>
      <c r="C925" s="53">
        <v>1824000</v>
      </c>
      <c r="D925" s="53"/>
      <c r="E925" s="54">
        <f t="shared" si="17"/>
        <v>33385338</v>
      </c>
      <c r="F925" s="14" t="s">
        <v>137</v>
      </c>
      <c r="G925" s="14" t="s">
        <v>138</v>
      </c>
      <c r="H925" s="168" t="s">
        <v>3033</v>
      </c>
    </row>
    <row r="926" spans="1:9" s="14" customFormat="1">
      <c r="A926" s="138"/>
      <c r="B926" s="14" t="s">
        <v>3174</v>
      </c>
      <c r="C926" s="50">
        <v>242006</v>
      </c>
      <c r="D926" s="50"/>
      <c r="E926" s="8">
        <f t="shared" si="17"/>
        <v>33143332</v>
      </c>
      <c r="F926" s="14" t="s">
        <v>319</v>
      </c>
      <c r="G926" s="14" t="s">
        <v>1045</v>
      </c>
      <c r="H926" s="14" t="s">
        <v>64</v>
      </c>
    </row>
    <row r="927" spans="1:9" s="14" customFormat="1">
      <c r="A927" s="138"/>
      <c r="B927" s="14" t="s">
        <v>3175</v>
      </c>
      <c r="C927" s="50">
        <v>171500</v>
      </c>
      <c r="D927" s="50"/>
      <c r="E927" s="8">
        <f t="shared" si="17"/>
        <v>32971832</v>
      </c>
      <c r="F927" s="14" t="s">
        <v>137</v>
      </c>
      <c r="G927" s="14" t="s">
        <v>138</v>
      </c>
      <c r="H927" s="14" t="s">
        <v>603</v>
      </c>
    </row>
    <row r="928" spans="1:9" s="14" customFormat="1">
      <c r="A928" s="138"/>
      <c r="B928" s="14" t="s">
        <v>3176</v>
      </c>
      <c r="C928" s="50">
        <v>2352240</v>
      </c>
      <c r="D928" s="50"/>
      <c r="E928" s="8">
        <f t="shared" si="17"/>
        <v>30619592</v>
      </c>
      <c r="F928" s="14" t="s">
        <v>137</v>
      </c>
      <c r="G928" s="14" t="s">
        <v>138</v>
      </c>
      <c r="H928" s="14" t="s">
        <v>603</v>
      </c>
    </row>
    <row r="929" spans="1:9" s="14" customFormat="1">
      <c r="A929" s="138"/>
      <c r="B929" s="14" t="s">
        <v>3177</v>
      </c>
      <c r="C929" s="50">
        <v>90000</v>
      </c>
      <c r="D929" s="50"/>
      <c r="E929" s="8">
        <f t="shared" si="17"/>
        <v>30529592</v>
      </c>
      <c r="F929" s="14" t="s">
        <v>137</v>
      </c>
      <c r="G929" s="14" t="s">
        <v>138</v>
      </c>
      <c r="H929" s="168" t="s">
        <v>3073</v>
      </c>
    </row>
    <row r="930" spans="1:9" s="14" customFormat="1">
      <c r="A930" s="138"/>
      <c r="B930" s="14" t="s">
        <v>3178</v>
      </c>
      <c r="C930" s="50">
        <v>807402</v>
      </c>
      <c r="D930" s="50"/>
      <c r="E930" s="8">
        <f t="shared" si="17"/>
        <v>29722190</v>
      </c>
      <c r="F930" s="14" t="s">
        <v>319</v>
      </c>
      <c r="G930" s="14" t="s">
        <v>1045</v>
      </c>
      <c r="H930" s="14" t="s">
        <v>64</v>
      </c>
    </row>
    <row r="931" spans="1:9" s="14" customFormat="1">
      <c r="A931" s="138"/>
      <c r="B931" s="14" t="s">
        <v>3175</v>
      </c>
      <c r="C931" s="53">
        <v>119500</v>
      </c>
      <c r="D931" s="53"/>
      <c r="E931" s="54">
        <f t="shared" si="17"/>
        <v>29602690</v>
      </c>
      <c r="F931" s="14" t="s">
        <v>115</v>
      </c>
      <c r="G931" s="14" t="s">
        <v>120</v>
      </c>
      <c r="H931" s="14" t="s">
        <v>127</v>
      </c>
      <c r="I931" s="14" t="s">
        <v>444</v>
      </c>
    </row>
    <row r="932" spans="1:9" s="14" customFormat="1">
      <c r="A932" s="138"/>
      <c r="B932" s="14" t="s">
        <v>3179</v>
      </c>
      <c r="C932" s="53">
        <v>387840</v>
      </c>
      <c r="D932" s="53"/>
      <c r="E932" s="54">
        <f t="shared" si="17"/>
        <v>29214850</v>
      </c>
      <c r="F932" s="14" t="s">
        <v>115</v>
      </c>
      <c r="G932" s="14" t="s">
        <v>120</v>
      </c>
      <c r="H932" s="14" t="s">
        <v>127</v>
      </c>
      <c r="I932" s="14" t="s">
        <v>444</v>
      </c>
    </row>
    <row r="933" spans="1:9" s="14" customFormat="1">
      <c r="A933" s="138"/>
      <c r="B933" s="14" t="s">
        <v>3180</v>
      </c>
      <c r="C933" s="53">
        <v>406723</v>
      </c>
      <c r="D933" s="53"/>
      <c r="E933" s="54">
        <f t="shared" si="17"/>
        <v>28808127</v>
      </c>
      <c r="F933" s="14" t="s">
        <v>115</v>
      </c>
      <c r="G933" s="14" t="s">
        <v>120</v>
      </c>
      <c r="H933" s="14" t="s">
        <v>127</v>
      </c>
      <c r="I933" s="14" t="s">
        <v>444</v>
      </c>
    </row>
    <row r="934" spans="1:9" s="14" customFormat="1">
      <c r="A934" s="138"/>
      <c r="B934" s="14" t="s">
        <v>3181</v>
      </c>
      <c r="C934" s="53">
        <v>779007</v>
      </c>
      <c r="D934" s="53"/>
      <c r="E934" s="54">
        <f t="shared" si="17"/>
        <v>28029120</v>
      </c>
      <c r="F934" s="14" t="s">
        <v>115</v>
      </c>
      <c r="G934" s="14" t="s">
        <v>120</v>
      </c>
      <c r="H934" s="14" t="s">
        <v>127</v>
      </c>
      <c r="I934" s="14" t="s">
        <v>444</v>
      </c>
    </row>
    <row r="935" spans="1:9">
      <c r="B935" t="s">
        <v>3182</v>
      </c>
      <c r="C935" s="54">
        <v>18948600</v>
      </c>
      <c r="D935" s="54"/>
      <c r="E935" s="54">
        <f t="shared" si="17"/>
        <v>9080520</v>
      </c>
      <c r="F935" s="14" t="s">
        <v>115</v>
      </c>
      <c r="G935" s="14" t="s">
        <v>120</v>
      </c>
      <c r="H935" s="14" t="s">
        <v>127</v>
      </c>
      <c r="I935" s="14" t="s">
        <v>444</v>
      </c>
    </row>
    <row r="936" spans="1:9" s="14" customFormat="1">
      <c r="A936" s="138"/>
      <c r="B936" s="14" t="s">
        <v>3183</v>
      </c>
      <c r="C936" s="53">
        <v>255420</v>
      </c>
      <c r="D936" s="53"/>
      <c r="E936" s="54">
        <f t="shared" si="17"/>
        <v>8825100</v>
      </c>
      <c r="F936" s="14" t="s">
        <v>115</v>
      </c>
      <c r="G936" s="14" t="s">
        <v>120</v>
      </c>
      <c r="H936" s="14" t="s">
        <v>127</v>
      </c>
      <c r="I936" s="14" t="s">
        <v>444</v>
      </c>
    </row>
    <row r="937" spans="1:9" s="14" customFormat="1">
      <c r="A937" s="138"/>
      <c r="B937" s="14" t="s">
        <v>3184</v>
      </c>
      <c r="C937" s="53">
        <v>8758800</v>
      </c>
      <c r="D937" s="53"/>
      <c r="E937" s="54">
        <f t="shared" si="17"/>
        <v>66300</v>
      </c>
      <c r="F937" s="14" t="s">
        <v>115</v>
      </c>
      <c r="G937" s="14" t="s">
        <v>120</v>
      </c>
      <c r="H937" s="14" t="s">
        <v>127</v>
      </c>
      <c r="I937" s="14" t="s">
        <v>444</v>
      </c>
    </row>
    <row r="938" spans="1:9" s="14" customFormat="1">
      <c r="A938" s="138"/>
      <c r="B938" s="14" t="s">
        <v>3185</v>
      </c>
      <c r="C938" s="53">
        <v>56300</v>
      </c>
      <c r="D938" s="53"/>
      <c r="E938" s="54">
        <f t="shared" ref="E938:E1007" si="18">E937-C938+D938</f>
        <v>10000</v>
      </c>
      <c r="F938" s="14" t="s">
        <v>115</v>
      </c>
      <c r="G938" s="14" t="s">
        <v>120</v>
      </c>
      <c r="H938" s="14" t="s">
        <v>127</v>
      </c>
      <c r="I938" s="14" t="s">
        <v>444</v>
      </c>
    </row>
    <row r="939" spans="1:9" s="14" customFormat="1">
      <c r="A939" s="138"/>
      <c r="B939" s="14" t="s">
        <v>389</v>
      </c>
      <c r="C939" s="50">
        <v>10000</v>
      </c>
      <c r="D939" s="50"/>
      <c r="E939" s="8">
        <f t="shared" si="18"/>
        <v>0</v>
      </c>
      <c r="F939" s="14" t="s">
        <v>113</v>
      </c>
      <c r="G939" s="14" t="s">
        <v>114</v>
      </c>
    </row>
    <row r="940" spans="1:9" s="14" customFormat="1">
      <c r="A940" s="138">
        <v>44379</v>
      </c>
      <c r="B940" s="14" t="s">
        <v>1880</v>
      </c>
      <c r="C940" s="50">
        <v>0</v>
      </c>
      <c r="D940" s="50">
        <v>5259867</v>
      </c>
      <c r="E940" s="8">
        <f t="shared" si="18"/>
        <v>5259867</v>
      </c>
      <c r="F940" s="14" t="s">
        <v>107</v>
      </c>
      <c r="G940" s="14" t="s">
        <v>274</v>
      </c>
      <c r="H940" s="14" t="s">
        <v>141</v>
      </c>
    </row>
    <row r="941" spans="1:9" s="14" customFormat="1">
      <c r="A941" s="138"/>
      <c r="B941" s="14" t="s">
        <v>1042</v>
      </c>
      <c r="C941" s="50">
        <v>253391</v>
      </c>
      <c r="D941" s="50"/>
      <c r="E941" s="8">
        <f t="shared" si="18"/>
        <v>5006476</v>
      </c>
      <c r="F941" s="14" t="s">
        <v>319</v>
      </c>
      <c r="G941" s="14" t="s">
        <v>117</v>
      </c>
      <c r="H941" s="14" t="s">
        <v>64</v>
      </c>
    </row>
    <row r="942" spans="1:9" s="14" customFormat="1">
      <c r="A942" s="138"/>
      <c r="B942" s="14" t="s">
        <v>3186</v>
      </c>
      <c r="C942" s="50">
        <v>5000</v>
      </c>
      <c r="D942" s="50"/>
      <c r="E942" s="8">
        <f t="shared" si="18"/>
        <v>5001476</v>
      </c>
      <c r="F942" s="14" t="s">
        <v>113</v>
      </c>
      <c r="G942" s="14" t="s">
        <v>114</v>
      </c>
      <c r="H942" s="14" t="s">
        <v>64</v>
      </c>
    </row>
    <row r="943" spans="1:9" s="14" customFormat="1">
      <c r="A943" s="138"/>
      <c r="B943" s="14" t="s">
        <v>897</v>
      </c>
      <c r="C943" s="50">
        <v>280648</v>
      </c>
      <c r="D943" s="50"/>
      <c r="E943" s="8">
        <f t="shared" si="18"/>
        <v>4720828</v>
      </c>
      <c r="F943" s="14" t="s">
        <v>319</v>
      </c>
      <c r="G943" s="14" t="s">
        <v>117</v>
      </c>
      <c r="H943" s="14" t="s">
        <v>64</v>
      </c>
    </row>
    <row r="944" spans="1:9" s="14" customFormat="1">
      <c r="A944" s="138"/>
      <c r="B944" s="14" t="s">
        <v>1042</v>
      </c>
      <c r="C944" s="50">
        <v>255495</v>
      </c>
      <c r="D944" s="50"/>
      <c r="E944" s="8">
        <f t="shared" si="18"/>
        <v>4465333</v>
      </c>
      <c r="F944" s="14" t="s">
        <v>319</v>
      </c>
      <c r="G944" s="14" t="s">
        <v>117</v>
      </c>
      <c r="H944" s="14" t="s">
        <v>64</v>
      </c>
    </row>
    <row r="945" spans="1:9" s="14" customFormat="1">
      <c r="A945" s="138"/>
      <c r="B945" s="14" t="s">
        <v>3187</v>
      </c>
      <c r="C945" s="50">
        <v>220000</v>
      </c>
      <c r="D945" s="50"/>
      <c r="E945" s="8">
        <f t="shared" si="18"/>
        <v>4245333</v>
      </c>
      <c r="F945" s="14" t="s">
        <v>137</v>
      </c>
      <c r="G945" s="14" t="s">
        <v>138</v>
      </c>
      <c r="H945" s="14" t="s">
        <v>1127</v>
      </c>
    </row>
    <row r="946" spans="1:9" s="14" customFormat="1">
      <c r="A946" s="138"/>
      <c r="B946" s="14" t="s">
        <v>3187</v>
      </c>
      <c r="C946" s="50">
        <v>297000</v>
      </c>
      <c r="D946" s="50"/>
      <c r="E946" s="8">
        <f t="shared" si="18"/>
        <v>3948333</v>
      </c>
      <c r="F946" s="14" t="s">
        <v>137</v>
      </c>
      <c r="G946" s="14" t="s">
        <v>138</v>
      </c>
      <c r="H946" s="14" t="s">
        <v>1127</v>
      </c>
    </row>
    <row r="947" spans="1:9" s="14" customFormat="1">
      <c r="A947" s="138"/>
      <c r="B947" s="14" t="s">
        <v>3187</v>
      </c>
      <c r="C947" s="50">
        <v>110000</v>
      </c>
      <c r="D947" s="50"/>
      <c r="E947" s="8">
        <f t="shared" si="18"/>
        <v>3838333</v>
      </c>
      <c r="F947" s="14" t="s">
        <v>137</v>
      </c>
      <c r="G947" s="14" t="s">
        <v>138</v>
      </c>
      <c r="H947" s="14" t="s">
        <v>1127</v>
      </c>
    </row>
    <row r="948" spans="1:9" s="14" customFormat="1">
      <c r="A948" s="138"/>
      <c r="B948" s="14" t="s">
        <v>1042</v>
      </c>
      <c r="C948" s="50">
        <v>292658</v>
      </c>
      <c r="D948" s="50"/>
      <c r="E948" s="8">
        <f t="shared" si="18"/>
        <v>3545675</v>
      </c>
      <c r="F948" s="14" t="s">
        <v>319</v>
      </c>
      <c r="G948" s="14" t="s">
        <v>117</v>
      </c>
      <c r="H948" s="14" t="s">
        <v>64</v>
      </c>
    </row>
    <row r="949" spans="1:9" s="14" customFormat="1">
      <c r="A949" s="138"/>
      <c r="B949" s="14" t="s">
        <v>897</v>
      </c>
      <c r="C949" s="50">
        <v>257805</v>
      </c>
      <c r="D949" s="50"/>
      <c r="E949" s="8">
        <f t="shared" si="18"/>
        <v>3287870</v>
      </c>
      <c r="F949" s="14" t="s">
        <v>319</v>
      </c>
      <c r="G949" s="14" t="s">
        <v>117</v>
      </c>
      <c r="H949" s="14" t="s">
        <v>64</v>
      </c>
    </row>
    <row r="950" spans="1:9" s="14" customFormat="1">
      <c r="A950" s="138"/>
      <c r="B950" s="14" t="s">
        <v>3188</v>
      </c>
      <c r="C950" s="50">
        <v>488300</v>
      </c>
      <c r="D950" s="50"/>
      <c r="E950" s="8">
        <f t="shared" si="18"/>
        <v>2799570</v>
      </c>
      <c r="F950" s="14" t="s">
        <v>248</v>
      </c>
      <c r="G950" s="14" t="s">
        <v>407</v>
      </c>
      <c r="H950" s="14" t="s">
        <v>64</v>
      </c>
    </row>
    <row r="951" spans="1:9" s="14" customFormat="1">
      <c r="A951" s="138"/>
      <c r="B951" s="14" t="s">
        <v>3120</v>
      </c>
      <c r="C951" s="50">
        <v>555200</v>
      </c>
      <c r="D951" s="50"/>
      <c r="E951" s="8">
        <f t="shared" si="18"/>
        <v>2244370</v>
      </c>
      <c r="F951" s="14" t="s">
        <v>137</v>
      </c>
      <c r="G951" s="14" t="s">
        <v>138</v>
      </c>
      <c r="H951" s="168" t="s">
        <v>3013</v>
      </c>
    </row>
    <row r="952" spans="1:9" s="14" customFormat="1">
      <c r="A952" s="138"/>
      <c r="B952" s="14" t="s">
        <v>1042</v>
      </c>
      <c r="C952" s="50">
        <v>275974</v>
      </c>
      <c r="D952" s="50"/>
      <c r="E952" s="8">
        <f t="shared" si="18"/>
        <v>1968396</v>
      </c>
      <c r="F952" s="14" t="s">
        <v>319</v>
      </c>
      <c r="G952" s="14" t="s">
        <v>117</v>
      </c>
      <c r="H952" s="14" t="s">
        <v>64</v>
      </c>
    </row>
    <row r="953" spans="1:9" s="14" customFormat="1">
      <c r="A953" s="138"/>
      <c r="B953" s="14" t="s">
        <v>3189</v>
      </c>
      <c r="C953" s="50">
        <v>51500</v>
      </c>
      <c r="D953" s="50"/>
      <c r="E953" s="8">
        <f t="shared" si="18"/>
        <v>1916896</v>
      </c>
      <c r="F953" s="14" t="s">
        <v>137</v>
      </c>
      <c r="G953" s="14" t="s">
        <v>138</v>
      </c>
      <c r="H953" s="168" t="s">
        <v>3013</v>
      </c>
    </row>
    <row r="954" spans="1:9" s="14" customFormat="1">
      <c r="A954" s="138"/>
      <c r="B954" s="14" t="s">
        <v>1028</v>
      </c>
      <c r="C954" s="50">
        <v>1003500</v>
      </c>
      <c r="D954" s="50"/>
      <c r="E954" s="8">
        <f t="shared" si="18"/>
        <v>913396</v>
      </c>
      <c r="F954" s="14" t="s">
        <v>137</v>
      </c>
      <c r="G954" s="14" t="s">
        <v>138</v>
      </c>
      <c r="H954" s="168" t="s">
        <v>3013</v>
      </c>
    </row>
    <row r="955" spans="1:9" s="14" customFormat="1">
      <c r="A955" s="138"/>
      <c r="B955" s="14" t="s">
        <v>3190</v>
      </c>
      <c r="C955" s="50">
        <v>183600</v>
      </c>
      <c r="D955" s="50"/>
      <c r="E955" s="8">
        <f t="shared" si="18"/>
        <v>729796</v>
      </c>
      <c r="F955" s="14" t="s">
        <v>137</v>
      </c>
      <c r="G955" s="14" t="s">
        <v>138</v>
      </c>
      <c r="H955" s="168" t="s">
        <v>3013</v>
      </c>
    </row>
    <row r="956" spans="1:9" s="14" customFormat="1">
      <c r="A956" s="138"/>
      <c r="B956" s="14" t="s">
        <v>1042</v>
      </c>
      <c r="C956" s="50">
        <v>265011</v>
      </c>
      <c r="D956" s="50"/>
      <c r="E956" s="8">
        <f t="shared" si="18"/>
        <v>464785</v>
      </c>
      <c r="F956" s="14" t="s">
        <v>319</v>
      </c>
      <c r="G956" s="14" t="s">
        <v>117</v>
      </c>
      <c r="H956" s="14" t="s">
        <v>64</v>
      </c>
    </row>
    <row r="957" spans="1:9" s="14" customFormat="1">
      <c r="A957" s="138"/>
      <c r="B957" s="14" t="s">
        <v>3191</v>
      </c>
      <c r="C957" s="53">
        <v>220000</v>
      </c>
      <c r="D957" s="53"/>
      <c r="E957" s="54">
        <f t="shared" si="18"/>
        <v>244785</v>
      </c>
      <c r="F957" s="14" t="s">
        <v>115</v>
      </c>
      <c r="G957" s="14" t="s">
        <v>120</v>
      </c>
      <c r="H957" s="14" t="s">
        <v>127</v>
      </c>
      <c r="I957" s="14" t="s">
        <v>444</v>
      </c>
    </row>
    <row r="958" spans="1:9" s="14" customFormat="1">
      <c r="A958" s="138"/>
      <c r="B958" s="14" t="s">
        <v>1042</v>
      </c>
      <c r="C958" s="50">
        <v>244785</v>
      </c>
      <c r="D958" s="50"/>
      <c r="E958" s="8">
        <f t="shared" si="18"/>
        <v>0</v>
      </c>
      <c r="F958" s="14" t="s">
        <v>319</v>
      </c>
      <c r="G958" s="14" t="s">
        <v>117</v>
      </c>
      <c r="H958" s="14" t="s">
        <v>64</v>
      </c>
    </row>
    <row r="959" spans="1:9" s="14" customFormat="1">
      <c r="A959" s="138">
        <v>44379</v>
      </c>
      <c r="B959" s="14" t="s">
        <v>1882</v>
      </c>
      <c r="C959" s="50">
        <v>0</v>
      </c>
      <c r="D959" s="50">
        <v>99362173</v>
      </c>
      <c r="E959" s="8">
        <f t="shared" si="18"/>
        <v>99362173</v>
      </c>
      <c r="F959" s="14" t="s">
        <v>107</v>
      </c>
      <c r="G959" s="14" t="s">
        <v>274</v>
      </c>
      <c r="H959" s="14" t="s">
        <v>142</v>
      </c>
    </row>
    <row r="960" spans="1:9" s="14" customFormat="1">
      <c r="A960" s="138"/>
      <c r="B960" s="14" t="s">
        <v>897</v>
      </c>
      <c r="C960" s="50">
        <v>261700</v>
      </c>
      <c r="D960" s="50"/>
      <c r="E960" s="8">
        <f t="shared" si="18"/>
        <v>99100473</v>
      </c>
      <c r="F960" s="14" t="s">
        <v>319</v>
      </c>
      <c r="G960" s="14" t="s">
        <v>117</v>
      </c>
      <c r="H960" s="14" t="s">
        <v>64</v>
      </c>
    </row>
    <row r="961" spans="1:8" s="14" customFormat="1">
      <c r="A961" s="138"/>
      <c r="B961" s="14" t="s">
        <v>3211</v>
      </c>
      <c r="C961" s="50">
        <v>425700</v>
      </c>
      <c r="D961" s="50"/>
      <c r="E961" s="8">
        <f t="shared" si="18"/>
        <v>98674773</v>
      </c>
      <c r="F961" s="14" t="s">
        <v>736</v>
      </c>
      <c r="G961" s="14" t="s">
        <v>455</v>
      </c>
      <c r="H961" s="14" t="s">
        <v>64</v>
      </c>
    </row>
    <row r="962" spans="1:8" s="14" customFormat="1">
      <c r="A962" s="138"/>
      <c r="B962" s="14" t="s">
        <v>3192</v>
      </c>
      <c r="C962" s="50">
        <v>84900</v>
      </c>
      <c r="D962" s="50"/>
      <c r="E962" s="8">
        <f t="shared" si="18"/>
        <v>98589873</v>
      </c>
      <c r="F962" s="14" t="s">
        <v>137</v>
      </c>
      <c r="G962" s="14" t="s">
        <v>138</v>
      </c>
      <c r="H962" s="168" t="s">
        <v>4140</v>
      </c>
    </row>
    <row r="963" spans="1:8" s="14" customFormat="1">
      <c r="A963" s="138"/>
      <c r="B963" s="14" t="s">
        <v>3193</v>
      </c>
      <c r="C963" s="50">
        <v>373000</v>
      </c>
      <c r="D963" s="50"/>
      <c r="E963" s="8">
        <f t="shared" si="18"/>
        <v>98216873</v>
      </c>
      <c r="F963" s="14" t="s">
        <v>137</v>
      </c>
      <c r="G963" s="14" t="s">
        <v>138</v>
      </c>
      <c r="H963" s="168" t="s">
        <v>4140</v>
      </c>
    </row>
    <row r="964" spans="1:8" s="14" customFormat="1">
      <c r="A964" s="138"/>
      <c r="B964" s="14" t="s">
        <v>3194</v>
      </c>
      <c r="C964" s="50">
        <v>352000</v>
      </c>
      <c r="D964" s="50"/>
      <c r="E964" s="8">
        <f t="shared" si="18"/>
        <v>97864873</v>
      </c>
      <c r="F964" s="14" t="s">
        <v>248</v>
      </c>
      <c r="G964" s="14" t="s">
        <v>407</v>
      </c>
      <c r="H964" s="14" t="s">
        <v>64</v>
      </c>
    </row>
    <row r="965" spans="1:8" s="14" customFormat="1">
      <c r="A965" s="138"/>
      <c r="B965" s="14" t="s">
        <v>3106</v>
      </c>
      <c r="C965" s="50">
        <v>410000</v>
      </c>
      <c r="D965" s="50"/>
      <c r="E965" s="8">
        <f t="shared" si="18"/>
        <v>97454873</v>
      </c>
      <c r="F965" s="14" t="s">
        <v>137</v>
      </c>
      <c r="G965" s="14" t="s">
        <v>138</v>
      </c>
      <c r="H965" s="168" t="s">
        <v>4140</v>
      </c>
    </row>
    <row r="966" spans="1:8" s="14" customFormat="1">
      <c r="A966" s="138"/>
      <c r="B966" s="14" t="s">
        <v>898</v>
      </c>
      <c r="C966" s="50">
        <v>294500</v>
      </c>
      <c r="D966" s="50"/>
      <c r="E966" s="8">
        <f t="shared" si="18"/>
        <v>97160373</v>
      </c>
      <c r="F966" s="14" t="s">
        <v>137</v>
      </c>
      <c r="G966" s="14" t="s">
        <v>138</v>
      </c>
      <c r="H966" s="168" t="s">
        <v>4140</v>
      </c>
    </row>
    <row r="967" spans="1:8" s="14" customFormat="1">
      <c r="A967" s="138"/>
      <c r="B967" s="14" t="s">
        <v>3195</v>
      </c>
      <c r="C967" s="50">
        <v>727000</v>
      </c>
      <c r="D967" s="50"/>
      <c r="E967" s="8">
        <f t="shared" si="18"/>
        <v>96433373</v>
      </c>
      <c r="F967" s="14" t="s">
        <v>137</v>
      </c>
      <c r="G967" s="14" t="s">
        <v>138</v>
      </c>
      <c r="H967" s="168" t="s">
        <v>3012</v>
      </c>
    </row>
    <row r="968" spans="1:8" s="14" customFormat="1">
      <c r="A968" s="138"/>
      <c r="B968" s="14" t="s">
        <v>3196</v>
      </c>
      <c r="C968" s="50">
        <v>100000</v>
      </c>
      <c r="D968" s="50"/>
      <c r="E968" s="8">
        <f t="shared" si="18"/>
        <v>96333373</v>
      </c>
      <c r="F968" s="14" t="s">
        <v>113</v>
      </c>
      <c r="G968" s="14" t="s">
        <v>478</v>
      </c>
      <c r="H968" s="14" t="s">
        <v>64</v>
      </c>
    </row>
    <row r="969" spans="1:8" s="14" customFormat="1">
      <c r="A969" s="138"/>
      <c r="B969" s="14" t="s">
        <v>3197</v>
      </c>
      <c r="C969" s="50">
        <v>417600</v>
      </c>
      <c r="D969" s="50"/>
      <c r="E969" s="8">
        <f t="shared" si="18"/>
        <v>95915773</v>
      </c>
      <c r="F969" s="14" t="s">
        <v>137</v>
      </c>
      <c r="G969" s="14" t="s">
        <v>138</v>
      </c>
      <c r="H969" s="168" t="s">
        <v>3013</v>
      </c>
    </row>
    <row r="970" spans="1:8" s="14" customFormat="1">
      <c r="A970" s="138"/>
      <c r="B970" s="14" t="s">
        <v>3198</v>
      </c>
      <c r="C970" s="50">
        <v>163250</v>
      </c>
      <c r="D970" s="50"/>
      <c r="E970" s="8">
        <f t="shared" si="18"/>
        <v>95752523</v>
      </c>
      <c r="F970" s="14" t="s">
        <v>137</v>
      </c>
      <c r="G970" s="14" t="s">
        <v>138</v>
      </c>
      <c r="H970" s="168" t="s">
        <v>3014</v>
      </c>
    </row>
    <row r="971" spans="1:8" s="14" customFormat="1">
      <c r="A971" s="138"/>
      <c r="B971" s="14" t="s">
        <v>3199</v>
      </c>
      <c r="C971" s="50">
        <v>66550</v>
      </c>
      <c r="D971" s="50"/>
      <c r="E971" s="8">
        <f t="shared" si="18"/>
        <v>95685973</v>
      </c>
      <c r="F971" s="14" t="s">
        <v>137</v>
      </c>
      <c r="G971" s="14" t="s">
        <v>138</v>
      </c>
      <c r="H971" s="168" t="s">
        <v>3014</v>
      </c>
    </row>
    <row r="972" spans="1:8" s="14" customFormat="1">
      <c r="A972" s="138"/>
      <c r="B972" s="14" t="s">
        <v>3200</v>
      </c>
      <c r="C972" s="50">
        <v>600000</v>
      </c>
      <c r="D972" s="50"/>
      <c r="E972" s="8">
        <f t="shared" si="18"/>
        <v>95085973</v>
      </c>
      <c r="F972" s="14" t="s">
        <v>137</v>
      </c>
      <c r="G972" s="14" t="s">
        <v>138</v>
      </c>
      <c r="H972" s="168" t="s">
        <v>3014</v>
      </c>
    </row>
    <row r="973" spans="1:8" s="14" customFormat="1">
      <c r="A973" s="138"/>
      <c r="B973" s="14" t="s">
        <v>3201</v>
      </c>
      <c r="C973" s="50">
        <v>20000000</v>
      </c>
      <c r="D973" s="50"/>
      <c r="E973" s="8">
        <f t="shared" si="18"/>
        <v>75085973</v>
      </c>
      <c r="F973" s="14" t="s">
        <v>137</v>
      </c>
      <c r="G973" s="14" t="s">
        <v>138</v>
      </c>
      <c r="H973" s="168" t="s">
        <v>3014</v>
      </c>
    </row>
    <row r="974" spans="1:8" s="14" customFormat="1">
      <c r="A974" s="138"/>
      <c r="B974" s="14" t="s">
        <v>3202</v>
      </c>
      <c r="C974" s="50">
        <v>20104000</v>
      </c>
      <c r="D974" s="50"/>
      <c r="E974" s="8">
        <f t="shared" si="18"/>
        <v>54981973</v>
      </c>
      <c r="F974" s="14" t="s">
        <v>137</v>
      </c>
      <c r="G974" s="14" t="s">
        <v>138</v>
      </c>
      <c r="H974" s="168" t="s">
        <v>3014</v>
      </c>
    </row>
    <row r="975" spans="1:8" s="14" customFormat="1">
      <c r="A975" s="138"/>
      <c r="B975" s="14" t="s">
        <v>3203</v>
      </c>
      <c r="C975" s="50">
        <v>116025</v>
      </c>
      <c r="D975" s="50"/>
      <c r="E975" s="8">
        <f t="shared" si="18"/>
        <v>54865948</v>
      </c>
      <c r="F975" s="14" t="s">
        <v>137</v>
      </c>
      <c r="G975" s="14" t="s">
        <v>138</v>
      </c>
      <c r="H975" s="168" t="s">
        <v>3014</v>
      </c>
    </row>
    <row r="976" spans="1:8" s="14" customFormat="1">
      <c r="A976" s="138"/>
      <c r="B976" s="14" t="s">
        <v>3201</v>
      </c>
      <c r="C976" s="50">
        <v>29109149</v>
      </c>
      <c r="D976" s="50"/>
      <c r="E976" s="8">
        <f t="shared" si="18"/>
        <v>25756799</v>
      </c>
      <c r="F976" s="14" t="s">
        <v>137</v>
      </c>
      <c r="G976" s="14" t="s">
        <v>138</v>
      </c>
      <c r="H976" s="168" t="s">
        <v>3014</v>
      </c>
    </row>
    <row r="977" spans="1:9" s="14" customFormat="1">
      <c r="A977" s="138"/>
      <c r="B977" s="14" t="s">
        <v>3204</v>
      </c>
      <c r="C977" s="50">
        <v>889350</v>
      </c>
      <c r="D977" s="50"/>
      <c r="E977" s="8">
        <f t="shared" si="18"/>
        <v>24867449</v>
      </c>
      <c r="F977" s="14" t="s">
        <v>137</v>
      </c>
      <c r="G977" s="14" t="s">
        <v>138</v>
      </c>
      <c r="H977" s="168" t="s">
        <v>3014</v>
      </c>
    </row>
    <row r="978" spans="1:9" s="14" customFormat="1">
      <c r="A978" s="138"/>
      <c r="B978" s="14" t="s">
        <v>3205</v>
      </c>
      <c r="C978" s="53">
        <v>729900</v>
      </c>
      <c r="D978" s="53"/>
      <c r="E978" s="54">
        <f t="shared" si="18"/>
        <v>24137549</v>
      </c>
      <c r="F978" s="14" t="s">
        <v>115</v>
      </c>
      <c r="G978" s="14" t="s">
        <v>120</v>
      </c>
      <c r="H978" s="14" t="s">
        <v>127</v>
      </c>
      <c r="I978" s="14" t="s">
        <v>444</v>
      </c>
    </row>
    <row r="979" spans="1:9" s="14" customFormat="1">
      <c r="A979" s="138"/>
      <c r="B979" s="14" t="s">
        <v>3206</v>
      </c>
      <c r="C979" s="53">
        <v>5109300</v>
      </c>
      <c r="D979" s="53"/>
      <c r="E979" s="54">
        <f t="shared" si="18"/>
        <v>19028249</v>
      </c>
      <c r="F979" s="14" t="s">
        <v>115</v>
      </c>
      <c r="G979" s="14" t="s">
        <v>120</v>
      </c>
      <c r="H979" s="14" t="s">
        <v>127</v>
      </c>
      <c r="I979" s="14" t="s">
        <v>444</v>
      </c>
    </row>
    <row r="980" spans="1:9">
      <c r="B980" s="14" t="s">
        <v>3207</v>
      </c>
      <c r="C980" s="53">
        <v>9488700</v>
      </c>
      <c r="D980" s="54"/>
      <c r="E980" s="54">
        <f t="shared" si="18"/>
        <v>9539549</v>
      </c>
      <c r="F980" s="14" t="s">
        <v>115</v>
      </c>
      <c r="G980" s="14" t="s">
        <v>120</v>
      </c>
      <c r="H980" s="14" t="s">
        <v>127</v>
      </c>
      <c r="I980" s="14" t="s">
        <v>444</v>
      </c>
    </row>
    <row r="981" spans="1:9">
      <c r="B981" s="14" t="s">
        <v>3208</v>
      </c>
      <c r="C981" s="53">
        <v>399900</v>
      </c>
      <c r="D981" s="54"/>
      <c r="E981" s="54">
        <f t="shared" si="18"/>
        <v>9139649</v>
      </c>
      <c r="F981" s="14" t="s">
        <v>115</v>
      </c>
      <c r="G981" s="14" t="s">
        <v>120</v>
      </c>
      <c r="H981" s="14" t="s">
        <v>127</v>
      </c>
      <c r="I981" s="14" t="s">
        <v>444</v>
      </c>
    </row>
    <row r="982" spans="1:9">
      <c r="B982" s="14" t="s">
        <v>3209</v>
      </c>
      <c r="C982" s="50">
        <v>4386250</v>
      </c>
      <c r="E982" s="8">
        <f t="shared" si="18"/>
        <v>4753399</v>
      </c>
      <c r="F982" s="14" t="s">
        <v>137</v>
      </c>
      <c r="G982" s="14" t="s">
        <v>138</v>
      </c>
      <c r="H982" s="168" t="s">
        <v>3033</v>
      </c>
    </row>
    <row r="983" spans="1:9">
      <c r="B983" s="14" t="s">
        <v>1031</v>
      </c>
      <c r="C983" s="50">
        <v>10000</v>
      </c>
      <c r="E983" s="8">
        <f t="shared" si="18"/>
        <v>4743399</v>
      </c>
      <c r="F983" t="s">
        <v>113</v>
      </c>
      <c r="G983" t="s">
        <v>114</v>
      </c>
      <c r="H983" t="s">
        <v>64</v>
      </c>
    </row>
    <row r="984" spans="1:9" s="14" customFormat="1">
      <c r="A984" s="138"/>
      <c r="B984" s="14" t="s">
        <v>4003</v>
      </c>
      <c r="C984" s="50">
        <v>1707333</v>
      </c>
      <c r="D984" s="50"/>
      <c r="E984" s="8">
        <f t="shared" si="18"/>
        <v>3036066</v>
      </c>
      <c r="F984" s="14" t="s">
        <v>115</v>
      </c>
      <c r="G984" s="14" t="s">
        <v>440</v>
      </c>
      <c r="H984" s="14" t="s">
        <v>4001</v>
      </c>
    </row>
    <row r="985" spans="1:9" s="14" customFormat="1">
      <c r="A985" s="138"/>
      <c r="B985" s="14" t="s">
        <v>4004</v>
      </c>
      <c r="C985" s="50">
        <v>1458250</v>
      </c>
      <c r="D985" s="50"/>
      <c r="E985" s="8">
        <f t="shared" si="18"/>
        <v>1577816</v>
      </c>
      <c r="F985" s="14" t="s">
        <v>115</v>
      </c>
      <c r="G985" s="14" t="s">
        <v>440</v>
      </c>
      <c r="H985" s="14" t="s">
        <v>4002</v>
      </c>
    </row>
    <row r="986" spans="1:9">
      <c r="B986" s="14" t="s">
        <v>3210</v>
      </c>
      <c r="C986" s="50">
        <v>1577816</v>
      </c>
      <c r="E986" s="8">
        <f t="shared" si="18"/>
        <v>0</v>
      </c>
      <c r="F986" t="s">
        <v>113</v>
      </c>
      <c r="G986" t="s">
        <v>478</v>
      </c>
      <c r="H986" t="s">
        <v>64</v>
      </c>
    </row>
    <row r="987" spans="1:9">
      <c r="A987" s="3">
        <v>44382</v>
      </c>
      <c r="B987" t="s">
        <v>1947</v>
      </c>
      <c r="C987" s="8">
        <v>0</v>
      </c>
      <c r="D987" s="8">
        <v>28563407.550000012</v>
      </c>
      <c r="E987" s="8">
        <f t="shared" si="18"/>
        <v>28563407.550000012</v>
      </c>
      <c r="F987" t="s">
        <v>581</v>
      </c>
      <c r="G987" t="s">
        <v>582</v>
      </c>
      <c r="H987" s="14" t="s">
        <v>3020</v>
      </c>
      <c r="I987">
        <v>37</v>
      </c>
    </row>
    <row r="988" spans="1:9">
      <c r="B988" t="s">
        <v>1947</v>
      </c>
      <c r="C988" s="50">
        <v>23802840.050000001</v>
      </c>
      <c r="E988" s="8">
        <f t="shared" si="18"/>
        <v>4760567.5000000112</v>
      </c>
      <c r="F988" s="14" t="s">
        <v>568</v>
      </c>
      <c r="G988" s="14" t="s">
        <v>4395</v>
      </c>
      <c r="H988" s="14" t="s">
        <v>3020</v>
      </c>
      <c r="I988">
        <v>37</v>
      </c>
    </row>
    <row r="989" spans="1:9">
      <c r="B989" t="s">
        <v>1947</v>
      </c>
      <c r="C989" s="50">
        <v>4760567.5000000112</v>
      </c>
      <c r="E989" s="8">
        <f t="shared" si="18"/>
        <v>0</v>
      </c>
      <c r="F989" t="s">
        <v>714</v>
      </c>
      <c r="G989" t="s">
        <v>715</v>
      </c>
      <c r="H989" s="14" t="s">
        <v>3020</v>
      </c>
      <c r="I989">
        <v>37</v>
      </c>
    </row>
    <row r="990" spans="1:9">
      <c r="A990" s="3">
        <v>44384</v>
      </c>
      <c r="B990" t="s">
        <v>1790</v>
      </c>
      <c r="C990" s="8">
        <v>0</v>
      </c>
      <c r="D990" s="8">
        <v>2510493.1999999993</v>
      </c>
      <c r="E990" s="8">
        <f t="shared" si="18"/>
        <v>2510493.1999999993</v>
      </c>
      <c r="F990" t="s">
        <v>581</v>
      </c>
      <c r="G990" t="s">
        <v>582</v>
      </c>
      <c r="H990" s="14" t="s">
        <v>2959</v>
      </c>
      <c r="I990">
        <v>35</v>
      </c>
    </row>
    <row r="991" spans="1:9">
      <c r="B991" t="s">
        <v>1790</v>
      </c>
      <c r="C991" s="50">
        <v>2177011.2000000002</v>
      </c>
      <c r="E991" s="8">
        <f t="shared" si="18"/>
        <v>333481.99999999907</v>
      </c>
      <c r="F991" s="14" t="s">
        <v>568</v>
      </c>
      <c r="G991" s="14" t="s">
        <v>4395</v>
      </c>
      <c r="H991" s="14" t="s">
        <v>2959</v>
      </c>
      <c r="I991">
        <v>35</v>
      </c>
    </row>
    <row r="992" spans="1:9" s="14" customFormat="1">
      <c r="A992" s="138"/>
      <c r="B992" s="14" t="s">
        <v>1790</v>
      </c>
      <c r="C992" s="53">
        <v>333481.99999999907</v>
      </c>
      <c r="D992" s="53"/>
      <c r="E992" s="53">
        <f t="shared" si="18"/>
        <v>0</v>
      </c>
      <c r="F992" s="14" t="s">
        <v>714</v>
      </c>
      <c r="G992" s="14" t="s">
        <v>715</v>
      </c>
      <c r="H992" s="14" t="s">
        <v>2959</v>
      </c>
      <c r="I992" s="14">
        <v>35</v>
      </c>
    </row>
    <row r="993" spans="1:9">
      <c r="A993" s="3">
        <v>44389</v>
      </c>
      <c r="B993" s="7" t="s">
        <v>1734</v>
      </c>
      <c r="C993" s="8">
        <v>0</v>
      </c>
      <c r="D993" s="8">
        <v>2000000</v>
      </c>
      <c r="E993" s="8">
        <f t="shared" si="18"/>
        <v>2000000</v>
      </c>
      <c r="F993" s="83" t="s">
        <v>107</v>
      </c>
      <c r="G993" s="14" t="s">
        <v>666</v>
      </c>
      <c r="H993" s="14" t="s">
        <v>3405</v>
      </c>
      <c r="I993" t="s">
        <v>3543</v>
      </c>
    </row>
    <row r="994" spans="1:9">
      <c r="B994" s="14" t="s">
        <v>3544</v>
      </c>
      <c r="C994" s="53">
        <v>175000</v>
      </c>
      <c r="D994" s="54"/>
      <c r="E994" s="54">
        <f t="shared" si="18"/>
        <v>1825000</v>
      </c>
      <c r="F994" t="s">
        <v>137</v>
      </c>
      <c r="G994" t="s">
        <v>138</v>
      </c>
      <c r="H994" s="14" t="s">
        <v>2043</v>
      </c>
    </row>
    <row r="995" spans="1:9">
      <c r="B995" s="14" t="s">
        <v>3545</v>
      </c>
      <c r="C995" s="53">
        <v>80700</v>
      </c>
      <c r="D995" s="54"/>
      <c r="E995" s="54">
        <f t="shared" si="18"/>
        <v>1744300</v>
      </c>
      <c r="F995" t="s">
        <v>137</v>
      </c>
      <c r="G995" t="s">
        <v>138</v>
      </c>
      <c r="H995" s="14" t="s">
        <v>2043</v>
      </c>
    </row>
    <row r="996" spans="1:9">
      <c r="B996" s="14" t="s">
        <v>3546</v>
      </c>
      <c r="C996" s="53">
        <v>69600</v>
      </c>
      <c r="D996" s="54"/>
      <c r="E996" s="54">
        <f t="shared" si="18"/>
        <v>1674700</v>
      </c>
      <c r="F996" t="s">
        <v>137</v>
      </c>
      <c r="G996" t="s">
        <v>138</v>
      </c>
      <c r="H996" s="14" t="s">
        <v>2043</v>
      </c>
    </row>
    <row r="997" spans="1:9">
      <c r="B997" s="14" t="s">
        <v>3547</v>
      </c>
      <c r="C997" s="53">
        <v>287008</v>
      </c>
      <c r="D997" s="54"/>
      <c r="E997" s="54">
        <f t="shared" si="18"/>
        <v>1387692</v>
      </c>
      <c r="F997" t="s">
        <v>137</v>
      </c>
      <c r="G997" t="s">
        <v>138</v>
      </c>
      <c r="H997" s="14" t="s">
        <v>2043</v>
      </c>
    </row>
    <row r="998" spans="1:9">
      <c r="B998" s="14" t="s">
        <v>3548</v>
      </c>
      <c r="C998" s="53">
        <v>150000</v>
      </c>
      <c r="D998" s="54"/>
      <c r="E998" s="54">
        <f t="shared" si="18"/>
        <v>1237692</v>
      </c>
      <c r="F998" t="s">
        <v>137</v>
      </c>
      <c r="G998" t="s">
        <v>138</v>
      </c>
      <c r="H998" s="14" t="s">
        <v>2043</v>
      </c>
    </row>
    <row r="999" spans="1:9">
      <c r="B999" s="14" t="s">
        <v>3549</v>
      </c>
      <c r="C999" s="53">
        <v>37000</v>
      </c>
      <c r="D999" s="54"/>
      <c r="E999" s="54">
        <f t="shared" si="18"/>
        <v>1200692</v>
      </c>
      <c r="F999" t="s">
        <v>137</v>
      </c>
      <c r="G999" t="s">
        <v>138</v>
      </c>
      <c r="H999" s="14" t="s">
        <v>2043</v>
      </c>
    </row>
    <row r="1000" spans="1:9">
      <c r="B1000" s="14" t="s">
        <v>3550</v>
      </c>
      <c r="C1000" s="53">
        <v>38500</v>
      </c>
      <c r="D1000" s="54"/>
      <c r="E1000" s="54">
        <f t="shared" si="18"/>
        <v>1162192</v>
      </c>
      <c r="F1000" t="s">
        <v>137</v>
      </c>
      <c r="G1000" t="s">
        <v>138</v>
      </c>
      <c r="H1000" s="14" t="s">
        <v>2043</v>
      </c>
    </row>
    <row r="1001" spans="1:9">
      <c r="B1001" s="14" t="s">
        <v>3551</v>
      </c>
      <c r="C1001" s="53">
        <v>181000</v>
      </c>
      <c r="D1001" s="54"/>
      <c r="E1001" s="54">
        <f t="shared" si="18"/>
        <v>981192</v>
      </c>
      <c r="F1001" t="s">
        <v>137</v>
      </c>
      <c r="G1001" t="s">
        <v>138</v>
      </c>
      <c r="H1001" s="14" t="s">
        <v>2043</v>
      </c>
    </row>
    <row r="1002" spans="1:9">
      <c r="B1002" s="14" t="s">
        <v>3552</v>
      </c>
      <c r="C1002" s="53">
        <v>60700</v>
      </c>
      <c r="D1002" s="54"/>
      <c r="E1002" s="54">
        <f t="shared" si="18"/>
        <v>920492</v>
      </c>
      <c r="F1002" t="s">
        <v>137</v>
      </c>
      <c r="G1002" t="s">
        <v>138</v>
      </c>
      <c r="H1002" s="14" t="s">
        <v>2043</v>
      </c>
    </row>
    <row r="1003" spans="1:9">
      <c r="B1003" s="14" t="s">
        <v>3549</v>
      </c>
      <c r="C1003" s="53">
        <v>19000</v>
      </c>
      <c r="D1003" s="54"/>
      <c r="E1003" s="54">
        <f t="shared" si="18"/>
        <v>901492</v>
      </c>
      <c r="F1003" t="s">
        <v>137</v>
      </c>
      <c r="G1003" t="s">
        <v>138</v>
      </c>
      <c r="H1003" s="14" t="s">
        <v>2043</v>
      </c>
    </row>
    <row r="1004" spans="1:9">
      <c r="B1004" s="14" t="s">
        <v>3553</v>
      </c>
      <c r="C1004" s="53">
        <v>183000</v>
      </c>
      <c r="D1004" s="54"/>
      <c r="E1004" s="54">
        <f t="shared" si="18"/>
        <v>718492</v>
      </c>
      <c r="F1004" t="s">
        <v>137</v>
      </c>
      <c r="G1004" t="s">
        <v>138</v>
      </c>
      <c r="H1004" s="14" t="s">
        <v>2043</v>
      </c>
    </row>
    <row r="1005" spans="1:9">
      <c r="B1005" s="14" t="s">
        <v>3554</v>
      </c>
      <c r="C1005" s="53">
        <v>700000</v>
      </c>
      <c r="D1005" s="54"/>
      <c r="E1005" s="54">
        <f t="shared" si="18"/>
        <v>18492</v>
      </c>
      <c r="F1005" t="s">
        <v>137</v>
      </c>
      <c r="G1005" t="s">
        <v>138</v>
      </c>
      <c r="H1005" s="14" t="s">
        <v>2043</v>
      </c>
    </row>
    <row r="1006" spans="1:9">
      <c r="B1006" s="7" t="s">
        <v>1749</v>
      </c>
      <c r="C1006" s="8">
        <v>18492</v>
      </c>
      <c r="D1006" s="8">
        <v>0</v>
      </c>
      <c r="E1006" s="8">
        <f t="shared" si="18"/>
        <v>0</v>
      </c>
      <c r="F1006" s="83" t="s">
        <v>107</v>
      </c>
      <c r="G1006" s="14" t="s">
        <v>668</v>
      </c>
      <c r="H1006" s="14" t="s">
        <v>3405</v>
      </c>
      <c r="I1006" t="s">
        <v>3543</v>
      </c>
    </row>
    <row r="1007" spans="1:9">
      <c r="A1007" s="3">
        <v>44390</v>
      </c>
      <c r="B1007" t="s">
        <v>1944</v>
      </c>
      <c r="C1007" s="8">
        <v>0</v>
      </c>
      <c r="D1007" s="53">
        <v>122180</v>
      </c>
      <c r="E1007" s="8">
        <f t="shared" si="18"/>
        <v>122180</v>
      </c>
      <c r="F1007" t="s">
        <v>581</v>
      </c>
      <c r="G1007" t="s">
        <v>582</v>
      </c>
      <c r="H1007" s="14" t="s">
        <v>2964</v>
      </c>
      <c r="I1007">
        <v>47</v>
      </c>
    </row>
    <row r="1008" spans="1:9">
      <c r="B1008" t="s">
        <v>1944</v>
      </c>
      <c r="C1008" s="53">
        <v>122180</v>
      </c>
      <c r="E1008" s="8">
        <f t="shared" ref="E1008:E1015" si="19">E1007-C1008+D1008</f>
        <v>0</v>
      </c>
      <c r="F1008" t="s">
        <v>714</v>
      </c>
      <c r="G1008" t="s">
        <v>715</v>
      </c>
      <c r="H1008" s="14" t="s">
        <v>2964</v>
      </c>
      <c r="I1008">
        <v>47</v>
      </c>
    </row>
    <row r="1009" spans="1:9">
      <c r="A1009" s="3">
        <v>44393</v>
      </c>
      <c r="B1009" s="7" t="s">
        <v>1739</v>
      </c>
      <c r="C1009" s="8">
        <v>0</v>
      </c>
      <c r="D1009" s="8">
        <v>1500000</v>
      </c>
      <c r="E1009" s="8">
        <f t="shared" si="19"/>
        <v>1500000</v>
      </c>
      <c r="F1009" s="83" t="s">
        <v>107</v>
      </c>
      <c r="G1009" s="14" t="s">
        <v>666</v>
      </c>
      <c r="H1009" s="14" t="s">
        <v>3405</v>
      </c>
      <c r="I1009" t="s">
        <v>3631</v>
      </c>
    </row>
    <row r="1010" spans="1:9">
      <c r="B1010" s="7" t="s">
        <v>3632</v>
      </c>
      <c r="C1010" s="54">
        <v>125000</v>
      </c>
      <c r="D1010" s="54"/>
      <c r="E1010" s="54">
        <f t="shared" si="19"/>
        <v>1375000</v>
      </c>
      <c r="F1010" s="80" t="s">
        <v>137</v>
      </c>
      <c r="G1010" s="14" t="s">
        <v>138</v>
      </c>
      <c r="H1010" s="14" t="s">
        <v>2970</v>
      </c>
    </row>
    <row r="1011" spans="1:9">
      <c r="B1011" s="7" t="s">
        <v>3633</v>
      </c>
      <c r="C1011" s="54">
        <v>240000</v>
      </c>
      <c r="D1011" s="54"/>
      <c r="E1011" s="54">
        <f t="shared" si="19"/>
        <v>1135000</v>
      </c>
      <c r="F1011" s="80" t="s">
        <v>137</v>
      </c>
      <c r="G1011" s="14" t="s">
        <v>138</v>
      </c>
      <c r="H1011" s="14" t="s">
        <v>2970</v>
      </c>
    </row>
    <row r="1012" spans="1:9">
      <c r="B1012" s="7" t="s">
        <v>3634</v>
      </c>
      <c r="C1012" s="54">
        <v>250000</v>
      </c>
      <c r="D1012" s="54"/>
      <c r="E1012" s="54">
        <f t="shared" si="19"/>
        <v>885000</v>
      </c>
      <c r="F1012" s="80" t="s">
        <v>137</v>
      </c>
      <c r="G1012" s="14" t="s">
        <v>138</v>
      </c>
      <c r="H1012" s="14" t="s">
        <v>2970</v>
      </c>
    </row>
    <row r="1013" spans="1:9">
      <c r="B1013" s="7" t="s">
        <v>3635</v>
      </c>
      <c r="C1013" s="54">
        <v>46000</v>
      </c>
      <c r="D1013" s="54"/>
      <c r="E1013" s="54">
        <f t="shared" si="19"/>
        <v>839000</v>
      </c>
      <c r="F1013" s="80" t="s">
        <v>137</v>
      </c>
      <c r="G1013" s="14" t="s">
        <v>138</v>
      </c>
      <c r="H1013" s="14" t="s">
        <v>2970</v>
      </c>
    </row>
    <row r="1014" spans="1:9">
      <c r="B1014" s="7" t="s">
        <v>3636</v>
      </c>
      <c r="C1014" s="54">
        <v>157000</v>
      </c>
      <c r="D1014" s="54"/>
      <c r="E1014" s="54">
        <f t="shared" si="19"/>
        <v>682000</v>
      </c>
      <c r="F1014" s="80" t="s">
        <v>137</v>
      </c>
      <c r="G1014" s="14" t="s">
        <v>138</v>
      </c>
      <c r="H1014" s="14" t="s">
        <v>2970</v>
      </c>
    </row>
    <row r="1015" spans="1:9">
      <c r="B1015" s="7" t="s">
        <v>1750</v>
      </c>
      <c r="C1015" s="8">
        <v>682000</v>
      </c>
      <c r="D1015" s="8">
        <v>0</v>
      </c>
      <c r="E1015" s="8">
        <f t="shared" si="19"/>
        <v>0</v>
      </c>
      <c r="F1015" s="83" t="s">
        <v>107</v>
      </c>
      <c r="G1015" s="14" t="s">
        <v>668</v>
      </c>
      <c r="H1015" s="14" t="s">
        <v>3405</v>
      </c>
      <c r="I1015" t="s">
        <v>3631</v>
      </c>
    </row>
    <row r="1016" spans="1:9">
      <c r="A1016" s="3">
        <v>44393</v>
      </c>
      <c r="B1016" t="s">
        <v>1937</v>
      </c>
      <c r="C1016" s="54">
        <v>0</v>
      </c>
      <c r="D1016" s="54">
        <v>11173800</v>
      </c>
      <c r="E1016" s="8">
        <f t="shared" ref="E1016:E1085" si="20">E1015-C1016+D1016</f>
        <v>11173800</v>
      </c>
      <c r="F1016" t="s">
        <v>581</v>
      </c>
      <c r="G1016" t="s">
        <v>582</v>
      </c>
      <c r="H1016" s="14" t="s">
        <v>3023</v>
      </c>
      <c r="I1016">
        <v>40</v>
      </c>
    </row>
    <row r="1017" spans="1:9">
      <c r="B1017" t="s">
        <v>1937</v>
      </c>
      <c r="C1017" s="8">
        <v>9311500</v>
      </c>
      <c r="E1017" s="8">
        <f t="shared" si="20"/>
        <v>1862300</v>
      </c>
      <c r="F1017" s="14" t="s">
        <v>568</v>
      </c>
      <c r="G1017" s="14" t="s">
        <v>4395</v>
      </c>
      <c r="H1017" s="14" t="s">
        <v>4140</v>
      </c>
      <c r="I1017">
        <v>40</v>
      </c>
    </row>
    <row r="1018" spans="1:9">
      <c r="B1018" t="s">
        <v>1937</v>
      </c>
      <c r="C1018" s="8">
        <v>1862300</v>
      </c>
      <c r="E1018" s="8">
        <f t="shared" si="20"/>
        <v>0</v>
      </c>
      <c r="F1018" t="s">
        <v>714</v>
      </c>
      <c r="G1018" t="s">
        <v>715</v>
      </c>
      <c r="H1018" s="14" t="s">
        <v>3023</v>
      </c>
      <c r="I1018">
        <v>40</v>
      </c>
    </row>
    <row r="1019" spans="1:9">
      <c r="A1019" s="3">
        <v>44396</v>
      </c>
      <c r="B1019" t="s">
        <v>1790</v>
      </c>
      <c r="C1019" s="8">
        <v>0</v>
      </c>
      <c r="D1019" s="8">
        <v>10180800</v>
      </c>
      <c r="E1019" s="8">
        <f t="shared" si="20"/>
        <v>10180800</v>
      </c>
      <c r="F1019" t="s">
        <v>581</v>
      </c>
      <c r="G1019" t="s">
        <v>582</v>
      </c>
      <c r="H1019" s="14" t="s">
        <v>1126</v>
      </c>
      <c r="I1019">
        <v>15</v>
      </c>
    </row>
    <row r="1020" spans="1:9">
      <c r="B1020" t="s">
        <v>1790</v>
      </c>
      <c r="C1020" s="8">
        <v>8484000</v>
      </c>
      <c r="E1020" s="8">
        <f t="shared" si="20"/>
        <v>1696800</v>
      </c>
      <c r="F1020" s="14" t="s">
        <v>568</v>
      </c>
      <c r="G1020" s="14" t="s">
        <v>4395</v>
      </c>
      <c r="H1020" s="14" t="s">
        <v>1126</v>
      </c>
      <c r="I1020">
        <v>15</v>
      </c>
    </row>
    <row r="1021" spans="1:9">
      <c r="B1021" t="s">
        <v>1790</v>
      </c>
      <c r="C1021" s="8">
        <v>1696800</v>
      </c>
      <c r="E1021" s="8">
        <f t="shared" si="20"/>
        <v>0</v>
      </c>
      <c r="F1021" t="s">
        <v>714</v>
      </c>
      <c r="G1021" t="s">
        <v>715</v>
      </c>
      <c r="H1021" s="14" t="s">
        <v>1126</v>
      </c>
      <c r="I1021">
        <v>15</v>
      </c>
    </row>
    <row r="1022" spans="1:9">
      <c r="A1022" s="3">
        <v>44396</v>
      </c>
      <c r="B1022" t="s">
        <v>1790</v>
      </c>
      <c r="C1022" s="8">
        <v>0</v>
      </c>
      <c r="D1022" s="8">
        <v>22793100</v>
      </c>
      <c r="E1022" s="8">
        <f t="shared" si="20"/>
        <v>22793100</v>
      </c>
      <c r="F1022" t="s">
        <v>581</v>
      </c>
      <c r="G1022" t="s">
        <v>582</v>
      </c>
      <c r="H1022" s="14" t="s">
        <v>2952</v>
      </c>
      <c r="I1022">
        <v>22</v>
      </c>
    </row>
    <row r="1023" spans="1:9">
      <c r="B1023" t="s">
        <v>1790</v>
      </c>
      <c r="C1023" s="8">
        <v>18994250</v>
      </c>
      <c r="E1023" s="8">
        <f t="shared" si="20"/>
        <v>3798850</v>
      </c>
      <c r="F1023" s="14" t="s">
        <v>568</v>
      </c>
      <c r="G1023" s="14" t="s">
        <v>4395</v>
      </c>
      <c r="H1023" s="14" t="s">
        <v>2952</v>
      </c>
      <c r="I1023">
        <v>22</v>
      </c>
    </row>
    <row r="1024" spans="1:9">
      <c r="B1024" t="s">
        <v>1790</v>
      </c>
      <c r="C1024" s="8">
        <v>3798850</v>
      </c>
      <c r="E1024" s="8">
        <f t="shared" si="20"/>
        <v>0</v>
      </c>
      <c r="F1024" t="s">
        <v>714</v>
      </c>
      <c r="G1024" t="s">
        <v>715</v>
      </c>
      <c r="H1024" s="14" t="s">
        <v>2952</v>
      </c>
      <c r="I1024">
        <v>22</v>
      </c>
    </row>
    <row r="1025" spans="1:9">
      <c r="A1025" s="3">
        <v>44403</v>
      </c>
      <c r="B1025" t="s">
        <v>1790</v>
      </c>
      <c r="C1025" s="8">
        <v>0</v>
      </c>
      <c r="D1025" s="8">
        <v>17861688</v>
      </c>
      <c r="E1025" s="8">
        <f t="shared" si="20"/>
        <v>17861688</v>
      </c>
      <c r="F1025" t="s">
        <v>581</v>
      </c>
      <c r="G1025" t="s">
        <v>582</v>
      </c>
      <c r="H1025" s="14" t="s">
        <v>1127</v>
      </c>
      <c r="I1025">
        <v>16</v>
      </c>
    </row>
    <row r="1026" spans="1:9">
      <c r="B1026" t="s">
        <v>1790</v>
      </c>
      <c r="C1026" s="8">
        <v>14884740</v>
      </c>
      <c r="E1026" s="8">
        <f t="shared" si="20"/>
        <v>2976948</v>
      </c>
      <c r="F1026" s="14" t="s">
        <v>568</v>
      </c>
      <c r="G1026" s="14" t="s">
        <v>4395</v>
      </c>
      <c r="H1026" s="14" t="s">
        <v>1127</v>
      </c>
      <c r="I1026">
        <v>16</v>
      </c>
    </row>
    <row r="1027" spans="1:9">
      <c r="B1027" t="s">
        <v>1790</v>
      </c>
      <c r="C1027" s="8">
        <v>2976948</v>
      </c>
      <c r="E1027" s="8">
        <f t="shared" si="20"/>
        <v>0</v>
      </c>
      <c r="F1027" t="s">
        <v>714</v>
      </c>
      <c r="G1027" t="s">
        <v>715</v>
      </c>
      <c r="H1027" s="14" t="s">
        <v>1127</v>
      </c>
      <c r="I1027">
        <v>16</v>
      </c>
    </row>
    <row r="1028" spans="1:9" s="14" customFormat="1">
      <c r="A1028" s="138">
        <v>44403</v>
      </c>
      <c r="B1028" s="14" t="s">
        <v>1899</v>
      </c>
      <c r="C1028" s="50">
        <v>0</v>
      </c>
      <c r="D1028" s="50">
        <v>52321821</v>
      </c>
      <c r="E1028" s="8">
        <f t="shared" si="20"/>
        <v>52321821</v>
      </c>
      <c r="F1028" s="14" t="s">
        <v>107</v>
      </c>
      <c r="G1028" s="14" t="s">
        <v>274</v>
      </c>
      <c r="H1028" s="14" t="s">
        <v>143</v>
      </c>
    </row>
    <row r="1029" spans="1:9" s="14" customFormat="1">
      <c r="A1029" s="138"/>
      <c r="B1029" s="14" t="s">
        <v>3212</v>
      </c>
      <c r="C1029" s="50">
        <v>1700000</v>
      </c>
      <c r="D1029" s="50"/>
      <c r="E1029" s="8">
        <f t="shared" si="20"/>
        <v>50621821</v>
      </c>
      <c r="F1029" s="14" t="s">
        <v>137</v>
      </c>
      <c r="G1029" s="14" t="s">
        <v>138</v>
      </c>
      <c r="H1029" s="168" t="s">
        <v>3012</v>
      </c>
    </row>
    <row r="1030" spans="1:9" s="14" customFormat="1">
      <c r="A1030" s="138"/>
      <c r="B1030" s="14" t="s">
        <v>3213</v>
      </c>
      <c r="C1030" s="50">
        <v>1366800</v>
      </c>
      <c r="D1030" s="50"/>
      <c r="E1030" s="8">
        <f t="shared" si="20"/>
        <v>49255021</v>
      </c>
      <c r="F1030" s="14" t="s">
        <v>137</v>
      </c>
      <c r="G1030" s="14" t="s">
        <v>138</v>
      </c>
      <c r="H1030" s="168" t="s">
        <v>3012</v>
      </c>
    </row>
    <row r="1031" spans="1:9" s="14" customFormat="1">
      <c r="A1031" s="138"/>
      <c r="B1031" s="14" t="s">
        <v>3214</v>
      </c>
      <c r="C1031" s="50">
        <v>497000</v>
      </c>
      <c r="D1031" s="50"/>
      <c r="E1031" s="8">
        <f t="shared" si="20"/>
        <v>48758021</v>
      </c>
      <c r="F1031" s="14" t="s">
        <v>137</v>
      </c>
      <c r="G1031" s="14" t="s">
        <v>138</v>
      </c>
      <c r="H1031" s="168" t="s">
        <v>3012</v>
      </c>
    </row>
    <row r="1032" spans="1:9" s="14" customFormat="1">
      <c r="A1032" s="138"/>
      <c r="B1032" s="14" t="s">
        <v>1052</v>
      </c>
      <c r="C1032" s="50">
        <v>5000</v>
      </c>
      <c r="D1032" s="50"/>
      <c r="E1032" s="8">
        <f t="shared" si="20"/>
        <v>48753021</v>
      </c>
      <c r="F1032" s="14" t="s">
        <v>113</v>
      </c>
      <c r="G1032" s="14" t="s">
        <v>114</v>
      </c>
      <c r="H1032" s="14" t="s">
        <v>64</v>
      </c>
    </row>
    <row r="1033" spans="1:9" s="14" customFormat="1">
      <c r="A1033" s="138"/>
      <c r="B1033" s="14" t="s">
        <v>3215</v>
      </c>
      <c r="C1033" s="50">
        <v>82999</v>
      </c>
      <c r="D1033" s="50"/>
      <c r="E1033" s="8">
        <f t="shared" si="20"/>
        <v>48670022</v>
      </c>
      <c r="F1033" s="14" t="s">
        <v>137</v>
      </c>
      <c r="G1033" s="14" t="s">
        <v>138</v>
      </c>
      <c r="H1033" s="168" t="s">
        <v>3073</v>
      </c>
    </row>
    <row r="1034" spans="1:9" s="14" customFormat="1">
      <c r="A1034" s="138"/>
      <c r="B1034" s="14" t="s">
        <v>3215</v>
      </c>
      <c r="C1034" s="50">
        <v>165494</v>
      </c>
      <c r="D1034" s="50"/>
      <c r="E1034" s="8">
        <f t="shared" si="20"/>
        <v>48504528</v>
      </c>
      <c r="F1034" s="14" t="s">
        <v>137</v>
      </c>
      <c r="G1034" s="14" t="s">
        <v>138</v>
      </c>
      <c r="H1034" s="168" t="s">
        <v>3073</v>
      </c>
    </row>
    <row r="1035" spans="1:9" s="14" customFormat="1">
      <c r="A1035" s="138"/>
      <c r="B1035" s="14" t="s">
        <v>3224</v>
      </c>
      <c r="C1035" s="50">
        <v>397250</v>
      </c>
      <c r="D1035" s="50"/>
      <c r="E1035" s="8">
        <f t="shared" si="20"/>
        <v>48107278</v>
      </c>
      <c r="F1035" s="14" t="s">
        <v>248</v>
      </c>
      <c r="G1035" s="14" t="s">
        <v>391</v>
      </c>
      <c r="H1035" s="14" t="s">
        <v>64</v>
      </c>
    </row>
    <row r="1036" spans="1:9" s="14" customFormat="1">
      <c r="A1036" s="138"/>
      <c r="B1036" s="14" t="s">
        <v>3216</v>
      </c>
      <c r="C1036" s="53">
        <v>103000</v>
      </c>
      <c r="D1036" s="53"/>
      <c r="E1036" s="54">
        <f t="shared" si="20"/>
        <v>48004278</v>
      </c>
      <c r="F1036" s="14" t="s">
        <v>115</v>
      </c>
      <c r="G1036" s="14" t="s">
        <v>120</v>
      </c>
      <c r="H1036" s="14" t="s">
        <v>127</v>
      </c>
      <c r="I1036" s="14" t="s">
        <v>444</v>
      </c>
    </row>
    <row r="1037" spans="1:9" s="14" customFormat="1">
      <c r="A1037" s="138"/>
      <c r="B1037" s="14" t="s">
        <v>3216</v>
      </c>
      <c r="C1037" s="53">
        <v>7500</v>
      </c>
      <c r="D1037" s="53"/>
      <c r="E1037" s="54">
        <f t="shared" si="20"/>
        <v>47996778</v>
      </c>
      <c r="F1037" s="14" t="s">
        <v>115</v>
      </c>
      <c r="G1037" s="14" t="s">
        <v>120</v>
      </c>
      <c r="H1037" s="14" t="s">
        <v>127</v>
      </c>
      <c r="I1037" s="14" t="s">
        <v>444</v>
      </c>
    </row>
    <row r="1038" spans="1:9" s="14" customFormat="1">
      <c r="A1038" s="138"/>
      <c r="B1038" s="14" t="s">
        <v>3216</v>
      </c>
      <c r="C1038" s="53">
        <v>7500</v>
      </c>
      <c r="D1038" s="53"/>
      <c r="E1038" s="54">
        <f t="shared" si="20"/>
        <v>47989278</v>
      </c>
      <c r="F1038" s="14" t="s">
        <v>115</v>
      </c>
      <c r="G1038" s="14" t="s">
        <v>120</v>
      </c>
      <c r="H1038" s="14" t="s">
        <v>127</v>
      </c>
      <c r="I1038" s="14" t="s">
        <v>444</v>
      </c>
    </row>
    <row r="1039" spans="1:9" s="14" customFormat="1">
      <c r="A1039" s="138"/>
      <c r="B1039" s="14" t="s">
        <v>3216</v>
      </c>
      <c r="C1039" s="53">
        <v>164000</v>
      </c>
      <c r="D1039" s="53"/>
      <c r="E1039" s="54">
        <f t="shared" si="20"/>
        <v>47825278</v>
      </c>
      <c r="F1039" s="14" t="s">
        <v>115</v>
      </c>
      <c r="G1039" s="14" t="s">
        <v>120</v>
      </c>
      <c r="H1039" s="14" t="s">
        <v>127</v>
      </c>
      <c r="I1039" s="14" t="s">
        <v>444</v>
      </c>
    </row>
    <row r="1040" spans="1:9" s="14" customFormat="1">
      <c r="A1040" s="138"/>
      <c r="B1040" s="14" t="s">
        <v>3216</v>
      </c>
      <c r="C1040" s="53">
        <v>7500</v>
      </c>
      <c r="D1040" s="53"/>
      <c r="E1040" s="54">
        <f t="shared" si="20"/>
        <v>47817778</v>
      </c>
      <c r="F1040" s="14" t="s">
        <v>115</v>
      </c>
      <c r="G1040" s="14" t="s">
        <v>120</v>
      </c>
      <c r="H1040" s="14" t="s">
        <v>127</v>
      </c>
      <c r="I1040" s="14" t="s">
        <v>444</v>
      </c>
    </row>
    <row r="1041" spans="1:9" s="14" customFormat="1">
      <c r="A1041" s="138"/>
      <c r="B1041" s="14" t="s">
        <v>3216</v>
      </c>
      <c r="C1041" s="53">
        <v>36500</v>
      </c>
      <c r="D1041" s="53"/>
      <c r="E1041" s="54">
        <f t="shared" si="20"/>
        <v>47781278</v>
      </c>
      <c r="F1041" s="14" t="s">
        <v>115</v>
      </c>
      <c r="G1041" s="14" t="s">
        <v>120</v>
      </c>
      <c r="H1041" s="14" t="s">
        <v>127</v>
      </c>
      <c r="I1041" s="14" t="s">
        <v>444</v>
      </c>
    </row>
    <row r="1042" spans="1:9" s="14" customFormat="1">
      <c r="A1042" s="138"/>
      <c r="B1042" s="14" t="s">
        <v>3216</v>
      </c>
      <c r="C1042" s="53">
        <v>7500</v>
      </c>
      <c r="D1042" s="53"/>
      <c r="E1042" s="54">
        <f t="shared" si="20"/>
        <v>47773778</v>
      </c>
      <c r="F1042" s="14" t="s">
        <v>115</v>
      </c>
      <c r="G1042" s="14" t="s">
        <v>120</v>
      </c>
      <c r="H1042" s="14" t="s">
        <v>127</v>
      </c>
      <c r="I1042" s="14" t="s">
        <v>444</v>
      </c>
    </row>
    <row r="1043" spans="1:9" s="14" customFormat="1">
      <c r="A1043" s="138"/>
      <c r="B1043" s="14" t="s">
        <v>3216</v>
      </c>
      <c r="C1043" s="53">
        <v>7500</v>
      </c>
      <c r="D1043" s="53"/>
      <c r="E1043" s="54">
        <f t="shared" si="20"/>
        <v>47766278</v>
      </c>
      <c r="F1043" s="14" t="s">
        <v>115</v>
      </c>
      <c r="G1043" s="14" t="s">
        <v>120</v>
      </c>
      <c r="H1043" s="14" t="s">
        <v>127</v>
      </c>
      <c r="I1043" s="14" t="s">
        <v>444</v>
      </c>
    </row>
    <row r="1044" spans="1:9" s="14" customFormat="1">
      <c r="A1044" s="138"/>
      <c r="B1044" s="14" t="s">
        <v>3215</v>
      </c>
      <c r="C1044" s="53">
        <v>172000</v>
      </c>
      <c r="D1044" s="53"/>
      <c r="E1044" s="54">
        <f t="shared" si="20"/>
        <v>47594278</v>
      </c>
      <c r="F1044" s="14" t="s">
        <v>115</v>
      </c>
      <c r="G1044" s="14" t="s">
        <v>120</v>
      </c>
      <c r="H1044" s="14" t="s">
        <v>127</v>
      </c>
      <c r="I1044" s="14" t="s">
        <v>444</v>
      </c>
    </row>
    <row r="1045" spans="1:9" s="14" customFormat="1">
      <c r="A1045" s="138"/>
      <c r="B1045" s="14" t="s">
        <v>3215</v>
      </c>
      <c r="C1045" s="53">
        <v>120000</v>
      </c>
      <c r="D1045" s="53"/>
      <c r="E1045" s="54">
        <f t="shared" si="20"/>
        <v>47474278</v>
      </c>
      <c r="F1045" s="14" t="s">
        <v>115</v>
      </c>
      <c r="G1045" s="14" t="s">
        <v>120</v>
      </c>
      <c r="H1045" s="14" t="s">
        <v>127</v>
      </c>
      <c r="I1045" s="14" t="s">
        <v>444</v>
      </c>
    </row>
    <row r="1046" spans="1:9" s="14" customFormat="1">
      <c r="A1046" s="138"/>
      <c r="B1046" s="14" t="s">
        <v>3215</v>
      </c>
      <c r="C1046" s="53">
        <v>147000</v>
      </c>
      <c r="D1046" s="53"/>
      <c r="E1046" s="54">
        <f t="shared" si="20"/>
        <v>47327278</v>
      </c>
      <c r="F1046" s="14" t="s">
        <v>115</v>
      </c>
      <c r="G1046" s="14" t="s">
        <v>120</v>
      </c>
      <c r="H1046" s="14" t="s">
        <v>127</v>
      </c>
      <c r="I1046" s="14" t="s">
        <v>444</v>
      </c>
    </row>
    <row r="1047" spans="1:9" s="14" customFormat="1">
      <c r="A1047" s="138"/>
      <c r="B1047" s="14" t="s">
        <v>3215</v>
      </c>
      <c r="C1047" s="53">
        <v>178000</v>
      </c>
      <c r="D1047" s="53"/>
      <c r="E1047" s="54">
        <f t="shared" si="20"/>
        <v>47149278</v>
      </c>
      <c r="F1047" s="14" t="s">
        <v>115</v>
      </c>
      <c r="G1047" s="14" t="s">
        <v>120</v>
      </c>
      <c r="H1047" s="14" t="s">
        <v>127</v>
      </c>
      <c r="I1047" s="14" t="s">
        <v>444</v>
      </c>
    </row>
    <row r="1048" spans="1:9" s="14" customFormat="1">
      <c r="A1048" s="138"/>
      <c r="B1048" s="14" t="s">
        <v>3215</v>
      </c>
      <c r="C1048" s="53">
        <v>185000</v>
      </c>
      <c r="D1048" s="53"/>
      <c r="E1048" s="54">
        <f t="shared" si="20"/>
        <v>46964278</v>
      </c>
      <c r="F1048" s="14" t="s">
        <v>115</v>
      </c>
      <c r="G1048" s="14" t="s">
        <v>120</v>
      </c>
      <c r="H1048" s="14" t="s">
        <v>127</v>
      </c>
      <c r="I1048" s="14" t="s">
        <v>444</v>
      </c>
    </row>
    <row r="1049" spans="1:9" s="14" customFormat="1">
      <c r="A1049" s="138"/>
      <c r="B1049" s="14" t="s">
        <v>3215</v>
      </c>
      <c r="C1049" s="53">
        <v>203000</v>
      </c>
      <c r="D1049" s="53"/>
      <c r="E1049" s="54">
        <f t="shared" si="20"/>
        <v>46761278</v>
      </c>
      <c r="F1049" s="14" t="s">
        <v>115</v>
      </c>
      <c r="G1049" s="14" t="s">
        <v>120</v>
      </c>
      <c r="H1049" s="14" t="s">
        <v>127</v>
      </c>
      <c r="I1049" s="14" t="s">
        <v>444</v>
      </c>
    </row>
    <row r="1050" spans="1:9" s="14" customFormat="1">
      <c r="A1050" s="138"/>
      <c r="B1050" s="14" t="s">
        <v>3216</v>
      </c>
      <c r="C1050" s="53">
        <v>25000</v>
      </c>
      <c r="D1050" s="53"/>
      <c r="E1050" s="54">
        <f t="shared" si="20"/>
        <v>46736278</v>
      </c>
      <c r="F1050" s="14" t="s">
        <v>115</v>
      </c>
      <c r="G1050" s="14" t="s">
        <v>120</v>
      </c>
      <c r="H1050" s="14" t="s">
        <v>127</v>
      </c>
      <c r="I1050" s="14" t="s">
        <v>444</v>
      </c>
    </row>
    <row r="1051" spans="1:9" s="14" customFormat="1">
      <c r="A1051" s="138"/>
      <c r="B1051" s="14" t="s">
        <v>3217</v>
      </c>
      <c r="C1051" s="50">
        <v>247325</v>
      </c>
      <c r="D1051" s="50"/>
      <c r="E1051" s="8">
        <f t="shared" si="20"/>
        <v>46488953</v>
      </c>
      <c r="F1051" s="14" t="s">
        <v>137</v>
      </c>
      <c r="G1051" s="14" t="s">
        <v>138</v>
      </c>
      <c r="H1051" s="168" t="s">
        <v>3014</v>
      </c>
    </row>
    <row r="1052" spans="1:9" s="14" customFormat="1">
      <c r="A1052" s="138"/>
      <c r="B1052" s="14" t="s">
        <v>3218</v>
      </c>
      <c r="C1052" s="50">
        <v>1013650</v>
      </c>
      <c r="D1052" s="50"/>
      <c r="E1052" s="8">
        <f t="shared" si="20"/>
        <v>45475303</v>
      </c>
      <c r="F1052" s="14" t="s">
        <v>137</v>
      </c>
      <c r="G1052" s="14" t="s">
        <v>138</v>
      </c>
      <c r="H1052" s="14" t="s">
        <v>1127</v>
      </c>
    </row>
    <row r="1053" spans="1:9" s="14" customFormat="1">
      <c r="A1053" s="138"/>
      <c r="B1053" s="14" t="s">
        <v>3219</v>
      </c>
      <c r="C1053" s="53">
        <v>8758800</v>
      </c>
      <c r="D1053" s="53"/>
      <c r="E1053" s="54">
        <f t="shared" si="20"/>
        <v>36716503</v>
      </c>
      <c r="F1053" s="14" t="s">
        <v>115</v>
      </c>
      <c r="G1053" s="14" t="s">
        <v>120</v>
      </c>
      <c r="H1053" s="14" t="s">
        <v>127</v>
      </c>
      <c r="I1053" s="14" t="s">
        <v>444</v>
      </c>
    </row>
    <row r="1054" spans="1:9" s="14" customFormat="1">
      <c r="A1054" s="138"/>
      <c r="B1054" s="14" t="s">
        <v>3216</v>
      </c>
      <c r="C1054" s="53">
        <v>3000</v>
      </c>
      <c r="D1054" s="53"/>
      <c r="E1054" s="54">
        <f t="shared" si="20"/>
        <v>36713503</v>
      </c>
      <c r="F1054" s="14" t="s">
        <v>115</v>
      </c>
      <c r="G1054" s="14" t="s">
        <v>120</v>
      </c>
      <c r="H1054" s="14" t="s">
        <v>127</v>
      </c>
      <c r="I1054" s="14" t="s">
        <v>444</v>
      </c>
    </row>
    <row r="1055" spans="1:9" s="14" customFormat="1">
      <c r="A1055" s="138"/>
      <c r="B1055" s="14" t="s">
        <v>3216</v>
      </c>
      <c r="C1055" s="53">
        <v>2000</v>
      </c>
      <c r="D1055" s="53"/>
      <c r="E1055" s="54">
        <f t="shared" si="20"/>
        <v>36711503</v>
      </c>
      <c r="F1055" s="14" t="s">
        <v>115</v>
      </c>
      <c r="G1055" s="14" t="s">
        <v>120</v>
      </c>
      <c r="H1055" s="14" t="s">
        <v>127</v>
      </c>
      <c r="I1055" s="14" t="s">
        <v>444</v>
      </c>
    </row>
    <row r="1056" spans="1:9" s="14" customFormat="1">
      <c r="A1056" s="138"/>
      <c r="B1056" s="14" t="s">
        <v>3215</v>
      </c>
      <c r="C1056" s="53">
        <v>121741</v>
      </c>
      <c r="D1056" s="53"/>
      <c r="E1056" s="54">
        <f t="shared" si="20"/>
        <v>36589762</v>
      </c>
      <c r="F1056" s="14" t="s">
        <v>115</v>
      </c>
      <c r="G1056" s="14" t="s">
        <v>120</v>
      </c>
      <c r="H1056" s="14" t="s">
        <v>127</v>
      </c>
      <c r="I1056" s="14" t="s">
        <v>444</v>
      </c>
    </row>
    <row r="1057" spans="1:9" s="14" customFormat="1">
      <c r="A1057" s="138"/>
      <c r="B1057" s="14" t="s">
        <v>394</v>
      </c>
      <c r="C1057" s="50">
        <v>5375600</v>
      </c>
      <c r="D1057" s="50"/>
      <c r="E1057" s="8">
        <f t="shared" si="20"/>
        <v>31214162</v>
      </c>
      <c r="F1057" s="14" t="s">
        <v>107</v>
      </c>
      <c r="G1057" s="14" t="s">
        <v>3102</v>
      </c>
    </row>
    <row r="1058" spans="1:9" s="14" customFormat="1">
      <c r="A1058" s="138"/>
      <c r="B1058" s="14" t="s">
        <v>3220</v>
      </c>
      <c r="C1058" s="53">
        <v>21719500</v>
      </c>
      <c r="D1058" s="53"/>
      <c r="E1058" s="54">
        <f t="shared" si="20"/>
        <v>9494662</v>
      </c>
      <c r="F1058" s="14" t="s">
        <v>115</v>
      </c>
      <c r="G1058" s="14" t="s">
        <v>120</v>
      </c>
      <c r="H1058" s="14" t="s">
        <v>127</v>
      </c>
      <c r="I1058" s="14" t="s">
        <v>444</v>
      </c>
    </row>
    <row r="1059" spans="1:9" s="14" customFormat="1">
      <c r="A1059" s="138"/>
      <c r="B1059" s="14" t="s">
        <v>3225</v>
      </c>
      <c r="C1059" s="50">
        <v>173000</v>
      </c>
      <c r="D1059" s="50"/>
      <c r="E1059" s="8">
        <f t="shared" si="20"/>
        <v>9321662</v>
      </c>
      <c r="F1059" s="14" t="s">
        <v>248</v>
      </c>
      <c r="G1059" s="14" t="s">
        <v>407</v>
      </c>
      <c r="H1059" s="14" t="s">
        <v>64</v>
      </c>
    </row>
    <row r="1060" spans="1:9" s="14" customFormat="1">
      <c r="A1060" s="138"/>
      <c r="B1060" s="14" t="s">
        <v>3226</v>
      </c>
      <c r="C1060" s="50">
        <v>115000</v>
      </c>
      <c r="D1060" s="50"/>
      <c r="E1060" s="8">
        <f t="shared" si="20"/>
        <v>9206662</v>
      </c>
      <c r="F1060" s="14" t="s">
        <v>736</v>
      </c>
      <c r="G1060" s="14" t="s">
        <v>455</v>
      </c>
      <c r="H1060" s="14" t="s">
        <v>64</v>
      </c>
    </row>
    <row r="1061" spans="1:9" s="14" customFormat="1">
      <c r="A1061" s="138"/>
      <c r="B1061" s="14" t="s">
        <v>394</v>
      </c>
      <c r="C1061" s="50">
        <v>0</v>
      </c>
      <c r="D1061" s="50">
        <v>5375600</v>
      </c>
      <c r="E1061" s="8">
        <f t="shared" si="20"/>
        <v>14582262</v>
      </c>
      <c r="F1061" s="14" t="s">
        <v>107</v>
      </c>
      <c r="G1061" s="14" t="s">
        <v>3102</v>
      </c>
    </row>
    <row r="1062" spans="1:9" s="14" customFormat="1">
      <c r="A1062" s="138"/>
      <c r="B1062" s="14" t="s">
        <v>394</v>
      </c>
      <c r="C1062" s="50">
        <v>5773000</v>
      </c>
      <c r="D1062" s="50"/>
      <c r="E1062" s="8">
        <f t="shared" si="20"/>
        <v>8809262</v>
      </c>
      <c r="F1062" s="14" t="s">
        <v>137</v>
      </c>
      <c r="G1062" s="14" t="s">
        <v>138</v>
      </c>
      <c r="H1062" s="168" t="s">
        <v>3033</v>
      </c>
    </row>
    <row r="1063" spans="1:9" s="14" customFormat="1">
      <c r="A1063" s="138"/>
      <c r="B1063" s="14" t="s">
        <v>3227</v>
      </c>
      <c r="C1063" s="50">
        <v>376700</v>
      </c>
      <c r="D1063" s="50"/>
      <c r="E1063" s="8">
        <f t="shared" si="20"/>
        <v>8432562</v>
      </c>
      <c r="F1063" s="14" t="s">
        <v>736</v>
      </c>
      <c r="G1063" s="14" t="s">
        <v>455</v>
      </c>
      <c r="H1063" s="14" t="s">
        <v>64</v>
      </c>
    </row>
    <row r="1064" spans="1:9" s="14" customFormat="1">
      <c r="A1064" s="138"/>
      <c r="B1064" s="14" t="s">
        <v>3221</v>
      </c>
      <c r="C1064" s="50">
        <v>100000</v>
      </c>
      <c r="D1064" s="50"/>
      <c r="E1064" s="8">
        <f t="shared" si="20"/>
        <v>8332562</v>
      </c>
      <c r="F1064" s="14" t="s">
        <v>319</v>
      </c>
      <c r="G1064" s="14" t="s">
        <v>117</v>
      </c>
      <c r="H1064" s="14" t="s">
        <v>64</v>
      </c>
    </row>
    <row r="1065" spans="1:9" s="14" customFormat="1">
      <c r="A1065" s="138"/>
      <c r="B1065" s="14" t="s">
        <v>3216</v>
      </c>
      <c r="C1065" s="50">
        <v>94000</v>
      </c>
      <c r="D1065" s="50"/>
      <c r="E1065" s="8">
        <f t="shared" si="20"/>
        <v>8238562</v>
      </c>
      <c r="F1065" s="14" t="s">
        <v>137</v>
      </c>
      <c r="G1065" s="14" t="s">
        <v>138</v>
      </c>
      <c r="H1065" s="168" t="s">
        <v>3033</v>
      </c>
    </row>
    <row r="1066" spans="1:9" s="14" customFormat="1">
      <c r="A1066" s="138"/>
      <c r="B1066" s="14" t="s">
        <v>3228</v>
      </c>
      <c r="C1066" s="50">
        <v>60500</v>
      </c>
      <c r="D1066" s="50"/>
      <c r="E1066" s="8">
        <f t="shared" si="20"/>
        <v>8178062</v>
      </c>
      <c r="F1066" s="14" t="s">
        <v>736</v>
      </c>
      <c r="G1066" s="14" t="s">
        <v>455</v>
      </c>
      <c r="H1066" s="14" t="s">
        <v>64</v>
      </c>
    </row>
    <row r="1067" spans="1:9" s="14" customFormat="1">
      <c r="A1067" s="138"/>
      <c r="B1067" s="14" t="s">
        <v>3229</v>
      </c>
      <c r="C1067" s="50">
        <v>93500</v>
      </c>
      <c r="D1067" s="50"/>
      <c r="E1067" s="8">
        <f t="shared" si="20"/>
        <v>8084562</v>
      </c>
      <c r="F1067" s="14" t="s">
        <v>736</v>
      </c>
      <c r="G1067" s="14" t="s">
        <v>455</v>
      </c>
      <c r="H1067" s="14" t="s">
        <v>64</v>
      </c>
    </row>
    <row r="1068" spans="1:9" s="14" customFormat="1">
      <c r="A1068" s="138"/>
      <c r="B1068" s="14" t="s">
        <v>897</v>
      </c>
      <c r="C1068" s="50">
        <v>255701</v>
      </c>
      <c r="D1068" s="50"/>
      <c r="E1068" s="8">
        <f t="shared" si="20"/>
        <v>7828861</v>
      </c>
      <c r="F1068" s="14" t="s">
        <v>319</v>
      </c>
      <c r="G1068" s="14" t="s">
        <v>117</v>
      </c>
      <c r="H1068" s="14" t="s">
        <v>64</v>
      </c>
    </row>
    <row r="1069" spans="1:9" s="14" customFormat="1">
      <c r="A1069" s="138"/>
      <c r="B1069" s="14" t="s">
        <v>3222</v>
      </c>
      <c r="C1069" s="50">
        <v>1859770</v>
      </c>
      <c r="D1069" s="50"/>
      <c r="E1069" s="8">
        <f t="shared" si="20"/>
        <v>5969091</v>
      </c>
      <c r="F1069" s="14" t="s">
        <v>137</v>
      </c>
      <c r="G1069" s="14" t="s">
        <v>138</v>
      </c>
      <c r="H1069" s="168" t="s">
        <v>3033</v>
      </c>
    </row>
    <row r="1070" spans="1:9" s="14" customFormat="1">
      <c r="A1070" s="138"/>
      <c r="B1070" s="14" t="s">
        <v>3215</v>
      </c>
      <c r="C1070" s="53">
        <v>80000</v>
      </c>
      <c r="D1070" s="53"/>
      <c r="E1070" s="54">
        <f t="shared" si="20"/>
        <v>5889091</v>
      </c>
      <c r="F1070" s="14" t="s">
        <v>115</v>
      </c>
      <c r="G1070" s="14" t="s">
        <v>120</v>
      </c>
      <c r="H1070" s="14" t="s">
        <v>127</v>
      </c>
      <c r="I1070" s="14" t="s">
        <v>444</v>
      </c>
    </row>
    <row r="1071" spans="1:9" s="14" customFormat="1">
      <c r="A1071" s="138"/>
      <c r="B1071" s="14" t="s">
        <v>3215</v>
      </c>
      <c r="C1071" s="53">
        <v>76000</v>
      </c>
      <c r="D1071" s="53"/>
      <c r="E1071" s="54">
        <f t="shared" si="20"/>
        <v>5813091</v>
      </c>
      <c r="F1071" s="14" t="s">
        <v>115</v>
      </c>
      <c r="G1071" s="14" t="s">
        <v>120</v>
      </c>
      <c r="H1071" s="14" t="s">
        <v>127</v>
      </c>
      <c r="I1071" s="14" t="s">
        <v>444</v>
      </c>
    </row>
    <row r="1072" spans="1:9" s="14" customFormat="1">
      <c r="A1072" s="138"/>
      <c r="B1072" s="14" t="s">
        <v>3215</v>
      </c>
      <c r="C1072" s="53">
        <v>83000</v>
      </c>
      <c r="D1072" s="53"/>
      <c r="E1072" s="54">
        <f t="shared" si="20"/>
        <v>5730091</v>
      </c>
      <c r="F1072" s="14" t="s">
        <v>115</v>
      </c>
      <c r="G1072" s="14" t="s">
        <v>120</v>
      </c>
      <c r="H1072" s="14" t="s">
        <v>127</v>
      </c>
      <c r="I1072" s="14" t="s">
        <v>444</v>
      </c>
    </row>
    <row r="1073" spans="1:9" s="14" customFormat="1">
      <c r="A1073" s="138"/>
      <c r="B1073" s="14" t="s">
        <v>3215</v>
      </c>
      <c r="C1073" s="53">
        <v>78000</v>
      </c>
      <c r="D1073" s="53"/>
      <c r="E1073" s="54">
        <f t="shared" si="20"/>
        <v>5652091</v>
      </c>
      <c r="F1073" s="14" t="s">
        <v>115</v>
      </c>
      <c r="G1073" s="14" t="s">
        <v>120</v>
      </c>
      <c r="H1073" s="14" t="s">
        <v>127</v>
      </c>
      <c r="I1073" s="14" t="s">
        <v>444</v>
      </c>
    </row>
    <row r="1074" spans="1:9" s="14" customFormat="1">
      <c r="A1074" s="138"/>
      <c r="B1074" s="14" t="s">
        <v>3215</v>
      </c>
      <c r="C1074" s="53">
        <v>76000</v>
      </c>
      <c r="D1074" s="53"/>
      <c r="E1074" s="54">
        <f t="shared" si="20"/>
        <v>5576091</v>
      </c>
      <c r="F1074" s="14" t="s">
        <v>115</v>
      </c>
      <c r="G1074" s="14" t="s">
        <v>120</v>
      </c>
      <c r="H1074" s="14" t="s">
        <v>127</v>
      </c>
      <c r="I1074" s="14" t="s">
        <v>444</v>
      </c>
    </row>
    <row r="1075" spans="1:9" s="14" customFormat="1">
      <c r="A1075" s="138"/>
      <c r="B1075" s="14" t="s">
        <v>3215</v>
      </c>
      <c r="C1075" s="53">
        <v>82000</v>
      </c>
      <c r="D1075" s="53"/>
      <c r="E1075" s="54">
        <f t="shared" si="20"/>
        <v>5494091</v>
      </c>
      <c r="F1075" s="14" t="s">
        <v>115</v>
      </c>
      <c r="G1075" s="14" t="s">
        <v>120</v>
      </c>
      <c r="H1075" s="14" t="s">
        <v>127</v>
      </c>
      <c r="I1075" s="14" t="s">
        <v>444</v>
      </c>
    </row>
    <row r="1076" spans="1:9" s="14" customFormat="1">
      <c r="A1076" s="138"/>
      <c r="B1076" s="14" t="s">
        <v>3215</v>
      </c>
      <c r="C1076" s="53">
        <v>76000</v>
      </c>
      <c r="D1076" s="53"/>
      <c r="E1076" s="54">
        <f t="shared" si="20"/>
        <v>5418091</v>
      </c>
      <c r="F1076" s="14" t="s">
        <v>115</v>
      </c>
      <c r="G1076" s="14" t="s">
        <v>120</v>
      </c>
      <c r="H1076" s="14" t="s">
        <v>127</v>
      </c>
      <c r="I1076" s="14" t="s">
        <v>444</v>
      </c>
    </row>
    <row r="1077" spans="1:9" s="14" customFormat="1">
      <c r="A1077" s="138"/>
      <c r="B1077" s="14" t="s">
        <v>3216</v>
      </c>
      <c r="C1077" s="50">
        <v>15000</v>
      </c>
      <c r="D1077" s="50"/>
      <c r="E1077" s="8">
        <f t="shared" si="20"/>
        <v>5403091</v>
      </c>
      <c r="F1077" s="14" t="s">
        <v>137</v>
      </c>
      <c r="G1077" s="14" t="s">
        <v>138</v>
      </c>
      <c r="H1077" s="168" t="s">
        <v>3033</v>
      </c>
    </row>
    <row r="1078" spans="1:9" s="14" customFormat="1">
      <c r="A1078" s="138"/>
      <c r="B1078" s="14" t="s">
        <v>3230</v>
      </c>
      <c r="C1078" s="53">
        <v>1749750</v>
      </c>
      <c r="D1078" s="53"/>
      <c r="E1078" s="54">
        <f t="shared" si="20"/>
        <v>3653341</v>
      </c>
      <c r="F1078" s="14" t="s">
        <v>115</v>
      </c>
      <c r="G1078" s="14" t="s">
        <v>440</v>
      </c>
      <c r="H1078" s="168" t="s">
        <v>4490</v>
      </c>
    </row>
    <row r="1079" spans="1:9" s="14" customFormat="1">
      <c r="A1079" s="138"/>
      <c r="B1079" s="14" t="s">
        <v>3223</v>
      </c>
      <c r="C1079" s="50">
        <v>10000</v>
      </c>
      <c r="D1079" s="50"/>
      <c r="E1079" s="8">
        <f t="shared" si="20"/>
        <v>3643341</v>
      </c>
      <c r="F1079" s="14" t="s">
        <v>113</v>
      </c>
      <c r="G1079" s="14" t="s">
        <v>114</v>
      </c>
      <c r="H1079" s="14" t="s">
        <v>64</v>
      </c>
    </row>
    <row r="1080" spans="1:9" s="14" customFormat="1">
      <c r="A1080" s="138"/>
      <c r="B1080" s="14" t="s">
        <v>1052</v>
      </c>
      <c r="C1080" s="50">
        <v>5000</v>
      </c>
      <c r="D1080" s="50"/>
      <c r="E1080" s="8">
        <f t="shared" si="20"/>
        <v>3638341</v>
      </c>
      <c r="F1080" s="14" t="s">
        <v>113</v>
      </c>
      <c r="G1080" s="14" t="s">
        <v>114</v>
      </c>
      <c r="H1080" s="14" t="s">
        <v>64</v>
      </c>
    </row>
    <row r="1081" spans="1:9" s="14" customFormat="1">
      <c r="A1081" s="138"/>
      <c r="B1081" s="14" t="s">
        <v>897</v>
      </c>
      <c r="C1081" s="50">
        <v>365923</v>
      </c>
      <c r="D1081" s="50"/>
      <c r="E1081" s="8">
        <f t="shared" si="20"/>
        <v>3272418</v>
      </c>
      <c r="F1081" s="14" t="s">
        <v>319</v>
      </c>
      <c r="G1081" s="14" t="s">
        <v>117</v>
      </c>
      <c r="H1081" s="14" t="s">
        <v>64</v>
      </c>
    </row>
    <row r="1082" spans="1:9" s="14" customFormat="1">
      <c r="A1082" s="138"/>
      <c r="B1082" s="14" t="s">
        <v>897</v>
      </c>
      <c r="C1082" s="50">
        <v>270000</v>
      </c>
      <c r="D1082" s="50"/>
      <c r="E1082" s="8">
        <f t="shared" si="20"/>
        <v>3002418</v>
      </c>
      <c r="F1082" s="14" t="s">
        <v>319</v>
      </c>
      <c r="G1082" s="14" t="s">
        <v>117</v>
      </c>
      <c r="H1082" s="14" t="s">
        <v>64</v>
      </c>
    </row>
    <row r="1083" spans="1:9" s="14" customFormat="1">
      <c r="A1083" s="138"/>
      <c r="B1083" s="14" t="s">
        <v>3132</v>
      </c>
      <c r="C1083" s="50">
        <v>250000</v>
      </c>
      <c r="D1083" s="50"/>
      <c r="E1083" s="8">
        <f t="shared" si="20"/>
        <v>2752418</v>
      </c>
      <c r="F1083" s="14" t="s">
        <v>319</v>
      </c>
      <c r="G1083" s="14" t="s">
        <v>392</v>
      </c>
      <c r="H1083" s="14" t="s">
        <v>64</v>
      </c>
    </row>
    <row r="1084" spans="1:9" s="14" customFormat="1">
      <c r="A1084" s="138"/>
      <c r="B1084" s="14" t="s">
        <v>897</v>
      </c>
      <c r="C1084" s="50">
        <v>653949</v>
      </c>
      <c r="D1084" s="50"/>
      <c r="E1084" s="8">
        <f t="shared" si="20"/>
        <v>2098469</v>
      </c>
      <c r="F1084" s="14" t="s">
        <v>319</v>
      </c>
      <c r="G1084" s="14" t="s">
        <v>117</v>
      </c>
      <c r="H1084" s="14" t="s">
        <v>64</v>
      </c>
    </row>
    <row r="1085" spans="1:9" s="14" customFormat="1">
      <c r="A1085" s="138"/>
      <c r="B1085" s="14" t="s">
        <v>897</v>
      </c>
      <c r="C1085" s="50">
        <v>590651</v>
      </c>
      <c r="D1085" s="50"/>
      <c r="E1085" s="8">
        <f t="shared" si="20"/>
        <v>1507818</v>
      </c>
      <c r="F1085" s="14" t="s">
        <v>319</v>
      </c>
      <c r="G1085" s="14" t="s">
        <v>117</v>
      </c>
      <c r="H1085" s="14" t="s">
        <v>64</v>
      </c>
    </row>
    <row r="1086" spans="1:9" s="14" customFormat="1">
      <c r="A1086" s="138"/>
      <c r="B1086" s="14" t="s">
        <v>897</v>
      </c>
      <c r="C1086" s="50">
        <v>638818</v>
      </c>
      <c r="D1086" s="50"/>
      <c r="E1086" s="8">
        <f t="shared" ref="E1086:E1152" si="21">E1085-C1086+D1086</f>
        <v>869000</v>
      </c>
      <c r="F1086" s="14" t="s">
        <v>319</v>
      </c>
      <c r="G1086" s="14" t="s">
        <v>117</v>
      </c>
      <c r="H1086" s="14" t="s">
        <v>64</v>
      </c>
    </row>
    <row r="1087" spans="1:9" s="14" customFormat="1">
      <c r="A1087" s="138"/>
      <c r="B1087" s="14" t="s">
        <v>3231</v>
      </c>
      <c r="C1087" s="50">
        <v>869000</v>
      </c>
      <c r="D1087" s="50"/>
      <c r="E1087" s="8">
        <f t="shared" si="21"/>
        <v>0</v>
      </c>
      <c r="F1087" s="14" t="s">
        <v>248</v>
      </c>
      <c r="G1087" s="14" t="s">
        <v>391</v>
      </c>
      <c r="H1087" s="14" t="s">
        <v>64</v>
      </c>
    </row>
    <row r="1088" spans="1:9" s="14" customFormat="1">
      <c r="A1088" s="3">
        <v>44403</v>
      </c>
      <c r="B1088" s="7" t="s">
        <v>1752</v>
      </c>
      <c r="C1088" s="8">
        <v>0</v>
      </c>
      <c r="D1088" s="8">
        <v>7500000</v>
      </c>
      <c r="E1088" s="8">
        <f t="shared" si="21"/>
        <v>7500000</v>
      </c>
      <c r="F1088" s="83" t="s">
        <v>107</v>
      </c>
      <c r="G1088" s="14" t="s">
        <v>666</v>
      </c>
      <c r="H1088" s="14" t="s">
        <v>3405</v>
      </c>
      <c r="I1088" t="s">
        <v>3637</v>
      </c>
    </row>
    <row r="1089" spans="1:9" s="14" customFormat="1">
      <c r="A1089" s="138"/>
      <c r="B1089" s="14" t="s">
        <v>3638</v>
      </c>
      <c r="C1089" s="53">
        <v>107000</v>
      </c>
      <c r="D1089" s="53"/>
      <c r="E1089" s="54">
        <f t="shared" si="21"/>
        <v>7393000</v>
      </c>
      <c r="F1089" s="14" t="s">
        <v>115</v>
      </c>
      <c r="G1089" s="14" t="s">
        <v>120</v>
      </c>
      <c r="H1089" s="14" t="s">
        <v>127</v>
      </c>
      <c r="I1089" s="14" t="s">
        <v>444</v>
      </c>
    </row>
    <row r="1090" spans="1:9" s="14" customFormat="1">
      <c r="A1090" s="138"/>
      <c r="B1090" s="14" t="s">
        <v>3639</v>
      </c>
      <c r="C1090" s="53">
        <v>19999</v>
      </c>
      <c r="D1090" s="53"/>
      <c r="E1090" s="54">
        <f t="shared" si="21"/>
        <v>7373001</v>
      </c>
      <c r="F1090" s="14" t="s">
        <v>137</v>
      </c>
      <c r="G1090" s="14" t="s">
        <v>138</v>
      </c>
      <c r="H1090" s="168" t="s">
        <v>3033</v>
      </c>
    </row>
    <row r="1091" spans="1:9" s="14" customFormat="1">
      <c r="A1091" s="138"/>
      <c r="B1091" s="14" t="s">
        <v>3640</v>
      </c>
      <c r="C1091" s="53">
        <v>159999</v>
      </c>
      <c r="D1091" s="53"/>
      <c r="E1091" s="54">
        <f t="shared" si="21"/>
        <v>7213002</v>
      </c>
      <c r="F1091" s="14" t="s">
        <v>115</v>
      </c>
      <c r="G1091" s="14" t="s">
        <v>120</v>
      </c>
      <c r="H1091" s="14" t="s">
        <v>127</v>
      </c>
      <c r="I1091" s="14" t="s">
        <v>444</v>
      </c>
    </row>
    <row r="1092" spans="1:9" s="14" customFormat="1">
      <c r="A1092" s="138"/>
      <c r="B1092" s="14" t="s">
        <v>3641</v>
      </c>
      <c r="C1092" s="53">
        <v>15000</v>
      </c>
      <c r="D1092" s="53"/>
      <c r="E1092" s="54">
        <f t="shared" si="21"/>
        <v>7198002</v>
      </c>
      <c r="F1092" s="14" t="s">
        <v>115</v>
      </c>
      <c r="G1092" s="14" t="s">
        <v>120</v>
      </c>
      <c r="H1092" s="14" t="s">
        <v>127</v>
      </c>
      <c r="I1092" s="14" t="s">
        <v>444</v>
      </c>
    </row>
    <row r="1093" spans="1:9" s="14" customFormat="1">
      <c r="A1093" s="138"/>
      <c r="B1093" s="14" t="s">
        <v>3642</v>
      </c>
      <c r="C1093" s="53">
        <v>5000</v>
      </c>
      <c r="D1093" s="53"/>
      <c r="E1093" s="54">
        <f t="shared" si="21"/>
        <v>7193002</v>
      </c>
      <c r="F1093" s="14" t="s">
        <v>115</v>
      </c>
      <c r="G1093" s="14" t="s">
        <v>120</v>
      </c>
      <c r="H1093" s="14" t="s">
        <v>127</v>
      </c>
      <c r="I1093" s="14" t="s">
        <v>444</v>
      </c>
    </row>
    <row r="1094" spans="1:9" s="14" customFormat="1">
      <c r="A1094" s="138"/>
      <c r="B1094" s="14" t="s">
        <v>3643</v>
      </c>
      <c r="C1094" s="53">
        <v>1101500</v>
      </c>
      <c r="D1094" s="53"/>
      <c r="E1094" s="54">
        <f t="shared" si="21"/>
        <v>6091502</v>
      </c>
      <c r="F1094" s="14" t="s">
        <v>115</v>
      </c>
      <c r="G1094" s="14" t="s">
        <v>120</v>
      </c>
      <c r="H1094" s="14" t="s">
        <v>127</v>
      </c>
      <c r="I1094" s="14" t="s">
        <v>444</v>
      </c>
    </row>
    <row r="1095" spans="1:9" s="14" customFormat="1">
      <c r="A1095" s="138"/>
      <c r="B1095" s="14" t="s">
        <v>3644</v>
      </c>
      <c r="C1095" s="53">
        <v>60000</v>
      </c>
      <c r="D1095" s="53"/>
      <c r="E1095" s="54">
        <f t="shared" si="21"/>
        <v>6031502</v>
      </c>
      <c r="F1095" s="14" t="s">
        <v>115</v>
      </c>
      <c r="G1095" s="14" t="s">
        <v>120</v>
      </c>
      <c r="H1095" s="14" t="s">
        <v>127</v>
      </c>
      <c r="I1095" s="14" t="s">
        <v>444</v>
      </c>
    </row>
    <row r="1096" spans="1:9" s="14" customFormat="1">
      <c r="A1096" s="138"/>
      <c r="B1096" s="14" t="s">
        <v>3645</v>
      </c>
      <c r="C1096" s="53">
        <v>1500000</v>
      </c>
      <c r="D1096" s="53"/>
      <c r="E1096" s="54">
        <f t="shared" si="21"/>
        <v>4531502</v>
      </c>
      <c r="F1096" s="14" t="s">
        <v>115</v>
      </c>
      <c r="G1096" s="14" t="s">
        <v>120</v>
      </c>
      <c r="H1096" s="14" t="s">
        <v>127</v>
      </c>
      <c r="I1096" s="14" t="s">
        <v>444</v>
      </c>
    </row>
    <row r="1097" spans="1:9" s="14" customFormat="1">
      <c r="A1097" s="138"/>
      <c r="B1097" s="14" t="s">
        <v>3646</v>
      </c>
      <c r="C1097" s="53">
        <v>697500</v>
      </c>
      <c r="D1097" s="53"/>
      <c r="E1097" s="54">
        <f t="shared" si="21"/>
        <v>3834002</v>
      </c>
      <c r="F1097" s="14" t="s">
        <v>137</v>
      </c>
      <c r="G1097" s="14" t="s">
        <v>138</v>
      </c>
      <c r="H1097" s="168" t="s">
        <v>3030</v>
      </c>
    </row>
    <row r="1098" spans="1:9" s="14" customFormat="1">
      <c r="A1098" s="138"/>
      <c r="B1098" s="14" t="s">
        <v>3647</v>
      </c>
      <c r="C1098" s="53">
        <v>568500</v>
      </c>
      <c r="D1098" s="53"/>
      <c r="E1098" s="54">
        <f t="shared" si="21"/>
        <v>3265502</v>
      </c>
      <c r="F1098" s="14" t="s">
        <v>115</v>
      </c>
      <c r="G1098" s="14" t="s">
        <v>120</v>
      </c>
      <c r="H1098" s="14" t="s">
        <v>127</v>
      </c>
      <c r="I1098" s="14" t="s">
        <v>444</v>
      </c>
    </row>
    <row r="1099" spans="1:9" s="14" customFormat="1">
      <c r="A1099" s="138"/>
      <c r="B1099" s="14" t="s">
        <v>3648</v>
      </c>
      <c r="C1099" s="53">
        <v>5000</v>
      </c>
      <c r="D1099" s="53"/>
      <c r="E1099" s="54">
        <f t="shared" si="21"/>
        <v>3260502</v>
      </c>
      <c r="F1099" s="14" t="s">
        <v>115</v>
      </c>
      <c r="G1099" s="14" t="s">
        <v>120</v>
      </c>
      <c r="H1099" s="14" t="s">
        <v>127</v>
      </c>
      <c r="I1099" s="14" t="s">
        <v>444</v>
      </c>
    </row>
    <row r="1100" spans="1:9" s="14" customFormat="1">
      <c r="A1100" s="138"/>
      <c r="B1100" s="14" t="s">
        <v>3649</v>
      </c>
      <c r="C1100" s="53">
        <v>550000</v>
      </c>
      <c r="D1100" s="53"/>
      <c r="E1100" s="54">
        <f t="shared" si="21"/>
        <v>2710502</v>
      </c>
      <c r="F1100" s="14" t="s">
        <v>115</v>
      </c>
      <c r="G1100" s="14" t="s">
        <v>120</v>
      </c>
      <c r="H1100" s="14" t="s">
        <v>127</v>
      </c>
      <c r="I1100" s="14" t="s">
        <v>444</v>
      </c>
    </row>
    <row r="1101" spans="1:9" s="14" customFormat="1">
      <c r="A1101" s="138"/>
      <c r="B1101" s="14" t="s">
        <v>3650</v>
      </c>
      <c r="C1101" s="53">
        <v>99500</v>
      </c>
      <c r="D1101" s="53"/>
      <c r="E1101" s="54">
        <f t="shared" si="21"/>
        <v>2611002</v>
      </c>
      <c r="F1101" s="14" t="s">
        <v>137</v>
      </c>
      <c r="G1101" s="14" t="s">
        <v>138</v>
      </c>
      <c r="H1101" s="168" t="s">
        <v>3030</v>
      </c>
    </row>
    <row r="1102" spans="1:9" s="14" customFormat="1">
      <c r="A1102" s="138"/>
      <c r="B1102" s="14" t="s">
        <v>3651</v>
      </c>
      <c r="C1102" s="53">
        <v>71000</v>
      </c>
      <c r="D1102" s="53"/>
      <c r="E1102" s="54">
        <f t="shared" si="21"/>
        <v>2540002</v>
      </c>
      <c r="F1102" s="14" t="s">
        <v>115</v>
      </c>
      <c r="G1102" s="14" t="s">
        <v>120</v>
      </c>
      <c r="H1102" s="14" t="s">
        <v>127</v>
      </c>
      <c r="I1102" s="14" t="s">
        <v>444</v>
      </c>
    </row>
    <row r="1103" spans="1:9" s="14" customFormat="1">
      <c r="A1103" s="138"/>
      <c r="B1103" s="14" t="s">
        <v>3652</v>
      </c>
      <c r="C1103" s="53">
        <v>146300</v>
      </c>
      <c r="D1103" s="53"/>
      <c r="E1103" s="54">
        <f t="shared" si="21"/>
        <v>2393702</v>
      </c>
      <c r="F1103" s="14" t="s">
        <v>115</v>
      </c>
      <c r="G1103" s="14" t="s">
        <v>120</v>
      </c>
      <c r="H1103" s="14" t="s">
        <v>127</v>
      </c>
      <c r="I1103" s="14" t="s">
        <v>444</v>
      </c>
    </row>
    <row r="1104" spans="1:9" s="14" customFormat="1">
      <c r="A1104" s="138"/>
      <c r="B1104" s="14" t="s">
        <v>3653</v>
      </c>
      <c r="C1104" s="53">
        <v>131600</v>
      </c>
      <c r="D1104" s="53"/>
      <c r="E1104" s="54">
        <f t="shared" si="21"/>
        <v>2262102</v>
      </c>
      <c r="F1104" s="14" t="s">
        <v>115</v>
      </c>
      <c r="G1104" s="14" t="s">
        <v>120</v>
      </c>
      <c r="H1104" s="14" t="s">
        <v>127</v>
      </c>
      <c r="I1104" s="14" t="s">
        <v>444</v>
      </c>
    </row>
    <row r="1105" spans="1:9" s="14" customFormat="1">
      <c r="A1105" s="138"/>
      <c r="B1105" s="14" t="s">
        <v>3654</v>
      </c>
      <c r="C1105" s="53">
        <v>136700</v>
      </c>
      <c r="D1105" s="53"/>
      <c r="E1105" s="54">
        <f t="shared" si="21"/>
        <v>2125402</v>
      </c>
      <c r="F1105" s="14" t="s">
        <v>115</v>
      </c>
      <c r="G1105" s="14" t="s">
        <v>120</v>
      </c>
      <c r="H1105" s="14" t="s">
        <v>127</v>
      </c>
      <c r="I1105" s="14" t="s">
        <v>444</v>
      </c>
    </row>
    <row r="1106" spans="1:9" s="14" customFormat="1">
      <c r="A1106" s="138"/>
      <c r="B1106" s="14" t="s">
        <v>3655</v>
      </c>
      <c r="C1106" s="53">
        <v>133700</v>
      </c>
      <c r="D1106" s="53"/>
      <c r="E1106" s="54">
        <f t="shared" si="21"/>
        <v>1991702</v>
      </c>
      <c r="F1106" s="14" t="s">
        <v>115</v>
      </c>
      <c r="G1106" s="14" t="s">
        <v>120</v>
      </c>
      <c r="H1106" s="14" t="s">
        <v>127</v>
      </c>
      <c r="I1106" s="14" t="s">
        <v>444</v>
      </c>
    </row>
    <row r="1107" spans="1:9" s="14" customFormat="1">
      <c r="A1107" s="138"/>
      <c r="B1107" s="14" t="s">
        <v>3656</v>
      </c>
      <c r="C1107" s="53">
        <v>132200</v>
      </c>
      <c r="D1107" s="53"/>
      <c r="E1107" s="54">
        <f t="shared" si="21"/>
        <v>1859502</v>
      </c>
      <c r="F1107" s="14" t="s">
        <v>115</v>
      </c>
      <c r="G1107" s="14" t="s">
        <v>120</v>
      </c>
      <c r="H1107" s="14" t="s">
        <v>127</v>
      </c>
      <c r="I1107" s="14" t="s">
        <v>444</v>
      </c>
    </row>
    <row r="1108" spans="1:9" s="14" customFormat="1">
      <c r="A1108" s="138"/>
      <c r="B1108" s="14" t="s">
        <v>3657</v>
      </c>
      <c r="C1108" s="53">
        <v>115000</v>
      </c>
      <c r="D1108" s="53"/>
      <c r="E1108" s="54">
        <f t="shared" si="21"/>
        <v>1744502</v>
      </c>
      <c r="F1108" s="14" t="s">
        <v>115</v>
      </c>
      <c r="G1108" s="14" t="s">
        <v>120</v>
      </c>
      <c r="H1108" s="14" t="s">
        <v>127</v>
      </c>
      <c r="I1108" s="14" t="s">
        <v>444</v>
      </c>
    </row>
    <row r="1109" spans="1:9" s="14" customFormat="1">
      <c r="A1109" s="138"/>
      <c r="B1109" s="14" t="s">
        <v>3658</v>
      </c>
      <c r="C1109" s="53">
        <v>340000</v>
      </c>
      <c r="D1109" s="53"/>
      <c r="E1109" s="54">
        <f t="shared" si="21"/>
        <v>1404502</v>
      </c>
      <c r="F1109" s="14" t="s">
        <v>115</v>
      </c>
      <c r="G1109" s="14" t="s">
        <v>120</v>
      </c>
      <c r="H1109" s="14" t="s">
        <v>127</v>
      </c>
      <c r="I1109" s="14" t="s">
        <v>444</v>
      </c>
    </row>
    <row r="1110" spans="1:9" s="14" customFormat="1">
      <c r="A1110" s="138"/>
      <c r="B1110" s="14" t="s">
        <v>3659</v>
      </c>
      <c r="C1110" s="53">
        <v>150000</v>
      </c>
      <c r="D1110" s="53"/>
      <c r="E1110" s="54">
        <f t="shared" si="21"/>
        <v>1254502</v>
      </c>
      <c r="F1110" s="14" t="s">
        <v>115</v>
      </c>
      <c r="G1110" s="14" t="s">
        <v>120</v>
      </c>
      <c r="H1110" s="14" t="s">
        <v>560</v>
      </c>
      <c r="I1110" s="14" t="s">
        <v>444</v>
      </c>
    </row>
    <row r="1111" spans="1:9" s="14" customFormat="1">
      <c r="A1111" s="138"/>
      <c r="B1111" s="14" t="s">
        <v>3660</v>
      </c>
      <c r="C1111" s="53">
        <v>12000</v>
      </c>
      <c r="D1111" s="53"/>
      <c r="E1111" s="54">
        <f t="shared" si="21"/>
        <v>1242502</v>
      </c>
      <c r="F1111" s="14" t="s">
        <v>115</v>
      </c>
      <c r="G1111" s="14" t="s">
        <v>120</v>
      </c>
      <c r="H1111" s="14" t="s">
        <v>560</v>
      </c>
      <c r="I1111" s="14" t="s">
        <v>444</v>
      </c>
    </row>
    <row r="1112" spans="1:9" s="14" customFormat="1">
      <c r="A1112" s="138"/>
      <c r="B1112" s="14" t="s">
        <v>3661</v>
      </c>
      <c r="C1112" s="53">
        <v>62000</v>
      </c>
      <c r="D1112" s="53"/>
      <c r="E1112" s="54">
        <f t="shared" si="21"/>
        <v>1180502</v>
      </c>
      <c r="F1112" s="14" t="s">
        <v>115</v>
      </c>
      <c r="G1112" s="14" t="s">
        <v>120</v>
      </c>
      <c r="H1112" s="14" t="s">
        <v>560</v>
      </c>
      <c r="I1112" s="14" t="s">
        <v>444</v>
      </c>
    </row>
    <row r="1113" spans="1:9" s="14" customFormat="1">
      <c r="A1113" s="138"/>
      <c r="B1113" s="14" t="s">
        <v>3662</v>
      </c>
      <c r="C1113" s="53">
        <v>7500</v>
      </c>
      <c r="D1113" s="53"/>
      <c r="E1113" s="54">
        <f t="shared" si="21"/>
        <v>1173002</v>
      </c>
      <c r="F1113" s="14" t="s">
        <v>115</v>
      </c>
      <c r="G1113" s="14" t="s">
        <v>120</v>
      </c>
      <c r="H1113" s="14" t="s">
        <v>560</v>
      </c>
      <c r="I1113" s="14" t="s">
        <v>444</v>
      </c>
    </row>
    <row r="1114" spans="1:9" s="14" customFormat="1">
      <c r="A1114" s="138"/>
      <c r="B1114" s="14" t="s">
        <v>3663</v>
      </c>
      <c r="C1114" s="53">
        <v>175000</v>
      </c>
      <c r="D1114" s="53"/>
      <c r="E1114" s="54">
        <f t="shared" si="21"/>
        <v>998002</v>
      </c>
      <c r="F1114" s="14" t="s">
        <v>115</v>
      </c>
      <c r="G1114" s="14" t="s">
        <v>120</v>
      </c>
      <c r="H1114" s="14" t="s">
        <v>560</v>
      </c>
      <c r="I1114" s="14" t="s">
        <v>444</v>
      </c>
    </row>
    <row r="1115" spans="1:9" s="14" customFormat="1">
      <c r="A1115" s="138"/>
      <c r="B1115" s="14" t="s">
        <v>3664</v>
      </c>
      <c r="C1115" s="53">
        <v>627000</v>
      </c>
      <c r="D1115" s="53"/>
      <c r="E1115" s="54">
        <f t="shared" si="21"/>
        <v>371002</v>
      </c>
      <c r="F1115" s="14" t="s">
        <v>137</v>
      </c>
      <c r="G1115" s="14" t="s">
        <v>138</v>
      </c>
      <c r="H1115" s="168" t="s">
        <v>3044</v>
      </c>
    </row>
    <row r="1116" spans="1:9" s="14" customFormat="1">
      <c r="A1116" s="138"/>
      <c r="B1116" s="14" t="s">
        <v>3665</v>
      </c>
      <c r="C1116" s="53">
        <v>48000</v>
      </c>
      <c r="D1116" s="53"/>
      <c r="E1116" s="54">
        <f t="shared" si="21"/>
        <v>323002</v>
      </c>
      <c r="F1116" s="14" t="s">
        <v>115</v>
      </c>
      <c r="G1116" s="14" t="s">
        <v>120</v>
      </c>
      <c r="H1116" s="14" t="s">
        <v>560</v>
      </c>
      <c r="I1116" s="14" t="s">
        <v>444</v>
      </c>
    </row>
    <row r="1117" spans="1:9" s="14" customFormat="1">
      <c r="A1117" s="138"/>
      <c r="B1117" s="14" t="s">
        <v>3666</v>
      </c>
      <c r="C1117" s="53">
        <v>84700</v>
      </c>
      <c r="D1117" s="53"/>
      <c r="E1117" s="54">
        <f t="shared" si="21"/>
        <v>238302</v>
      </c>
      <c r="F1117" s="14" t="s">
        <v>137</v>
      </c>
      <c r="G1117" s="14" t="s">
        <v>138</v>
      </c>
      <c r="H1117" s="168" t="s">
        <v>3042</v>
      </c>
    </row>
    <row r="1118" spans="1:9" s="14" customFormat="1">
      <c r="A1118" s="138"/>
      <c r="B1118" s="14" t="s">
        <v>3667</v>
      </c>
      <c r="C1118" s="53">
        <v>61000</v>
      </c>
      <c r="D1118" s="53"/>
      <c r="E1118" s="54">
        <f t="shared" si="21"/>
        <v>177302</v>
      </c>
      <c r="F1118" s="14" t="s">
        <v>137</v>
      </c>
      <c r="G1118" s="14" t="s">
        <v>138</v>
      </c>
      <c r="H1118" s="168" t="s">
        <v>3042</v>
      </c>
    </row>
    <row r="1119" spans="1:9" s="14" customFormat="1">
      <c r="A1119" s="138"/>
      <c r="B1119" s="14" t="s">
        <v>3668</v>
      </c>
      <c r="C1119" s="53">
        <v>164300</v>
      </c>
      <c r="D1119" s="53"/>
      <c r="E1119" s="54">
        <f t="shared" si="21"/>
        <v>13002</v>
      </c>
      <c r="F1119" s="14" t="s">
        <v>137</v>
      </c>
      <c r="G1119" s="14" t="s">
        <v>138</v>
      </c>
      <c r="H1119" s="168" t="s">
        <v>3042</v>
      </c>
    </row>
    <row r="1120" spans="1:9" s="14" customFormat="1">
      <c r="A1120" s="138"/>
      <c r="B1120" s="7" t="s">
        <v>2399</v>
      </c>
      <c r="C1120" s="54">
        <v>13002</v>
      </c>
      <c r="D1120" s="54">
        <v>0</v>
      </c>
      <c r="E1120" s="54">
        <f t="shared" si="21"/>
        <v>0</v>
      </c>
      <c r="F1120" s="80" t="s">
        <v>107</v>
      </c>
      <c r="G1120" s="14" t="s">
        <v>668</v>
      </c>
      <c r="H1120" s="14" t="s">
        <v>3405</v>
      </c>
      <c r="I1120" t="s">
        <v>3637</v>
      </c>
    </row>
    <row r="1121" spans="1:9" s="14" customFormat="1">
      <c r="A1121" s="3">
        <v>44407</v>
      </c>
      <c r="B1121" t="s">
        <v>1951</v>
      </c>
      <c r="C1121" s="8">
        <v>0</v>
      </c>
      <c r="D1121" s="8">
        <v>16209600</v>
      </c>
      <c r="E1121" s="8">
        <f t="shared" si="21"/>
        <v>16209600</v>
      </c>
      <c r="F1121" t="s">
        <v>581</v>
      </c>
      <c r="G1121" t="s">
        <v>582</v>
      </c>
      <c r="H1121" s="14" t="s">
        <v>3013</v>
      </c>
      <c r="I1121">
        <v>42</v>
      </c>
    </row>
    <row r="1122" spans="1:9" s="14" customFormat="1">
      <c r="A1122" s="138"/>
      <c r="B1122" t="s">
        <v>1951</v>
      </c>
      <c r="C1122" s="8">
        <v>13508000</v>
      </c>
      <c r="D1122" s="8"/>
      <c r="E1122" s="8">
        <f t="shared" si="21"/>
        <v>2701600</v>
      </c>
      <c r="F1122" s="14" t="s">
        <v>568</v>
      </c>
      <c r="G1122" s="14" t="s">
        <v>4395</v>
      </c>
      <c r="H1122" s="14" t="s">
        <v>3013</v>
      </c>
      <c r="I1122">
        <v>42</v>
      </c>
    </row>
    <row r="1123" spans="1:9" s="14" customFormat="1">
      <c r="A1123" s="138"/>
      <c r="B1123" t="s">
        <v>1951</v>
      </c>
      <c r="C1123" s="8">
        <v>2701600</v>
      </c>
      <c r="D1123" s="8"/>
      <c r="E1123" s="8">
        <f t="shared" si="21"/>
        <v>0</v>
      </c>
      <c r="F1123" t="s">
        <v>714</v>
      </c>
      <c r="G1123" t="s">
        <v>715</v>
      </c>
      <c r="H1123" s="14" t="s">
        <v>3013</v>
      </c>
      <c r="I1123">
        <v>42</v>
      </c>
    </row>
    <row r="1124" spans="1:9" s="14" customFormat="1">
      <c r="A1124" s="138">
        <v>44412</v>
      </c>
      <c r="B1124" s="49" t="s">
        <v>2283</v>
      </c>
      <c r="C1124" s="53">
        <v>0</v>
      </c>
      <c r="D1124" s="53">
        <v>61465796</v>
      </c>
      <c r="E1124" s="8">
        <f t="shared" si="21"/>
        <v>61465796</v>
      </c>
      <c r="F1124" s="80" t="s">
        <v>107</v>
      </c>
      <c r="G1124" s="14" t="s">
        <v>666</v>
      </c>
      <c r="H1124" s="14" t="s">
        <v>142</v>
      </c>
      <c r="I1124"/>
    </row>
    <row r="1125" spans="1:9" s="14" customFormat="1">
      <c r="A1125" s="138"/>
      <c r="B1125" s="49" t="s">
        <v>3266</v>
      </c>
      <c r="C1125" s="53">
        <v>329000</v>
      </c>
      <c r="D1125" s="53"/>
      <c r="E1125" s="54">
        <f t="shared" si="21"/>
        <v>61136796</v>
      </c>
      <c r="F1125" s="14" t="s">
        <v>115</v>
      </c>
      <c r="G1125" s="14" t="s">
        <v>120</v>
      </c>
      <c r="H1125" s="14" t="s">
        <v>127</v>
      </c>
      <c r="I1125" s="14" t="s">
        <v>444</v>
      </c>
    </row>
    <row r="1126" spans="1:9" s="14" customFormat="1">
      <c r="A1126" s="138"/>
      <c r="B1126" s="49" t="s">
        <v>3266</v>
      </c>
      <c r="C1126" s="53">
        <v>321000</v>
      </c>
      <c r="D1126" s="53"/>
      <c r="E1126" s="54">
        <f t="shared" si="21"/>
        <v>60815796</v>
      </c>
      <c r="F1126" s="14" t="s">
        <v>115</v>
      </c>
      <c r="G1126" s="14" t="s">
        <v>120</v>
      </c>
      <c r="H1126" s="14" t="s">
        <v>127</v>
      </c>
      <c r="I1126" s="14" t="s">
        <v>444</v>
      </c>
    </row>
    <row r="1127" spans="1:9" s="14" customFormat="1">
      <c r="A1127" s="138"/>
      <c r="B1127" s="49" t="s">
        <v>3266</v>
      </c>
      <c r="C1127" s="53">
        <v>377600</v>
      </c>
      <c r="D1127" s="53"/>
      <c r="E1127" s="54">
        <f t="shared" si="21"/>
        <v>60438196</v>
      </c>
      <c r="F1127" s="14" t="s">
        <v>115</v>
      </c>
      <c r="G1127" s="14" t="s">
        <v>120</v>
      </c>
      <c r="H1127" s="14" t="s">
        <v>127</v>
      </c>
      <c r="I1127" s="14" t="s">
        <v>444</v>
      </c>
    </row>
    <row r="1128" spans="1:9" s="14" customFormat="1">
      <c r="A1128" s="138"/>
      <c r="B1128" s="49" t="s">
        <v>3266</v>
      </c>
      <c r="C1128" s="53">
        <v>329399</v>
      </c>
      <c r="D1128" s="53"/>
      <c r="E1128" s="54">
        <f t="shared" si="21"/>
        <v>60108797</v>
      </c>
      <c r="F1128" s="14" t="s">
        <v>115</v>
      </c>
      <c r="G1128" s="14" t="s">
        <v>120</v>
      </c>
      <c r="H1128" s="14" t="s">
        <v>127</v>
      </c>
      <c r="I1128" s="14" t="s">
        <v>444</v>
      </c>
    </row>
    <row r="1129" spans="1:9" s="14" customFormat="1">
      <c r="A1129" s="138"/>
      <c r="B1129" s="49" t="s">
        <v>3266</v>
      </c>
      <c r="C1129" s="53">
        <v>320399</v>
      </c>
      <c r="D1129" s="53"/>
      <c r="E1129" s="54">
        <f t="shared" si="21"/>
        <v>59788398</v>
      </c>
      <c r="F1129" s="14" t="s">
        <v>115</v>
      </c>
      <c r="G1129" s="14" t="s">
        <v>120</v>
      </c>
      <c r="H1129" s="14" t="s">
        <v>127</v>
      </c>
      <c r="I1129" s="14" t="s">
        <v>444</v>
      </c>
    </row>
    <row r="1130" spans="1:9" s="14" customFormat="1">
      <c r="A1130" s="138"/>
      <c r="B1130" s="49" t="s">
        <v>3266</v>
      </c>
      <c r="C1130" s="53">
        <v>359000</v>
      </c>
      <c r="D1130" s="53"/>
      <c r="E1130" s="54">
        <f t="shared" si="21"/>
        <v>59429398</v>
      </c>
      <c r="F1130" s="14" t="s">
        <v>115</v>
      </c>
      <c r="G1130" s="14" t="s">
        <v>120</v>
      </c>
      <c r="H1130" s="14" t="s">
        <v>127</v>
      </c>
      <c r="I1130" s="14" t="s">
        <v>444</v>
      </c>
    </row>
    <row r="1131" spans="1:9" s="14" customFormat="1">
      <c r="A1131" s="138"/>
      <c r="B1131" s="49" t="s">
        <v>4301</v>
      </c>
      <c r="C1131" s="53">
        <v>175150</v>
      </c>
      <c r="D1131" s="53"/>
      <c r="E1131" s="54">
        <f t="shared" si="21"/>
        <v>59254248</v>
      </c>
      <c r="F1131" s="14" t="s">
        <v>137</v>
      </c>
      <c r="G1131" s="14" t="s">
        <v>138</v>
      </c>
      <c r="H1131" s="168" t="s">
        <v>3011</v>
      </c>
      <c r="I1131"/>
    </row>
    <row r="1132" spans="1:9" s="14" customFormat="1">
      <c r="A1132" s="138"/>
      <c r="B1132" s="49" t="s">
        <v>912</v>
      </c>
      <c r="C1132" s="53">
        <v>269260</v>
      </c>
      <c r="D1132" s="53"/>
      <c r="E1132" s="54">
        <f t="shared" si="21"/>
        <v>58984988</v>
      </c>
      <c r="F1132" s="14" t="s">
        <v>319</v>
      </c>
      <c r="G1132" s="14" t="s">
        <v>117</v>
      </c>
      <c r="H1132" s="14" t="s">
        <v>64</v>
      </c>
      <c r="I1132"/>
    </row>
    <row r="1133" spans="1:9" s="14" customFormat="1">
      <c r="A1133" s="138"/>
      <c r="B1133" s="49" t="s">
        <v>4302</v>
      </c>
      <c r="C1133" s="53">
        <v>2435000</v>
      </c>
      <c r="D1133" s="53"/>
      <c r="E1133" s="54">
        <f t="shared" si="21"/>
        <v>56549988</v>
      </c>
      <c r="F1133" s="14" t="s">
        <v>137</v>
      </c>
      <c r="G1133" s="14" t="s">
        <v>138</v>
      </c>
      <c r="H1133" s="168" t="s">
        <v>3033</v>
      </c>
      <c r="I1133"/>
    </row>
    <row r="1134" spans="1:9" s="14" customFormat="1">
      <c r="A1134" s="138"/>
      <c r="B1134" s="49" t="s">
        <v>3266</v>
      </c>
      <c r="C1134" s="53">
        <v>2015400</v>
      </c>
      <c r="D1134" s="53"/>
      <c r="E1134" s="54">
        <f t="shared" si="21"/>
        <v>54534588</v>
      </c>
      <c r="F1134" s="14" t="s">
        <v>137</v>
      </c>
      <c r="G1134" s="14" t="s">
        <v>138</v>
      </c>
      <c r="H1134" s="14" t="s">
        <v>4308</v>
      </c>
      <c r="I1134"/>
    </row>
    <row r="1135" spans="1:9" s="14" customFormat="1">
      <c r="A1135" s="138"/>
      <c r="B1135" s="49" t="s">
        <v>3266</v>
      </c>
      <c r="C1135" s="53">
        <v>4483300</v>
      </c>
      <c r="D1135" s="53"/>
      <c r="E1135" s="54">
        <f t="shared" si="21"/>
        <v>50051288</v>
      </c>
      <c r="F1135" s="14" t="s">
        <v>137</v>
      </c>
      <c r="G1135" s="14" t="s">
        <v>138</v>
      </c>
      <c r="H1135" s="14" t="s">
        <v>4308</v>
      </c>
      <c r="I1135"/>
    </row>
    <row r="1136" spans="1:9" s="14" customFormat="1">
      <c r="A1136" s="138"/>
      <c r="B1136" s="49" t="s">
        <v>3266</v>
      </c>
      <c r="C1136" s="53">
        <v>429000</v>
      </c>
      <c r="D1136" s="53"/>
      <c r="E1136" s="54">
        <f t="shared" si="21"/>
        <v>49622288</v>
      </c>
      <c r="F1136" s="14" t="s">
        <v>137</v>
      </c>
      <c r="G1136" s="14" t="s">
        <v>138</v>
      </c>
      <c r="H1136" s="14" t="s">
        <v>4308</v>
      </c>
      <c r="I1136"/>
    </row>
    <row r="1137" spans="1:9" s="14" customFormat="1">
      <c r="A1137" s="138"/>
      <c r="B1137" s="49" t="s">
        <v>4303</v>
      </c>
      <c r="C1137" s="53">
        <v>38000000</v>
      </c>
      <c r="D1137" s="53"/>
      <c r="E1137" s="54">
        <f t="shared" si="21"/>
        <v>11622288</v>
      </c>
      <c r="F1137" s="14" t="s">
        <v>137</v>
      </c>
      <c r="G1137" s="14" t="s">
        <v>138</v>
      </c>
      <c r="H1137" s="168" t="s">
        <v>3011</v>
      </c>
      <c r="I1137"/>
    </row>
    <row r="1138" spans="1:9" s="14" customFormat="1">
      <c r="A1138" s="138"/>
      <c r="B1138" s="49" t="s">
        <v>3266</v>
      </c>
      <c r="C1138" s="53">
        <v>1027400</v>
      </c>
      <c r="D1138" s="53"/>
      <c r="E1138" s="54">
        <f t="shared" si="21"/>
        <v>10594888</v>
      </c>
      <c r="F1138" s="14" t="s">
        <v>115</v>
      </c>
      <c r="G1138" s="14" t="s">
        <v>120</v>
      </c>
      <c r="H1138" s="14" t="s">
        <v>127</v>
      </c>
      <c r="I1138" s="14" t="s">
        <v>444</v>
      </c>
    </row>
    <row r="1139" spans="1:9" s="14" customFormat="1">
      <c r="A1139" s="138"/>
      <c r="B1139" s="49" t="s">
        <v>4304</v>
      </c>
      <c r="C1139" s="53">
        <v>505704</v>
      </c>
      <c r="D1139" s="53"/>
      <c r="E1139" s="54">
        <f t="shared" si="21"/>
        <v>10089184</v>
      </c>
      <c r="F1139" s="14" t="s">
        <v>115</v>
      </c>
      <c r="G1139" s="14" t="s">
        <v>120</v>
      </c>
      <c r="H1139" s="14" t="s">
        <v>127</v>
      </c>
      <c r="I1139" s="14" t="s">
        <v>444</v>
      </c>
    </row>
    <row r="1140" spans="1:9" s="14" customFormat="1">
      <c r="A1140" s="138"/>
      <c r="B1140" s="49" t="s">
        <v>3266</v>
      </c>
      <c r="C1140" s="53">
        <v>361000</v>
      </c>
      <c r="D1140" s="53"/>
      <c r="E1140" s="54">
        <f t="shared" si="21"/>
        <v>9728184</v>
      </c>
      <c r="F1140" s="14" t="s">
        <v>115</v>
      </c>
      <c r="G1140" s="14" t="s">
        <v>120</v>
      </c>
      <c r="H1140" s="14" t="s">
        <v>127</v>
      </c>
      <c r="I1140" s="14" t="s">
        <v>444</v>
      </c>
    </row>
    <row r="1141" spans="1:9" s="14" customFormat="1">
      <c r="A1141" s="138"/>
      <c r="B1141" s="49" t="s">
        <v>3266</v>
      </c>
      <c r="C1141" s="53">
        <v>2600000</v>
      </c>
      <c r="D1141" s="53"/>
      <c r="E1141" s="54">
        <f t="shared" si="21"/>
        <v>7128184</v>
      </c>
      <c r="F1141" s="14" t="s">
        <v>115</v>
      </c>
      <c r="G1141" s="14" t="s">
        <v>120</v>
      </c>
      <c r="H1141" s="14" t="s">
        <v>127</v>
      </c>
      <c r="I1141" s="14" t="s">
        <v>444</v>
      </c>
    </row>
    <row r="1142" spans="1:9" s="14" customFormat="1">
      <c r="A1142" s="138"/>
      <c r="B1142" s="49" t="s">
        <v>3266</v>
      </c>
      <c r="C1142" s="53">
        <v>640000</v>
      </c>
      <c r="D1142" s="53"/>
      <c r="E1142" s="54">
        <f t="shared" si="21"/>
        <v>6488184</v>
      </c>
      <c r="F1142" s="14" t="s">
        <v>115</v>
      </c>
      <c r="G1142" s="14" t="s">
        <v>120</v>
      </c>
      <c r="H1142" s="14" t="s">
        <v>127</v>
      </c>
      <c r="I1142" s="14" t="s">
        <v>444</v>
      </c>
    </row>
    <row r="1143" spans="1:9" s="14" customFormat="1">
      <c r="A1143" s="138"/>
      <c r="B1143" s="49" t="s">
        <v>3266</v>
      </c>
      <c r="C1143" s="53">
        <v>368000</v>
      </c>
      <c r="D1143" s="53"/>
      <c r="E1143" s="54">
        <f t="shared" si="21"/>
        <v>6120184</v>
      </c>
      <c r="F1143" s="14" t="s">
        <v>115</v>
      </c>
      <c r="G1143" s="14" t="s">
        <v>120</v>
      </c>
      <c r="H1143" s="14" t="s">
        <v>127</v>
      </c>
      <c r="I1143" s="14" t="s">
        <v>444</v>
      </c>
    </row>
    <row r="1144" spans="1:9" s="14" customFormat="1">
      <c r="A1144" s="138"/>
      <c r="B1144" s="49" t="s">
        <v>3266</v>
      </c>
      <c r="C1144" s="53">
        <v>372000</v>
      </c>
      <c r="D1144" s="53"/>
      <c r="E1144" s="54">
        <f t="shared" si="21"/>
        <v>5748184</v>
      </c>
      <c r="F1144" s="14" t="s">
        <v>115</v>
      </c>
      <c r="G1144" s="14" t="s">
        <v>120</v>
      </c>
      <c r="H1144" s="14" t="s">
        <v>127</v>
      </c>
      <c r="I1144" s="14" t="s">
        <v>444</v>
      </c>
    </row>
    <row r="1145" spans="1:9" s="14" customFormat="1">
      <c r="A1145" s="138"/>
      <c r="B1145" s="49" t="s">
        <v>3266</v>
      </c>
      <c r="C1145" s="53">
        <v>380000</v>
      </c>
      <c r="D1145" s="53"/>
      <c r="E1145" s="54">
        <f t="shared" si="21"/>
        <v>5368184</v>
      </c>
      <c r="F1145" s="14" t="s">
        <v>115</v>
      </c>
      <c r="G1145" s="14" t="s">
        <v>120</v>
      </c>
      <c r="H1145" s="14" t="s">
        <v>127</v>
      </c>
      <c r="I1145" s="14" t="s">
        <v>444</v>
      </c>
    </row>
    <row r="1146" spans="1:9" s="14" customFormat="1">
      <c r="A1146" s="138"/>
      <c r="B1146" s="49" t="s">
        <v>3266</v>
      </c>
      <c r="C1146" s="53">
        <v>515000</v>
      </c>
      <c r="D1146" s="53"/>
      <c r="E1146" s="54">
        <f t="shared" si="21"/>
        <v>4853184</v>
      </c>
      <c r="F1146" s="14" t="s">
        <v>115</v>
      </c>
      <c r="G1146" s="14" t="s">
        <v>120</v>
      </c>
      <c r="H1146" s="14" t="s">
        <v>127</v>
      </c>
      <c r="I1146" s="14" t="s">
        <v>444</v>
      </c>
    </row>
    <row r="1147" spans="1:9" s="14" customFormat="1">
      <c r="A1147" s="138"/>
      <c r="B1147" s="49" t="s">
        <v>3266</v>
      </c>
      <c r="C1147" s="53">
        <v>685000</v>
      </c>
      <c r="D1147" s="53"/>
      <c r="E1147" s="54">
        <f t="shared" si="21"/>
        <v>4168184</v>
      </c>
      <c r="F1147" s="14" t="s">
        <v>115</v>
      </c>
      <c r="G1147" s="14" t="s">
        <v>120</v>
      </c>
      <c r="H1147" s="14" t="s">
        <v>127</v>
      </c>
      <c r="I1147" s="14" t="s">
        <v>444</v>
      </c>
    </row>
    <row r="1148" spans="1:9" s="14" customFormat="1">
      <c r="A1148" s="138"/>
      <c r="B1148" s="7" t="s">
        <v>3266</v>
      </c>
      <c r="C1148" s="8">
        <v>194000</v>
      </c>
      <c r="D1148" s="8"/>
      <c r="E1148" s="8">
        <f t="shared" si="21"/>
        <v>3974184</v>
      </c>
      <c r="F1148" s="83" t="s">
        <v>107</v>
      </c>
      <c r="G1148" s="14" t="s">
        <v>3102</v>
      </c>
      <c r="I1148"/>
    </row>
    <row r="1149" spans="1:9" s="14" customFormat="1">
      <c r="A1149" s="138"/>
      <c r="B1149" s="7" t="s">
        <v>3266</v>
      </c>
      <c r="C1149" s="8">
        <v>515000</v>
      </c>
      <c r="D1149" s="8"/>
      <c r="E1149" s="8">
        <f t="shared" si="21"/>
        <v>3459184</v>
      </c>
      <c r="F1149" s="83" t="s">
        <v>107</v>
      </c>
      <c r="G1149" s="14" t="s">
        <v>3102</v>
      </c>
      <c r="I1149"/>
    </row>
    <row r="1150" spans="1:9" s="14" customFormat="1">
      <c r="A1150" s="138"/>
      <c r="B1150" s="7" t="s">
        <v>3266</v>
      </c>
      <c r="C1150" s="54">
        <v>587400</v>
      </c>
      <c r="D1150" s="54"/>
      <c r="E1150" s="54">
        <f t="shared" si="21"/>
        <v>2871784</v>
      </c>
      <c r="F1150" s="14" t="s">
        <v>115</v>
      </c>
      <c r="G1150" s="14" t="s">
        <v>120</v>
      </c>
      <c r="H1150" s="14" t="s">
        <v>127</v>
      </c>
      <c r="I1150" s="14" t="s">
        <v>444</v>
      </c>
    </row>
    <row r="1151" spans="1:9" s="14" customFormat="1">
      <c r="A1151" s="138"/>
      <c r="B1151" s="7" t="s">
        <v>3266</v>
      </c>
      <c r="C1151" s="54">
        <v>305000</v>
      </c>
      <c r="D1151" s="54"/>
      <c r="E1151" s="54">
        <f t="shared" si="21"/>
        <v>2566784</v>
      </c>
      <c r="F1151" s="14" t="s">
        <v>115</v>
      </c>
      <c r="G1151" s="14" t="s">
        <v>120</v>
      </c>
      <c r="H1151" s="14" t="s">
        <v>127</v>
      </c>
      <c r="I1151" s="14" t="s">
        <v>444</v>
      </c>
    </row>
    <row r="1152" spans="1:9" s="14" customFormat="1">
      <c r="A1152" s="138"/>
      <c r="B1152" s="7" t="s">
        <v>3266</v>
      </c>
      <c r="C1152" s="8">
        <v>0</v>
      </c>
      <c r="D1152" s="8">
        <v>194000</v>
      </c>
      <c r="E1152" s="8">
        <f t="shared" si="21"/>
        <v>2760784</v>
      </c>
      <c r="F1152" s="83" t="s">
        <v>107</v>
      </c>
      <c r="G1152" s="14" t="s">
        <v>3102</v>
      </c>
      <c r="I1152"/>
    </row>
    <row r="1153" spans="1:9" s="14" customFormat="1">
      <c r="A1153" s="138"/>
      <c r="B1153" s="7" t="s">
        <v>3266</v>
      </c>
      <c r="C1153" s="8">
        <v>0</v>
      </c>
      <c r="D1153" s="8">
        <v>515000</v>
      </c>
      <c r="E1153" s="8">
        <f t="shared" ref="E1153:E1224" si="22">E1152-C1153+D1153</f>
        <v>3275784</v>
      </c>
      <c r="F1153" s="83" t="s">
        <v>107</v>
      </c>
      <c r="G1153" s="14" t="s">
        <v>3102</v>
      </c>
      <c r="I1153"/>
    </row>
    <row r="1154" spans="1:9" s="14" customFormat="1">
      <c r="A1154" s="138"/>
      <c r="B1154" s="7" t="s">
        <v>4305</v>
      </c>
      <c r="C1154" s="8">
        <v>100200</v>
      </c>
      <c r="D1154" s="8"/>
      <c r="E1154" s="8">
        <f t="shared" si="22"/>
        <v>3175584</v>
      </c>
      <c r="F1154" s="14" t="s">
        <v>137</v>
      </c>
      <c r="G1154" s="14" t="s">
        <v>138</v>
      </c>
      <c r="H1154" s="14" t="s">
        <v>2050</v>
      </c>
      <c r="I1154"/>
    </row>
    <row r="1155" spans="1:9" s="14" customFormat="1">
      <c r="A1155" s="138"/>
      <c r="B1155" s="7" t="s">
        <v>3223</v>
      </c>
      <c r="C1155" s="8">
        <v>10000</v>
      </c>
      <c r="D1155" s="8"/>
      <c r="E1155" s="8">
        <f t="shared" si="22"/>
        <v>3165584</v>
      </c>
      <c r="F1155" s="83" t="s">
        <v>113</v>
      </c>
      <c r="G1155" s="14" t="s">
        <v>114</v>
      </c>
      <c r="H1155" s="14" t="s">
        <v>64</v>
      </c>
      <c r="I1155"/>
    </row>
    <row r="1156" spans="1:9" s="14" customFormat="1">
      <c r="A1156" s="138"/>
      <c r="B1156" s="7" t="s">
        <v>4306</v>
      </c>
      <c r="C1156" s="54">
        <v>1707333</v>
      </c>
      <c r="D1156" s="54"/>
      <c r="E1156" s="54">
        <f t="shared" si="22"/>
        <v>1458251</v>
      </c>
      <c r="F1156" s="80" t="s">
        <v>115</v>
      </c>
      <c r="G1156" s="14" t="s">
        <v>440</v>
      </c>
      <c r="H1156" s="14" t="s">
        <v>4001</v>
      </c>
      <c r="I1156"/>
    </row>
    <row r="1157" spans="1:9" s="14" customFormat="1">
      <c r="A1157" s="138"/>
      <c r="B1157" s="7" t="s">
        <v>4307</v>
      </c>
      <c r="C1157" s="54">
        <v>1458250</v>
      </c>
      <c r="D1157" s="54"/>
      <c r="E1157" s="54">
        <f t="shared" si="22"/>
        <v>1</v>
      </c>
      <c r="F1157" s="80" t="s">
        <v>115</v>
      </c>
      <c r="G1157" s="14" t="s">
        <v>440</v>
      </c>
      <c r="H1157" s="14" t="s">
        <v>4002</v>
      </c>
      <c r="I1157"/>
    </row>
    <row r="1158" spans="1:9" s="14" customFormat="1">
      <c r="A1158" s="138"/>
      <c r="B1158" s="7" t="s">
        <v>419</v>
      </c>
      <c r="C1158" s="8">
        <v>1</v>
      </c>
      <c r="D1158" s="8"/>
      <c r="E1158" s="8">
        <f t="shared" si="22"/>
        <v>0</v>
      </c>
      <c r="F1158" s="14" t="s">
        <v>252</v>
      </c>
      <c r="G1158" s="14" t="s">
        <v>665</v>
      </c>
      <c r="I1158"/>
    </row>
    <row r="1159" spans="1:9" s="14" customFormat="1">
      <c r="A1159" s="138">
        <v>44412</v>
      </c>
      <c r="B1159" s="49" t="s">
        <v>2284</v>
      </c>
      <c r="C1159" s="53">
        <v>0</v>
      </c>
      <c r="D1159" s="53">
        <v>3462851</v>
      </c>
      <c r="E1159" s="8">
        <f t="shared" si="22"/>
        <v>3462851</v>
      </c>
      <c r="F1159" s="80" t="s">
        <v>107</v>
      </c>
      <c r="G1159" s="14" t="s">
        <v>666</v>
      </c>
      <c r="H1159" s="14" t="s">
        <v>141</v>
      </c>
      <c r="I1159"/>
    </row>
    <row r="1160" spans="1:9" s="14" customFormat="1">
      <c r="A1160" s="138"/>
      <c r="B1160" s="7" t="s">
        <v>1042</v>
      </c>
      <c r="C1160" s="8">
        <v>276624</v>
      </c>
      <c r="D1160" s="8"/>
      <c r="E1160" s="8">
        <f t="shared" si="22"/>
        <v>3186227</v>
      </c>
      <c r="F1160" s="14" t="s">
        <v>319</v>
      </c>
      <c r="G1160" s="14" t="s">
        <v>117</v>
      </c>
      <c r="H1160" s="14" t="s">
        <v>64</v>
      </c>
      <c r="I1160"/>
    </row>
    <row r="1161" spans="1:9" s="14" customFormat="1">
      <c r="A1161" s="138"/>
      <c r="B1161" s="7" t="s">
        <v>4312</v>
      </c>
      <c r="C1161" s="8">
        <v>598400</v>
      </c>
      <c r="D1161" s="8"/>
      <c r="E1161" s="8">
        <f t="shared" si="22"/>
        <v>2587827</v>
      </c>
      <c r="F1161" s="83" t="s">
        <v>248</v>
      </c>
      <c r="G1161" s="14" t="s">
        <v>729</v>
      </c>
      <c r="H1161" s="14" t="s">
        <v>64</v>
      </c>
      <c r="I1161"/>
    </row>
    <row r="1162" spans="1:9" s="14" customFormat="1">
      <c r="A1162" s="138"/>
      <c r="B1162" s="7" t="s">
        <v>4309</v>
      </c>
      <c r="C1162" s="8">
        <v>268668</v>
      </c>
      <c r="D1162" s="8"/>
      <c r="E1162" s="8">
        <f t="shared" si="22"/>
        <v>2319159</v>
      </c>
      <c r="F1162" s="14" t="s">
        <v>319</v>
      </c>
      <c r="G1162" s="14" t="s">
        <v>117</v>
      </c>
      <c r="H1162" s="14" t="s">
        <v>64</v>
      </c>
      <c r="I1162"/>
    </row>
    <row r="1163" spans="1:9" s="14" customFormat="1">
      <c r="A1163" s="138"/>
      <c r="B1163" s="7" t="s">
        <v>1042</v>
      </c>
      <c r="C1163" s="8">
        <v>158738</v>
      </c>
      <c r="D1163" s="8"/>
      <c r="E1163" s="8">
        <f t="shared" si="22"/>
        <v>2160421</v>
      </c>
      <c r="F1163" s="14" t="s">
        <v>319</v>
      </c>
      <c r="G1163" s="14" t="s">
        <v>117</v>
      </c>
      <c r="H1163" s="14" t="s">
        <v>64</v>
      </c>
      <c r="I1163"/>
    </row>
    <row r="1164" spans="1:9" s="14" customFormat="1">
      <c r="A1164" s="138"/>
      <c r="B1164" s="7" t="s">
        <v>4313</v>
      </c>
      <c r="C1164" s="8">
        <v>51000</v>
      </c>
      <c r="D1164" s="8"/>
      <c r="E1164" s="8">
        <f t="shared" si="22"/>
        <v>2109421</v>
      </c>
      <c r="F1164" s="83" t="s">
        <v>319</v>
      </c>
      <c r="G1164" s="14" t="s">
        <v>647</v>
      </c>
      <c r="H1164" s="14" t="s">
        <v>64</v>
      </c>
      <c r="I1164"/>
    </row>
    <row r="1165" spans="1:9" s="14" customFormat="1">
      <c r="A1165" s="138"/>
      <c r="B1165" s="7" t="s">
        <v>4314</v>
      </c>
      <c r="C1165" s="8">
        <v>136000</v>
      </c>
      <c r="D1165" s="8"/>
      <c r="E1165" s="8">
        <f t="shared" si="22"/>
        <v>1973421</v>
      </c>
      <c r="F1165" s="83" t="s">
        <v>319</v>
      </c>
      <c r="G1165" s="14" t="s">
        <v>647</v>
      </c>
      <c r="H1165" s="14" t="s">
        <v>64</v>
      </c>
      <c r="I1165"/>
    </row>
    <row r="1166" spans="1:9" s="14" customFormat="1">
      <c r="A1166" s="138"/>
      <c r="B1166" s="7" t="s">
        <v>4310</v>
      </c>
      <c r="C1166" s="8">
        <v>5000</v>
      </c>
      <c r="D1166" s="8"/>
      <c r="E1166" s="8">
        <f t="shared" si="22"/>
        <v>1968421</v>
      </c>
      <c r="F1166" s="83" t="s">
        <v>113</v>
      </c>
      <c r="G1166" s="14" t="s">
        <v>114</v>
      </c>
      <c r="H1166" s="14" t="s">
        <v>64</v>
      </c>
      <c r="I1166"/>
    </row>
    <row r="1167" spans="1:9" s="14" customFormat="1">
      <c r="A1167" s="138"/>
      <c r="B1167" s="7" t="s">
        <v>4311</v>
      </c>
      <c r="C1167" s="8">
        <v>669000</v>
      </c>
      <c r="D1167" s="8"/>
      <c r="E1167" s="8">
        <f t="shared" si="22"/>
        <v>1299421</v>
      </c>
      <c r="F1167" s="83" t="s">
        <v>137</v>
      </c>
      <c r="G1167" s="14" t="s">
        <v>138</v>
      </c>
      <c r="H1167" s="168" t="s">
        <v>3052</v>
      </c>
      <c r="I1167"/>
    </row>
    <row r="1168" spans="1:9" s="14" customFormat="1">
      <c r="A1168" s="138"/>
      <c r="B1168" s="7" t="s">
        <v>1042</v>
      </c>
      <c r="C1168" s="8">
        <v>259174</v>
      </c>
      <c r="D1168" s="8"/>
      <c r="E1168" s="8">
        <f t="shared" si="22"/>
        <v>1040247</v>
      </c>
      <c r="F1168" s="14" t="s">
        <v>319</v>
      </c>
      <c r="G1168" s="14" t="s">
        <v>117</v>
      </c>
      <c r="H1168" s="14" t="s">
        <v>64</v>
      </c>
      <c r="I1168"/>
    </row>
    <row r="1169" spans="1:9" s="14" customFormat="1">
      <c r="A1169" s="138"/>
      <c r="B1169" s="7" t="s">
        <v>4315</v>
      </c>
      <c r="C1169" s="8">
        <v>705000</v>
      </c>
      <c r="D1169" s="8"/>
      <c r="E1169" s="8">
        <f t="shared" si="22"/>
        <v>335247</v>
      </c>
      <c r="F1169" s="83" t="s">
        <v>319</v>
      </c>
      <c r="G1169" s="14" t="s">
        <v>320</v>
      </c>
      <c r="H1169" s="14" t="s">
        <v>64</v>
      </c>
      <c r="I1169"/>
    </row>
    <row r="1170" spans="1:9" s="14" customFormat="1">
      <c r="A1170" s="138"/>
      <c r="B1170" s="7" t="s">
        <v>1042</v>
      </c>
      <c r="C1170" s="8">
        <v>325247</v>
      </c>
      <c r="D1170" s="8"/>
      <c r="E1170" s="8">
        <f t="shared" si="22"/>
        <v>10000</v>
      </c>
      <c r="F1170" s="14" t="s">
        <v>319</v>
      </c>
      <c r="G1170" s="14" t="s">
        <v>117</v>
      </c>
      <c r="H1170" s="14" t="s">
        <v>64</v>
      </c>
      <c r="I1170"/>
    </row>
    <row r="1171" spans="1:9" s="14" customFormat="1">
      <c r="A1171" s="138"/>
      <c r="B1171" s="7" t="s">
        <v>389</v>
      </c>
      <c r="C1171" s="8">
        <v>10000</v>
      </c>
      <c r="D1171" s="8"/>
      <c r="E1171" s="8">
        <f t="shared" si="22"/>
        <v>0</v>
      </c>
      <c r="F1171" s="83" t="s">
        <v>113</v>
      </c>
      <c r="G1171" s="14" t="s">
        <v>114</v>
      </c>
      <c r="H1171" s="14" t="s">
        <v>64</v>
      </c>
      <c r="I1171"/>
    </row>
    <row r="1172" spans="1:9" s="14" customFormat="1">
      <c r="A1172" s="138">
        <v>44412</v>
      </c>
      <c r="B1172" s="49" t="s">
        <v>2285</v>
      </c>
      <c r="C1172" s="53">
        <v>0</v>
      </c>
      <c r="D1172" s="53">
        <v>7779482</v>
      </c>
      <c r="E1172" s="8">
        <f t="shared" si="22"/>
        <v>7779482</v>
      </c>
      <c r="F1172" s="80" t="s">
        <v>107</v>
      </c>
      <c r="G1172" s="14" t="s">
        <v>666</v>
      </c>
      <c r="H1172" s="14" t="s">
        <v>140</v>
      </c>
      <c r="I1172"/>
    </row>
    <row r="1173" spans="1:9" s="14" customFormat="1">
      <c r="A1173" s="138"/>
      <c r="B1173" s="49" t="s">
        <v>4321</v>
      </c>
      <c r="C1173" s="53">
        <v>550000</v>
      </c>
      <c r="D1173" s="53"/>
      <c r="E1173" s="8">
        <f t="shared" si="22"/>
        <v>7229482</v>
      </c>
      <c r="F1173" s="80" t="s">
        <v>319</v>
      </c>
      <c r="G1173" s="14" t="s">
        <v>320</v>
      </c>
      <c r="H1173" s="14" t="s">
        <v>64</v>
      </c>
      <c r="I1173"/>
    </row>
    <row r="1174" spans="1:9" s="14" customFormat="1">
      <c r="A1174" s="138"/>
      <c r="B1174" s="49" t="s">
        <v>4316</v>
      </c>
      <c r="C1174" s="53">
        <v>642500</v>
      </c>
      <c r="D1174" s="53"/>
      <c r="E1174" s="8">
        <f t="shared" si="22"/>
        <v>6586982</v>
      </c>
      <c r="F1174" s="80" t="s">
        <v>137</v>
      </c>
      <c r="G1174" s="14" t="s">
        <v>138</v>
      </c>
      <c r="H1174" s="168" t="s">
        <v>3033</v>
      </c>
      <c r="I1174"/>
    </row>
    <row r="1175" spans="1:9" s="14" customFormat="1">
      <c r="A1175" s="138"/>
      <c r="B1175" s="49" t="s">
        <v>3185</v>
      </c>
      <c r="C1175" s="53">
        <v>103000</v>
      </c>
      <c r="D1175" s="53"/>
      <c r="E1175" s="54">
        <f t="shared" si="22"/>
        <v>6483982</v>
      </c>
      <c r="F1175" s="14" t="s">
        <v>115</v>
      </c>
      <c r="G1175" s="14" t="s">
        <v>120</v>
      </c>
      <c r="H1175" s="14" t="s">
        <v>127</v>
      </c>
      <c r="I1175" s="14" t="s">
        <v>444</v>
      </c>
    </row>
    <row r="1176" spans="1:9" s="14" customFormat="1">
      <c r="A1176" s="138"/>
      <c r="B1176" s="49" t="s">
        <v>4317</v>
      </c>
      <c r="C1176" s="53">
        <v>894506</v>
      </c>
      <c r="D1176" s="53"/>
      <c r="E1176" s="8">
        <f t="shared" si="22"/>
        <v>5589476</v>
      </c>
      <c r="F1176" s="80" t="s">
        <v>319</v>
      </c>
      <c r="G1176" s="14" t="s">
        <v>1045</v>
      </c>
      <c r="H1176" s="14" t="s">
        <v>64</v>
      </c>
      <c r="I1176"/>
    </row>
    <row r="1177" spans="1:9" s="14" customFormat="1">
      <c r="A1177" s="138"/>
      <c r="B1177" s="49" t="s">
        <v>3180</v>
      </c>
      <c r="C1177" s="53">
        <v>846165</v>
      </c>
      <c r="D1177" s="53"/>
      <c r="E1177" s="8">
        <f t="shared" si="22"/>
        <v>4743311</v>
      </c>
      <c r="F1177" s="80" t="s">
        <v>137</v>
      </c>
      <c r="G1177" s="14" t="s">
        <v>138</v>
      </c>
      <c r="H1177" s="168" t="s">
        <v>3033</v>
      </c>
      <c r="I1177"/>
    </row>
    <row r="1178" spans="1:9" s="14" customFormat="1">
      <c r="A1178" s="138"/>
      <c r="B1178" s="49" t="s">
        <v>2080</v>
      </c>
      <c r="C1178" s="53">
        <v>273500</v>
      </c>
      <c r="D1178" s="53"/>
      <c r="E1178" s="8">
        <f t="shared" si="22"/>
        <v>4469811</v>
      </c>
      <c r="F1178" s="80" t="s">
        <v>137</v>
      </c>
      <c r="G1178" s="14" t="s">
        <v>138</v>
      </c>
      <c r="H1178" s="168" t="s">
        <v>3033</v>
      </c>
      <c r="I1178"/>
    </row>
    <row r="1179" spans="1:9" s="14" customFormat="1">
      <c r="A1179" s="138"/>
      <c r="B1179" s="49" t="s">
        <v>4318</v>
      </c>
      <c r="C1179" s="53">
        <v>744435</v>
      </c>
      <c r="D1179" s="53"/>
      <c r="E1179" s="8">
        <f t="shared" si="22"/>
        <v>3725376</v>
      </c>
      <c r="F1179" s="80" t="s">
        <v>137</v>
      </c>
      <c r="G1179" s="14" t="s">
        <v>138</v>
      </c>
      <c r="H1179" s="168" t="s">
        <v>3033</v>
      </c>
      <c r="I1179"/>
    </row>
    <row r="1180" spans="1:9" s="14" customFormat="1">
      <c r="A1180" s="138"/>
      <c r="B1180" s="49" t="s">
        <v>3185</v>
      </c>
      <c r="C1180" s="53">
        <v>54000</v>
      </c>
      <c r="D1180" s="53"/>
      <c r="E1180" s="8">
        <f t="shared" si="22"/>
        <v>3671376</v>
      </c>
      <c r="F1180" s="80" t="s">
        <v>137</v>
      </c>
      <c r="G1180" s="14" t="s">
        <v>138</v>
      </c>
      <c r="H1180" s="168" t="s">
        <v>3033</v>
      </c>
      <c r="I1180"/>
    </row>
    <row r="1181" spans="1:9" s="14" customFormat="1">
      <c r="A1181" s="138"/>
      <c r="B1181" s="49" t="s">
        <v>3294</v>
      </c>
      <c r="C1181" s="53">
        <v>340000</v>
      </c>
      <c r="D1181" s="53"/>
      <c r="E1181" s="8">
        <f t="shared" si="22"/>
        <v>3331376</v>
      </c>
      <c r="F1181" s="80" t="s">
        <v>137</v>
      </c>
      <c r="G1181" s="14" t="s">
        <v>138</v>
      </c>
      <c r="H1181" s="168" t="s">
        <v>3033</v>
      </c>
      <c r="I1181"/>
    </row>
    <row r="1182" spans="1:9" s="14" customFormat="1">
      <c r="A1182" s="138"/>
      <c r="B1182" s="49" t="s">
        <v>4319</v>
      </c>
      <c r="C1182" s="53">
        <v>53000</v>
      </c>
      <c r="D1182" s="53"/>
      <c r="E1182" s="8">
        <f t="shared" si="22"/>
        <v>3278376</v>
      </c>
      <c r="F1182" s="80" t="s">
        <v>137</v>
      </c>
      <c r="G1182" s="14" t="s">
        <v>138</v>
      </c>
      <c r="H1182" s="168" t="s">
        <v>3033</v>
      </c>
      <c r="I1182"/>
    </row>
    <row r="1183" spans="1:9" s="14" customFormat="1">
      <c r="A1183" s="138"/>
      <c r="B1183" s="49" t="s">
        <v>4319</v>
      </c>
      <c r="C1183" s="53">
        <v>55000</v>
      </c>
      <c r="D1183" s="53"/>
      <c r="E1183" s="8">
        <f t="shared" si="22"/>
        <v>3223376</v>
      </c>
      <c r="F1183" s="80" t="s">
        <v>137</v>
      </c>
      <c r="G1183" s="14" t="s">
        <v>138</v>
      </c>
      <c r="H1183" s="168" t="s">
        <v>3033</v>
      </c>
      <c r="I1183"/>
    </row>
    <row r="1184" spans="1:9" s="14" customFormat="1">
      <c r="A1184" s="138"/>
      <c r="B1184" s="49" t="s">
        <v>4319</v>
      </c>
      <c r="C1184" s="53">
        <v>61000</v>
      </c>
      <c r="D1184" s="53"/>
      <c r="E1184" s="8">
        <f t="shared" si="22"/>
        <v>3162376</v>
      </c>
      <c r="F1184" s="80" t="s">
        <v>137</v>
      </c>
      <c r="G1184" s="14" t="s">
        <v>138</v>
      </c>
      <c r="H1184" s="168" t="s">
        <v>3033</v>
      </c>
      <c r="I1184"/>
    </row>
    <row r="1185" spans="1:9" s="14" customFormat="1">
      <c r="A1185" s="138"/>
      <c r="B1185" s="49" t="s">
        <v>4310</v>
      </c>
      <c r="C1185" s="53">
        <v>5000</v>
      </c>
      <c r="D1185" s="53"/>
      <c r="E1185" s="8">
        <f t="shared" si="22"/>
        <v>3157376</v>
      </c>
      <c r="F1185" s="80" t="s">
        <v>113</v>
      </c>
      <c r="G1185" s="14" t="s">
        <v>114</v>
      </c>
      <c r="H1185" s="14" t="s">
        <v>64</v>
      </c>
      <c r="I1185"/>
    </row>
    <row r="1186" spans="1:9" s="14" customFormat="1">
      <c r="A1186" s="138"/>
      <c r="B1186" s="49" t="s">
        <v>3185</v>
      </c>
      <c r="C1186" s="53">
        <v>67780</v>
      </c>
      <c r="D1186" s="53"/>
      <c r="E1186" s="8">
        <f t="shared" si="22"/>
        <v>3089596</v>
      </c>
      <c r="F1186" s="80" t="s">
        <v>137</v>
      </c>
      <c r="G1186" s="14" t="s">
        <v>138</v>
      </c>
      <c r="H1186" s="168" t="s">
        <v>3033</v>
      </c>
      <c r="I1186"/>
    </row>
    <row r="1187" spans="1:9" s="14" customFormat="1">
      <c r="A1187" s="138"/>
      <c r="B1187" s="49" t="s">
        <v>3185</v>
      </c>
      <c r="C1187" s="53">
        <v>61942</v>
      </c>
      <c r="D1187" s="53"/>
      <c r="E1187" s="8">
        <f t="shared" si="22"/>
        <v>3027654</v>
      </c>
      <c r="F1187" s="80" t="s">
        <v>137</v>
      </c>
      <c r="G1187" s="14" t="s">
        <v>138</v>
      </c>
      <c r="H1187" s="168" t="s">
        <v>3033</v>
      </c>
      <c r="I1187"/>
    </row>
    <row r="1188" spans="1:9" s="14" customFormat="1">
      <c r="A1188" s="138"/>
      <c r="B1188" s="49" t="s">
        <v>3185</v>
      </c>
      <c r="C1188" s="53">
        <v>78000</v>
      </c>
      <c r="D1188" s="53"/>
      <c r="E1188" s="8">
        <f t="shared" si="22"/>
        <v>2949654</v>
      </c>
      <c r="F1188" s="80" t="s">
        <v>137</v>
      </c>
      <c r="G1188" s="14" t="s">
        <v>138</v>
      </c>
      <c r="H1188" s="168" t="s">
        <v>3033</v>
      </c>
      <c r="I1188"/>
    </row>
    <row r="1189" spans="1:9" s="14" customFormat="1">
      <c r="A1189" s="138"/>
      <c r="B1189" s="49" t="s">
        <v>3185</v>
      </c>
      <c r="C1189" s="53">
        <v>42000</v>
      </c>
      <c r="D1189" s="53"/>
      <c r="E1189" s="8">
        <f t="shared" si="22"/>
        <v>2907654</v>
      </c>
      <c r="F1189" s="80" t="s">
        <v>137</v>
      </c>
      <c r="G1189" s="14" t="s">
        <v>138</v>
      </c>
      <c r="H1189" s="168" t="s">
        <v>3033</v>
      </c>
      <c r="I1189"/>
    </row>
    <row r="1190" spans="1:9" s="14" customFormat="1">
      <c r="A1190" s="138"/>
      <c r="B1190" s="49" t="s">
        <v>4319</v>
      </c>
      <c r="C1190" s="53">
        <v>26000</v>
      </c>
      <c r="D1190" s="53"/>
      <c r="E1190" s="8">
        <f t="shared" si="22"/>
        <v>2881654</v>
      </c>
      <c r="F1190" s="80" t="s">
        <v>137</v>
      </c>
      <c r="G1190" s="14" t="s">
        <v>138</v>
      </c>
      <c r="H1190" s="168" t="s">
        <v>3033</v>
      </c>
      <c r="I1190"/>
    </row>
    <row r="1191" spans="1:9" s="14" customFormat="1">
      <c r="A1191" s="138"/>
      <c r="B1191" s="49" t="s">
        <v>4319</v>
      </c>
      <c r="C1191" s="53">
        <v>26000</v>
      </c>
      <c r="D1191" s="53"/>
      <c r="E1191" s="8">
        <f t="shared" si="22"/>
        <v>2855654</v>
      </c>
      <c r="F1191" s="80" t="s">
        <v>137</v>
      </c>
      <c r="G1191" s="14" t="s">
        <v>138</v>
      </c>
      <c r="H1191" s="168" t="s">
        <v>3033</v>
      </c>
      <c r="I1191"/>
    </row>
    <row r="1192" spans="1:9" s="14" customFormat="1">
      <c r="A1192" s="138"/>
      <c r="B1192" s="49" t="s">
        <v>4319</v>
      </c>
      <c r="C1192" s="53">
        <v>29000</v>
      </c>
      <c r="D1192" s="53"/>
      <c r="E1192" s="8">
        <f t="shared" si="22"/>
        <v>2826654</v>
      </c>
      <c r="F1192" s="80" t="s">
        <v>137</v>
      </c>
      <c r="G1192" s="14" t="s">
        <v>138</v>
      </c>
      <c r="H1192" s="168" t="s">
        <v>3033</v>
      </c>
      <c r="I1192"/>
    </row>
    <row r="1193" spans="1:9" s="14" customFormat="1">
      <c r="A1193" s="138"/>
      <c r="B1193" s="49" t="s">
        <v>4319</v>
      </c>
      <c r="C1193" s="53">
        <v>66942</v>
      </c>
      <c r="D1193" s="53"/>
      <c r="E1193" s="8">
        <f t="shared" si="22"/>
        <v>2759712</v>
      </c>
      <c r="F1193" s="80" t="s">
        <v>137</v>
      </c>
      <c r="G1193" s="14" t="s">
        <v>138</v>
      </c>
      <c r="H1193" s="168" t="s">
        <v>3033</v>
      </c>
      <c r="I1193"/>
    </row>
    <row r="1194" spans="1:9" s="14" customFormat="1">
      <c r="A1194" s="138"/>
      <c r="B1194" s="49" t="s">
        <v>4319</v>
      </c>
      <c r="C1194" s="53">
        <v>118780</v>
      </c>
      <c r="D1194" s="53"/>
      <c r="E1194" s="54">
        <f t="shared" si="22"/>
        <v>2640932</v>
      </c>
      <c r="F1194" s="14" t="s">
        <v>115</v>
      </c>
      <c r="G1194" s="14" t="s">
        <v>120</v>
      </c>
      <c r="H1194" s="14" t="s">
        <v>127</v>
      </c>
      <c r="I1194" s="14" t="s">
        <v>444</v>
      </c>
    </row>
    <row r="1195" spans="1:9" s="14" customFormat="1">
      <c r="A1195" s="138"/>
      <c r="B1195" s="49" t="s">
        <v>4320</v>
      </c>
      <c r="C1195" s="53">
        <v>245826</v>
      </c>
      <c r="D1195" s="53"/>
      <c r="E1195" s="8">
        <f t="shared" si="22"/>
        <v>2395106</v>
      </c>
      <c r="F1195" s="80" t="s">
        <v>319</v>
      </c>
      <c r="G1195" s="14" t="s">
        <v>1045</v>
      </c>
      <c r="H1195" s="14" t="s">
        <v>64</v>
      </c>
      <c r="I1195"/>
    </row>
    <row r="1196" spans="1:9" s="14" customFormat="1">
      <c r="A1196" s="138"/>
      <c r="B1196" s="49" t="s">
        <v>3185</v>
      </c>
      <c r="C1196" s="53">
        <v>908900</v>
      </c>
      <c r="D1196" s="53"/>
      <c r="E1196" s="8">
        <f t="shared" si="22"/>
        <v>1486206</v>
      </c>
      <c r="F1196" s="80" t="s">
        <v>137</v>
      </c>
      <c r="G1196" s="14" t="s">
        <v>138</v>
      </c>
      <c r="H1196" s="168" t="s">
        <v>3033</v>
      </c>
      <c r="I1196"/>
    </row>
    <row r="1197" spans="1:9" s="14" customFormat="1">
      <c r="A1197" s="138"/>
      <c r="B1197" s="49" t="s">
        <v>4316</v>
      </c>
      <c r="C1197" s="53">
        <v>635500</v>
      </c>
      <c r="D1197" s="53"/>
      <c r="E1197" s="54">
        <f t="shared" si="22"/>
        <v>850706</v>
      </c>
      <c r="F1197" s="14" t="s">
        <v>115</v>
      </c>
      <c r="G1197" s="14" t="s">
        <v>120</v>
      </c>
      <c r="H1197" s="14" t="s">
        <v>127</v>
      </c>
      <c r="I1197" s="14" t="s">
        <v>444</v>
      </c>
    </row>
    <row r="1198" spans="1:9" s="14" customFormat="1">
      <c r="A1198" s="138"/>
      <c r="B1198" s="49" t="s">
        <v>3185</v>
      </c>
      <c r="C1198" s="53">
        <v>136300</v>
      </c>
      <c r="D1198" s="53"/>
      <c r="E1198" s="54">
        <f t="shared" si="22"/>
        <v>714406</v>
      </c>
      <c r="F1198" s="14" t="s">
        <v>115</v>
      </c>
      <c r="G1198" s="14" t="s">
        <v>120</v>
      </c>
      <c r="H1198" s="14" t="s">
        <v>127</v>
      </c>
      <c r="I1198" s="14" t="s">
        <v>444</v>
      </c>
    </row>
    <row r="1199" spans="1:9" s="14" customFormat="1">
      <c r="A1199" s="138"/>
      <c r="B1199" s="49" t="s">
        <v>3185</v>
      </c>
      <c r="C1199" s="53">
        <v>148800</v>
      </c>
      <c r="D1199" s="53"/>
      <c r="E1199" s="54">
        <f t="shared" si="22"/>
        <v>565606</v>
      </c>
      <c r="F1199" s="14" t="s">
        <v>115</v>
      </c>
      <c r="G1199" s="14" t="s">
        <v>120</v>
      </c>
      <c r="H1199" s="14" t="s">
        <v>127</v>
      </c>
      <c r="I1199" s="14" t="s">
        <v>444</v>
      </c>
    </row>
    <row r="1200" spans="1:9" s="14" customFormat="1">
      <c r="A1200" s="138"/>
      <c r="B1200" s="49" t="s">
        <v>3185</v>
      </c>
      <c r="C1200" s="53">
        <v>141200</v>
      </c>
      <c r="D1200" s="53"/>
      <c r="E1200" s="54">
        <f t="shared" si="22"/>
        <v>424406</v>
      </c>
      <c r="F1200" s="14" t="s">
        <v>115</v>
      </c>
      <c r="G1200" s="14" t="s">
        <v>120</v>
      </c>
      <c r="H1200" s="14" t="s">
        <v>127</v>
      </c>
      <c r="I1200" s="14" t="s">
        <v>444</v>
      </c>
    </row>
    <row r="1201" spans="1:9" s="14" customFormat="1">
      <c r="A1201" s="138"/>
      <c r="B1201" s="49" t="s">
        <v>3185</v>
      </c>
      <c r="C1201" s="53">
        <v>151700</v>
      </c>
      <c r="D1201" s="53"/>
      <c r="E1201" s="54">
        <f t="shared" si="22"/>
        <v>272706</v>
      </c>
      <c r="F1201" s="14" t="s">
        <v>115</v>
      </c>
      <c r="G1201" s="14" t="s">
        <v>120</v>
      </c>
      <c r="H1201" s="14" t="s">
        <v>127</v>
      </c>
      <c r="I1201" s="14" t="s">
        <v>444</v>
      </c>
    </row>
    <row r="1202" spans="1:9" s="14" customFormat="1">
      <c r="A1202" s="138"/>
      <c r="B1202" s="49" t="s">
        <v>5024</v>
      </c>
      <c r="C1202" s="53">
        <v>104806</v>
      </c>
      <c r="D1202" s="53"/>
      <c r="E1202" s="54">
        <f t="shared" si="22"/>
        <v>167900</v>
      </c>
      <c r="F1202" s="80" t="s">
        <v>110</v>
      </c>
      <c r="G1202" s="14" t="s">
        <v>620</v>
      </c>
      <c r="H1202" s="14" t="s">
        <v>123</v>
      </c>
      <c r="I1202"/>
    </row>
    <row r="1203" spans="1:9" s="14" customFormat="1">
      <c r="A1203" s="138"/>
      <c r="B1203" s="49" t="s">
        <v>5025</v>
      </c>
      <c r="C1203" s="53">
        <v>157900</v>
      </c>
      <c r="D1203" s="53"/>
      <c r="E1203" s="54">
        <f t="shared" si="22"/>
        <v>10000</v>
      </c>
      <c r="F1203" s="80" t="s">
        <v>110</v>
      </c>
      <c r="G1203" s="14" t="s">
        <v>620</v>
      </c>
      <c r="H1203" s="14" t="s">
        <v>123</v>
      </c>
      <c r="I1203"/>
    </row>
    <row r="1204" spans="1:9" s="14" customFormat="1">
      <c r="A1204" s="138"/>
      <c r="B1204" s="49" t="s">
        <v>389</v>
      </c>
      <c r="C1204" s="53">
        <v>10000</v>
      </c>
      <c r="D1204" s="53"/>
      <c r="E1204" s="8">
        <f t="shared" si="22"/>
        <v>0</v>
      </c>
      <c r="F1204" s="80" t="s">
        <v>113</v>
      </c>
      <c r="G1204" s="14" t="s">
        <v>114</v>
      </c>
      <c r="I1204"/>
    </row>
    <row r="1205" spans="1:9" s="14" customFormat="1">
      <c r="A1205" s="3">
        <v>44418</v>
      </c>
      <c r="B1205" t="s">
        <v>2103</v>
      </c>
      <c r="C1205" s="8">
        <v>0</v>
      </c>
      <c r="D1205" s="8">
        <v>1320000</v>
      </c>
      <c r="E1205" s="8">
        <f t="shared" si="22"/>
        <v>1320000</v>
      </c>
      <c r="F1205" t="s">
        <v>581</v>
      </c>
      <c r="G1205" t="s">
        <v>582</v>
      </c>
      <c r="H1205" s="14" t="s">
        <v>2043</v>
      </c>
      <c r="I1205">
        <v>51</v>
      </c>
    </row>
    <row r="1206" spans="1:9" s="14" customFormat="1">
      <c r="A1206" s="138"/>
      <c r="B1206" t="s">
        <v>2103</v>
      </c>
      <c r="C1206" s="8">
        <v>1100000</v>
      </c>
      <c r="D1206" s="53"/>
      <c r="E1206" s="8">
        <f t="shared" si="22"/>
        <v>220000</v>
      </c>
      <c r="F1206" s="83" t="s">
        <v>568</v>
      </c>
      <c r="G1206" s="14" t="s">
        <v>4395</v>
      </c>
      <c r="H1206" s="14" t="s">
        <v>2043</v>
      </c>
      <c r="I1206">
        <v>51</v>
      </c>
    </row>
    <row r="1207" spans="1:9" s="14" customFormat="1">
      <c r="A1207" s="138"/>
      <c r="B1207" t="s">
        <v>2103</v>
      </c>
      <c r="C1207" s="8">
        <v>220000</v>
      </c>
      <c r="D1207" s="53"/>
      <c r="E1207" s="8">
        <f t="shared" si="22"/>
        <v>0</v>
      </c>
      <c r="F1207" s="83" t="s">
        <v>714</v>
      </c>
      <c r="G1207" s="14" t="s">
        <v>715</v>
      </c>
      <c r="H1207" s="14" t="s">
        <v>2043</v>
      </c>
      <c r="I1207">
        <v>51</v>
      </c>
    </row>
    <row r="1208" spans="1:9" s="14" customFormat="1">
      <c r="A1208" s="3">
        <v>44420</v>
      </c>
      <c r="B1208" t="s">
        <v>3063</v>
      </c>
      <c r="C1208" s="54">
        <v>0</v>
      </c>
      <c r="D1208" s="54">
        <v>16363636.344000012</v>
      </c>
      <c r="E1208" s="8">
        <f t="shared" si="22"/>
        <v>16363636.344000012</v>
      </c>
      <c r="F1208" t="s">
        <v>581</v>
      </c>
      <c r="G1208" t="s">
        <v>582</v>
      </c>
      <c r="H1208" s="14" t="s">
        <v>3015</v>
      </c>
      <c r="I1208">
        <v>45</v>
      </c>
    </row>
    <row r="1209" spans="1:9" s="14" customFormat="1">
      <c r="A1209" s="138"/>
      <c r="B1209" t="s">
        <v>3063</v>
      </c>
      <c r="C1209" s="53">
        <v>13636363.619999999</v>
      </c>
      <c r="D1209" s="53"/>
      <c r="E1209" s="8">
        <f t="shared" si="22"/>
        <v>2727272.7240000125</v>
      </c>
      <c r="F1209" s="83" t="s">
        <v>568</v>
      </c>
      <c r="G1209" s="14" t="s">
        <v>4395</v>
      </c>
      <c r="H1209" s="14" t="s">
        <v>3015</v>
      </c>
      <c r="I1209">
        <v>45</v>
      </c>
    </row>
    <row r="1210" spans="1:9" s="14" customFormat="1">
      <c r="A1210" s="138"/>
      <c r="B1210" t="s">
        <v>3063</v>
      </c>
      <c r="C1210" s="53">
        <v>2727272.7240000125</v>
      </c>
      <c r="D1210" s="53"/>
      <c r="E1210" s="8">
        <f t="shared" si="22"/>
        <v>0</v>
      </c>
      <c r="F1210" s="83" t="s">
        <v>714</v>
      </c>
      <c r="G1210" s="14" t="s">
        <v>715</v>
      </c>
      <c r="H1210" s="14" t="s">
        <v>3015</v>
      </c>
      <c r="I1210">
        <v>45</v>
      </c>
    </row>
    <row r="1211" spans="1:9" s="14" customFormat="1">
      <c r="A1211" s="3">
        <v>44421</v>
      </c>
      <c r="B1211" t="s">
        <v>1790</v>
      </c>
      <c r="C1211" s="8">
        <v>0</v>
      </c>
      <c r="D1211" s="8">
        <v>12477840</v>
      </c>
      <c r="E1211" s="8">
        <f t="shared" si="22"/>
        <v>12477840</v>
      </c>
      <c r="F1211" s="84" t="s">
        <v>581</v>
      </c>
      <c r="G1211" t="s">
        <v>582</v>
      </c>
      <c r="H1211" s="14" t="s">
        <v>3033</v>
      </c>
      <c r="I1211">
        <v>34</v>
      </c>
    </row>
    <row r="1212" spans="1:9" s="14" customFormat="1">
      <c r="A1212" s="138"/>
      <c r="B1212" t="s">
        <v>1790</v>
      </c>
      <c r="C1212" s="53">
        <v>10398200</v>
      </c>
      <c r="D1212" s="53"/>
      <c r="E1212" s="8">
        <f t="shared" si="22"/>
        <v>2079640</v>
      </c>
      <c r="F1212" s="83" t="s">
        <v>568</v>
      </c>
      <c r="G1212" s="14" t="s">
        <v>4395</v>
      </c>
      <c r="H1212" s="14" t="s">
        <v>3033</v>
      </c>
      <c r="I1212">
        <v>34</v>
      </c>
    </row>
    <row r="1213" spans="1:9" s="14" customFormat="1">
      <c r="A1213" s="138"/>
      <c r="B1213" t="s">
        <v>1790</v>
      </c>
      <c r="C1213" s="53">
        <v>2079640</v>
      </c>
      <c r="D1213" s="53"/>
      <c r="E1213" s="8">
        <f t="shared" si="22"/>
        <v>0</v>
      </c>
      <c r="F1213" s="83" t="s">
        <v>714</v>
      </c>
      <c r="G1213" s="14" t="s">
        <v>715</v>
      </c>
      <c r="H1213" s="14" t="s">
        <v>3033</v>
      </c>
      <c r="I1213">
        <v>34</v>
      </c>
    </row>
    <row r="1214" spans="1:9" s="14" customFormat="1">
      <c r="A1214" s="138">
        <v>44426</v>
      </c>
      <c r="B1214" s="14" t="s">
        <v>2778</v>
      </c>
      <c r="C1214" s="50">
        <v>0</v>
      </c>
      <c r="D1214" s="50">
        <v>22344512</v>
      </c>
      <c r="E1214" s="8">
        <f t="shared" si="22"/>
        <v>22344512</v>
      </c>
      <c r="F1214" s="14" t="s">
        <v>107</v>
      </c>
      <c r="G1214" s="14" t="s">
        <v>274</v>
      </c>
      <c r="H1214" s="14" t="s">
        <v>143</v>
      </c>
    </row>
    <row r="1215" spans="1:9" s="14" customFormat="1">
      <c r="A1215" s="138"/>
      <c r="B1215" s="14" t="s">
        <v>3216</v>
      </c>
      <c r="C1215" s="50">
        <v>24000</v>
      </c>
      <c r="D1215" s="50"/>
      <c r="E1215" s="8">
        <f t="shared" si="22"/>
        <v>22320512</v>
      </c>
      <c r="F1215" s="14" t="s">
        <v>137</v>
      </c>
      <c r="G1215" s="14" t="s">
        <v>138</v>
      </c>
      <c r="H1215" s="168" t="s">
        <v>3033</v>
      </c>
    </row>
    <row r="1216" spans="1:9" s="14" customFormat="1">
      <c r="A1216" s="138"/>
      <c r="B1216" s="14" t="s">
        <v>3216</v>
      </c>
      <c r="C1216" s="50">
        <v>3500</v>
      </c>
      <c r="D1216" s="50"/>
      <c r="E1216" s="8">
        <f t="shared" si="22"/>
        <v>22317012</v>
      </c>
      <c r="F1216" s="14" t="s">
        <v>137</v>
      </c>
      <c r="G1216" s="14" t="s">
        <v>138</v>
      </c>
      <c r="H1216" s="168" t="s">
        <v>3033</v>
      </c>
    </row>
    <row r="1217" spans="1:9" s="14" customFormat="1">
      <c r="A1217" s="138"/>
      <c r="B1217" s="14" t="s">
        <v>3216</v>
      </c>
      <c r="C1217" s="50">
        <v>3500</v>
      </c>
      <c r="D1217" s="50"/>
      <c r="E1217" s="8">
        <f t="shared" si="22"/>
        <v>22313512</v>
      </c>
      <c r="F1217" s="14" t="s">
        <v>137</v>
      </c>
      <c r="G1217" s="14" t="s">
        <v>138</v>
      </c>
      <c r="H1217" s="168" t="s">
        <v>3033</v>
      </c>
    </row>
    <row r="1218" spans="1:9" s="14" customFormat="1">
      <c r="A1218" s="138"/>
      <c r="B1218" s="14" t="s">
        <v>3216</v>
      </c>
      <c r="C1218" s="50">
        <v>5000</v>
      </c>
      <c r="D1218" s="50"/>
      <c r="E1218" s="8">
        <f t="shared" si="22"/>
        <v>22308512</v>
      </c>
      <c r="F1218" s="14" t="s">
        <v>137</v>
      </c>
      <c r="G1218" s="14" t="s">
        <v>138</v>
      </c>
      <c r="H1218" s="168" t="s">
        <v>3033</v>
      </c>
    </row>
    <row r="1219" spans="1:9" s="14" customFormat="1">
      <c r="A1219" s="138"/>
      <c r="B1219" s="14" t="s">
        <v>3216</v>
      </c>
      <c r="C1219" s="50">
        <v>5000</v>
      </c>
      <c r="D1219" s="50"/>
      <c r="E1219" s="8">
        <f t="shared" si="22"/>
        <v>22303512</v>
      </c>
      <c r="F1219" s="14" t="s">
        <v>137</v>
      </c>
      <c r="G1219" s="14" t="s">
        <v>138</v>
      </c>
      <c r="H1219" s="168" t="s">
        <v>3033</v>
      </c>
    </row>
    <row r="1220" spans="1:9" s="14" customFormat="1">
      <c r="A1220" s="138"/>
      <c r="B1220" s="14" t="s">
        <v>3216</v>
      </c>
      <c r="C1220" s="50">
        <v>3500</v>
      </c>
      <c r="D1220" s="50"/>
      <c r="E1220" s="8">
        <f t="shared" si="22"/>
        <v>22300012</v>
      </c>
      <c r="F1220" s="14" t="s">
        <v>137</v>
      </c>
      <c r="G1220" s="14" t="s">
        <v>138</v>
      </c>
      <c r="H1220" s="168" t="s">
        <v>3033</v>
      </c>
    </row>
    <row r="1221" spans="1:9" s="14" customFormat="1">
      <c r="A1221" s="138"/>
      <c r="B1221" s="14" t="s">
        <v>3216</v>
      </c>
      <c r="C1221" s="50">
        <v>5000</v>
      </c>
      <c r="D1221" s="50"/>
      <c r="E1221" s="8">
        <f t="shared" si="22"/>
        <v>22295012</v>
      </c>
      <c r="F1221" s="14" t="s">
        <v>137</v>
      </c>
      <c r="G1221" s="14" t="s">
        <v>138</v>
      </c>
      <c r="H1221" s="168" t="s">
        <v>3033</v>
      </c>
    </row>
    <row r="1222" spans="1:9" s="14" customFormat="1">
      <c r="A1222" s="138"/>
      <c r="B1222" s="14" t="s">
        <v>3215</v>
      </c>
      <c r="C1222" s="50">
        <v>203000</v>
      </c>
      <c r="D1222" s="50"/>
      <c r="E1222" s="8">
        <f t="shared" si="22"/>
        <v>22092012</v>
      </c>
      <c r="F1222" s="14" t="s">
        <v>137</v>
      </c>
      <c r="G1222" s="14" t="s">
        <v>138</v>
      </c>
      <c r="H1222" s="168" t="s">
        <v>3033</v>
      </c>
    </row>
    <row r="1223" spans="1:9" s="14" customFormat="1">
      <c r="A1223" s="138"/>
      <c r="B1223" s="14" t="s">
        <v>3215</v>
      </c>
      <c r="C1223" s="50">
        <v>211000</v>
      </c>
      <c r="D1223" s="50"/>
      <c r="E1223" s="8">
        <f t="shared" si="22"/>
        <v>21881012</v>
      </c>
      <c r="F1223" s="14" t="s">
        <v>137</v>
      </c>
      <c r="G1223" s="14" t="s">
        <v>138</v>
      </c>
      <c r="H1223" s="168" t="s">
        <v>3033</v>
      </c>
    </row>
    <row r="1224" spans="1:9" s="14" customFormat="1">
      <c r="A1224" s="138"/>
      <c r="B1224" s="14" t="s">
        <v>3215</v>
      </c>
      <c r="C1224" s="50">
        <v>157500</v>
      </c>
      <c r="D1224" s="50"/>
      <c r="E1224" s="8">
        <f t="shared" si="22"/>
        <v>21723512</v>
      </c>
      <c r="F1224" s="14" t="s">
        <v>137</v>
      </c>
      <c r="G1224" s="14" t="s">
        <v>138</v>
      </c>
      <c r="H1224" s="168" t="s">
        <v>3033</v>
      </c>
    </row>
    <row r="1225" spans="1:9" s="14" customFormat="1">
      <c r="A1225" s="138"/>
      <c r="B1225" s="14" t="s">
        <v>3215</v>
      </c>
      <c r="C1225" s="50">
        <v>152000</v>
      </c>
      <c r="D1225" s="50"/>
      <c r="E1225" s="8">
        <f t="shared" ref="E1225:E1226" si="23">E1224-C1225+D1225</f>
        <v>21571512</v>
      </c>
      <c r="F1225" s="14" t="s">
        <v>137</v>
      </c>
      <c r="G1225" s="14" t="s">
        <v>138</v>
      </c>
      <c r="H1225" s="168" t="s">
        <v>3033</v>
      </c>
    </row>
    <row r="1226" spans="1:9" s="14" customFormat="1">
      <c r="A1226" s="138"/>
      <c r="B1226" s="14" t="s">
        <v>902</v>
      </c>
      <c r="C1226" s="53">
        <v>330500</v>
      </c>
      <c r="D1226" s="53"/>
      <c r="E1226" s="54">
        <f t="shared" si="23"/>
        <v>21241012</v>
      </c>
      <c r="F1226" s="14" t="s">
        <v>115</v>
      </c>
      <c r="G1226" s="14" t="s">
        <v>120</v>
      </c>
      <c r="H1226" s="14" t="s">
        <v>127</v>
      </c>
      <c r="I1226" s="14" t="s">
        <v>444</v>
      </c>
    </row>
    <row r="1227" spans="1:9" s="14" customFormat="1">
      <c r="A1227" s="138"/>
      <c r="B1227" s="14" t="s">
        <v>902</v>
      </c>
      <c r="C1227" s="53">
        <v>310500</v>
      </c>
      <c r="D1227" s="53"/>
      <c r="E1227" s="54">
        <f t="shared" ref="E1227:E1300" si="24">E1226-C1227+D1227</f>
        <v>20930512</v>
      </c>
      <c r="F1227" s="14" t="s">
        <v>115</v>
      </c>
      <c r="G1227" s="14" t="s">
        <v>120</v>
      </c>
      <c r="H1227" s="14" t="s">
        <v>127</v>
      </c>
      <c r="I1227" s="14" t="s">
        <v>444</v>
      </c>
    </row>
    <row r="1228" spans="1:9" s="14" customFormat="1">
      <c r="A1228" s="138"/>
      <c r="B1228" s="14" t="s">
        <v>1052</v>
      </c>
      <c r="C1228" s="50">
        <v>5000</v>
      </c>
      <c r="D1228" s="50"/>
      <c r="E1228" s="8">
        <f t="shared" si="24"/>
        <v>20925512</v>
      </c>
      <c r="F1228" s="14" t="s">
        <v>113</v>
      </c>
      <c r="G1228" s="14" t="s">
        <v>114</v>
      </c>
      <c r="H1228" s="14" t="s">
        <v>64</v>
      </c>
    </row>
    <row r="1229" spans="1:9" s="14" customFormat="1">
      <c r="A1229" s="138"/>
      <c r="B1229" s="14" t="s">
        <v>902</v>
      </c>
      <c r="C1229" s="50">
        <v>329500</v>
      </c>
      <c r="D1229" s="50"/>
      <c r="E1229" s="8">
        <f t="shared" si="24"/>
        <v>20596012</v>
      </c>
      <c r="F1229" s="14" t="s">
        <v>107</v>
      </c>
      <c r="G1229" s="14" t="s">
        <v>3102</v>
      </c>
    </row>
    <row r="1230" spans="1:9">
      <c r="B1230" t="s">
        <v>3216</v>
      </c>
      <c r="C1230" s="8">
        <v>10000</v>
      </c>
      <c r="E1230" s="8">
        <f t="shared" si="24"/>
        <v>20586012</v>
      </c>
      <c r="F1230" s="14" t="s">
        <v>137</v>
      </c>
      <c r="G1230" s="14" t="s">
        <v>138</v>
      </c>
      <c r="H1230" s="168" t="s">
        <v>3033</v>
      </c>
    </row>
    <row r="1231" spans="1:9">
      <c r="B1231" t="s">
        <v>3216</v>
      </c>
      <c r="C1231" s="8">
        <v>10000</v>
      </c>
      <c r="E1231" s="8">
        <f t="shared" si="24"/>
        <v>20576012</v>
      </c>
      <c r="F1231" s="14" t="s">
        <v>137</v>
      </c>
      <c r="G1231" s="14" t="s">
        <v>138</v>
      </c>
      <c r="H1231" s="168" t="s">
        <v>3033</v>
      </c>
    </row>
    <row r="1232" spans="1:9">
      <c r="B1232" t="s">
        <v>3216</v>
      </c>
      <c r="C1232" s="8">
        <v>10000</v>
      </c>
      <c r="E1232" s="8">
        <f t="shared" si="24"/>
        <v>20566012</v>
      </c>
      <c r="F1232" s="14" t="s">
        <v>137</v>
      </c>
      <c r="G1232" s="14" t="s">
        <v>138</v>
      </c>
      <c r="H1232" s="168" t="s">
        <v>3033</v>
      </c>
    </row>
    <row r="1233" spans="2:9">
      <c r="B1233" t="s">
        <v>3216</v>
      </c>
      <c r="C1233" s="8">
        <v>5000</v>
      </c>
      <c r="E1233" s="8">
        <f t="shared" si="24"/>
        <v>20561012</v>
      </c>
      <c r="F1233" s="14" t="s">
        <v>137</v>
      </c>
      <c r="G1233" s="14" t="s">
        <v>138</v>
      </c>
      <c r="H1233" s="168" t="s">
        <v>3033</v>
      </c>
    </row>
    <row r="1234" spans="2:9">
      <c r="B1234" t="s">
        <v>3215</v>
      </c>
      <c r="C1234" s="8">
        <v>21000</v>
      </c>
      <c r="E1234" s="8">
        <f t="shared" si="24"/>
        <v>20540012</v>
      </c>
      <c r="F1234" s="14" t="s">
        <v>137</v>
      </c>
      <c r="G1234" s="14" t="s">
        <v>138</v>
      </c>
      <c r="H1234" s="168" t="s">
        <v>3033</v>
      </c>
    </row>
    <row r="1235" spans="2:9">
      <c r="B1235" t="s">
        <v>3215</v>
      </c>
      <c r="C1235" s="8">
        <v>24000</v>
      </c>
      <c r="E1235" s="8">
        <f t="shared" si="24"/>
        <v>20516012</v>
      </c>
      <c r="F1235" s="14" t="s">
        <v>137</v>
      </c>
      <c r="G1235" s="14" t="s">
        <v>138</v>
      </c>
      <c r="H1235" s="168" t="s">
        <v>3033</v>
      </c>
    </row>
    <row r="1236" spans="2:9">
      <c r="B1236" t="s">
        <v>3215</v>
      </c>
      <c r="C1236" s="8">
        <v>24000</v>
      </c>
      <c r="E1236" s="8">
        <f t="shared" si="24"/>
        <v>20492012</v>
      </c>
      <c r="F1236" s="14" t="s">
        <v>137</v>
      </c>
      <c r="G1236" s="14" t="s">
        <v>138</v>
      </c>
      <c r="H1236" s="168" t="s">
        <v>3033</v>
      </c>
    </row>
    <row r="1237" spans="2:9">
      <c r="B1237" t="s">
        <v>3215</v>
      </c>
      <c r="C1237" s="8">
        <v>24000</v>
      </c>
      <c r="E1237" s="8">
        <f t="shared" si="24"/>
        <v>20468012</v>
      </c>
      <c r="F1237" s="14" t="s">
        <v>137</v>
      </c>
      <c r="G1237" s="14" t="s">
        <v>138</v>
      </c>
      <c r="H1237" s="168" t="s">
        <v>3033</v>
      </c>
    </row>
    <row r="1238" spans="2:9">
      <c r="B1238" t="s">
        <v>3215</v>
      </c>
      <c r="C1238" s="8">
        <v>24000</v>
      </c>
      <c r="E1238" s="8">
        <f t="shared" si="24"/>
        <v>20444012</v>
      </c>
      <c r="F1238" s="14" t="s">
        <v>137</v>
      </c>
      <c r="G1238" s="14" t="s">
        <v>138</v>
      </c>
      <c r="H1238" s="168" t="s">
        <v>3033</v>
      </c>
    </row>
    <row r="1239" spans="2:9">
      <c r="B1239" t="s">
        <v>3215</v>
      </c>
      <c r="C1239" s="8">
        <v>24000</v>
      </c>
      <c r="E1239" s="8">
        <f t="shared" si="24"/>
        <v>20420012</v>
      </c>
      <c r="F1239" s="14" t="s">
        <v>137</v>
      </c>
      <c r="G1239" s="14" t="s">
        <v>138</v>
      </c>
      <c r="H1239" s="168" t="s">
        <v>3033</v>
      </c>
    </row>
    <row r="1240" spans="2:9">
      <c r="B1240" t="s">
        <v>3215</v>
      </c>
      <c r="C1240" s="8">
        <v>24000</v>
      </c>
      <c r="E1240" s="8">
        <f t="shared" si="24"/>
        <v>20396012</v>
      </c>
      <c r="F1240" s="14" t="s">
        <v>137</v>
      </c>
      <c r="G1240" s="14" t="s">
        <v>138</v>
      </c>
      <c r="H1240" s="168" t="s">
        <v>3033</v>
      </c>
    </row>
    <row r="1241" spans="2:9">
      <c r="B1241" t="s">
        <v>3232</v>
      </c>
      <c r="C1241" s="8">
        <v>1805300</v>
      </c>
      <c r="E1241" s="8">
        <f t="shared" si="24"/>
        <v>18590712</v>
      </c>
      <c r="F1241" s="14" t="s">
        <v>137</v>
      </c>
      <c r="G1241" s="14" t="s">
        <v>138</v>
      </c>
      <c r="H1241" s="168" t="s">
        <v>3033</v>
      </c>
    </row>
    <row r="1242" spans="2:9">
      <c r="B1242" t="s">
        <v>902</v>
      </c>
      <c r="C1242" s="8">
        <v>0</v>
      </c>
      <c r="D1242" s="8">
        <v>329500</v>
      </c>
      <c r="E1242" s="8">
        <f t="shared" si="24"/>
        <v>18920212</v>
      </c>
      <c r="F1242" s="14" t="s">
        <v>107</v>
      </c>
      <c r="G1242" s="14" t="s">
        <v>3102</v>
      </c>
    </row>
    <row r="1243" spans="2:9">
      <c r="B1243" t="s">
        <v>3215</v>
      </c>
      <c r="C1243" s="8">
        <v>94000</v>
      </c>
      <c r="E1243" s="8">
        <f t="shared" si="24"/>
        <v>18826212</v>
      </c>
      <c r="F1243" s="14" t="s">
        <v>137</v>
      </c>
      <c r="G1243" s="14" t="s">
        <v>138</v>
      </c>
      <c r="H1243" s="168" t="s">
        <v>3033</v>
      </c>
    </row>
    <row r="1244" spans="2:9">
      <c r="B1244" t="s">
        <v>3216</v>
      </c>
      <c r="C1244" s="54">
        <v>35000</v>
      </c>
      <c r="D1244" s="54"/>
      <c r="E1244" s="54">
        <f t="shared" si="24"/>
        <v>18791212</v>
      </c>
      <c r="F1244" s="14" t="s">
        <v>115</v>
      </c>
      <c r="G1244" s="14" t="s">
        <v>120</v>
      </c>
      <c r="H1244" s="14" t="s">
        <v>127</v>
      </c>
      <c r="I1244" s="14" t="s">
        <v>444</v>
      </c>
    </row>
    <row r="1245" spans="2:9">
      <c r="B1245" t="s">
        <v>3180</v>
      </c>
      <c r="C1245" s="54">
        <v>369447</v>
      </c>
      <c r="D1245" s="54"/>
      <c r="E1245" s="54">
        <f t="shared" si="24"/>
        <v>18421765</v>
      </c>
      <c r="F1245" s="14" t="s">
        <v>115</v>
      </c>
      <c r="G1245" s="14" t="s">
        <v>120</v>
      </c>
      <c r="H1245" s="14" t="s">
        <v>127</v>
      </c>
      <c r="I1245" s="14" t="s">
        <v>444</v>
      </c>
    </row>
    <row r="1246" spans="2:9">
      <c r="B1246" t="s">
        <v>3216</v>
      </c>
      <c r="C1246" s="54">
        <v>3500</v>
      </c>
      <c r="D1246" s="54"/>
      <c r="E1246" s="54">
        <f t="shared" si="24"/>
        <v>18418265</v>
      </c>
      <c r="F1246" s="14" t="s">
        <v>115</v>
      </c>
      <c r="G1246" s="14" t="s">
        <v>120</v>
      </c>
      <c r="H1246" s="14" t="s">
        <v>127</v>
      </c>
      <c r="I1246" s="14" t="s">
        <v>444</v>
      </c>
    </row>
    <row r="1247" spans="2:9">
      <c r="B1247" t="s">
        <v>3216</v>
      </c>
      <c r="C1247" s="54">
        <v>3500</v>
      </c>
      <c r="D1247" s="54"/>
      <c r="E1247" s="54">
        <f t="shared" si="24"/>
        <v>18414765</v>
      </c>
      <c r="F1247" s="14" t="s">
        <v>115</v>
      </c>
      <c r="G1247" s="14" t="s">
        <v>120</v>
      </c>
      <c r="H1247" s="14" t="s">
        <v>127</v>
      </c>
      <c r="I1247" s="14" t="s">
        <v>444</v>
      </c>
    </row>
    <row r="1248" spans="2:9">
      <c r="B1248" t="s">
        <v>3216</v>
      </c>
      <c r="C1248" s="54">
        <v>3500</v>
      </c>
      <c r="D1248" s="54"/>
      <c r="E1248" s="54">
        <f t="shared" si="24"/>
        <v>18411265</v>
      </c>
      <c r="F1248" s="14" t="s">
        <v>115</v>
      </c>
      <c r="G1248" s="14" t="s">
        <v>120</v>
      </c>
      <c r="H1248" s="14" t="s">
        <v>127</v>
      </c>
      <c r="I1248" s="14" t="s">
        <v>444</v>
      </c>
    </row>
    <row r="1249" spans="2:9">
      <c r="B1249" t="s">
        <v>3216</v>
      </c>
      <c r="C1249" s="54">
        <v>5000</v>
      </c>
      <c r="D1249" s="54"/>
      <c r="E1249" s="54">
        <f t="shared" si="24"/>
        <v>18406265</v>
      </c>
      <c r="F1249" s="14" t="s">
        <v>115</v>
      </c>
      <c r="G1249" s="14" t="s">
        <v>120</v>
      </c>
      <c r="H1249" s="14" t="s">
        <v>127</v>
      </c>
      <c r="I1249" s="14" t="s">
        <v>444</v>
      </c>
    </row>
    <row r="1250" spans="2:9">
      <c r="B1250" t="s">
        <v>3216</v>
      </c>
      <c r="C1250" s="54">
        <v>3500</v>
      </c>
      <c r="D1250" s="54"/>
      <c r="E1250" s="54">
        <f t="shared" si="24"/>
        <v>18402765</v>
      </c>
      <c r="F1250" s="14" t="s">
        <v>115</v>
      </c>
      <c r="G1250" s="14" t="s">
        <v>120</v>
      </c>
      <c r="H1250" s="14" t="s">
        <v>127</v>
      </c>
      <c r="I1250" s="14" t="s">
        <v>444</v>
      </c>
    </row>
    <row r="1251" spans="2:9">
      <c r="B1251" t="s">
        <v>3216</v>
      </c>
      <c r="C1251" s="54">
        <v>3500</v>
      </c>
      <c r="D1251" s="54"/>
      <c r="E1251" s="54">
        <f t="shared" si="24"/>
        <v>18399265</v>
      </c>
      <c r="F1251" s="14" t="s">
        <v>115</v>
      </c>
      <c r="G1251" s="14" t="s">
        <v>120</v>
      </c>
      <c r="H1251" s="14" t="s">
        <v>127</v>
      </c>
      <c r="I1251" s="14" t="s">
        <v>444</v>
      </c>
    </row>
    <row r="1252" spans="2:9">
      <c r="B1252" t="s">
        <v>3216</v>
      </c>
      <c r="C1252" s="54">
        <v>5000</v>
      </c>
      <c r="D1252" s="54"/>
      <c r="E1252" s="54">
        <f t="shared" si="24"/>
        <v>18394265</v>
      </c>
      <c r="F1252" s="14" t="s">
        <v>115</v>
      </c>
      <c r="G1252" s="14" t="s">
        <v>120</v>
      </c>
      <c r="H1252" s="14" t="s">
        <v>127</v>
      </c>
      <c r="I1252" s="14" t="s">
        <v>444</v>
      </c>
    </row>
    <row r="1253" spans="2:9">
      <c r="B1253" t="s">
        <v>3216</v>
      </c>
      <c r="C1253" s="54">
        <v>3500</v>
      </c>
      <c r="D1253" s="54"/>
      <c r="E1253" s="54">
        <f t="shared" si="24"/>
        <v>18390765</v>
      </c>
      <c r="F1253" s="14" t="s">
        <v>115</v>
      </c>
      <c r="G1253" s="14" t="s">
        <v>120</v>
      </c>
      <c r="H1253" s="14" t="s">
        <v>127</v>
      </c>
      <c r="I1253" s="14" t="s">
        <v>444</v>
      </c>
    </row>
    <row r="1254" spans="2:9">
      <c r="B1254" t="s">
        <v>3215</v>
      </c>
      <c r="C1254" s="54">
        <v>158099</v>
      </c>
      <c r="D1254" s="54"/>
      <c r="E1254" s="54">
        <f t="shared" si="24"/>
        <v>18232666</v>
      </c>
      <c r="F1254" s="14" t="s">
        <v>115</v>
      </c>
      <c r="G1254" s="14" t="s">
        <v>120</v>
      </c>
      <c r="H1254" s="14" t="s">
        <v>127</v>
      </c>
      <c r="I1254" s="14" t="s">
        <v>444</v>
      </c>
    </row>
    <row r="1255" spans="2:9">
      <c r="B1255" t="s">
        <v>3215</v>
      </c>
      <c r="C1255" s="54">
        <v>133899</v>
      </c>
      <c r="D1255" s="54"/>
      <c r="E1255" s="54">
        <f t="shared" si="24"/>
        <v>18098767</v>
      </c>
      <c r="F1255" s="14" t="s">
        <v>115</v>
      </c>
      <c r="G1255" s="14" t="s">
        <v>120</v>
      </c>
      <c r="H1255" s="14" t="s">
        <v>127</v>
      </c>
      <c r="I1255" s="14" t="s">
        <v>444</v>
      </c>
    </row>
    <row r="1256" spans="2:9">
      <c r="B1256" t="s">
        <v>3215</v>
      </c>
      <c r="C1256" s="54">
        <v>162499</v>
      </c>
      <c r="D1256" s="54"/>
      <c r="E1256" s="54">
        <f t="shared" si="24"/>
        <v>17936268</v>
      </c>
      <c r="F1256" s="14" t="s">
        <v>115</v>
      </c>
      <c r="G1256" s="14" t="s">
        <v>120</v>
      </c>
      <c r="H1256" s="14" t="s">
        <v>127</v>
      </c>
      <c r="I1256" s="14" t="s">
        <v>444</v>
      </c>
    </row>
    <row r="1257" spans="2:9">
      <c r="B1257" t="s">
        <v>3215</v>
      </c>
      <c r="C1257" s="54">
        <v>157699</v>
      </c>
      <c r="D1257" s="54"/>
      <c r="E1257" s="54">
        <f t="shared" si="24"/>
        <v>17778569</v>
      </c>
      <c r="F1257" s="14" t="s">
        <v>115</v>
      </c>
      <c r="G1257" s="14" t="s">
        <v>120</v>
      </c>
      <c r="H1257" s="14" t="s">
        <v>127</v>
      </c>
      <c r="I1257" s="14" t="s">
        <v>444</v>
      </c>
    </row>
    <row r="1258" spans="2:9">
      <c r="B1258" t="s">
        <v>3215</v>
      </c>
      <c r="C1258" s="54">
        <v>142000</v>
      </c>
      <c r="D1258" s="54"/>
      <c r="E1258" s="54">
        <f t="shared" si="24"/>
        <v>17636569</v>
      </c>
      <c r="F1258" s="14" t="s">
        <v>115</v>
      </c>
      <c r="G1258" s="14" t="s">
        <v>120</v>
      </c>
      <c r="H1258" s="14" t="s">
        <v>127</v>
      </c>
      <c r="I1258" s="14" t="s">
        <v>444</v>
      </c>
    </row>
    <row r="1259" spans="2:9">
      <c r="B1259" t="s">
        <v>3215</v>
      </c>
      <c r="C1259" s="54">
        <v>186699</v>
      </c>
      <c r="D1259" s="54"/>
      <c r="E1259" s="54">
        <f t="shared" si="24"/>
        <v>17449870</v>
      </c>
      <c r="F1259" s="14" t="s">
        <v>115</v>
      </c>
      <c r="G1259" s="14" t="s">
        <v>120</v>
      </c>
      <c r="H1259" s="14" t="s">
        <v>127</v>
      </c>
      <c r="I1259" s="14" t="s">
        <v>444</v>
      </c>
    </row>
    <row r="1260" spans="2:9">
      <c r="B1260" t="s">
        <v>3215</v>
      </c>
      <c r="C1260" s="54">
        <v>97000</v>
      </c>
      <c r="D1260" s="54"/>
      <c r="E1260" s="54">
        <f t="shared" si="24"/>
        <v>17352870</v>
      </c>
      <c r="F1260" s="14" t="s">
        <v>115</v>
      </c>
      <c r="G1260" s="14" t="s">
        <v>120</v>
      </c>
      <c r="H1260" s="14" t="s">
        <v>127</v>
      </c>
      <c r="I1260" s="14" t="s">
        <v>444</v>
      </c>
    </row>
    <row r="1261" spans="2:9">
      <c r="B1261" t="s">
        <v>3215</v>
      </c>
      <c r="C1261" s="54">
        <v>158003</v>
      </c>
      <c r="D1261" s="54"/>
      <c r="E1261" s="54">
        <f t="shared" si="24"/>
        <v>17194867</v>
      </c>
      <c r="F1261" s="14" t="s">
        <v>115</v>
      </c>
      <c r="G1261" s="14" t="s">
        <v>120</v>
      </c>
      <c r="H1261" s="14" t="s">
        <v>127</v>
      </c>
      <c r="I1261" s="14" t="s">
        <v>444</v>
      </c>
    </row>
    <row r="1262" spans="2:9">
      <c r="B1262" t="s">
        <v>3216</v>
      </c>
      <c r="C1262" s="54">
        <v>55999</v>
      </c>
      <c r="D1262" s="54"/>
      <c r="E1262" s="54">
        <f t="shared" si="24"/>
        <v>17138868</v>
      </c>
      <c r="F1262" s="14" t="s">
        <v>115</v>
      </c>
      <c r="G1262" s="14" t="s">
        <v>120</v>
      </c>
      <c r="H1262" s="14" t="s">
        <v>127</v>
      </c>
      <c r="I1262" s="14" t="s">
        <v>444</v>
      </c>
    </row>
    <row r="1263" spans="2:9">
      <c r="B1263" t="s">
        <v>3216</v>
      </c>
      <c r="C1263" s="54">
        <v>159999</v>
      </c>
      <c r="D1263" s="54"/>
      <c r="E1263" s="54">
        <f t="shared" si="24"/>
        <v>16978869</v>
      </c>
      <c r="F1263" s="14" t="s">
        <v>115</v>
      </c>
      <c r="G1263" s="14" t="s">
        <v>120</v>
      </c>
      <c r="H1263" s="14" t="s">
        <v>127</v>
      </c>
      <c r="I1263" s="14" t="s">
        <v>444</v>
      </c>
    </row>
    <row r="1264" spans="2:9">
      <c r="B1264" t="s">
        <v>3233</v>
      </c>
      <c r="C1264" s="54">
        <v>1749750</v>
      </c>
      <c r="D1264" s="54"/>
      <c r="E1264" s="54">
        <f t="shared" si="24"/>
        <v>15229119</v>
      </c>
      <c r="F1264" s="14" t="s">
        <v>115</v>
      </c>
      <c r="G1264" s="14" t="s">
        <v>440</v>
      </c>
      <c r="H1264" s="168" t="s">
        <v>4490</v>
      </c>
    </row>
    <row r="1265" spans="1:9">
      <c r="B1265" t="s">
        <v>3234</v>
      </c>
      <c r="C1265" s="8">
        <v>100000</v>
      </c>
      <c r="E1265" s="8">
        <f t="shared" si="24"/>
        <v>15129119</v>
      </c>
      <c r="F1265" s="14" t="s">
        <v>113</v>
      </c>
      <c r="G1265" s="14" t="s">
        <v>478</v>
      </c>
      <c r="H1265" t="s">
        <v>64</v>
      </c>
    </row>
    <row r="1266" spans="1:9">
      <c r="B1266" t="s">
        <v>3210</v>
      </c>
      <c r="C1266" s="8">
        <v>1270537</v>
      </c>
      <c r="E1266" s="8">
        <f t="shared" si="24"/>
        <v>13858582</v>
      </c>
      <c r="F1266" s="14" t="s">
        <v>113</v>
      </c>
      <c r="G1266" s="14" t="s">
        <v>478</v>
      </c>
      <c r="H1266" t="s">
        <v>64</v>
      </c>
    </row>
    <row r="1267" spans="1:9">
      <c r="B1267" t="s">
        <v>3235</v>
      </c>
      <c r="C1267" s="8">
        <v>10000</v>
      </c>
      <c r="E1267" s="8">
        <f t="shared" si="24"/>
        <v>13848582</v>
      </c>
      <c r="F1267" s="14" t="s">
        <v>113</v>
      </c>
      <c r="G1267" s="14" t="s">
        <v>114</v>
      </c>
      <c r="H1267" t="s">
        <v>64</v>
      </c>
    </row>
    <row r="1268" spans="1:9">
      <c r="B1268" t="s">
        <v>3236</v>
      </c>
      <c r="C1268" s="8">
        <v>840000</v>
      </c>
      <c r="E1268" s="8">
        <f t="shared" si="24"/>
        <v>13008582</v>
      </c>
      <c r="F1268" s="14" t="s">
        <v>248</v>
      </c>
      <c r="G1268" s="14" t="s">
        <v>391</v>
      </c>
      <c r="H1268" t="s">
        <v>64</v>
      </c>
    </row>
    <row r="1269" spans="1:9">
      <c r="B1269" t="s">
        <v>3236</v>
      </c>
      <c r="C1269" s="8">
        <v>420000</v>
      </c>
      <c r="E1269" s="8">
        <f t="shared" si="24"/>
        <v>12588582</v>
      </c>
      <c r="F1269" s="14" t="s">
        <v>248</v>
      </c>
      <c r="G1269" s="14" t="s">
        <v>391</v>
      </c>
      <c r="H1269" t="s">
        <v>64</v>
      </c>
    </row>
    <row r="1270" spans="1:9">
      <c r="B1270" t="s">
        <v>3237</v>
      </c>
      <c r="C1270" s="8">
        <v>350000</v>
      </c>
      <c r="E1270" s="8">
        <f t="shared" si="24"/>
        <v>12238582</v>
      </c>
      <c r="F1270" s="14" t="s">
        <v>248</v>
      </c>
      <c r="G1270" s="14" t="s">
        <v>391</v>
      </c>
      <c r="H1270" t="s">
        <v>64</v>
      </c>
    </row>
    <row r="1271" spans="1:9">
      <c r="B1271" t="s">
        <v>1052</v>
      </c>
      <c r="C1271" s="8">
        <v>5000</v>
      </c>
      <c r="E1271" s="8">
        <f t="shared" si="24"/>
        <v>12233582</v>
      </c>
      <c r="F1271" s="14" t="s">
        <v>113</v>
      </c>
      <c r="G1271" s="14" t="s">
        <v>114</v>
      </c>
      <c r="H1271" t="s">
        <v>64</v>
      </c>
    </row>
    <row r="1272" spans="1:9">
      <c r="B1272" t="s">
        <v>897</v>
      </c>
      <c r="C1272" s="8">
        <v>480582</v>
      </c>
      <c r="E1272" s="8">
        <f t="shared" si="24"/>
        <v>11753000</v>
      </c>
      <c r="F1272" s="14" t="s">
        <v>319</v>
      </c>
      <c r="G1272" s="14" t="s">
        <v>117</v>
      </c>
      <c r="H1272" t="s">
        <v>64</v>
      </c>
    </row>
    <row r="1273" spans="1:9">
      <c r="B1273" t="s">
        <v>3144</v>
      </c>
      <c r="C1273" s="8">
        <v>578000</v>
      </c>
      <c r="E1273" s="8">
        <f t="shared" si="24"/>
        <v>11175000</v>
      </c>
      <c r="F1273" s="14" t="s">
        <v>248</v>
      </c>
      <c r="G1273" s="14" t="s">
        <v>391</v>
      </c>
      <c r="H1273" t="s">
        <v>64</v>
      </c>
    </row>
    <row r="1274" spans="1:9">
      <c r="B1274" t="s">
        <v>3238</v>
      </c>
      <c r="C1274" s="8">
        <v>691200</v>
      </c>
      <c r="E1274" s="8">
        <f t="shared" si="24"/>
        <v>10483800</v>
      </c>
      <c r="F1274" s="14" t="s">
        <v>248</v>
      </c>
      <c r="G1274" s="14" t="s">
        <v>391</v>
      </c>
      <c r="H1274" t="s">
        <v>64</v>
      </c>
    </row>
    <row r="1275" spans="1:9">
      <c r="B1275" t="s">
        <v>3239</v>
      </c>
      <c r="C1275" s="8">
        <v>850000</v>
      </c>
      <c r="E1275" s="8">
        <f t="shared" si="24"/>
        <v>9633800</v>
      </c>
      <c r="F1275" s="14" t="s">
        <v>248</v>
      </c>
      <c r="G1275" s="14" t="s">
        <v>391</v>
      </c>
      <c r="H1275" t="s">
        <v>64</v>
      </c>
    </row>
    <row r="1276" spans="1:9">
      <c r="B1276" t="s">
        <v>3240</v>
      </c>
      <c r="C1276" s="8">
        <v>6176000</v>
      </c>
      <c r="E1276" s="8">
        <f t="shared" si="24"/>
        <v>3457800</v>
      </c>
      <c r="F1276" s="14" t="s">
        <v>248</v>
      </c>
      <c r="G1276" s="14" t="s">
        <v>391</v>
      </c>
      <c r="H1276" t="s">
        <v>64</v>
      </c>
    </row>
    <row r="1277" spans="1:9">
      <c r="B1277" t="s">
        <v>897</v>
      </c>
      <c r="C1277" s="8">
        <v>634052</v>
      </c>
      <c r="E1277" s="8">
        <f t="shared" si="24"/>
        <v>2823748</v>
      </c>
      <c r="F1277" s="14" t="s">
        <v>319</v>
      </c>
      <c r="G1277" s="14" t="s">
        <v>117</v>
      </c>
      <c r="H1277" t="s">
        <v>64</v>
      </c>
    </row>
    <row r="1278" spans="1:9">
      <c r="B1278" t="s">
        <v>3239</v>
      </c>
      <c r="C1278" s="8">
        <v>2736730</v>
      </c>
      <c r="E1278" s="8">
        <f t="shared" si="24"/>
        <v>87018</v>
      </c>
      <c r="F1278" s="14" t="s">
        <v>248</v>
      </c>
      <c r="G1278" s="14" t="s">
        <v>391</v>
      </c>
      <c r="H1278" t="s">
        <v>64</v>
      </c>
    </row>
    <row r="1279" spans="1:9">
      <c r="B1279" t="s">
        <v>3241</v>
      </c>
      <c r="C1279" s="8">
        <v>87018</v>
      </c>
      <c r="E1279" s="8">
        <f t="shared" si="24"/>
        <v>0</v>
      </c>
      <c r="F1279" s="14" t="s">
        <v>113</v>
      </c>
      <c r="G1279" s="14" t="s">
        <v>478</v>
      </c>
      <c r="H1279" t="s">
        <v>64</v>
      </c>
    </row>
    <row r="1280" spans="1:9">
      <c r="A1280" s="3">
        <v>44431</v>
      </c>
      <c r="B1280" s="7" t="s">
        <v>2340</v>
      </c>
      <c r="C1280" s="8">
        <v>0</v>
      </c>
      <c r="D1280" s="8">
        <v>2500000</v>
      </c>
      <c r="E1280" s="8">
        <f t="shared" si="24"/>
        <v>2500000</v>
      </c>
      <c r="F1280" s="83" t="s">
        <v>107</v>
      </c>
      <c r="G1280" s="14" t="s">
        <v>666</v>
      </c>
      <c r="H1280" s="14" t="s">
        <v>3405</v>
      </c>
      <c r="I1280" t="s">
        <v>3670</v>
      </c>
    </row>
    <row r="1281" spans="1:9">
      <c r="B1281" t="s">
        <v>3671</v>
      </c>
      <c r="C1281" s="54">
        <v>100000</v>
      </c>
      <c r="D1281" s="54"/>
      <c r="E1281" s="54">
        <f t="shared" si="24"/>
        <v>2400000</v>
      </c>
      <c r="F1281" s="14" t="s">
        <v>137</v>
      </c>
      <c r="G1281" s="14" t="s">
        <v>138</v>
      </c>
      <c r="H1281" s="168" t="s">
        <v>2277</v>
      </c>
    </row>
    <row r="1282" spans="1:9">
      <c r="B1282" t="s">
        <v>3672</v>
      </c>
      <c r="C1282" s="54">
        <v>100000</v>
      </c>
      <c r="D1282" s="54"/>
      <c r="E1282" s="54">
        <f t="shared" si="24"/>
        <v>2300000</v>
      </c>
      <c r="F1282" s="14" t="s">
        <v>137</v>
      </c>
      <c r="G1282" s="14" t="s">
        <v>138</v>
      </c>
      <c r="H1282" s="168" t="s">
        <v>2277</v>
      </c>
    </row>
    <row r="1283" spans="1:9">
      <c r="B1283" t="s">
        <v>3673</v>
      </c>
      <c r="C1283" s="54">
        <v>472000</v>
      </c>
      <c r="D1283" s="54"/>
      <c r="E1283" s="54">
        <f t="shared" si="24"/>
        <v>1828000</v>
      </c>
      <c r="F1283" s="14" t="s">
        <v>137</v>
      </c>
      <c r="G1283" s="14" t="s">
        <v>138</v>
      </c>
      <c r="H1283" s="14" t="s">
        <v>2277</v>
      </c>
    </row>
    <row r="1284" spans="1:9">
      <c r="B1284" t="s">
        <v>3674</v>
      </c>
      <c r="C1284" s="54">
        <v>50000</v>
      </c>
      <c r="D1284" s="54"/>
      <c r="E1284" s="54">
        <f t="shared" si="24"/>
        <v>1778000</v>
      </c>
      <c r="F1284" s="14" t="s">
        <v>137</v>
      </c>
      <c r="G1284" s="14" t="s">
        <v>138</v>
      </c>
      <c r="H1284" s="14" t="s">
        <v>2277</v>
      </c>
    </row>
    <row r="1285" spans="1:9">
      <c r="B1285" t="s">
        <v>3675</v>
      </c>
      <c r="C1285" s="54">
        <v>911000</v>
      </c>
      <c r="D1285" s="54"/>
      <c r="E1285" s="54">
        <f t="shared" si="24"/>
        <v>867000</v>
      </c>
      <c r="F1285" s="14" t="s">
        <v>137</v>
      </c>
      <c r="G1285" s="14" t="s">
        <v>138</v>
      </c>
      <c r="H1285" s="14" t="s">
        <v>2277</v>
      </c>
    </row>
    <row r="1286" spans="1:9">
      <c r="B1286" s="7" t="s">
        <v>2398</v>
      </c>
      <c r="C1286" s="8">
        <v>867000</v>
      </c>
      <c r="D1286" s="8">
        <v>0</v>
      </c>
      <c r="E1286" s="8">
        <f t="shared" si="24"/>
        <v>0</v>
      </c>
      <c r="F1286" s="83" t="s">
        <v>107</v>
      </c>
      <c r="G1286" s="14" t="s">
        <v>668</v>
      </c>
      <c r="H1286" s="14" t="s">
        <v>3405</v>
      </c>
      <c r="I1286" t="s">
        <v>3670</v>
      </c>
    </row>
    <row r="1287" spans="1:9">
      <c r="A1287" s="3">
        <v>44431</v>
      </c>
      <c r="B1287" t="s">
        <v>3055</v>
      </c>
      <c r="C1287" s="54">
        <v>0</v>
      </c>
      <c r="D1287" s="54">
        <v>15277824</v>
      </c>
      <c r="E1287" s="8">
        <f t="shared" si="24"/>
        <v>15277824</v>
      </c>
      <c r="F1287" t="s">
        <v>581</v>
      </c>
      <c r="G1287" t="s">
        <v>582</v>
      </c>
      <c r="H1287" t="s">
        <v>2953</v>
      </c>
      <c r="I1287">
        <v>24</v>
      </c>
    </row>
    <row r="1288" spans="1:9">
      <c r="B1288" t="s">
        <v>3055</v>
      </c>
      <c r="C1288" s="8">
        <v>12731520</v>
      </c>
      <c r="E1288" s="8">
        <f t="shared" si="24"/>
        <v>2546304</v>
      </c>
      <c r="F1288" s="14" t="s">
        <v>568</v>
      </c>
      <c r="G1288" s="14" t="s">
        <v>4395</v>
      </c>
      <c r="H1288" t="s">
        <v>2953</v>
      </c>
      <c r="I1288">
        <v>24</v>
      </c>
    </row>
    <row r="1289" spans="1:9">
      <c r="B1289" t="s">
        <v>3055</v>
      </c>
      <c r="C1289" s="8">
        <v>2546304</v>
      </c>
      <c r="E1289" s="8">
        <f t="shared" si="24"/>
        <v>0</v>
      </c>
      <c r="F1289" t="s">
        <v>714</v>
      </c>
      <c r="G1289" t="s">
        <v>715</v>
      </c>
      <c r="H1289" t="s">
        <v>2953</v>
      </c>
      <c r="I1289">
        <v>24</v>
      </c>
    </row>
    <row r="1290" spans="1:9">
      <c r="A1290" s="3">
        <v>44431</v>
      </c>
      <c r="B1290" t="s">
        <v>3055</v>
      </c>
      <c r="C1290" s="54">
        <v>0</v>
      </c>
      <c r="D1290" s="54">
        <v>20309999.952000022</v>
      </c>
      <c r="E1290" s="8">
        <f t="shared" si="24"/>
        <v>20309999.952000022</v>
      </c>
      <c r="F1290" t="s">
        <v>581</v>
      </c>
      <c r="G1290" t="s">
        <v>582</v>
      </c>
      <c r="H1290" t="s">
        <v>3030</v>
      </c>
      <c r="I1290">
        <v>28</v>
      </c>
    </row>
    <row r="1291" spans="1:9">
      <c r="B1291" t="s">
        <v>3055</v>
      </c>
      <c r="C1291" s="8">
        <v>16924999.949999999</v>
      </c>
      <c r="E1291" s="8">
        <f t="shared" si="24"/>
        <v>3385000.0020000227</v>
      </c>
      <c r="F1291" s="14" t="s">
        <v>568</v>
      </c>
      <c r="G1291" s="14" t="s">
        <v>4395</v>
      </c>
      <c r="H1291" t="s">
        <v>3030</v>
      </c>
      <c r="I1291">
        <v>28</v>
      </c>
    </row>
    <row r="1292" spans="1:9">
      <c r="B1292" t="s">
        <v>3055</v>
      </c>
      <c r="C1292" s="8">
        <v>3385000.0020000227</v>
      </c>
      <c r="E1292" s="8">
        <f t="shared" si="24"/>
        <v>0</v>
      </c>
      <c r="F1292" t="s">
        <v>714</v>
      </c>
      <c r="G1292" t="s">
        <v>715</v>
      </c>
      <c r="H1292" t="s">
        <v>3030</v>
      </c>
      <c r="I1292">
        <v>28</v>
      </c>
    </row>
    <row r="1293" spans="1:9">
      <c r="A1293" s="3">
        <v>44431</v>
      </c>
      <c r="B1293" t="s">
        <v>3055</v>
      </c>
      <c r="C1293" s="54">
        <v>0</v>
      </c>
      <c r="D1293" s="54">
        <v>16348800</v>
      </c>
      <c r="E1293" s="8">
        <f t="shared" si="24"/>
        <v>16348800</v>
      </c>
      <c r="F1293" t="s">
        <v>581</v>
      </c>
      <c r="G1293" t="s">
        <v>582</v>
      </c>
      <c r="H1293" t="s">
        <v>3042</v>
      </c>
      <c r="I1293">
        <v>32</v>
      </c>
    </row>
    <row r="1294" spans="1:9">
      <c r="B1294" t="s">
        <v>3055</v>
      </c>
      <c r="C1294" s="8">
        <v>13624000</v>
      </c>
      <c r="E1294" s="8">
        <f t="shared" si="24"/>
        <v>2724800</v>
      </c>
      <c r="F1294" s="14" t="s">
        <v>568</v>
      </c>
      <c r="G1294" s="14" t="s">
        <v>4395</v>
      </c>
      <c r="H1294" t="s">
        <v>3042</v>
      </c>
      <c r="I1294">
        <v>32</v>
      </c>
    </row>
    <row r="1295" spans="1:9">
      <c r="B1295" t="s">
        <v>3055</v>
      </c>
      <c r="C1295" s="8">
        <v>2724800</v>
      </c>
      <c r="E1295" s="8">
        <f t="shared" si="24"/>
        <v>0</v>
      </c>
      <c r="F1295" t="s">
        <v>714</v>
      </c>
      <c r="G1295" t="s">
        <v>715</v>
      </c>
      <c r="H1295" t="s">
        <v>3042</v>
      </c>
      <c r="I1295">
        <v>32</v>
      </c>
    </row>
    <row r="1296" spans="1:9">
      <c r="A1296" s="3">
        <v>44433</v>
      </c>
      <c r="B1296" t="s">
        <v>2091</v>
      </c>
      <c r="C1296" s="8">
        <v>0</v>
      </c>
      <c r="D1296" s="8">
        <v>1400000</v>
      </c>
      <c r="E1296" s="8">
        <f t="shared" si="24"/>
        <v>1400000</v>
      </c>
      <c r="F1296" t="s">
        <v>581</v>
      </c>
      <c r="G1296" t="s">
        <v>582</v>
      </c>
      <c r="H1296" s="14" t="s">
        <v>2970</v>
      </c>
      <c r="I1296">
        <v>54</v>
      </c>
    </row>
    <row r="1297" spans="1:12">
      <c r="B1297" t="s">
        <v>2091</v>
      </c>
      <c r="C1297" s="8">
        <v>1375000</v>
      </c>
      <c r="E1297" s="8">
        <f t="shared" si="24"/>
        <v>25000</v>
      </c>
      <c r="F1297" s="14" t="s">
        <v>568</v>
      </c>
      <c r="G1297" s="14" t="s">
        <v>4395</v>
      </c>
      <c r="H1297" s="14" t="s">
        <v>2970</v>
      </c>
      <c r="I1297">
        <v>54</v>
      </c>
    </row>
    <row r="1298" spans="1:12">
      <c r="B1298" t="s">
        <v>2091</v>
      </c>
      <c r="C1298" s="8">
        <v>25000</v>
      </c>
      <c r="E1298" s="8">
        <f t="shared" si="24"/>
        <v>0</v>
      </c>
      <c r="F1298" t="s">
        <v>714</v>
      </c>
      <c r="G1298" t="s">
        <v>715</v>
      </c>
      <c r="H1298" s="14" t="s">
        <v>2970</v>
      </c>
      <c r="I1298">
        <v>54</v>
      </c>
    </row>
    <row r="1299" spans="1:12">
      <c r="A1299" s="3">
        <v>44434</v>
      </c>
      <c r="B1299" t="s">
        <v>3676</v>
      </c>
      <c r="C1299" s="8">
        <v>0</v>
      </c>
      <c r="D1299" s="8">
        <v>150000000</v>
      </c>
      <c r="E1299" s="8">
        <f t="shared" si="24"/>
        <v>150000000</v>
      </c>
      <c r="F1299" t="s">
        <v>107</v>
      </c>
      <c r="G1299" t="s">
        <v>274</v>
      </c>
      <c r="H1299" s="14" t="s">
        <v>3405</v>
      </c>
      <c r="I1299" t="s">
        <v>3680</v>
      </c>
    </row>
    <row r="1300" spans="1:12">
      <c r="A1300" s="3">
        <v>44434</v>
      </c>
      <c r="B1300" s="7" t="s">
        <v>3678</v>
      </c>
      <c r="C1300" s="8">
        <v>0</v>
      </c>
      <c r="D1300" s="8">
        <v>5000000</v>
      </c>
      <c r="E1300" s="8">
        <f t="shared" si="24"/>
        <v>155000000</v>
      </c>
      <c r="F1300" s="83" t="s">
        <v>107</v>
      </c>
      <c r="G1300" s="14" t="s">
        <v>666</v>
      </c>
      <c r="H1300" s="14" t="s">
        <v>3405</v>
      </c>
      <c r="I1300" t="s">
        <v>3677</v>
      </c>
    </row>
    <row r="1301" spans="1:12">
      <c r="B1301" s="7" t="s">
        <v>3697</v>
      </c>
      <c r="C1301" s="54">
        <v>7728000</v>
      </c>
      <c r="D1301" s="54"/>
      <c r="E1301" s="54">
        <f t="shared" ref="E1301:E1305" si="25">E1300-C1301+D1301</f>
        <v>147272000</v>
      </c>
      <c r="F1301" s="80" t="s">
        <v>137</v>
      </c>
      <c r="G1301" s="14" t="s">
        <v>138</v>
      </c>
      <c r="H1301" s="14" t="s">
        <v>3016</v>
      </c>
    </row>
    <row r="1302" spans="1:12">
      <c r="B1302" s="7" t="s">
        <v>3681</v>
      </c>
      <c r="C1302" s="54">
        <v>63200</v>
      </c>
      <c r="D1302" s="54"/>
      <c r="E1302" s="54">
        <f t="shared" si="25"/>
        <v>147208800</v>
      </c>
      <c r="F1302" s="80" t="s">
        <v>137</v>
      </c>
      <c r="G1302" s="14" t="s">
        <v>138</v>
      </c>
      <c r="H1302" s="14" t="s">
        <v>3016</v>
      </c>
    </row>
    <row r="1303" spans="1:12">
      <c r="B1303" s="7" t="s">
        <v>3682</v>
      </c>
      <c r="C1303" s="54">
        <v>85000</v>
      </c>
      <c r="D1303" s="54"/>
      <c r="E1303" s="54">
        <f t="shared" si="25"/>
        <v>147123800</v>
      </c>
      <c r="F1303" s="80" t="s">
        <v>137</v>
      </c>
      <c r="G1303" s="14" t="s">
        <v>138</v>
      </c>
      <c r="H1303" s="14" t="s">
        <v>3016</v>
      </c>
    </row>
    <row r="1304" spans="1:12">
      <c r="B1304" s="7" t="s">
        <v>3683</v>
      </c>
      <c r="C1304" s="54">
        <v>250000</v>
      </c>
      <c r="D1304" s="54"/>
      <c r="E1304" s="54">
        <f t="shared" si="25"/>
        <v>146873800</v>
      </c>
      <c r="F1304" s="80" t="s">
        <v>137</v>
      </c>
      <c r="G1304" s="14" t="s">
        <v>138</v>
      </c>
      <c r="H1304" s="14" t="s">
        <v>3016</v>
      </c>
    </row>
    <row r="1305" spans="1:12">
      <c r="B1305" s="7" t="s">
        <v>3684</v>
      </c>
      <c r="C1305" s="54">
        <v>150000</v>
      </c>
      <c r="D1305" s="54"/>
      <c r="E1305" s="54">
        <f t="shared" si="25"/>
        <v>146723800</v>
      </c>
      <c r="F1305" s="80" t="s">
        <v>137</v>
      </c>
      <c r="G1305" s="14" t="s">
        <v>138</v>
      </c>
      <c r="H1305" s="14" t="s">
        <v>3016</v>
      </c>
    </row>
    <row r="1306" spans="1:12">
      <c r="B1306" s="7" t="s">
        <v>3685</v>
      </c>
      <c r="C1306" s="54">
        <v>500000</v>
      </c>
      <c r="D1306" s="54"/>
      <c r="E1306" s="54">
        <f t="shared" ref="E1306:E1308" si="26">E1305-C1306+D1306</f>
        <v>146223800</v>
      </c>
      <c r="F1306" s="80" t="s">
        <v>137</v>
      </c>
      <c r="G1306" s="14" t="s">
        <v>138</v>
      </c>
      <c r="H1306" s="14" t="s">
        <v>3016</v>
      </c>
    </row>
    <row r="1307" spans="1:12">
      <c r="B1307" s="7" t="s">
        <v>3686</v>
      </c>
      <c r="C1307" s="54">
        <v>178500</v>
      </c>
      <c r="D1307" s="54"/>
      <c r="E1307" s="54">
        <f t="shared" si="26"/>
        <v>146045300</v>
      </c>
      <c r="F1307" s="80" t="s">
        <v>137</v>
      </c>
      <c r="G1307" s="14" t="s">
        <v>138</v>
      </c>
      <c r="H1307" s="14" t="s">
        <v>3016</v>
      </c>
    </row>
    <row r="1308" spans="1:12">
      <c r="B1308" s="7" t="s">
        <v>3687</v>
      </c>
      <c r="C1308" s="54">
        <v>134000</v>
      </c>
      <c r="D1308" s="54"/>
      <c r="E1308" s="54">
        <f t="shared" si="26"/>
        <v>145911300</v>
      </c>
      <c r="F1308" s="80" t="s">
        <v>137</v>
      </c>
      <c r="G1308" s="14" t="s">
        <v>138</v>
      </c>
      <c r="H1308" s="14" t="s">
        <v>3016</v>
      </c>
    </row>
    <row r="1309" spans="1:12">
      <c r="B1309" s="7" t="s">
        <v>3688</v>
      </c>
      <c r="C1309" s="54">
        <v>3150000</v>
      </c>
      <c r="D1309" s="54"/>
      <c r="E1309" s="54">
        <f t="shared" ref="E1309" si="27">E1308-C1309+D1309</f>
        <v>142761300</v>
      </c>
      <c r="F1309" s="80" t="s">
        <v>137</v>
      </c>
      <c r="G1309" s="14" t="s">
        <v>138</v>
      </c>
      <c r="H1309" s="14" t="s">
        <v>3016</v>
      </c>
    </row>
    <row r="1310" spans="1:12">
      <c r="B1310" s="7" t="s">
        <v>3689</v>
      </c>
      <c r="C1310" s="54">
        <v>3900000</v>
      </c>
      <c r="D1310" s="54"/>
      <c r="E1310" s="54">
        <f t="shared" ref="E1310:E1367" si="28">E1309-C1310+D1310</f>
        <v>138861300</v>
      </c>
      <c r="F1310" s="80" t="s">
        <v>137</v>
      </c>
      <c r="G1310" s="14" t="s">
        <v>138</v>
      </c>
      <c r="H1310" s="14" t="s">
        <v>3016</v>
      </c>
    </row>
    <row r="1311" spans="1:12">
      <c r="B1311" s="7" t="s">
        <v>3503</v>
      </c>
      <c r="C1311" s="54">
        <v>100000</v>
      </c>
      <c r="D1311" s="54"/>
      <c r="E1311" s="54">
        <f t="shared" si="28"/>
        <v>138761300</v>
      </c>
      <c r="F1311" s="80" t="s">
        <v>137</v>
      </c>
      <c r="G1311" s="14" t="s">
        <v>138</v>
      </c>
      <c r="H1311" s="168" t="s">
        <v>3016</v>
      </c>
    </row>
    <row r="1312" spans="1:12">
      <c r="B1312" s="7" t="s">
        <v>3690</v>
      </c>
      <c r="C1312" s="54">
        <v>1500000</v>
      </c>
      <c r="D1312" s="54"/>
      <c r="E1312" s="54">
        <f t="shared" si="28"/>
        <v>137261300</v>
      </c>
      <c r="F1312" s="80" t="s">
        <v>137</v>
      </c>
      <c r="G1312" s="14" t="s">
        <v>138</v>
      </c>
      <c r="H1312" s="14" t="s">
        <v>3016</v>
      </c>
      <c r="K1312" s="14" t="s">
        <v>4150</v>
      </c>
      <c r="L1312" s="14" t="s">
        <v>119</v>
      </c>
    </row>
    <row r="1313" spans="1:12">
      <c r="B1313" s="7" t="s">
        <v>3691</v>
      </c>
      <c r="C1313" s="54">
        <v>1200000</v>
      </c>
      <c r="D1313" s="54"/>
      <c r="E1313" s="54">
        <f t="shared" si="28"/>
        <v>136061300</v>
      </c>
      <c r="F1313" s="80" t="s">
        <v>137</v>
      </c>
      <c r="G1313" s="14" t="s">
        <v>138</v>
      </c>
      <c r="H1313" s="14" t="s">
        <v>3016</v>
      </c>
      <c r="K1313" s="14" t="s">
        <v>4150</v>
      </c>
      <c r="L1313" s="14" t="s">
        <v>459</v>
      </c>
    </row>
    <row r="1314" spans="1:12">
      <c r="B1314" s="7" t="s">
        <v>3692</v>
      </c>
      <c r="C1314" s="54">
        <v>1200000</v>
      </c>
      <c r="D1314" s="54"/>
      <c r="E1314" s="54">
        <f t="shared" si="28"/>
        <v>134861300</v>
      </c>
      <c r="F1314" s="80" t="s">
        <v>137</v>
      </c>
      <c r="G1314" s="14" t="s">
        <v>138</v>
      </c>
      <c r="H1314" s="14" t="s">
        <v>3016</v>
      </c>
      <c r="K1314" s="14" t="s">
        <v>4150</v>
      </c>
      <c r="L1314" s="14" t="s">
        <v>458</v>
      </c>
    </row>
    <row r="1315" spans="1:12">
      <c r="B1315" s="7" t="s">
        <v>3693</v>
      </c>
      <c r="C1315" s="54">
        <v>1200000</v>
      </c>
      <c r="D1315" s="54"/>
      <c r="E1315" s="54">
        <f t="shared" si="28"/>
        <v>133661300</v>
      </c>
      <c r="F1315" s="80" t="s">
        <v>137</v>
      </c>
      <c r="G1315" s="14" t="s">
        <v>138</v>
      </c>
      <c r="H1315" s="14" t="s">
        <v>3016</v>
      </c>
      <c r="K1315" s="14" t="s">
        <v>4150</v>
      </c>
      <c r="L1315" s="14" t="s">
        <v>622</v>
      </c>
    </row>
    <row r="1316" spans="1:12">
      <c r="B1316" s="7" t="s">
        <v>3694</v>
      </c>
      <c r="C1316" s="54">
        <v>860000</v>
      </c>
      <c r="D1316" s="54"/>
      <c r="E1316" s="54">
        <f t="shared" si="28"/>
        <v>132801300</v>
      </c>
      <c r="F1316" s="80" t="s">
        <v>137</v>
      </c>
      <c r="G1316" s="14" t="s">
        <v>138</v>
      </c>
      <c r="H1316" s="14" t="s">
        <v>3036</v>
      </c>
    </row>
    <row r="1317" spans="1:12">
      <c r="B1317" s="7" t="s">
        <v>3695</v>
      </c>
      <c r="C1317" s="54">
        <v>655000</v>
      </c>
      <c r="D1317" s="54"/>
      <c r="E1317" s="54">
        <f t="shared" si="28"/>
        <v>132146300</v>
      </c>
      <c r="F1317" s="80" t="s">
        <v>137</v>
      </c>
      <c r="G1317" s="14" t="s">
        <v>138</v>
      </c>
      <c r="H1317" s="14" t="s">
        <v>3036</v>
      </c>
    </row>
    <row r="1318" spans="1:12">
      <c r="B1318" s="7" t="s">
        <v>3696</v>
      </c>
      <c r="C1318" s="8">
        <v>0</v>
      </c>
      <c r="D1318" s="8">
        <v>103700</v>
      </c>
      <c r="E1318" s="8">
        <f t="shared" si="28"/>
        <v>132250000</v>
      </c>
      <c r="F1318" s="83" t="s">
        <v>107</v>
      </c>
      <c r="G1318" s="14" t="s">
        <v>3699</v>
      </c>
      <c r="H1318" s="14" t="s">
        <v>3405</v>
      </c>
      <c r="I1318" t="s">
        <v>3680</v>
      </c>
    </row>
    <row r="1319" spans="1:12">
      <c r="B1319" t="s">
        <v>2785</v>
      </c>
      <c r="C1319" s="8">
        <v>132250000</v>
      </c>
      <c r="D1319" s="8">
        <v>0</v>
      </c>
      <c r="E1319" s="8">
        <f t="shared" si="28"/>
        <v>0</v>
      </c>
      <c r="F1319" t="s">
        <v>107</v>
      </c>
      <c r="G1319" t="s">
        <v>3698</v>
      </c>
      <c r="H1319" t="s">
        <v>3405</v>
      </c>
      <c r="I1319" t="s">
        <v>3680</v>
      </c>
    </row>
    <row r="1320" spans="1:12">
      <c r="A1320" s="3">
        <v>44434</v>
      </c>
      <c r="B1320" s="7" t="s">
        <v>2345</v>
      </c>
      <c r="C1320" s="8">
        <v>0</v>
      </c>
      <c r="D1320" s="8">
        <v>2500000</v>
      </c>
      <c r="E1320" s="8">
        <f t="shared" si="28"/>
        <v>2500000</v>
      </c>
      <c r="F1320" s="83" t="s">
        <v>107</v>
      </c>
      <c r="G1320" s="14" t="s">
        <v>666</v>
      </c>
      <c r="H1320" s="14" t="s">
        <v>3405</v>
      </c>
      <c r="I1320" t="s">
        <v>3700</v>
      </c>
    </row>
    <row r="1321" spans="1:12">
      <c r="B1321" s="7" t="s">
        <v>3701</v>
      </c>
      <c r="C1321" s="54">
        <v>408600</v>
      </c>
      <c r="D1321" s="54"/>
      <c r="E1321" s="54">
        <f t="shared" si="28"/>
        <v>2091400</v>
      </c>
      <c r="F1321" s="80" t="s">
        <v>137</v>
      </c>
      <c r="G1321" s="14" t="s">
        <v>138</v>
      </c>
      <c r="H1321" s="14" t="s">
        <v>3016</v>
      </c>
    </row>
    <row r="1322" spans="1:12">
      <c r="B1322" s="7" t="s">
        <v>3702</v>
      </c>
      <c r="C1322" s="54">
        <v>1003000</v>
      </c>
      <c r="D1322" s="54"/>
      <c r="E1322" s="54">
        <f t="shared" si="28"/>
        <v>1088400</v>
      </c>
      <c r="F1322" s="80" t="s">
        <v>137</v>
      </c>
      <c r="G1322" s="14" t="s">
        <v>138</v>
      </c>
      <c r="H1322" s="14" t="s">
        <v>3016</v>
      </c>
    </row>
    <row r="1323" spans="1:12">
      <c r="B1323" s="7" t="s">
        <v>3703</v>
      </c>
      <c r="C1323" s="54">
        <v>218327</v>
      </c>
      <c r="D1323" s="54"/>
      <c r="E1323" s="54">
        <f t="shared" si="28"/>
        <v>870073</v>
      </c>
      <c r="F1323" s="80" t="s">
        <v>137</v>
      </c>
      <c r="G1323" s="14" t="s">
        <v>138</v>
      </c>
      <c r="H1323" s="14" t="s">
        <v>3016</v>
      </c>
    </row>
    <row r="1324" spans="1:12">
      <c r="B1324" t="s">
        <v>3704</v>
      </c>
      <c r="C1324" s="54">
        <v>30000</v>
      </c>
      <c r="D1324" s="54"/>
      <c r="E1324" s="54">
        <f t="shared" si="28"/>
        <v>840073</v>
      </c>
      <c r="F1324" s="80" t="s">
        <v>137</v>
      </c>
      <c r="G1324" s="14" t="s">
        <v>138</v>
      </c>
      <c r="H1324" s="14" t="s">
        <v>3016</v>
      </c>
    </row>
    <row r="1325" spans="1:12">
      <c r="B1325" t="s">
        <v>3705</v>
      </c>
      <c r="C1325" s="54">
        <v>20000</v>
      </c>
      <c r="D1325" s="54"/>
      <c r="E1325" s="54">
        <f t="shared" si="28"/>
        <v>820073</v>
      </c>
      <c r="F1325" s="80" t="s">
        <v>137</v>
      </c>
      <c r="G1325" s="14" t="s">
        <v>138</v>
      </c>
      <c r="H1325" s="14" t="s">
        <v>3016</v>
      </c>
    </row>
    <row r="1326" spans="1:12">
      <c r="B1326" t="s">
        <v>3706</v>
      </c>
      <c r="C1326" s="54">
        <v>61000</v>
      </c>
      <c r="D1326" s="54"/>
      <c r="E1326" s="54">
        <f t="shared" si="28"/>
        <v>759073</v>
      </c>
      <c r="F1326" s="80" t="s">
        <v>137</v>
      </c>
      <c r="G1326" s="14" t="s">
        <v>138</v>
      </c>
      <c r="H1326" s="14" t="s">
        <v>3016</v>
      </c>
    </row>
    <row r="1327" spans="1:12">
      <c r="B1327" t="s">
        <v>3707</v>
      </c>
      <c r="C1327" s="54">
        <v>50000</v>
      </c>
      <c r="D1327" s="54"/>
      <c r="E1327" s="54">
        <f t="shared" si="28"/>
        <v>709073</v>
      </c>
      <c r="F1327" s="80" t="s">
        <v>137</v>
      </c>
      <c r="G1327" s="14" t="s">
        <v>138</v>
      </c>
      <c r="H1327" s="14" t="s">
        <v>3016</v>
      </c>
    </row>
    <row r="1328" spans="1:12">
      <c r="B1328" t="s">
        <v>3708</v>
      </c>
      <c r="C1328" s="54">
        <v>50000</v>
      </c>
      <c r="D1328" s="54"/>
      <c r="E1328" s="54">
        <f t="shared" si="28"/>
        <v>659073</v>
      </c>
      <c r="F1328" s="80" t="s">
        <v>137</v>
      </c>
      <c r="G1328" s="14" t="s">
        <v>138</v>
      </c>
      <c r="H1328" s="14" t="s">
        <v>3016</v>
      </c>
    </row>
    <row r="1329" spans="1:9">
      <c r="B1329" t="s">
        <v>3709</v>
      </c>
      <c r="C1329" s="54">
        <v>143820</v>
      </c>
      <c r="D1329" s="54"/>
      <c r="E1329" s="54">
        <f t="shared" si="28"/>
        <v>515253</v>
      </c>
      <c r="F1329" s="80" t="s">
        <v>137</v>
      </c>
      <c r="G1329" s="14" t="s">
        <v>138</v>
      </c>
      <c r="H1329" s="14" t="s">
        <v>3016</v>
      </c>
    </row>
    <row r="1330" spans="1:9">
      <c r="B1330" t="s">
        <v>3709</v>
      </c>
      <c r="C1330" s="54">
        <v>115209</v>
      </c>
      <c r="D1330" s="54"/>
      <c r="E1330" s="54">
        <f t="shared" si="28"/>
        <v>400044</v>
      </c>
      <c r="F1330" s="80" t="s">
        <v>137</v>
      </c>
      <c r="G1330" s="14" t="s">
        <v>138</v>
      </c>
      <c r="H1330" s="14" t="s">
        <v>3016</v>
      </c>
    </row>
    <row r="1331" spans="1:9">
      <c r="B1331" t="s">
        <v>3710</v>
      </c>
      <c r="C1331" s="54">
        <v>30000</v>
      </c>
      <c r="D1331" s="54"/>
      <c r="E1331" s="54">
        <f t="shared" si="28"/>
        <v>370044</v>
      </c>
      <c r="F1331" s="80" t="s">
        <v>137</v>
      </c>
      <c r="G1331" s="14" t="s">
        <v>138</v>
      </c>
      <c r="H1331" s="14" t="s">
        <v>3016</v>
      </c>
    </row>
    <row r="1332" spans="1:9">
      <c r="B1332" t="s">
        <v>3711</v>
      </c>
      <c r="C1332" s="54">
        <v>70000</v>
      </c>
      <c r="D1332" s="54"/>
      <c r="E1332" s="54">
        <f t="shared" si="28"/>
        <v>300044</v>
      </c>
      <c r="F1332" s="80" t="s">
        <v>137</v>
      </c>
      <c r="G1332" s="14" t="s">
        <v>138</v>
      </c>
      <c r="H1332" s="14" t="s">
        <v>3016</v>
      </c>
    </row>
    <row r="1333" spans="1:9">
      <c r="B1333" t="s">
        <v>3712</v>
      </c>
      <c r="C1333" s="54">
        <v>200000</v>
      </c>
      <c r="D1333" s="54"/>
      <c r="E1333" s="54">
        <f t="shared" si="28"/>
        <v>100044</v>
      </c>
      <c r="F1333" s="80" t="s">
        <v>137</v>
      </c>
      <c r="G1333" s="14" t="s">
        <v>138</v>
      </c>
      <c r="H1333" s="14" t="s">
        <v>3016</v>
      </c>
    </row>
    <row r="1334" spans="1:9">
      <c r="B1334" t="s">
        <v>3713</v>
      </c>
      <c r="C1334" s="54">
        <v>300000</v>
      </c>
      <c r="D1334" s="54"/>
      <c r="E1334" s="54">
        <f t="shared" si="28"/>
        <v>-199956</v>
      </c>
      <c r="F1334" s="80" t="s">
        <v>137</v>
      </c>
      <c r="G1334" s="14" t="s">
        <v>138</v>
      </c>
      <c r="H1334" s="14" t="s">
        <v>3016</v>
      </c>
    </row>
    <row r="1335" spans="1:9">
      <c r="B1335" t="s">
        <v>2207</v>
      </c>
      <c r="C1335" s="8">
        <v>0</v>
      </c>
      <c r="D1335" s="8">
        <v>199956</v>
      </c>
      <c r="E1335" s="8">
        <f t="shared" si="28"/>
        <v>0</v>
      </c>
      <c r="F1335" s="83" t="s">
        <v>107</v>
      </c>
      <c r="G1335" s="14" t="s">
        <v>3699</v>
      </c>
      <c r="H1335" s="14" t="s">
        <v>3405</v>
      </c>
      <c r="I1335" t="s">
        <v>3700</v>
      </c>
    </row>
    <row r="1336" spans="1:9">
      <c r="A1336" s="3">
        <v>44434</v>
      </c>
      <c r="B1336" t="s">
        <v>2092</v>
      </c>
      <c r="C1336" s="8">
        <v>0</v>
      </c>
      <c r="D1336" s="8">
        <v>9312800</v>
      </c>
      <c r="E1336" s="8">
        <f t="shared" si="28"/>
        <v>9312800</v>
      </c>
      <c r="F1336" t="s">
        <v>581</v>
      </c>
      <c r="G1336" t="s">
        <v>582</v>
      </c>
      <c r="H1336" s="14" t="s">
        <v>2970</v>
      </c>
      <c r="I1336">
        <v>53</v>
      </c>
    </row>
    <row r="1337" spans="1:9">
      <c r="B1337" t="s">
        <v>2092</v>
      </c>
      <c r="C1337" s="8">
        <v>9146500</v>
      </c>
      <c r="E1337" s="8">
        <f t="shared" si="28"/>
        <v>166300</v>
      </c>
      <c r="F1337" s="14" t="s">
        <v>568</v>
      </c>
      <c r="G1337" s="14" t="s">
        <v>4395</v>
      </c>
      <c r="H1337" s="14" t="s">
        <v>2970</v>
      </c>
      <c r="I1337">
        <v>53</v>
      </c>
    </row>
    <row r="1338" spans="1:9">
      <c r="B1338" t="s">
        <v>2092</v>
      </c>
      <c r="C1338" s="8">
        <v>166300</v>
      </c>
      <c r="E1338" s="8">
        <f t="shared" si="28"/>
        <v>0</v>
      </c>
      <c r="F1338" t="s">
        <v>714</v>
      </c>
      <c r="G1338" t="s">
        <v>715</v>
      </c>
      <c r="H1338" s="14" t="s">
        <v>2970</v>
      </c>
      <c r="I1338">
        <v>53</v>
      </c>
    </row>
    <row r="1339" spans="1:9" s="14" customFormat="1">
      <c r="A1339" s="138">
        <v>44441</v>
      </c>
      <c r="B1339" s="14" t="s">
        <v>2793</v>
      </c>
      <c r="C1339" s="50">
        <v>0</v>
      </c>
      <c r="D1339" s="50">
        <v>8995940</v>
      </c>
      <c r="E1339" s="8">
        <f t="shared" si="28"/>
        <v>8995940</v>
      </c>
      <c r="F1339" s="14" t="s">
        <v>107</v>
      </c>
      <c r="G1339" s="14" t="s">
        <v>274</v>
      </c>
      <c r="H1339" s="14" t="s">
        <v>140</v>
      </c>
    </row>
    <row r="1340" spans="1:9">
      <c r="B1340" t="s">
        <v>912</v>
      </c>
      <c r="C1340" s="54">
        <v>265150</v>
      </c>
      <c r="D1340" s="54"/>
      <c r="E1340" s="54">
        <f t="shared" si="28"/>
        <v>8730790</v>
      </c>
      <c r="F1340" s="14" t="s">
        <v>137</v>
      </c>
      <c r="G1340" s="14" t="s">
        <v>138</v>
      </c>
      <c r="H1340" s="168" t="s">
        <v>3052</v>
      </c>
    </row>
    <row r="1341" spans="1:9">
      <c r="B1341" t="s">
        <v>3197</v>
      </c>
      <c r="C1341" s="54">
        <v>696000</v>
      </c>
      <c r="D1341" s="54"/>
      <c r="E1341" s="54">
        <f t="shared" si="28"/>
        <v>8034790</v>
      </c>
      <c r="F1341" s="14" t="s">
        <v>137</v>
      </c>
      <c r="G1341" s="14" t="s">
        <v>138</v>
      </c>
      <c r="H1341" s="168" t="s">
        <v>3052</v>
      </c>
    </row>
    <row r="1342" spans="1:9">
      <c r="B1342" t="s">
        <v>3242</v>
      </c>
      <c r="C1342" s="54">
        <v>367000</v>
      </c>
      <c r="D1342" s="54"/>
      <c r="E1342" s="54">
        <f t="shared" si="28"/>
        <v>7667790</v>
      </c>
      <c r="F1342" s="14" t="s">
        <v>137</v>
      </c>
      <c r="G1342" s="14" t="s">
        <v>138</v>
      </c>
      <c r="H1342" s="168" t="s">
        <v>3052</v>
      </c>
    </row>
    <row r="1343" spans="1:9">
      <c r="B1343" t="s">
        <v>3243</v>
      </c>
      <c r="C1343" s="54">
        <v>87200</v>
      </c>
      <c r="D1343" s="54"/>
      <c r="E1343" s="54">
        <f t="shared" si="28"/>
        <v>7580590</v>
      </c>
      <c r="F1343" s="14" t="s">
        <v>137</v>
      </c>
      <c r="G1343" s="14" t="s">
        <v>138</v>
      </c>
      <c r="H1343" s="168" t="s">
        <v>3052</v>
      </c>
    </row>
    <row r="1344" spans="1:9">
      <c r="B1344" t="s">
        <v>3244</v>
      </c>
      <c r="C1344" s="54">
        <v>1462000</v>
      </c>
      <c r="D1344" s="54"/>
      <c r="E1344" s="54">
        <f t="shared" si="28"/>
        <v>6118590</v>
      </c>
      <c r="F1344" s="14" t="s">
        <v>137</v>
      </c>
      <c r="G1344" s="14" t="s">
        <v>138</v>
      </c>
      <c r="H1344" s="168" t="s">
        <v>3052</v>
      </c>
    </row>
    <row r="1345" spans="2:9">
      <c r="B1345" t="s">
        <v>1039</v>
      </c>
      <c r="C1345" s="54">
        <v>187000</v>
      </c>
      <c r="D1345" s="54"/>
      <c r="E1345" s="54">
        <f t="shared" si="28"/>
        <v>5931590</v>
      </c>
      <c r="F1345" s="14" t="s">
        <v>137</v>
      </c>
      <c r="G1345" s="14" t="s">
        <v>138</v>
      </c>
      <c r="H1345" s="168" t="s">
        <v>3052</v>
      </c>
    </row>
    <row r="1346" spans="2:9">
      <c r="B1346" t="s">
        <v>1040</v>
      </c>
      <c r="C1346" s="8">
        <v>237900</v>
      </c>
      <c r="E1346" s="8">
        <f t="shared" si="28"/>
        <v>5693690</v>
      </c>
      <c r="F1346" s="14" t="s">
        <v>137</v>
      </c>
      <c r="G1346" s="14" t="s">
        <v>138</v>
      </c>
      <c r="H1346" s="168" t="s">
        <v>3052</v>
      </c>
    </row>
    <row r="1347" spans="2:9">
      <c r="B1347" t="s">
        <v>1040</v>
      </c>
      <c r="C1347" s="8">
        <v>28000</v>
      </c>
      <c r="E1347" s="8">
        <f t="shared" si="28"/>
        <v>5665690</v>
      </c>
      <c r="F1347" s="14" t="s">
        <v>137</v>
      </c>
      <c r="G1347" s="14" t="s">
        <v>138</v>
      </c>
      <c r="H1347" s="168" t="s">
        <v>3052</v>
      </c>
    </row>
    <row r="1348" spans="2:9">
      <c r="B1348" t="s">
        <v>3245</v>
      </c>
      <c r="C1348" s="8">
        <v>957000</v>
      </c>
      <c r="E1348" s="8">
        <f t="shared" si="28"/>
        <v>4708690</v>
      </c>
      <c r="F1348" s="14" t="s">
        <v>137</v>
      </c>
      <c r="G1348" s="14" t="s">
        <v>138</v>
      </c>
      <c r="H1348" s="168" t="s">
        <v>3052</v>
      </c>
    </row>
    <row r="1349" spans="2:9">
      <c r="B1349" t="s">
        <v>3245</v>
      </c>
      <c r="C1349" s="8">
        <v>132000</v>
      </c>
      <c r="E1349" s="8">
        <f t="shared" si="28"/>
        <v>4576690</v>
      </c>
      <c r="F1349" s="14" t="s">
        <v>137</v>
      </c>
      <c r="G1349" s="14" t="s">
        <v>138</v>
      </c>
      <c r="H1349" s="168" t="s">
        <v>3052</v>
      </c>
    </row>
    <row r="1350" spans="2:9">
      <c r="B1350" t="s">
        <v>3246</v>
      </c>
      <c r="C1350" s="8">
        <v>1343500</v>
      </c>
      <c r="E1350" s="8">
        <f t="shared" si="28"/>
        <v>3233190</v>
      </c>
      <c r="F1350" s="14" t="s">
        <v>137</v>
      </c>
      <c r="G1350" s="14" t="s">
        <v>138</v>
      </c>
      <c r="H1350" s="168" t="s">
        <v>3052</v>
      </c>
    </row>
    <row r="1351" spans="2:9">
      <c r="B1351" t="s">
        <v>3247</v>
      </c>
      <c r="C1351" s="8">
        <v>487200</v>
      </c>
      <c r="E1351" s="8">
        <f t="shared" si="28"/>
        <v>2745990</v>
      </c>
      <c r="F1351" s="14" t="s">
        <v>137</v>
      </c>
      <c r="G1351" s="14" t="s">
        <v>138</v>
      </c>
      <c r="H1351" s="168" t="s">
        <v>3052</v>
      </c>
    </row>
    <row r="1352" spans="2:9">
      <c r="B1352" t="s">
        <v>1040</v>
      </c>
      <c r="C1352" s="8">
        <v>461300</v>
      </c>
      <c r="E1352" s="8">
        <f t="shared" si="28"/>
        <v>2284690</v>
      </c>
      <c r="F1352" s="14" t="s">
        <v>137</v>
      </c>
      <c r="G1352" s="14" t="s">
        <v>138</v>
      </c>
      <c r="H1352" s="168" t="s">
        <v>3052</v>
      </c>
    </row>
    <row r="1353" spans="2:9">
      <c r="B1353" t="s">
        <v>912</v>
      </c>
      <c r="C1353" s="8">
        <v>271269</v>
      </c>
      <c r="E1353" s="8">
        <f t="shared" si="28"/>
        <v>2013421</v>
      </c>
      <c r="F1353" s="14" t="s">
        <v>319</v>
      </c>
      <c r="G1353" s="14" t="s">
        <v>117</v>
      </c>
      <c r="H1353" t="s">
        <v>64</v>
      </c>
    </row>
    <row r="1354" spans="2:9">
      <c r="B1354" t="s">
        <v>3248</v>
      </c>
      <c r="C1354" s="8">
        <v>70000</v>
      </c>
      <c r="E1354" s="8">
        <f t="shared" si="28"/>
        <v>1943421</v>
      </c>
      <c r="F1354" s="14" t="s">
        <v>248</v>
      </c>
      <c r="G1354" s="14" t="s">
        <v>407</v>
      </c>
      <c r="H1354" t="s">
        <v>64</v>
      </c>
    </row>
    <row r="1355" spans="2:9">
      <c r="B1355" t="s">
        <v>3249</v>
      </c>
      <c r="C1355" s="54">
        <v>123500</v>
      </c>
      <c r="D1355" s="54"/>
      <c r="E1355" s="54">
        <f t="shared" si="28"/>
        <v>1819921</v>
      </c>
      <c r="F1355" s="14" t="s">
        <v>115</v>
      </c>
      <c r="G1355" s="14" t="s">
        <v>120</v>
      </c>
      <c r="H1355" s="14" t="s">
        <v>127</v>
      </c>
      <c r="I1355" s="14" t="s">
        <v>444</v>
      </c>
    </row>
    <row r="1356" spans="2:9">
      <c r="B1356" t="s">
        <v>3249</v>
      </c>
      <c r="C1356" s="54">
        <v>121500</v>
      </c>
      <c r="D1356" s="54"/>
      <c r="E1356" s="54">
        <f t="shared" si="28"/>
        <v>1698421</v>
      </c>
      <c r="F1356" s="14" t="s">
        <v>115</v>
      </c>
      <c r="G1356" s="14" t="s">
        <v>120</v>
      </c>
      <c r="H1356" s="14" t="s">
        <v>127</v>
      </c>
      <c r="I1356" s="14" t="s">
        <v>444</v>
      </c>
    </row>
    <row r="1357" spans="2:9">
      <c r="B1357" t="s">
        <v>3249</v>
      </c>
      <c r="C1357" s="54">
        <v>128500</v>
      </c>
      <c r="D1357" s="54"/>
      <c r="E1357" s="54">
        <f t="shared" si="28"/>
        <v>1569921</v>
      </c>
      <c r="F1357" s="14" t="s">
        <v>115</v>
      </c>
      <c r="G1357" s="14" t="s">
        <v>120</v>
      </c>
      <c r="H1357" s="14" t="s">
        <v>127</v>
      </c>
      <c r="I1357" s="14" t="s">
        <v>444</v>
      </c>
    </row>
    <row r="1358" spans="2:9">
      <c r="B1358" t="s">
        <v>3249</v>
      </c>
      <c r="C1358" s="54">
        <v>133500</v>
      </c>
      <c r="D1358" s="54"/>
      <c r="E1358" s="54">
        <f t="shared" si="28"/>
        <v>1436421</v>
      </c>
      <c r="F1358" s="14" t="s">
        <v>115</v>
      </c>
      <c r="G1358" s="14" t="s">
        <v>120</v>
      </c>
      <c r="H1358" s="14" t="s">
        <v>127</v>
      </c>
      <c r="I1358" s="14" t="s">
        <v>444</v>
      </c>
    </row>
    <row r="1359" spans="2:9">
      <c r="B1359" t="s">
        <v>3249</v>
      </c>
      <c r="C1359" s="54">
        <v>148000</v>
      </c>
      <c r="D1359" s="54"/>
      <c r="E1359" s="54">
        <f t="shared" si="28"/>
        <v>1288421</v>
      </c>
      <c r="F1359" s="14" t="s">
        <v>115</v>
      </c>
      <c r="G1359" s="14" t="s">
        <v>120</v>
      </c>
      <c r="H1359" s="14" t="s">
        <v>127</v>
      </c>
      <c r="I1359" s="14" t="s">
        <v>444</v>
      </c>
    </row>
    <row r="1360" spans="2:9">
      <c r="B1360" t="s">
        <v>3249</v>
      </c>
      <c r="C1360" s="54">
        <v>148000</v>
      </c>
      <c r="D1360" s="54"/>
      <c r="E1360" s="54">
        <f t="shared" si="28"/>
        <v>1140421</v>
      </c>
      <c r="F1360" s="14" t="s">
        <v>115</v>
      </c>
      <c r="G1360" s="14" t="s">
        <v>120</v>
      </c>
      <c r="H1360" s="14" t="s">
        <v>127</v>
      </c>
      <c r="I1360" s="14" t="s">
        <v>444</v>
      </c>
    </row>
    <row r="1361" spans="1:9">
      <c r="B1361" t="s">
        <v>3249</v>
      </c>
      <c r="C1361" s="54">
        <v>159000</v>
      </c>
      <c r="D1361" s="54"/>
      <c r="E1361" s="54">
        <f t="shared" si="28"/>
        <v>981421</v>
      </c>
      <c r="F1361" s="14" t="s">
        <v>115</v>
      </c>
      <c r="G1361" s="14" t="s">
        <v>120</v>
      </c>
      <c r="H1361" s="14" t="s">
        <v>127</v>
      </c>
      <c r="I1361" s="14" t="s">
        <v>444</v>
      </c>
    </row>
    <row r="1362" spans="1:9">
      <c r="B1362" t="s">
        <v>3250</v>
      </c>
      <c r="C1362" s="54">
        <v>123500</v>
      </c>
      <c r="D1362" s="54"/>
      <c r="E1362" s="54">
        <f t="shared" si="28"/>
        <v>857921</v>
      </c>
      <c r="F1362" s="14" t="s">
        <v>115</v>
      </c>
      <c r="G1362" s="14" t="s">
        <v>120</v>
      </c>
      <c r="H1362" s="14" t="s">
        <v>127</v>
      </c>
      <c r="I1362" s="14" t="s">
        <v>444</v>
      </c>
    </row>
    <row r="1363" spans="1:9">
      <c r="B1363" t="s">
        <v>3251</v>
      </c>
      <c r="C1363" s="8">
        <v>244643</v>
      </c>
      <c r="E1363" s="8">
        <f t="shared" si="28"/>
        <v>613278</v>
      </c>
      <c r="F1363" s="14" t="s">
        <v>319</v>
      </c>
      <c r="G1363" s="14" t="s">
        <v>1045</v>
      </c>
      <c r="H1363" t="s">
        <v>64</v>
      </c>
    </row>
    <row r="1364" spans="1:9">
      <c r="B1364" t="s">
        <v>3252</v>
      </c>
      <c r="C1364" s="54">
        <v>0</v>
      </c>
      <c r="D1364" s="54">
        <v>55970</v>
      </c>
      <c r="E1364" s="54">
        <f t="shared" si="28"/>
        <v>669248</v>
      </c>
      <c r="F1364" t="s">
        <v>252</v>
      </c>
      <c r="G1364" t="s">
        <v>664</v>
      </c>
    </row>
    <row r="1365" spans="1:9">
      <c r="B1365" t="s">
        <v>3253</v>
      </c>
      <c r="C1365" s="8">
        <v>52800</v>
      </c>
      <c r="E1365" s="8">
        <f t="shared" si="28"/>
        <v>616448</v>
      </c>
      <c r="F1365" s="14" t="s">
        <v>248</v>
      </c>
      <c r="G1365" s="14" t="s">
        <v>407</v>
      </c>
      <c r="H1365" t="s">
        <v>64</v>
      </c>
    </row>
    <row r="1366" spans="1:9">
      <c r="B1366" t="s">
        <v>3254</v>
      </c>
      <c r="C1366" s="8">
        <v>77795</v>
      </c>
      <c r="E1366" s="8">
        <f t="shared" si="28"/>
        <v>538653</v>
      </c>
      <c r="F1366" s="14" t="s">
        <v>113</v>
      </c>
      <c r="G1366" s="14" t="s">
        <v>478</v>
      </c>
      <c r="H1366" t="s">
        <v>64</v>
      </c>
    </row>
    <row r="1367" spans="1:9">
      <c r="B1367" t="s">
        <v>897</v>
      </c>
      <c r="C1367" s="8">
        <v>267940</v>
      </c>
      <c r="E1367" s="8">
        <f t="shared" si="28"/>
        <v>270713</v>
      </c>
      <c r="F1367" s="14" t="s">
        <v>319</v>
      </c>
      <c r="G1367" s="14" t="s">
        <v>117</v>
      </c>
      <c r="H1367" t="s">
        <v>64</v>
      </c>
    </row>
    <row r="1368" spans="1:9">
      <c r="B1368" t="s">
        <v>3255</v>
      </c>
      <c r="C1368" s="8">
        <v>91100</v>
      </c>
      <c r="E1368" s="8">
        <f t="shared" ref="E1368:E1443" si="29">E1367-C1368+D1368</f>
        <v>179613</v>
      </c>
      <c r="F1368" s="14" t="s">
        <v>319</v>
      </c>
      <c r="G1368" s="14" t="s">
        <v>454</v>
      </c>
      <c r="H1368" t="s">
        <v>64</v>
      </c>
    </row>
    <row r="1369" spans="1:9">
      <c r="B1369" t="s">
        <v>389</v>
      </c>
      <c r="C1369" s="8">
        <v>10000</v>
      </c>
      <c r="E1369" s="8">
        <f t="shared" si="29"/>
        <v>169613</v>
      </c>
      <c r="F1369" s="14" t="s">
        <v>113</v>
      </c>
      <c r="G1369" s="14" t="s">
        <v>114</v>
      </c>
      <c r="H1369" t="s">
        <v>64</v>
      </c>
    </row>
    <row r="1370" spans="1:9">
      <c r="B1370" t="s">
        <v>3256</v>
      </c>
      <c r="C1370" s="8">
        <v>169613</v>
      </c>
      <c r="E1370" s="8">
        <f t="shared" si="29"/>
        <v>0</v>
      </c>
      <c r="F1370" s="14" t="s">
        <v>113</v>
      </c>
      <c r="G1370" s="14" t="s">
        <v>478</v>
      </c>
      <c r="H1370" t="s">
        <v>64</v>
      </c>
    </row>
    <row r="1371" spans="1:9" s="14" customFormat="1">
      <c r="A1371" s="138">
        <v>44441</v>
      </c>
      <c r="B1371" s="14" t="s">
        <v>2795</v>
      </c>
      <c r="C1371" s="50">
        <v>0</v>
      </c>
      <c r="D1371" s="50">
        <v>5887176</v>
      </c>
      <c r="E1371" s="8">
        <f t="shared" si="29"/>
        <v>5887176</v>
      </c>
      <c r="F1371" s="14" t="s">
        <v>107</v>
      </c>
      <c r="G1371" s="14" t="s">
        <v>274</v>
      </c>
      <c r="H1371" s="14" t="s">
        <v>141</v>
      </c>
    </row>
    <row r="1372" spans="1:9">
      <c r="B1372" t="s">
        <v>3257</v>
      </c>
      <c r="C1372" s="8">
        <v>298113</v>
      </c>
      <c r="E1372" s="8">
        <f t="shared" si="29"/>
        <v>5589063</v>
      </c>
      <c r="F1372" s="14" t="s">
        <v>319</v>
      </c>
      <c r="G1372" s="14" t="s">
        <v>117</v>
      </c>
      <c r="H1372" t="s">
        <v>64</v>
      </c>
    </row>
    <row r="1373" spans="1:9">
      <c r="B1373" t="s">
        <v>1042</v>
      </c>
      <c r="C1373" s="8">
        <v>311821</v>
      </c>
      <c r="E1373" s="8">
        <f t="shared" si="29"/>
        <v>5277242</v>
      </c>
      <c r="F1373" s="14" t="s">
        <v>319</v>
      </c>
      <c r="G1373" s="14" t="s">
        <v>117</v>
      </c>
      <c r="H1373" t="s">
        <v>64</v>
      </c>
    </row>
    <row r="1374" spans="1:9">
      <c r="B1374" t="s">
        <v>1042</v>
      </c>
      <c r="C1374" s="8">
        <v>242650</v>
      </c>
      <c r="E1374" s="8">
        <f t="shared" si="29"/>
        <v>5034592</v>
      </c>
      <c r="F1374" s="14" t="s">
        <v>319</v>
      </c>
      <c r="G1374" s="14" t="s">
        <v>117</v>
      </c>
      <c r="H1374" t="s">
        <v>64</v>
      </c>
    </row>
    <row r="1375" spans="1:9">
      <c r="B1375" t="s">
        <v>3254</v>
      </c>
      <c r="C1375" s="8">
        <v>34629</v>
      </c>
      <c r="E1375" s="8">
        <f t="shared" si="29"/>
        <v>4999963</v>
      </c>
      <c r="F1375" s="14" t="s">
        <v>113</v>
      </c>
      <c r="G1375" s="14" t="s">
        <v>478</v>
      </c>
      <c r="H1375" t="s">
        <v>64</v>
      </c>
    </row>
    <row r="1376" spans="1:9">
      <c r="B1376" t="s">
        <v>3259</v>
      </c>
      <c r="C1376" s="8">
        <v>484100</v>
      </c>
      <c r="E1376" s="8">
        <f t="shared" si="29"/>
        <v>4515863</v>
      </c>
      <c r="F1376" s="14" t="s">
        <v>319</v>
      </c>
      <c r="G1376" s="14" t="s">
        <v>320</v>
      </c>
      <c r="H1376" t="s">
        <v>64</v>
      </c>
    </row>
    <row r="1377" spans="1:9">
      <c r="B1377" t="s">
        <v>380</v>
      </c>
      <c r="C1377" s="8">
        <v>298564</v>
      </c>
      <c r="E1377" s="8">
        <f t="shared" si="29"/>
        <v>4217299</v>
      </c>
      <c r="F1377" s="14" t="s">
        <v>319</v>
      </c>
      <c r="G1377" s="14" t="s">
        <v>117</v>
      </c>
      <c r="H1377" t="s">
        <v>64</v>
      </c>
    </row>
    <row r="1378" spans="1:9">
      <c r="B1378" t="s">
        <v>3260</v>
      </c>
      <c r="C1378" s="8">
        <v>1360000</v>
      </c>
      <c r="E1378" s="8">
        <f t="shared" si="29"/>
        <v>2857299</v>
      </c>
      <c r="F1378" s="14" t="s">
        <v>319</v>
      </c>
      <c r="G1378" s="14" t="s">
        <v>320</v>
      </c>
      <c r="H1378" t="s">
        <v>64</v>
      </c>
    </row>
    <row r="1379" spans="1:9">
      <c r="B1379" t="s">
        <v>1042</v>
      </c>
      <c r="C1379" s="8">
        <v>279814</v>
      </c>
      <c r="E1379" s="8">
        <f t="shared" si="29"/>
        <v>2577485</v>
      </c>
      <c r="F1379" s="14" t="s">
        <v>319</v>
      </c>
      <c r="G1379" s="14" t="s">
        <v>117</v>
      </c>
      <c r="H1379" t="s">
        <v>64</v>
      </c>
    </row>
    <row r="1380" spans="1:9">
      <c r="B1380" t="s">
        <v>3261</v>
      </c>
      <c r="C1380" s="8">
        <v>171500</v>
      </c>
      <c r="E1380" s="8">
        <f t="shared" si="29"/>
        <v>2405985</v>
      </c>
      <c r="F1380" s="14" t="s">
        <v>736</v>
      </c>
      <c r="G1380" s="14" t="s">
        <v>455</v>
      </c>
      <c r="H1380" t="s">
        <v>64</v>
      </c>
    </row>
    <row r="1381" spans="1:9">
      <c r="B1381" t="s">
        <v>3262</v>
      </c>
      <c r="C1381" s="8">
        <v>210000</v>
      </c>
      <c r="E1381" s="8">
        <f t="shared" si="29"/>
        <v>2195985</v>
      </c>
      <c r="F1381" s="14" t="s">
        <v>736</v>
      </c>
      <c r="G1381" s="14" t="s">
        <v>455</v>
      </c>
      <c r="H1381" t="s">
        <v>64</v>
      </c>
    </row>
    <row r="1382" spans="1:9">
      <c r="B1382" t="s">
        <v>897</v>
      </c>
      <c r="C1382" s="8">
        <v>301640</v>
      </c>
      <c r="E1382" s="8">
        <f t="shared" si="29"/>
        <v>1894345</v>
      </c>
      <c r="F1382" s="14" t="s">
        <v>319</v>
      </c>
      <c r="G1382" s="14" t="s">
        <v>117</v>
      </c>
      <c r="H1382" t="s">
        <v>64</v>
      </c>
    </row>
    <row r="1383" spans="1:9">
      <c r="B1383" t="s">
        <v>3263</v>
      </c>
      <c r="C1383" s="8">
        <v>846600</v>
      </c>
      <c r="E1383" s="8">
        <f t="shared" si="29"/>
        <v>1047745</v>
      </c>
      <c r="F1383" s="14" t="s">
        <v>319</v>
      </c>
      <c r="G1383" s="14" t="s">
        <v>647</v>
      </c>
      <c r="H1383" t="s">
        <v>64</v>
      </c>
    </row>
    <row r="1384" spans="1:9">
      <c r="B1384" t="s">
        <v>3114</v>
      </c>
      <c r="C1384" s="8">
        <v>700000</v>
      </c>
      <c r="E1384" s="8">
        <f t="shared" si="29"/>
        <v>347745</v>
      </c>
      <c r="F1384" s="14" t="s">
        <v>319</v>
      </c>
      <c r="G1384" s="14" t="s">
        <v>392</v>
      </c>
      <c r="H1384" t="s">
        <v>64</v>
      </c>
    </row>
    <row r="1385" spans="1:9">
      <c r="B1385" t="s">
        <v>380</v>
      </c>
      <c r="C1385" s="8">
        <v>271040</v>
      </c>
      <c r="E1385" s="8">
        <f t="shared" si="29"/>
        <v>76705</v>
      </c>
      <c r="F1385" s="14" t="s">
        <v>319</v>
      </c>
      <c r="G1385" s="14" t="s">
        <v>117</v>
      </c>
      <c r="H1385" t="s">
        <v>64</v>
      </c>
    </row>
    <row r="1386" spans="1:9">
      <c r="B1386" t="s">
        <v>3258</v>
      </c>
      <c r="C1386" s="8">
        <v>76705</v>
      </c>
      <c r="E1386" s="8">
        <f t="shared" si="29"/>
        <v>0</v>
      </c>
      <c r="F1386" s="14" t="s">
        <v>113</v>
      </c>
      <c r="G1386" s="14" t="s">
        <v>478</v>
      </c>
      <c r="H1386" t="s">
        <v>64</v>
      </c>
    </row>
    <row r="1387" spans="1:9" s="14" customFormat="1">
      <c r="A1387" s="138">
        <v>44442</v>
      </c>
      <c r="B1387" s="14" t="s">
        <v>2797</v>
      </c>
      <c r="C1387" s="50">
        <v>0</v>
      </c>
      <c r="D1387" s="50">
        <v>26279735</v>
      </c>
      <c r="E1387" s="8">
        <f t="shared" si="29"/>
        <v>26279735</v>
      </c>
      <c r="F1387" s="14" t="s">
        <v>107</v>
      </c>
      <c r="G1387" s="14" t="s">
        <v>274</v>
      </c>
      <c r="H1387" s="14" t="s">
        <v>142</v>
      </c>
    </row>
    <row r="1388" spans="1:9">
      <c r="B1388" t="s">
        <v>3236</v>
      </c>
      <c r="C1388" s="8">
        <v>675000</v>
      </c>
      <c r="E1388" s="8">
        <f t="shared" si="29"/>
        <v>25604735</v>
      </c>
      <c r="F1388" s="14" t="s">
        <v>137</v>
      </c>
      <c r="G1388" s="14" t="s">
        <v>138</v>
      </c>
      <c r="H1388" s="168" t="s">
        <v>4140</v>
      </c>
    </row>
    <row r="1389" spans="1:9">
      <c r="B1389" t="s">
        <v>3236</v>
      </c>
      <c r="C1389" s="8">
        <v>1575000</v>
      </c>
      <c r="E1389" s="8">
        <f t="shared" si="29"/>
        <v>24029735</v>
      </c>
      <c r="F1389" s="14" t="s">
        <v>137</v>
      </c>
      <c r="G1389" s="14" t="s">
        <v>138</v>
      </c>
      <c r="H1389" s="168" t="s">
        <v>3032</v>
      </c>
    </row>
    <row r="1390" spans="1:9">
      <c r="B1390" t="s">
        <v>3264</v>
      </c>
      <c r="C1390" s="8">
        <v>377000</v>
      </c>
      <c r="E1390" s="8">
        <f t="shared" si="29"/>
        <v>23652735</v>
      </c>
      <c r="F1390" s="14" t="s">
        <v>137</v>
      </c>
      <c r="G1390" s="14" t="s">
        <v>138</v>
      </c>
      <c r="H1390" s="168" t="s">
        <v>3052</v>
      </c>
    </row>
    <row r="1391" spans="1:9">
      <c r="B1391" t="s">
        <v>3265</v>
      </c>
      <c r="C1391" s="8">
        <v>855000</v>
      </c>
      <c r="E1391" s="8">
        <f t="shared" si="29"/>
        <v>22797735</v>
      </c>
      <c r="F1391" s="14" t="s">
        <v>137</v>
      </c>
      <c r="G1391" s="14" t="s">
        <v>138</v>
      </c>
      <c r="H1391" s="168" t="s">
        <v>3052</v>
      </c>
    </row>
    <row r="1392" spans="1:9">
      <c r="B1392" t="s">
        <v>3266</v>
      </c>
      <c r="C1392" s="54">
        <v>1745600</v>
      </c>
      <c r="D1392" s="54"/>
      <c r="E1392" s="54">
        <f t="shared" si="29"/>
        <v>21052135</v>
      </c>
      <c r="F1392" s="14" t="s">
        <v>115</v>
      </c>
      <c r="G1392" s="14" t="s">
        <v>120</v>
      </c>
      <c r="H1392" s="14" t="s">
        <v>127</v>
      </c>
      <c r="I1392" s="14" t="s">
        <v>444</v>
      </c>
    </row>
    <row r="1393" spans="2:9">
      <c r="B1393" t="s">
        <v>3266</v>
      </c>
      <c r="C1393" s="54">
        <v>2858500</v>
      </c>
      <c r="D1393" s="54"/>
      <c r="E1393" s="54">
        <f t="shared" si="29"/>
        <v>18193635</v>
      </c>
      <c r="F1393" s="14" t="s">
        <v>115</v>
      </c>
      <c r="G1393" s="14" t="s">
        <v>120</v>
      </c>
      <c r="H1393" s="14" t="s">
        <v>127</v>
      </c>
      <c r="I1393" s="14" t="s">
        <v>444</v>
      </c>
    </row>
    <row r="1394" spans="2:9">
      <c r="B1394" t="s">
        <v>3266</v>
      </c>
      <c r="C1394" s="54">
        <v>1635500</v>
      </c>
      <c r="D1394" s="54"/>
      <c r="E1394" s="54">
        <f t="shared" si="29"/>
        <v>16558135</v>
      </c>
      <c r="F1394" s="14" t="s">
        <v>115</v>
      </c>
      <c r="G1394" s="14" t="s">
        <v>120</v>
      </c>
      <c r="H1394" s="14" t="s">
        <v>127</v>
      </c>
      <c r="I1394" s="14" t="s">
        <v>444</v>
      </c>
    </row>
    <row r="1395" spans="2:9">
      <c r="B1395" t="s">
        <v>3266</v>
      </c>
      <c r="C1395" s="54">
        <v>2618000</v>
      </c>
      <c r="D1395" s="54"/>
      <c r="E1395" s="54">
        <f t="shared" si="29"/>
        <v>13940135</v>
      </c>
      <c r="F1395" s="14" t="s">
        <v>115</v>
      </c>
      <c r="G1395" s="14" t="s">
        <v>120</v>
      </c>
      <c r="H1395" s="14" t="s">
        <v>127</v>
      </c>
      <c r="I1395" s="14" t="s">
        <v>444</v>
      </c>
    </row>
    <row r="1396" spans="2:9">
      <c r="B1396" t="s">
        <v>3266</v>
      </c>
      <c r="C1396" s="54">
        <v>6640800</v>
      </c>
      <c r="D1396" s="54"/>
      <c r="E1396" s="54">
        <f t="shared" si="29"/>
        <v>7299335</v>
      </c>
      <c r="F1396" s="14" t="s">
        <v>115</v>
      </c>
      <c r="G1396" s="14" t="s">
        <v>120</v>
      </c>
      <c r="H1396" s="14" t="s">
        <v>127</v>
      </c>
      <c r="I1396" s="14" t="s">
        <v>444</v>
      </c>
    </row>
    <row r="1397" spans="2:9">
      <c r="B1397" t="s">
        <v>3267</v>
      </c>
      <c r="C1397" s="8">
        <v>100000</v>
      </c>
      <c r="E1397" s="8">
        <f t="shared" si="29"/>
        <v>7199335</v>
      </c>
      <c r="F1397" s="14" t="s">
        <v>113</v>
      </c>
      <c r="G1397" s="14" t="s">
        <v>478</v>
      </c>
      <c r="H1397" t="s">
        <v>64</v>
      </c>
    </row>
    <row r="1398" spans="2:9">
      <c r="B1398" t="s">
        <v>3264</v>
      </c>
      <c r="C1398" s="8">
        <v>410500</v>
      </c>
      <c r="E1398" s="8">
        <f t="shared" si="29"/>
        <v>6788835</v>
      </c>
      <c r="F1398" s="14" t="s">
        <v>137</v>
      </c>
      <c r="G1398" s="14" t="s">
        <v>138</v>
      </c>
      <c r="H1398" s="168" t="s">
        <v>3024</v>
      </c>
    </row>
    <row r="1399" spans="2:9">
      <c r="B1399" t="s">
        <v>898</v>
      </c>
      <c r="C1399" s="8">
        <v>362000</v>
      </c>
      <c r="E1399" s="8">
        <f t="shared" si="29"/>
        <v>6426835</v>
      </c>
      <c r="F1399" s="14" t="s">
        <v>137</v>
      </c>
      <c r="G1399" s="14" t="s">
        <v>138</v>
      </c>
      <c r="H1399" s="168" t="s">
        <v>3024</v>
      </c>
    </row>
    <row r="1400" spans="2:9">
      <c r="B1400" t="s">
        <v>3268</v>
      </c>
      <c r="C1400" s="8">
        <v>431000</v>
      </c>
      <c r="E1400" s="8">
        <f t="shared" si="29"/>
        <v>5995835</v>
      </c>
      <c r="F1400" s="14" t="s">
        <v>137</v>
      </c>
      <c r="G1400" s="14" t="s">
        <v>138</v>
      </c>
      <c r="H1400" s="168" t="s">
        <v>3024</v>
      </c>
    </row>
    <row r="1401" spans="2:9" s="14" customFormat="1">
      <c r="B1401" s="14" t="s">
        <v>3269</v>
      </c>
      <c r="C1401" s="83">
        <v>145000</v>
      </c>
      <c r="E1401" s="8">
        <f t="shared" si="29"/>
        <v>5850835</v>
      </c>
      <c r="F1401" s="14" t="s">
        <v>137</v>
      </c>
      <c r="G1401" s="14" t="s">
        <v>138</v>
      </c>
      <c r="H1401" s="14" t="s">
        <v>3017</v>
      </c>
    </row>
    <row r="1402" spans="2:9">
      <c r="B1402" t="s">
        <v>3106</v>
      </c>
      <c r="C1402" s="8">
        <v>422000</v>
      </c>
      <c r="E1402" s="8">
        <f t="shared" si="29"/>
        <v>5428835</v>
      </c>
      <c r="F1402" s="14" t="s">
        <v>137</v>
      </c>
      <c r="G1402" s="14" t="s">
        <v>138</v>
      </c>
      <c r="H1402" s="14" t="s">
        <v>3017</v>
      </c>
    </row>
    <row r="1403" spans="2:9">
      <c r="B1403" t="s">
        <v>3270</v>
      </c>
      <c r="C1403" s="8">
        <v>139200</v>
      </c>
      <c r="E1403" s="8">
        <f t="shared" si="29"/>
        <v>5289635</v>
      </c>
      <c r="F1403" s="14" t="s">
        <v>137</v>
      </c>
      <c r="G1403" s="14" t="s">
        <v>138</v>
      </c>
      <c r="H1403" s="14" t="s">
        <v>3017</v>
      </c>
    </row>
    <row r="1404" spans="2:9">
      <c r="B1404" t="s">
        <v>1040</v>
      </c>
      <c r="C1404" s="8">
        <v>186700</v>
      </c>
      <c r="E1404" s="8">
        <f t="shared" si="29"/>
        <v>5102935</v>
      </c>
      <c r="F1404" s="14" t="s">
        <v>137</v>
      </c>
      <c r="G1404" s="14" t="s">
        <v>138</v>
      </c>
      <c r="H1404" s="14" t="s">
        <v>3017</v>
      </c>
    </row>
    <row r="1405" spans="2:9">
      <c r="B1405" t="s">
        <v>897</v>
      </c>
      <c r="C1405" s="8">
        <v>243653</v>
      </c>
      <c r="E1405" s="8">
        <f t="shared" si="29"/>
        <v>4859282</v>
      </c>
      <c r="F1405" s="14" t="s">
        <v>137</v>
      </c>
      <c r="G1405" s="14" t="s">
        <v>138</v>
      </c>
      <c r="H1405" s="14" t="s">
        <v>3017</v>
      </c>
    </row>
    <row r="1406" spans="2:9">
      <c r="B1406" t="s">
        <v>3266</v>
      </c>
      <c r="C1406" s="54">
        <v>620500</v>
      </c>
      <c r="D1406" s="54"/>
      <c r="E1406" s="54">
        <f t="shared" si="29"/>
        <v>4238782</v>
      </c>
      <c r="F1406" s="14" t="s">
        <v>115</v>
      </c>
      <c r="G1406" s="14" t="s">
        <v>120</v>
      </c>
      <c r="H1406" s="14" t="s">
        <v>127</v>
      </c>
      <c r="I1406" s="14" t="s">
        <v>444</v>
      </c>
    </row>
    <row r="1407" spans="2:9">
      <c r="B1407" t="s">
        <v>1031</v>
      </c>
      <c r="C1407" s="8">
        <v>10000</v>
      </c>
      <c r="E1407" s="8">
        <f t="shared" si="29"/>
        <v>4228782</v>
      </c>
      <c r="F1407" s="14" t="s">
        <v>113</v>
      </c>
      <c r="G1407" s="14" t="s">
        <v>114</v>
      </c>
      <c r="H1407" t="s">
        <v>64</v>
      </c>
    </row>
    <row r="1408" spans="2:9">
      <c r="B1408" t="s">
        <v>3271</v>
      </c>
      <c r="C1408" s="54">
        <v>1707333</v>
      </c>
      <c r="D1408" s="54"/>
      <c r="E1408" s="54">
        <f t="shared" si="29"/>
        <v>2521449</v>
      </c>
      <c r="F1408" s="14" t="s">
        <v>115</v>
      </c>
      <c r="G1408" s="14" t="s">
        <v>440</v>
      </c>
      <c r="H1408" s="14" t="s">
        <v>4001</v>
      </c>
    </row>
    <row r="1409" spans="1:9">
      <c r="B1409" t="s">
        <v>3272</v>
      </c>
      <c r="C1409" s="54">
        <v>1458250</v>
      </c>
      <c r="D1409" s="54"/>
      <c r="E1409" s="54">
        <f t="shared" si="29"/>
        <v>1063199</v>
      </c>
      <c r="F1409" s="14" t="s">
        <v>115</v>
      </c>
      <c r="G1409" s="14" t="s">
        <v>440</v>
      </c>
      <c r="H1409" s="14" t="s">
        <v>4002</v>
      </c>
    </row>
    <row r="1410" spans="1:9">
      <c r="B1410" t="s">
        <v>3210</v>
      </c>
      <c r="C1410" s="8">
        <v>1063198</v>
      </c>
      <c r="E1410" s="8">
        <f t="shared" si="29"/>
        <v>1</v>
      </c>
      <c r="F1410" s="14" t="s">
        <v>113</v>
      </c>
      <c r="G1410" s="14" t="s">
        <v>478</v>
      </c>
      <c r="H1410" t="s">
        <v>64</v>
      </c>
    </row>
    <row r="1411" spans="1:9">
      <c r="B1411" t="s">
        <v>3273</v>
      </c>
      <c r="C1411" s="8">
        <v>1</v>
      </c>
      <c r="E1411" s="8">
        <f t="shared" si="29"/>
        <v>0</v>
      </c>
      <c r="F1411" s="14" t="s">
        <v>252</v>
      </c>
      <c r="G1411" s="14" t="s">
        <v>665</v>
      </c>
    </row>
    <row r="1412" spans="1:9">
      <c r="A1412" s="3">
        <v>44442</v>
      </c>
      <c r="B1412" t="s">
        <v>3064</v>
      </c>
      <c r="C1412" s="54">
        <v>0</v>
      </c>
      <c r="D1412" s="54">
        <v>10690909.151999995</v>
      </c>
      <c r="E1412" s="8">
        <f t="shared" si="29"/>
        <v>10690909.151999995</v>
      </c>
      <c r="F1412" t="s">
        <v>581</v>
      </c>
      <c r="G1412" t="s">
        <v>582</v>
      </c>
      <c r="H1412" s="14" t="s">
        <v>3024</v>
      </c>
      <c r="I1412">
        <v>57</v>
      </c>
    </row>
    <row r="1413" spans="1:9">
      <c r="B1413" t="s">
        <v>3064</v>
      </c>
      <c r="C1413" s="8">
        <v>8909090.959999999</v>
      </c>
      <c r="E1413" s="8">
        <f t="shared" si="29"/>
        <v>1781818.1919999961</v>
      </c>
      <c r="F1413" s="14" t="s">
        <v>568</v>
      </c>
      <c r="G1413" s="14" t="s">
        <v>4395</v>
      </c>
      <c r="H1413" s="14" t="s">
        <v>3024</v>
      </c>
      <c r="I1413">
        <v>57</v>
      </c>
    </row>
    <row r="1414" spans="1:9">
      <c r="B1414" t="s">
        <v>3064</v>
      </c>
      <c r="C1414" s="8">
        <v>1781818.1919999961</v>
      </c>
      <c r="E1414" s="8">
        <f t="shared" si="29"/>
        <v>0</v>
      </c>
      <c r="F1414" t="s">
        <v>714</v>
      </c>
      <c r="G1414" t="s">
        <v>715</v>
      </c>
      <c r="H1414" s="14" t="s">
        <v>3024</v>
      </c>
      <c r="I1414">
        <v>57</v>
      </c>
    </row>
    <row r="1415" spans="1:9">
      <c r="A1415" s="3">
        <v>44445</v>
      </c>
      <c r="B1415" t="s">
        <v>3058</v>
      </c>
      <c r="C1415" s="54">
        <v>0</v>
      </c>
      <c r="D1415" s="54">
        <v>44099020</v>
      </c>
      <c r="E1415" s="8">
        <f t="shared" si="29"/>
        <v>44099020</v>
      </c>
      <c r="F1415" t="s">
        <v>581</v>
      </c>
      <c r="G1415" t="s">
        <v>582</v>
      </c>
      <c r="H1415" s="14" t="s">
        <v>2960</v>
      </c>
      <c r="I1415">
        <v>39</v>
      </c>
    </row>
    <row r="1416" spans="1:9">
      <c r="B1416" t="s">
        <v>3058</v>
      </c>
      <c r="C1416" s="8">
        <v>43690850</v>
      </c>
      <c r="E1416" s="8">
        <f t="shared" si="29"/>
        <v>408170</v>
      </c>
      <c r="F1416" s="14" t="s">
        <v>568</v>
      </c>
      <c r="G1416" s="14" t="s">
        <v>4395</v>
      </c>
      <c r="H1416" s="14" t="s">
        <v>2960</v>
      </c>
      <c r="I1416">
        <v>39</v>
      </c>
    </row>
    <row r="1417" spans="1:9">
      <c r="B1417" t="s">
        <v>3058</v>
      </c>
      <c r="C1417" s="8">
        <v>408170</v>
      </c>
      <c r="E1417" s="8">
        <f t="shared" si="29"/>
        <v>0</v>
      </c>
      <c r="F1417" t="s">
        <v>714</v>
      </c>
      <c r="G1417" t="s">
        <v>715</v>
      </c>
      <c r="H1417" s="14" t="s">
        <v>2960</v>
      </c>
      <c r="I1417">
        <v>39</v>
      </c>
    </row>
    <row r="1418" spans="1:9">
      <c r="A1418" s="3">
        <v>44445</v>
      </c>
      <c r="B1418" t="s">
        <v>3058</v>
      </c>
      <c r="C1418" s="54">
        <v>0</v>
      </c>
      <c r="D1418" s="54">
        <v>80180100</v>
      </c>
      <c r="E1418" s="8">
        <f t="shared" si="29"/>
        <v>80180100</v>
      </c>
      <c r="F1418" t="s">
        <v>581</v>
      </c>
      <c r="G1418" t="s">
        <v>582</v>
      </c>
      <c r="H1418" s="14" t="s">
        <v>2965</v>
      </c>
      <c r="I1418">
        <v>48</v>
      </c>
    </row>
    <row r="1419" spans="1:9">
      <c r="B1419" t="s">
        <v>3058</v>
      </c>
      <c r="C1419" s="8">
        <v>66816750</v>
      </c>
      <c r="E1419" s="8">
        <f t="shared" si="29"/>
        <v>13363350</v>
      </c>
      <c r="F1419" s="14" t="s">
        <v>568</v>
      </c>
      <c r="G1419" s="14" t="s">
        <v>4395</v>
      </c>
      <c r="H1419" s="14" t="s">
        <v>2965</v>
      </c>
      <c r="I1419">
        <v>48</v>
      </c>
    </row>
    <row r="1420" spans="1:9">
      <c r="B1420" t="s">
        <v>3058</v>
      </c>
      <c r="C1420" s="8">
        <v>13363350</v>
      </c>
      <c r="E1420" s="8">
        <f t="shared" si="29"/>
        <v>0</v>
      </c>
      <c r="F1420" t="s">
        <v>714</v>
      </c>
      <c r="G1420" t="s">
        <v>715</v>
      </c>
      <c r="H1420" s="14" t="s">
        <v>2965</v>
      </c>
      <c r="I1420">
        <v>48</v>
      </c>
    </row>
    <row r="1421" spans="1:9">
      <c r="A1421" s="3">
        <v>44449</v>
      </c>
      <c r="B1421" t="s">
        <v>2093</v>
      </c>
      <c r="C1421" s="8">
        <v>0</v>
      </c>
      <c r="D1421" s="8">
        <v>10800000</v>
      </c>
      <c r="E1421" s="8">
        <f t="shared" si="29"/>
        <v>10800000</v>
      </c>
      <c r="F1421" t="s">
        <v>581</v>
      </c>
      <c r="G1421" t="s">
        <v>582</v>
      </c>
      <c r="H1421" s="14" t="s">
        <v>2043</v>
      </c>
      <c r="I1421">
        <v>50</v>
      </c>
    </row>
    <row r="1422" spans="1:9">
      <c r="B1422" t="s">
        <v>2093</v>
      </c>
      <c r="C1422" s="8">
        <v>9000000</v>
      </c>
      <c r="E1422" s="8">
        <f t="shared" si="29"/>
        <v>1800000</v>
      </c>
      <c r="F1422" s="14" t="s">
        <v>568</v>
      </c>
      <c r="G1422" s="14" t="s">
        <v>4395</v>
      </c>
      <c r="H1422" s="14" t="s">
        <v>2043</v>
      </c>
      <c r="I1422">
        <v>50</v>
      </c>
    </row>
    <row r="1423" spans="1:9">
      <c r="B1423" t="s">
        <v>2093</v>
      </c>
      <c r="C1423" s="8">
        <v>1800000</v>
      </c>
      <c r="E1423" s="8">
        <f t="shared" si="29"/>
        <v>0</v>
      </c>
      <c r="F1423" t="s">
        <v>714</v>
      </c>
      <c r="G1423" t="s">
        <v>715</v>
      </c>
      <c r="H1423" s="14" t="s">
        <v>2043</v>
      </c>
      <c r="I1423">
        <v>50</v>
      </c>
    </row>
    <row r="1424" spans="1:9">
      <c r="A1424" s="12">
        <v>44449</v>
      </c>
      <c r="B1424" s="7" t="s">
        <v>2421</v>
      </c>
      <c r="C1424" s="8">
        <v>0</v>
      </c>
      <c r="D1424" s="8">
        <v>500000</v>
      </c>
      <c r="E1424" s="8">
        <f t="shared" si="29"/>
        <v>500000</v>
      </c>
      <c r="F1424" s="83" t="s">
        <v>107</v>
      </c>
      <c r="G1424" s="14" t="s">
        <v>666</v>
      </c>
      <c r="H1424" s="14" t="s">
        <v>3405</v>
      </c>
      <c r="I1424" t="s">
        <v>3714</v>
      </c>
    </row>
    <row r="1425" spans="1:12">
      <c r="A1425" s="3">
        <v>44473</v>
      </c>
      <c r="B1425" s="7" t="s">
        <v>2521</v>
      </c>
      <c r="C1425" s="53">
        <v>0</v>
      </c>
      <c r="D1425" s="53">
        <v>526000</v>
      </c>
      <c r="E1425" s="8">
        <f t="shared" si="29"/>
        <v>1026000</v>
      </c>
      <c r="F1425" s="80" t="s">
        <v>107</v>
      </c>
      <c r="G1425" s="14" t="s">
        <v>666</v>
      </c>
      <c r="H1425" s="14" t="s">
        <v>3405</v>
      </c>
      <c r="I1425" t="s">
        <v>3715</v>
      </c>
    </row>
    <row r="1426" spans="1:12">
      <c r="B1426" t="s">
        <v>3716</v>
      </c>
      <c r="C1426" s="50">
        <v>1026000</v>
      </c>
      <c r="D1426" s="8">
        <v>0</v>
      </c>
      <c r="E1426" s="8">
        <f t="shared" si="29"/>
        <v>0</v>
      </c>
      <c r="F1426" s="14" t="s">
        <v>319</v>
      </c>
      <c r="G1426" s="14" t="s">
        <v>676</v>
      </c>
    </row>
    <row r="1427" spans="1:12">
      <c r="A1427" s="3">
        <v>44452</v>
      </c>
      <c r="B1427" s="7" t="s">
        <v>2423</v>
      </c>
      <c r="C1427" s="8">
        <v>0</v>
      </c>
      <c r="D1427" s="8">
        <v>7000000</v>
      </c>
      <c r="E1427" s="8">
        <f t="shared" si="29"/>
        <v>7000000</v>
      </c>
      <c r="F1427" s="83" t="s">
        <v>107</v>
      </c>
      <c r="G1427" s="14" t="s">
        <v>666</v>
      </c>
      <c r="H1427" s="14" t="s">
        <v>3405</v>
      </c>
      <c r="I1427" t="s">
        <v>3717</v>
      </c>
    </row>
    <row r="1428" spans="1:12">
      <c r="B1428" t="s">
        <v>3718</v>
      </c>
      <c r="C1428" s="54">
        <v>1000000</v>
      </c>
      <c r="D1428" s="54"/>
      <c r="E1428" s="54">
        <f t="shared" si="29"/>
        <v>6000000</v>
      </c>
      <c r="F1428" s="14" t="s">
        <v>137</v>
      </c>
      <c r="G1428" s="14" t="s">
        <v>138</v>
      </c>
      <c r="H1428" s="14" t="s">
        <v>3037</v>
      </c>
    </row>
    <row r="1429" spans="1:12">
      <c r="B1429" t="s">
        <v>3719</v>
      </c>
      <c r="C1429" s="54">
        <v>1500000</v>
      </c>
      <c r="D1429" s="54"/>
      <c r="E1429" s="54">
        <f t="shared" si="29"/>
        <v>4500000</v>
      </c>
      <c r="F1429" s="14" t="s">
        <v>137</v>
      </c>
      <c r="G1429" s="14" t="s">
        <v>138</v>
      </c>
      <c r="H1429" s="14" t="s">
        <v>3037</v>
      </c>
    </row>
    <row r="1430" spans="1:12">
      <c r="B1430" t="s">
        <v>3720</v>
      </c>
      <c r="C1430" s="54">
        <v>1000000</v>
      </c>
      <c r="D1430" s="54"/>
      <c r="E1430" s="54">
        <f t="shared" si="29"/>
        <v>3500000</v>
      </c>
      <c r="F1430" s="14" t="s">
        <v>137</v>
      </c>
      <c r="G1430" s="14" t="s">
        <v>138</v>
      </c>
      <c r="H1430" s="14" t="s">
        <v>3037</v>
      </c>
    </row>
    <row r="1431" spans="1:12">
      <c r="B1431" t="s">
        <v>3721</v>
      </c>
      <c r="C1431" s="54">
        <v>500000</v>
      </c>
      <c r="D1431" s="54"/>
      <c r="E1431" s="54">
        <f t="shared" si="29"/>
        <v>3000000</v>
      </c>
      <c r="F1431" s="14" t="s">
        <v>137</v>
      </c>
      <c r="G1431" s="14" t="s">
        <v>138</v>
      </c>
      <c r="H1431" s="14" t="s">
        <v>3037</v>
      </c>
    </row>
    <row r="1432" spans="1:12">
      <c r="B1432" t="s">
        <v>3722</v>
      </c>
      <c r="C1432" s="54">
        <v>200000</v>
      </c>
      <c r="D1432" s="54"/>
      <c r="E1432" s="54">
        <f t="shared" si="29"/>
        <v>2800000</v>
      </c>
      <c r="F1432" s="14" t="s">
        <v>137</v>
      </c>
      <c r="G1432" s="14" t="s">
        <v>138</v>
      </c>
      <c r="H1432" s="14" t="s">
        <v>3037</v>
      </c>
    </row>
    <row r="1433" spans="1:12">
      <c r="B1433" t="s">
        <v>3723</v>
      </c>
      <c r="C1433" s="54">
        <v>270200</v>
      </c>
      <c r="D1433" s="54"/>
      <c r="E1433" s="54">
        <f t="shared" si="29"/>
        <v>2529800</v>
      </c>
      <c r="F1433" s="14" t="s">
        <v>137</v>
      </c>
      <c r="G1433" s="14" t="s">
        <v>138</v>
      </c>
      <c r="H1433" s="14" t="s">
        <v>3037</v>
      </c>
    </row>
    <row r="1434" spans="1:12">
      <c r="B1434" t="s">
        <v>3724</v>
      </c>
      <c r="C1434" s="54">
        <v>121400</v>
      </c>
      <c r="D1434" s="54"/>
      <c r="E1434" s="54">
        <f t="shared" si="29"/>
        <v>2408400</v>
      </c>
      <c r="F1434" s="14" t="s">
        <v>137</v>
      </c>
      <c r="G1434" s="14" t="s">
        <v>138</v>
      </c>
      <c r="H1434" s="14" t="s">
        <v>3037</v>
      </c>
    </row>
    <row r="1435" spans="1:12">
      <c r="B1435" t="s">
        <v>3725</v>
      </c>
      <c r="C1435" s="54">
        <v>300000</v>
      </c>
      <c r="D1435" s="54"/>
      <c r="E1435" s="54">
        <f t="shared" si="29"/>
        <v>2108400</v>
      </c>
      <c r="F1435" s="14" t="s">
        <v>137</v>
      </c>
      <c r="G1435" s="14" t="s">
        <v>138</v>
      </c>
      <c r="H1435" s="14" t="s">
        <v>3037</v>
      </c>
    </row>
    <row r="1436" spans="1:12">
      <c r="B1436" t="s">
        <v>3726</v>
      </c>
      <c r="C1436" s="54">
        <v>600000</v>
      </c>
      <c r="D1436" s="54"/>
      <c r="E1436" s="54">
        <f t="shared" si="29"/>
        <v>1508400</v>
      </c>
      <c r="F1436" s="14" t="s">
        <v>137</v>
      </c>
      <c r="G1436" s="14" t="s">
        <v>138</v>
      </c>
      <c r="H1436" s="14" t="s">
        <v>3037</v>
      </c>
    </row>
    <row r="1437" spans="1:12">
      <c r="B1437" t="s">
        <v>3727</v>
      </c>
      <c r="C1437" s="54">
        <v>800000</v>
      </c>
      <c r="D1437" s="54"/>
      <c r="E1437" s="54">
        <f t="shared" si="29"/>
        <v>708400</v>
      </c>
      <c r="F1437" s="14" t="s">
        <v>137</v>
      </c>
      <c r="G1437" s="14" t="s">
        <v>138</v>
      </c>
      <c r="H1437" s="14" t="s">
        <v>3037</v>
      </c>
      <c r="K1437" s="14" t="s">
        <v>4150</v>
      </c>
      <c r="L1437" s="14" t="s">
        <v>119</v>
      </c>
    </row>
    <row r="1438" spans="1:12">
      <c r="B1438" t="s">
        <v>3728</v>
      </c>
      <c r="C1438" s="54">
        <v>65000</v>
      </c>
      <c r="D1438" s="54"/>
      <c r="E1438" s="54">
        <f t="shared" si="29"/>
        <v>643400</v>
      </c>
      <c r="F1438" s="14" t="s">
        <v>137</v>
      </c>
      <c r="G1438" s="14" t="s">
        <v>138</v>
      </c>
      <c r="H1438" s="14" t="s">
        <v>3037</v>
      </c>
    </row>
    <row r="1439" spans="1:12">
      <c r="B1439" t="s">
        <v>3729</v>
      </c>
      <c r="C1439" s="54">
        <v>100000</v>
      </c>
      <c r="D1439" s="54"/>
      <c r="E1439" s="54">
        <f t="shared" si="29"/>
        <v>543400</v>
      </c>
      <c r="F1439" s="14" t="s">
        <v>137</v>
      </c>
      <c r="G1439" s="14" t="s">
        <v>138</v>
      </c>
      <c r="H1439" s="14" t="s">
        <v>3037</v>
      </c>
    </row>
    <row r="1440" spans="1:12">
      <c r="B1440" s="7" t="s">
        <v>2429</v>
      </c>
      <c r="C1440" s="8">
        <v>543400</v>
      </c>
      <c r="D1440" s="8">
        <v>0</v>
      </c>
      <c r="E1440" s="8">
        <f t="shared" si="29"/>
        <v>0</v>
      </c>
      <c r="F1440" s="83" t="s">
        <v>107</v>
      </c>
      <c r="G1440" s="14" t="s">
        <v>668</v>
      </c>
      <c r="H1440" s="14" t="s">
        <v>3405</v>
      </c>
      <c r="I1440" t="s">
        <v>3717</v>
      </c>
    </row>
    <row r="1441" spans="1:9">
      <c r="A1441" s="3">
        <v>44453</v>
      </c>
      <c r="B1441" s="7" t="s">
        <v>3730</v>
      </c>
      <c r="C1441" s="8">
        <v>0</v>
      </c>
      <c r="D1441" s="8">
        <v>5000000</v>
      </c>
      <c r="E1441" s="8">
        <f t="shared" si="29"/>
        <v>5000000</v>
      </c>
      <c r="F1441" s="83" t="s">
        <v>107</v>
      </c>
      <c r="G1441" s="14" t="s">
        <v>666</v>
      </c>
      <c r="H1441" s="14" t="s">
        <v>3405</v>
      </c>
      <c r="I1441" t="s">
        <v>3731</v>
      </c>
    </row>
    <row r="1442" spans="1:9">
      <c r="B1442" s="7" t="s">
        <v>3732</v>
      </c>
      <c r="C1442" s="54">
        <v>133000</v>
      </c>
      <c r="D1442" s="54"/>
      <c r="E1442" s="54">
        <f t="shared" si="29"/>
        <v>4867000</v>
      </c>
      <c r="F1442" s="80" t="s">
        <v>115</v>
      </c>
      <c r="G1442" s="14" t="s">
        <v>120</v>
      </c>
      <c r="H1442" s="14" t="s">
        <v>127</v>
      </c>
      <c r="I1442" s="14" t="s">
        <v>444</v>
      </c>
    </row>
    <row r="1443" spans="1:9">
      <c r="B1443" s="7" t="s">
        <v>3733</v>
      </c>
      <c r="C1443" s="54">
        <v>142400</v>
      </c>
      <c r="D1443" s="54"/>
      <c r="E1443" s="54">
        <f t="shared" si="29"/>
        <v>4724600</v>
      </c>
      <c r="F1443" s="80" t="s">
        <v>115</v>
      </c>
      <c r="G1443" s="14" t="s">
        <v>120</v>
      </c>
      <c r="H1443" s="14" t="s">
        <v>127</v>
      </c>
      <c r="I1443" s="14" t="s">
        <v>444</v>
      </c>
    </row>
    <row r="1444" spans="1:9">
      <c r="B1444" s="7" t="s">
        <v>3734</v>
      </c>
      <c r="C1444" s="54">
        <v>101000</v>
      </c>
      <c r="D1444" s="54"/>
      <c r="E1444" s="54">
        <f t="shared" ref="E1444:E1514" si="30">E1443-C1444+D1444</f>
        <v>4623600</v>
      </c>
      <c r="F1444" s="80" t="s">
        <v>115</v>
      </c>
      <c r="G1444" s="14" t="s">
        <v>120</v>
      </c>
      <c r="H1444" s="14" t="s">
        <v>127</v>
      </c>
      <c r="I1444" s="14" t="s">
        <v>444</v>
      </c>
    </row>
    <row r="1445" spans="1:9">
      <c r="B1445" s="7" t="s">
        <v>3735</v>
      </c>
      <c r="C1445" s="54">
        <v>130000</v>
      </c>
      <c r="D1445" s="54"/>
      <c r="E1445" s="54">
        <f t="shared" si="30"/>
        <v>4493600</v>
      </c>
      <c r="F1445" s="80" t="s">
        <v>115</v>
      </c>
      <c r="G1445" s="14" t="s">
        <v>120</v>
      </c>
      <c r="H1445" s="14" t="s">
        <v>127</v>
      </c>
      <c r="I1445" s="14" t="s">
        <v>444</v>
      </c>
    </row>
    <row r="1446" spans="1:9">
      <c r="B1446" s="7" t="s">
        <v>3736</v>
      </c>
      <c r="C1446" s="54">
        <v>128000</v>
      </c>
      <c r="D1446" s="54"/>
      <c r="E1446" s="54">
        <f t="shared" si="30"/>
        <v>4365600</v>
      </c>
      <c r="F1446" s="80" t="s">
        <v>115</v>
      </c>
      <c r="G1446" s="14" t="s">
        <v>120</v>
      </c>
      <c r="H1446" s="14" t="s">
        <v>127</v>
      </c>
      <c r="I1446" s="14" t="s">
        <v>444</v>
      </c>
    </row>
    <row r="1447" spans="1:9">
      <c r="B1447" s="7" t="s">
        <v>3737</v>
      </c>
      <c r="C1447" s="54">
        <v>125000</v>
      </c>
      <c r="D1447" s="54"/>
      <c r="E1447" s="54">
        <f t="shared" si="30"/>
        <v>4240600</v>
      </c>
      <c r="F1447" s="80" t="s">
        <v>115</v>
      </c>
      <c r="G1447" s="14" t="s">
        <v>120</v>
      </c>
      <c r="H1447" s="14" t="s">
        <v>127</v>
      </c>
      <c r="I1447" s="14" t="s">
        <v>444</v>
      </c>
    </row>
    <row r="1448" spans="1:9">
      <c r="B1448" s="7" t="s">
        <v>3738</v>
      </c>
      <c r="C1448" s="54">
        <v>132000</v>
      </c>
      <c r="D1448" s="54"/>
      <c r="E1448" s="54">
        <f t="shared" si="30"/>
        <v>4108600</v>
      </c>
      <c r="F1448" s="80" t="s">
        <v>115</v>
      </c>
      <c r="G1448" s="14" t="s">
        <v>120</v>
      </c>
      <c r="H1448" s="14" t="s">
        <v>127</v>
      </c>
      <c r="I1448" s="14" t="s">
        <v>444</v>
      </c>
    </row>
    <row r="1449" spans="1:9">
      <c r="B1449" s="7" t="s">
        <v>3739</v>
      </c>
      <c r="C1449" s="54">
        <v>130000</v>
      </c>
      <c r="D1449" s="54"/>
      <c r="E1449" s="54">
        <f t="shared" si="30"/>
        <v>3978600</v>
      </c>
      <c r="F1449" s="80" t="s">
        <v>115</v>
      </c>
      <c r="G1449" s="14" t="s">
        <v>120</v>
      </c>
      <c r="H1449" s="14" t="s">
        <v>127</v>
      </c>
      <c r="I1449" s="14" t="s">
        <v>444</v>
      </c>
    </row>
    <row r="1450" spans="1:9">
      <c r="B1450" s="7" t="s">
        <v>3740</v>
      </c>
      <c r="C1450" s="54">
        <v>131000</v>
      </c>
      <c r="D1450" s="54"/>
      <c r="E1450" s="54">
        <f t="shared" si="30"/>
        <v>3847600</v>
      </c>
      <c r="F1450" s="80" t="s">
        <v>115</v>
      </c>
      <c r="G1450" s="14" t="s">
        <v>120</v>
      </c>
      <c r="H1450" s="14" t="s">
        <v>127</v>
      </c>
      <c r="I1450" s="14" t="s">
        <v>444</v>
      </c>
    </row>
    <row r="1451" spans="1:9">
      <c r="B1451" s="7" t="s">
        <v>3741</v>
      </c>
      <c r="C1451" s="54">
        <v>146000</v>
      </c>
      <c r="D1451" s="54"/>
      <c r="E1451" s="54">
        <f t="shared" si="30"/>
        <v>3701600</v>
      </c>
      <c r="F1451" s="80" t="s">
        <v>115</v>
      </c>
      <c r="G1451" s="14" t="s">
        <v>120</v>
      </c>
      <c r="H1451" s="14" t="s">
        <v>127</v>
      </c>
      <c r="I1451" s="14" t="s">
        <v>444</v>
      </c>
    </row>
    <row r="1452" spans="1:9">
      <c r="B1452" s="7" t="s">
        <v>3742</v>
      </c>
      <c r="C1452" s="54">
        <v>150000</v>
      </c>
      <c r="D1452" s="54"/>
      <c r="E1452" s="54">
        <f t="shared" si="30"/>
        <v>3551600</v>
      </c>
      <c r="F1452" s="80" t="s">
        <v>115</v>
      </c>
      <c r="G1452" s="14" t="s">
        <v>120</v>
      </c>
      <c r="H1452" s="14" t="s">
        <v>127</v>
      </c>
      <c r="I1452" s="14" t="s">
        <v>444</v>
      </c>
    </row>
    <row r="1453" spans="1:9">
      <c r="B1453" s="7" t="s">
        <v>3743</v>
      </c>
      <c r="C1453" s="54">
        <v>150000</v>
      </c>
      <c r="D1453" s="54"/>
      <c r="E1453" s="54">
        <f t="shared" si="30"/>
        <v>3401600</v>
      </c>
      <c r="F1453" s="80" t="s">
        <v>115</v>
      </c>
      <c r="G1453" s="14" t="s">
        <v>120</v>
      </c>
      <c r="H1453" s="14" t="s">
        <v>127</v>
      </c>
      <c r="I1453" s="14" t="s">
        <v>444</v>
      </c>
    </row>
    <row r="1454" spans="1:9">
      <c r="B1454" s="7" t="s">
        <v>3744</v>
      </c>
      <c r="C1454" s="54">
        <v>150000</v>
      </c>
      <c r="D1454" s="54"/>
      <c r="E1454" s="54">
        <f t="shared" si="30"/>
        <v>3251600</v>
      </c>
      <c r="F1454" s="80" t="s">
        <v>115</v>
      </c>
      <c r="G1454" s="14" t="s">
        <v>120</v>
      </c>
      <c r="H1454" s="14" t="s">
        <v>127</v>
      </c>
      <c r="I1454" s="14" t="s">
        <v>444</v>
      </c>
    </row>
    <row r="1455" spans="1:9">
      <c r="B1455" s="7" t="s">
        <v>3745</v>
      </c>
      <c r="C1455" s="54">
        <v>133000</v>
      </c>
      <c r="D1455" s="54"/>
      <c r="E1455" s="54">
        <f t="shared" si="30"/>
        <v>3118600</v>
      </c>
      <c r="F1455" s="80" t="s">
        <v>115</v>
      </c>
      <c r="G1455" s="14" t="s">
        <v>120</v>
      </c>
      <c r="H1455" s="14" t="s">
        <v>127</v>
      </c>
      <c r="I1455" s="14" t="s">
        <v>444</v>
      </c>
    </row>
    <row r="1456" spans="1:9">
      <c r="B1456" s="7" t="s">
        <v>3746</v>
      </c>
      <c r="C1456" s="54">
        <v>25000</v>
      </c>
      <c r="D1456" s="54"/>
      <c r="E1456" s="54">
        <f t="shared" si="30"/>
        <v>3093600</v>
      </c>
      <c r="F1456" s="80" t="s">
        <v>115</v>
      </c>
      <c r="G1456" s="14" t="s">
        <v>120</v>
      </c>
      <c r="H1456" s="14" t="s">
        <v>127</v>
      </c>
      <c r="I1456" s="14" t="s">
        <v>444</v>
      </c>
    </row>
    <row r="1457" spans="1:9">
      <c r="B1457" s="7" t="s">
        <v>3747</v>
      </c>
      <c r="C1457" s="54">
        <v>150500</v>
      </c>
      <c r="D1457" s="54"/>
      <c r="E1457" s="54">
        <f t="shared" si="30"/>
        <v>2943100</v>
      </c>
      <c r="F1457" s="80" t="s">
        <v>115</v>
      </c>
      <c r="G1457" s="14" t="s">
        <v>120</v>
      </c>
      <c r="H1457" s="14" t="s">
        <v>127</v>
      </c>
      <c r="I1457" s="14" t="s">
        <v>444</v>
      </c>
    </row>
    <row r="1458" spans="1:9">
      <c r="B1458" s="7" t="s">
        <v>3748</v>
      </c>
      <c r="C1458" s="54">
        <v>270000</v>
      </c>
      <c r="D1458" s="54"/>
      <c r="E1458" s="54">
        <f t="shared" si="30"/>
        <v>2673100</v>
      </c>
      <c r="F1458" s="80" t="s">
        <v>115</v>
      </c>
      <c r="G1458" s="14" t="s">
        <v>120</v>
      </c>
      <c r="H1458" s="14" t="s">
        <v>127</v>
      </c>
      <c r="I1458" s="14" t="s">
        <v>444</v>
      </c>
    </row>
    <row r="1459" spans="1:9">
      <c r="B1459" s="7" t="s">
        <v>3749</v>
      </c>
      <c r="C1459" s="54">
        <v>73000</v>
      </c>
      <c r="D1459" s="54"/>
      <c r="E1459" s="54">
        <f t="shared" si="30"/>
        <v>2600100</v>
      </c>
      <c r="F1459" s="80" t="s">
        <v>115</v>
      </c>
      <c r="G1459" s="14" t="s">
        <v>120</v>
      </c>
      <c r="H1459" s="14" t="s">
        <v>560</v>
      </c>
      <c r="I1459" s="14" t="s">
        <v>444</v>
      </c>
    </row>
    <row r="1460" spans="1:9">
      <c r="B1460" s="7" t="s">
        <v>3750</v>
      </c>
      <c r="C1460" s="54">
        <v>1356900</v>
      </c>
      <c r="D1460" s="54"/>
      <c r="E1460" s="54">
        <f t="shared" si="30"/>
        <v>1243200</v>
      </c>
      <c r="F1460" s="80" t="s">
        <v>137</v>
      </c>
      <c r="G1460" s="14" t="s">
        <v>138</v>
      </c>
      <c r="H1460" s="168" t="s">
        <v>3030</v>
      </c>
    </row>
    <row r="1461" spans="1:9">
      <c r="B1461" s="7" t="s">
        <v>3751</v>
      </c>
      <c r="C1461" s="54">
        <v>277500</v>
      </c>
      <c r="D1461" s="54"/>
      <c r="E1461" s="54">
        <f t="shared" si="30"/>
        <v>965700</v>
      </c>
      <c r="F1461" s="80" t="s">
        <v>137</v>
      </c>
      <c r="G1461" s="14" t="s">
        <v>138</v>
      </c>
      <c r="H1461" s="14" t="s">
        <v>3759</v>
      </c>
    </row>
    <row r="1462" spans="1:9">
      <c r="B1462" s="7" t="s">
        <v>3752</v>
      </c>
      <c r="C1462" s="54">
        <v>360000</v>
      </c>
      <c r="D1462" s="54"/>
      <c r="E1462" s="54">
        <f t="shared" si="30"/>
        <v>605700</v>
      </c>
      <c r="F1462" s="80" t="s">
        <v>115</v>
      </c>
      <c r="G1462" s="14" t="s">
        <v>120</v>
      </c>
      <c r="H1462" s="14" t="s">
        <v>127</v>
      </c>
      <c r="I1462" s="14" t="s">
        <v>444</v>
      </c>
    </row>
    <row r="1463" spans="1:9">
      <c r="B1463" s="7" t="s">
        <v>3753</v>
      </c>
      <c r="C1463" s="54">
        <v>62000</v>
      </c>
      <c r="D1463" s="54"/>
      <c r="E1463" s="54">
        <f t="shared" si="30"/>
        <v>543700</v>
      </c>
      <c r="F1463" s="80" t="s">
        <v>137</v>
      </c>
      <c r="G1463" s="14" t="s">
        <v>138</v>
      </c>
      <c r="H1463" s="168" t="s">
        <v>4862</v>
      </c>
    </row>
    <row r="1464" spans="1:9">
      <c r="B1464" s="7" t="s">
        <v>3754</v>
      </c>
      <c r="C1464" s="54">
        <v>5000</v>
      </c>
      <c r="D1464" s="54"/>
      <c r="E1464" s="54">
        <f t="shared" si="30"/>
        <v>538700</v>
      </c>
      <c r="F1464" s="80" t="s">
        <v>137</v>
      </c>
      <c r="G1464" s="14" t="s">
        <v>138</v>
      </c>
      <c r="H1464" s="168" t="s">
        <v>4862</v>
      </c>
    </row>
    <row r="1465" spans="1:9">
      <c r="B1465" s="7" t="s">
        <v>3755</v>
      </c>
      <c r="C1465" s="54">
        <v>96000</v>
      </c>
      <c r="D1465" s="54"/>
      <c r="E1465" s="54">
        <f t="shared" si="30"/>
        <v>442700</v>
      </c>
      <c r="F1465" s="80" t="s">
        <v>137</v>
      </c>
      <c r="G1465" s="14" t="s">
        <v>138</v>
      </c>
      <c r="H1465" s="168" t="s">
        <v>4862</v>
      </c>
    </row>
    <row r="1466" spans="1:9">
      <c r="B1466" s="7" t="s">
        <v>3756</v>
      </c>
      <c r="C1466" s="54">
        <v>5000</v>
      </c>
      <c r="D1466" s="54"/>
      <c r="E1466" s="54">
        <f t="shared" si="30"/>
        <v>437700</v>
      </c>
      <c r="F1466" s="80" t="s">
        <v>137</v>
      </c>
      <c r="G1466" s="14" t="s">
        <v>138</v>
      </c>
      <c r="H1466" s="168" t="s">
        <v>4862</v>
      </c>
    </row>
    <row r="1467" spans="1:9">
      <c r="B1467" s="7" t="s">
        <v>3757</v>
      </c>
      <c r="C1467" s="54">
        <v>128600</v>
      </c>
      <c r="D1467" s="54"/>
      <c r="E1467" s="54">
        <f t="shared" si="30"/>
        <v>309100</v>
      </c>
      <c r="F1467" s="80" t="s">
        <v>137</v>
      </c>
      <c r="G1467" s="14" t="s">
        <v>138</v>
      </c>
      <c r="H1467" s="14" t="s">
        <v>2279</v>
      </c>
    </row>
    <row r="1468" spans="1:9">
      <c r="B1468" s="7" t="s">
        <v>3758</v>
      </c>
      <c r="C1468" s="54">
        <v>298700</v>
      </c>
      <c r="D1468" s="54"/>
      <c r="E1468" s="54">
        <f t="shared" si="30"/>
        <v>10400</v>
      </c>
      <c r="F1468" s="80" t="s">
        <v>137</v>
      </c>
      <c r="G1468" s="14" t="s">
        <v>138</v>
      </c>
      <c r="H1468" s="14" t="s">
        <v>2279</v>
      </c>
    </row>
    <row r="1469" spans="1:9">
      <c r="B1469" s="7" t="s">
        <v>2622</v>
      </c>
      <c r="C1469" s="8">
        <v>10400</v>
      </c>
      <c r="D1469" s="8">
        <v>0</v>
      </c>
      <c r="E1469" s="8">
        <f t="shared" si="30"/>
        <v>0</v>
      </c>
      <c r="F1469" s="83" t="s">
        <v>107</v>
      </c>
      <c r="G1469" s="14" t="s">
        <v>668</v>
      </c>
      <c r="H1469" s="14" t="s">
        <v>3405</v>
      </c>
      <c r="I1469" t="s">
        <v>3731</v>
      </c>
    </row>
    <row r="1470" spans="1:9" s="14" customFormat="1">
      <c r="A1470" s="138">
        <v>44455</v>
      </c>
      <c r="B1470" s="14" t="s">
        <v>2803</v>
      </c>
      <c r="C1470" s="50">
        <v>0</v>
      </c>
      <c r="D1470" s="50">
        <v>30730750</v>
      </c>
      <c r="E1470" s="8">
        <f t="shared" si="30"/>
        <v>30730750</v>
      </c>
      <c r="F1470" s="14" t="s">
        <v>107</v>
      </c>
      <c r="G1470" s="14" t="s">
        <v>274</v>
      </c>
      <c r="H1470" s="14" t="s">
        <v>143</v>
      </c>
    </row>
    <row r="1471" spans="1:9" s="14" customFormat="1">
      <c r="A1471" s="138"/>
      <c r="B1471" s="14" t="s">
        <v>3216</v>
      </c>
      <c r="C1471" s="53">
        <v>5000</v>
      </c>
      <c r="D1471" s="53"/>
      <c r="E1471" s="54">
        <f t="shared" si="30"/>
        <v>30725750</v>
      </c>
      <c r="F1471" s="14" t="s">
        <v>115</v>
      </c>
      <c r="G1471" s="14" t="s">
        <v>120</v>
      </c>
      <c r="H1471" s="14" t="s">
        <v>127</v>
      </c>
      <c r="I1471" s="14" t="s">
        <v>444</v>
      </c>
    </row>
    <row r="1472" spans="1:9" s="14" customFormat="1">
      <c r="A1472" s="138"/>
      <c r="B1472" s="14" t="s">
        <v>3216</v>
      </c>
      <c r="C1472" s="53">
        <v>7500</v>
      </c>
      <c r="D1472" s="53"/>
      <c r="E1472" s="54">
        <f t="shared" si="30"/>
        <v>30718250</v>
      </c>
      <c r="F1472" s="14" t="s">
        <v>115</v>
      </c>
      <c r="G1472" s="14" t="s">
        <v>120</v>
      </c>
      <c r="H1472" s="14" t="s">
        <v>127</v>
      </c>
      <c r="I1472" s="14" t="s">
        <v>444</v>
      </c>
    </row>
    <row r="1473" spans="1:9" s="14" customFormat="1">
      <c r="A1473" s="138"/>
      <c r="B1473" s="14" t="s">
        <v>3215</v>
      </c>
      <c r="C1473" s="53">
        <v>151000</v>
      </c>
      <c r="D1473" s="53"/>
      <c r="E1473" s="54">
        <f t="shared" si="30"/>
        <v>30567250</v>
      </c>
      <c r="F1473" s="14" t="s">
        <v>115</v>
      </c>
      <c r="G1473" s="14" t="s">
        <v>120</v>
      </c>
      <c r="H1473" s="14" t="s">
        <v>127</v>
      </c>
      <c r="I1473" s="14" t="s">
        <v>444</v>
      </c>
    </row>
    <row r="1474" spans="1:9" s="14" customFormat="1">
      <c r="A1474" s="138"/>
      <c r="B1474" s="14" t="s">
        <v>3215</v>
      </c>
      <c r="C1474" s="53">
        <v>127000</v>
      </c>
      <c r="D1474" s="53"/>
      <c r="E1474" s="54">
        <f t="shared" si="30"/>
        <v>30440250</v>
      </c>
      <c r="F1474" s="14" t="s">
        <v>115</v>
      </c>
      <c r="G1474" s="14" t="s">
        <v>120</v>
      </c>
      <c r="H1474" s="14" t="s">
        <v>127</v>
      </c>
      <c r="I1474" s="14" t="s">
        <v>444</v>
      </c>
    </row>
    <row r="1475" spans="1:9" s="14" customFormat="1">
      <c r="A1475" s="138"/>
      <c r="B1475" s="14" t="s">
        <v>1052</v>
      </c>
      <c r="C1475" s="50">
        <v>5000</v>
      </c>
      <c r="D1475" s="50"/>
      <c r="E1475" s="8">
        <f t="shared" si="30"/>
        <v>30435250</v>
      </c>
      <c r="F1475" s="14" t="s">
        <v>113</v>
      </c>
      <c r="G1475" s="14" t="s">
        <v>114</v>
      </c>
      <c r="H1475" s="14" t="s">
        <v>64</v>
      </c>
    </row>
    <row r="1476" spans="1:9" s="14" customFormat="1">
      <c r="A1476" s="138"/>
      <c r="B1476" s="14" t="s">
        <v>3218</v>
      </c>
      <c r="C1476" s="53">
        <v>2061250</v>
      </c>
      <c r="D1476" s="53"/>
      <c r="E1476" s="54">
        <f t="shared" si="30"/>
        <v>28374000</v>
      </c>
      <c r="F1476" s="14" t="s">
        <v>137</v>
      </c>
      <c r="G1476" s="14" t="s">
        <v>138</v>
      </c>
      <c r="H1476" s="168" t="s">
        <v>3030</v>
      </c>
    </row>
    <row r="1477" spans="1:9" s="168" customFormat="1">
      <c r="A1477" s="174"/>
      <c r="B1477" s="168" t="s">
        <v>4729</v>
      </c>
      <c r="C1477" s="127">
        <v>0</v>
      </c>
      <c r="D1477" s="127">
        <v>412250</v>
      </c>
      <c r="E1477" s="127">
        <f t="shared" si="30"/>
        <v>28786250</v>
      </c>
      <c r="F1477" s="168" t="s">
        <v>137</v>
      </c>
      <c r="G1477" s="168" t="s">
        <v>138</v>
      </c>
      <c r="H1477" s="168" t="s">
        <v>3030</v>
      </c>
    </row>
    <row r="1478" spans="1:9" s="14" customFormat="1">
      <c r="A1478" s="138"/>
      <c r="B1478" s="14" t="s">
        <v>3274</v>
      </c>
      <c r="C1478" s="53">
        <v>782000</v>
      </c>
      <c r="D1478" s="53"/>
      <c r="E1478" s="54">
        <f t="shared" si="30"/>
        <v>28004250</v>
      </c>
      <c r="F1478" s="14" t="s">
        <v>115</v>
      </c>
      <c r="G1478" s="14" t="s">
        <v>120</v>
      </c>
      <c r="H1478" s="14" t="s">
        <v>127</v>
      </c>
      <c r="I1478" s="14" t="s">
        <v>444</v>
      </c>
    </row>
    <row r="1479" spans="1:9" s="14" customFormat="1">
      <c r="A1479" s="138"/>
      <c r="B1479" s="14" t="s">
        <v>905</v>
      </c>
      <c r="C1479" s="50">
        <v>4070000</v>
      </c>
      <c r="D1479" s="50"/>
      <c r="E1479" s="8">
        <f t="shared" si="30"/>
        <v>23934250</v>
      </c>
      <c r="F1479" s="14" t="s">
        <v>137</v>
      </c>
      <c r="G1479" s="14" t="s">
        <v>138</v>
      </c>
      <c r="H1479" s="168" t="s">
        <v>3030</v>
      </c>
    </row>
    <row r="1480" spans="1:9" s="14" customFormat="1">
      <c r="A1480" s="138"/>
      <c r="B1480" s="14" t="s">
        <v>3275</v>
      </c>
      <c r="C1480" s="53">
        <v>100000</v>
      </c>
      <c r="D1480" s="53"/>
      <c r="E1480" s="54">
        <f t="shared" si="30"/>
        <v>23834250</v>
      </c>
      <c r="F1480" s="14" t="s">
        <v>115</v>
      </c>
      <c r="G1480" s="14" t="s">
        <v>120</v>
      </c>
      <c r="H1480" s="14" t="s">
        <v>560</v>
      </c>
      <c r="I1480" s="14" t="s">
        <v>444</v>
      </c>
    </row>
    <row r="1481" spans="1:9" s="14" customFormat="1">
      <c r="A1481" s="138"/>
      <c r="B1481" s="14" t="s">
        <v>3276</v>
      </c>
      <c r="C1481" s="53">
        <v>19497000</v>
      </c>
      <c r="D1481" s="53"/>
      <c r="E1481" s="54">
        <f t="shared" si="30"/>
        <v>4337250</v>
      </c>
      <c r="F1481" s="14" t="s">
        <v>115</v>
      </c>
      <c r="G1481" s="14" t="s">
        <v>120</v>
      </c>
      <c r="H1481" s="14" t="s">
        <v>560</v>
      </c>
      <c r="I1481" s="14" t="s">
        <v>444</v>
      </c>
    </row>
    <row r="1482" spans="1:9" s="14" customFormat="1">
      <c r="A1482" s="138"/>
      <c r="B1482" s="14" t="s">
        <v>3216</v>
      </c>
      <c r="C1482" s="53">
        <v>7500</v>
      </c>
      <c r="D1482" s="53"/>
      <c r="E1482" s="54">
        <f t="shared" si="30"/>
        <v>4329750</v>
      </c>
      <c r="F1482" s="14" t="s">
        <v>115</v>
      </c>
      <c r="G1482" s="14" t="s">
        <v>120</v>
      </c>
      <c r="H1482" s="14" t="s">
        <v>560</v>
      </c>
      <c r="I1482" s="14" t="s">
        <v>444</v>
      </c>
    </row>
    <row r="1483" spans="1:9" s="14" customFormat="1">
      <c r="A1483" s="138"/>
      <c r="B1483" s="14" t="s">
        <v>3215</v>
      </c>
      <c r="C1483" s="53">
        <v>241000</v>
      </c>
      <c r="D1483" s="53"/>
      <c r="E1483" s="54">
        <f t="shared" si="30"/>
        <v>4088750</v>
      </c>
      <c r="F1483" s="14" t="s">
        <v>115</v>
      </c>
      <c r="G1483" s="14" t="s">
        <v>120</v>
      </c>
      <c r="H1483" s="14" t="s">
        <v>560</v>
      </c>
      <c r="I1483" s="14" t="s">
        <v>444</v>
      </c>
    </row>
    <row r="1484" spans="1:9" s="14" customFormat="1">
      <c r="A1484" s="138"/>
      <c r="B1484" s="14" t="s">
        <v>3277</v>
      </c>
      <c r="C1484" s="53">
        <v>1749750</v>
      </c>
      <c r="D1484" s="53"/>
      <c r="E1484" s="54">
        <f t="shared" si="30"/>
        <v>2339000</v>
      </c>
      <c r="F1484" s="14" t="s">
        <v>115</v>
      </c>
      <c r="G1484" s="14" t="s">
        <v>440</v>
      </c>
      <c r="H1484" s="168" t="s">
        <v>4490</v>
      </c>
    </row>
    <row r="1485" spans="1:9" s="14" customFormat="1">
      <c r="A1485" s="138"/>
      <c r="B1485" s="14" t="s">
        <v>902</v>
      </c>
      <c r="C1485" s="53">
        <v>2324000</v>
      </c>
      <c r="D1485" s="53"/>
      <c r="E1485" s="54">
        <f t="shared" si="30"/>
        <v>15000</v>
      </c>
      <c r="F1485" s="14" t="s">
        <v>115</v>
      </c>
      <c r="G1485" s="14" t="s">
        <v>120</v>
      </c>
      <c r="H1485" s="14" t="s">
        <v>560</v>
      </c>
      <c r="I1485" s="14" t="s">
        <v>444</v>
      </c>
    </row>
    <row r="1486" spans="1:9" s="14" customFormat="1">
      <c r="A1486" s="138"/>
      <c r="B1486" s="14" t="s">
        <v>3235</v>
      </c>
      <c r="C1486" s="50">
        <v>10000</v>
      </c>
      <c r="D1486" s="50"/>
      <c r="E1486" s="8">
        <f t="shared" si="30"/>
        <v>5000</v>
      </c>
      <c r="F1486" s="14" t="s">
        <v>113</v>
      </c>
      <c r="G1486" s="14" t="s">
        <v>114</v>
      </c>
      <c r="H1486" s="14" t="s">
        <v>64</v>
      </c>
    </row>
    <row r="1487" spans="1:9" s="14" customFormat="1">
      <c r="A1487" s="138"/>
      <c r="B1487" s="14" t="s">
        <v>1052</v>
      </c>
      <c r="C1487" s="50">
        <v>5000</v>
      </c>
      <c r="D1487" s="50"/>
      <c r="E1487" s="8">
        <f t="shared" si="30"/>
        <v>0</v>
      </c>
      <c r="F1487" s="14" t="s">
        <v>113</v>
      </c>
      <c r="G1487" s="14" t="s">
        <v>114</v>
      </c>
    </row>
    <row r="1488" spans="1:9" s="14" customFormat="1">
      <c r="A1488" s="3">
        <v>44456</v>
      </c>
      <c r="B1488" t="s">
        <v>1790</v>
      </c>
      <c r="C1488" s="8">
        <v>0</v>
      </c>
      <c r="D1488" s="8">
        <v>79231052.129999995</v>
      </c>
      <c r="E1488" s="8">
        <f t="shared" si="30"/>
        <v>79231052.129999995</v>
      </c>
      <c r="F1488" t="s">
        <v>581</v>
      </c>
      <c r="G1488" t="s">
        <v>582</v>
      </c>
      <c r="H1488" t="s">
        <v>3048</v>
      </c>
      <c r="I1488">
        <v>64</v>
      </c>
    </row>
    <row r="1489" spans="1:9" s="14" customFormat="1">
      <c r="A1489" s="138"/>
      <c r="B1489" t="s">
        <v>1790</v>
      </c>
      <c r="C1489" s="50">
        <v>66025877.829999998</v>
      </c>
      <c r="D1489" s="50"/>
      <c r="E1489" s="8">
        <f t="shared" si="30"/>
        <v>13205174.299999997</v>
      </c>
      <c r="F1489" s="14" t="s">
        <v>568</v>
      </c>
      <c r="G1489" s="14" t="s">
        <v>4395</v>
      </c>
      <c r="H1489" t="s">
        <v>3048</v>
      </c>
      <c r="I1489">
        <v>64</v>
      </c>
    </row>
    <row r="1490" spans="1:9" s="14" customFormat="1">
      <c r="A1490" s="138"/>
      <c r="B1490" t="s">
        <v>1790</v>
      </c>
      <c r="C1490" s="50">
        <v>13205174.299999997</v>
      </c>
      <c r="D1490" s="50"/>
      <c r="E1490" s="8">
        <f t="shared" si="30"/>
        <v>0</v>
      </c>
      <c r="F1490" t="s">
        <v>714</v>
      </c>
      <c r="G1490" t="s">
        <v>715</v>
      </c>
      <c r="H1490" t="s">
        <v>3048</v>
      </c>
      <c r="I1490">
        <v>64</v>
      </c>
    </row>
    <row r="1491" spans="1:9" s="14" customFormat="1">
      <c r="A1491" s="3">
        <v>44462</v>
      </c>
      <c r="B1491" t="s">
        <v>332</v>
      </c>
      <c r="C1491" s="8">
        <v>0</v>
      </c>
      <c r="D1491" s="8">
        <v>99272727.360000014</v>
      </c>
      <c r="E1491" s="8">
        <f t="shared" si="30"/>
        <v>99272727.360000014</v>
      </c>
      <c r="F1491" t="s">
        <v>581</v>
      </c>
      <c r="G1491" t="s">
        <v>582</v>
      </c>
      <c r="H1491" s="14" t="s">
        <v>3052</v>
      </c>
      <c r="I1491">
        <v>52</v>
      </c>
    </row>
    <row r="1492" spans="1:9" s="14" customFormat="1">
      <c r="A1492" s="138"/>
      <c r="B1492" t="s">
        <v>332</v>
      </c>
      <c r="C1492" s="50">
        <v>82727272.760000005</v>
      </c>
      <c r="D1492" s="50"/>
      <c r="E1492" s="8">
        <f t="shared" si="30"/>
        <v>16545454.600000009</v>
      </c>
      <c r="F1492" s="14" t="s">
        <v>568</v>
      </c>
      <c r="G1492" s="14" t="s">
        <v>4395</v>
      </c>
      <c r="H1492" s="14" t="s">
        <v>3052</v>
      </c>
      <c r="I1492">
        <v>52</v>
      </c>
    </row>
    <row r="1493" spans="1:9" s="14" customFormat="1">
      <c r="A1493" s="138"/>
      <c r="B1493" t="s">
        <v>332</v>
      </c>
      <c r="C1493" s="50">
        <v>16545454.600000009</v>
      </c>
      <c r="D1493" s="50"/>
      <c r="E1493" s="8">
        <f t="shared" si="30"/>
        <v>0</v>
      </c>
      <c r="F1493" t="s">
        <v>714</v>
      </c>
      <c r="G1493" t="s">
        <v>715</v>
      </c>
      <c r="H1493" s="14" t="s">
        <v>3052</v>
      </c>
      <c r="I1493">
        <v>52</v>
      </c>
    </row>
    <row r="1494" spans="1:9" s="14" customFormat="1">
      <c r="A1494" s="3">
        <v>44466</v>
      </c>
      <c r="B1494" s="7" t="s">
        <v>2504</v>
      </c>
      <c r="C1494" s="8">
        <v>0</v>
      </c>
      <c r="D1494" s="8">
        <v>1000000</v>
      </c>
      <c r="E1494" s="8">
        <f t="shared" si="30"/>
        <v>1000000</v>
      </c>
      <c r="F1494" s="83" t="s">
        <v>107</v>
      </c>
      <c r="G1494" s="14" t="s">
        <v>666</v>
      </c>
      <c r="H1494" s="14" t="s">
        <v>3405</v>
      </c>
      <c r="I1494" t="s">
        <v>3762</v>
      </c>
    </row>
    <row r="1495" spans="1:9" s="14" customFormat="1">
      <c r="A1495" s="138"/>
      <c r="B1495" s="14" t="s">
        <v>3763</v>
      </c>
      <c r="C1495" s="53">
        <v>259000</v>
      </c>
      <c r="D1495" s="53"/>
      <c r="E1495" s="54">
        <f t="shared" si="30"/>
        <v>741000</v>
      </c>
      <c r="F1495" s="14" t="s">
        <v>137</v>
      </c>
      <c r="G1495" s="14" t="s">
        <v>138</v>
      </c>
      <c r="H1495" s="14" t="s">
        <v>3038</v>
      </c>
    </row>
    <row r="1496" spans="1:9" s="14" customFormat="1">
      <c r="A1496" s="138"/>
      <c r="B1496" s="14" t="s">
        <v>3764</v>
      </c>
      <c r="C1496" s="53">
        <v>50000</v>
      </c>
      <c r="D1496" s="53"/>
      <c r="E1496" s="54">
        <f t="shared" si="30"/>
        <v>691000</v>
      </c>
      <c r="F1496" s="14" t="s">
        <v>137</v>
      </c>
      <c r="G1496" s="14" t="s">
        <v>138</v>
      </c>
      <c r="H1496" s="14" t="s">
        <v>3038</v>
      </c>
    </row>
    <row r="1497" spans="1:9" s="14" customFormat="1">
      <c r="A1497" s="138"/>
      <c r="B1497" s="14" t="s">
        <v>3765</v>
      </c>
      <c r="C1497" s="53">
        <v>150000</v>
      </c>
      <c r="D1497" s="53"/>
      <c r="E1497" s="54">
        <f t="shared" si="30"/>
        <v>541000</v>
      </c>
      <c r="F1497" s="14" t="s">
        <v>137</v>
      </c>
      <c r="G1497" s="14" t="s">
        <v>138</v>
      </c>
      <c r="H1497" s="14" t="s">
        <v>3038</v>
      </c>
    </row>
    <row r="1498" spans="1:9" s="14" customFormat="1">
      <c r="A1498" s="138"/>
      <c r="B1498" s="14" t="s">
        <v>3766</v>
      </c>
      <c r="C1498" s="53">
        <v>300000</v>
      </c>
      <c r="D1498" s="53"/>
      <c r="E1498" s="54">
        <f t="shared" si="30"/>
        <v>241000</v>
      </c>
      <c r="F1498" s="14" t="s">
        <v>137</v>
      </c>
      <c r="G1498" s="14" t="s">
        <v>138</v>
      </c>
      <c r="H1498" s="14" t="s">
        <v>3038</v>
      </c>
    </row>
    <row r="1499" spans="1:9" s="14" customFormat="1">
      <c r="A1499" s="138"/>
      <c r="B1499" s="7" t="s">
        <v>2517</v>
      </c>
      <c r="C1499" s="8">
        <v>241000</v>
      </c>
      <c r="D1499" s="8">
        <v>0</v>
      </c>
      <c r="E1499" s="8">
        <f t="shared" si="30"/>
        <v>0</v>
      </c>
      <c r="F1499" s="83" t="s">
        <v>107</v>
      </c>
      <c r="G1499" s="14" t="s">
        <v>668</v>
      </c>
      <c r="H1499" s="14" t="s">
        <v>3405</v>
      </c>
      <c r="I1499" t="s">
        <v>3762</v>
      </c>
    </row>
    <row r="1500" spans="1:9" s="14" customFormat="1">
      <c r="A1500" s="3">
        <v>44466</v>
      </c>
      <c r="B1500" t="s">
        <v>3065</v>
      </c>
      <c r="C1500" s="54">
        <v>0</v>
      </c>
      <c r="D1500" s="54">
        <v>11536800</v>
      </c>
      <c r="E1500" s="8">
        <f t="shared" si="30"/>
        <v>11536800</v>
      </c>
      <c r="F1500" t="s">
        <v>581</v>
      </c>
      <c r="G1500" t="s">
        <v>582</v>
      </c>
      <c r="H1500" s="14" t="s">
        <v>3017</v>
      </c>
      <c r="I1500">
        <v>63</v>
      </c>
    </row>
    <row r="1501" spans="1:9" s="14" customFormat="1">
      <c r="A1501" s="138"/>
      <c r="B1501" t="s">
        <v>3065</v>
      </c>
      <c r="C1501" s="8">
        <v>9614000</v>
      </c>
      <c r="D1501" s="8"/>
      <c r="E1501" s="8">
        <f t="shared" si="30"/>
        <v>1922800</v>
      </c>
      <c r="F1501" s="14" t="s">
        <v>568</v>
      </c>
      <c r="G1501" s="14" t="s">
        <v>4395</v>
      </c>
      <c r="H1501" s="14" t="s">
        <v>3017</v>
      </c>
      <c r="I1501">
        <v>63</v>
      </c>
    </row>
    <row r="1502" spans="1:9" s="14" customFormat="1">
      <c r="A1502" s="138"/>
      <c r="B1502" t="s">
        <v>3065</v>
      </c>
      <c r="C1502" s="8">
        <v>1922800</v>
      </c>
      <c r="D1502" s="8"/>
      <c r="E1502" s="8">
        <f t="shared" si="30"/>
        <v>0</v>
      </c>
      <c r="F1502" t="s">
        <v>714</v>
      </c>
      <c r="G1502" t="s">
        <v>715</v>
      </c>
      <c r="H1502" s="14" t="s">
        <v>3017</v>
      </c>
      <c r="I1502">
        <v>63</v>
      </c>
    </row>
    <row r="1503" spans="1:9" s="14" customFormat="1">
      <c r="A1503" s="12">
        <v>44470</v>
      </c>
      <c r="B1503" s="7" t="s">
        <v>2520</v>
      </c>
      <c r="C1503" s="50">
        <v>0</v>
      </c>
      <c r="D1503" s="50">
        <v>10000000</v>
      </c>
      <c r="E1503" s="8">
        <f t="shared" si="30"/>
        <v>10000000</v>
      </c>
      <c r="F1503" s="83" t="s">
        <v>107</v>
      </c>
      <c r="G1503" s="14" t="s">
        <v>666</v>
      </c>
      <c r="H1503" s="14" t="s">
        <v>3405</v>
      </c>
      <c r="I1503" t="s">
        <v>3767</v>
      </c>
    </row>
    <row r="1504" spans="1:9" s="14" customFormat="1">
      <c r="A1504" s="138"/>
      <c r="B1504" s="7" t="s">
        <v>3768</v>
      </c>
      <c r="C1504" s="54">
        <v>12000</v>
      </c>
      <c r="D1504" s="54"/>
      <c r="E1504" s="54">
        <f t="shared" si="30"/>
        <v>9988000</v>
      </c>
      <c r="F1504" s="80" t="s">
        <v>137</v>
      </c>
      <c r="G1504" s="14" t="s">
        <v>138</v>
      </c>
      <c r="H1504" s="14" t="s">
        <v>2976</v>
      </c>
      <c r="I1504"/>
    </row>
    <row r="1505" spans="1:9" s="14" customFormat="1">
      <c r="A1505" s="138"/>
      <c r="B1505" s="7" t="s">
        <v>3769</v>
      </c>
      <c r="C1505" s="54">
        <v>40000</v>
      </c>
      <c r="D1505" s="54"/>
      <c r="E1505" s="54">
        <f t="shared" si="30"/>
        <v>9948000</v>
      </c>
      <c r="F1505" s="80" t="s">
        <v>137</v>
      </c>
      <c r="G1505" s="14" t="s">
        <v>138</v>
      </c>
      <c r="H1505" s="14" t="s">
        <v>2976</v>
      </c>
      <c r="I1505"/>
    </row>
    <row r="1506" spans="1:9" s="14" customFormat="1">
      <c r="A1506" s="138"/>
      <c r="B1506" s="7" t="s">
        <v>3770</v>
      </c>
      <c r="C1506" s="54">
        <v>5000</v>
      </c>
      <c r="D1506" s="54"/>
      <c r="E1506" s="54">
        <f t="shared" si="30"/>
        <v>9943000</v>
      </c>
      <c r="F1506" s="80" t="s">
        <v>137</v>
      </c>
      <c r="G1506" s="14" t="s">
        <v>138</v>
      </c>
      <c r="H1506" s="14" t="s">
        <v>2976</v>
      </c>
      <c r="I1506"/>
    </row>
    <row r="1507" spans="1:9" s="14" customFormat="1">
      <c r="A1507" s="138"/>
      <c r="B1507" s="7" t="s">
        <v>3768</v>
      </c>
      <c r="C1507" s="54">
        <v>12000</v>
      </c>
      <c r="D1507" s="54"/>
      <c r="E1507" s="54">
        <f t="shared" si="30"/>
        <v>9931000</v>
      </c>
      <c r="F1507" s="80" t="s">
        <v>137</v>
      </c>
      <c r="G1507" s="14" t="s">
        <v>138</v>
      </c>
      <c r="H1507" s="14" t="s">
        <v>2976</v>
      </c>
      <c r="I1507"/>
    </row>
    <row r="1508" spans="1:9" s="14" customFormat="1">
      <c r="A1508" s="138"/>
      <c r="B1508" s="7" t="s">
        <v>3771</v>
      </c>
      <c r="C1508" s="54">
        <v>53000</v>
      </c>
      <c r="D1508" s="54"/>
      <c r="E1508" s="54">
        <f t="shared" si="30"/>
        <v>9878000</v>
      </c>
      <c r="F1508" s="80" t="s">
        <v>137</v>
      </c>
      <c r="G1508" s="14" t="s">
        <v>138</v>
      </c>
      <c r="H1508" s="14" t="s">
        <v>2976</v>
      </c>
      <c r="I1508"/>
    </row>
    <row r="1509" spans="1:9" s="14" customFormat="1">
      <c r="A1509" s="138"/>
      <c r="B1509" s="7" t="s">
        <v>3772</v>
      </c>
      <c r="C1509" s="54">
        <v>50000</v>
      </c>
      <c r="D1509" s="54"/>
      <c r="E1509" s="54">
        <f t="shared" si="30"/>
        <v>9828000</v>
      </c>
      <c r="F1509" s="80" t="s">
        <v>137</v>
      </c>
      <c r="G1509" s="14" t="s">
        <v>138</v>
      </c>
      <c r="H1509" s="14" t="s">
        <v>2976</v>
      </c>
      <c r="I1509"/>
    </row>
    <row r="1510" spans="1:9" s="14" customFormat="1">
      <c r="A1510" s="138"/>
      <c r="B1510" s="7" t="s">
        <v>3773</v>
      </c>
      <c r="C1510" s="54">
        <v>150000</v>
      </c>
      <c r="D1510" s="54"/>
      <c r="E1510" s="54">
        <f t="shared" si="30"/>
        <v>9678000</v>
      </c>
      <c r="F1510" s="80" t="s">
        <v>137</v>
      </c>
      <c r="G1510" s="14" t="s">
        <v>138</v>
      </c>
      <c r="H1510" s="14" t="s">
        <v>2976</v>
      </c>
      <c r="I1510"/>
    </row>
    <row r="1511" spans="1:9" s="14" customFormat="1">
      <c r="A1511" s="138"/>
      <c r="B1511" s="7" t="s">
        <v>3774</v>
      </c>
      <c r="C1511" s="54">
        <v>9000</v>
      </c>
      <c r="D1511" s="54"/>
      <c r="E1511" s="54">
        <f t="shared" si="30"/>
        <v>9669000</v>
      </c>
      <c r="F1511" s="80" t="s">
        <v>137</v>
      </c>
      <c r="G1511" s="14" t="s">
        <v>138</v>
      </c>
      <c r="H1511" s="14" t="s">
        <v>2976</v>
      </c>
      <c r="I1511"/>
    </row>
    <row r="1512" spans="1:9" s="14" customFormat="1">
      <c r="A1512" s="138"/>
      <c r="B1512" s="7" t="s">
        <v>3775</v>
      </c>
      <c r="C1512" s="54">
        <v>2580000</v>
      </c>
      <c r="D1512" s="54"/>
      <c r="E1512" s="54">
        <f t="shared" si="30"/>
        <v>7089000</v>
      </c>
      <c r="F1512" s="80" t="s">
        <v>137</v>
      </c>
      <c r="G1512" s="14" t="s">
        <v>138</v>
      </c>
      <c r="H1512" s="14" t="s">
        <v>2976</v>
      </c>
      <c r="I1512"/>
    </row>
    <row r="1513" spans="1:9" s="14" customFormat="1">
      <c r="A1513" s="138"/>
      <c r="B1513" s="7" t="s">
        <v>3776</v>
      </c>
      <c r="C1513" s="54">
        <v>5000</v>
      </c>
      <c r="D1513" s="54"/>
      <c r="E1513" s="54">
        <f t="shared" si="30"/>
        <v>7084000</v>
      </c>
      <c r="F1513" s="80" t="s">
        <v>137</v>
      </c>
      <c r="G1513" s="14" t="s">
        <v>138</v>
      </c>
      <c r="H1513" s="14" t="s">
        <v>2976</v>
      </c>
      <c r="I1513"/>
    </row>
    <row r="1514" spans="1:9" s="14" customFormat="1">
      <c r="A1514" s="138"/>
      <c r="B1514" s="7" t="s">
        <v>3777</v>
      </c>
      <c r="C1514" s="54">
        <v>50000</v>
      </c>
      <c r="D1514" s="54"/>
      <c r="E1514" s="54">
        <f t="shared" si="30"/>
        <v>7034000</v>
      </c>
      <c r="F1514" s="80" t="s">
        <v>137</v>
      </c>
      <c r="G1514" s="14" t="s">
        <v>138</v>
      </c>
      <c r="H1514" s="14" t="s">
        <v>2976</v>
      </c>
      <c r="I1514"/>
    </row>
    <row r="1515" spans="1:9" s="14" customFormat="1">
      <c r="A1515" s="138"/>
      <c r="B1515" s="7" t="s">
        <v>3778</v>
      </c>
      <c r="C1515" s="54">
        <v>38000</v>
      </c>
      <c r="D1515" s="54"/>
      <c r="E1515" s="54">
        <f t="shared" ref="E1515:E1578" si="31">E1514-C1515+D1515</f>
        <v>6996000</v>
      </c>
      <c r="F1515" s="80" t="s">
        <v>137</v>
      </c>
      <c r="G1515" s="14" t="s">
        <v>138</v>
      </c>
      <c r="H1515" s="14" t="s">
        <v>2976</v>
      </c>
      <c r="I1515"/>
    </row>
    <row r="1516" spans="1:9" s="14" customFormat="1">
      <c r="A1516" s="138"/>
      <c r="B1516" s="7" t="s">
        <v>3779</v>
      </c>
      <c r="C1516" s="54">
        <v>34790</v>
      </c>
      <c r="D1516" s="54"/>
      <c r="E1516" s="54">
        <f t="shared" si="31"/>
        <v>6961210</v>
      </c>
      <c r="F1516" s="80" t="s">
        <v>137</v>
      </c>
      <c r="G1516" s="14" t="s">
        <v>138</v>
      </c>
      <c r="H1516" s="14" t="s">
        <v>2976</v>
      </c>
      <c r="I1516"/>
    </row>
    <row r="1517" spans="1:9" s="14" customFormat="1">
      <c r="A1517" s="138"/>
      <c r="B1517" s="7" t="s">
        <v>3780</v>
      </c>
      <c r="C1517" s="54">
        <v>20000</v>
      </c>
      <c r="D1517" s="54"/>
      <c r="E1517" s="54">
        <f t="shared" si="31"/>
        <v>6941210</v>
      </c>
      <c r="F1517" s="80" t="s">
        <v>137</v>
      </c>
      <c r="G1517" s="14" t="s">
        <v>138</v>
      </c>
      <c r="H1517" s="14" t="s">
        <v>2976</v>
      </c>
      <c r="I1517"/>
    </row>
    <row r="1518" spans="1:9" s="14" customFormat="1">
      <c r="A1518" s="138"/>
      <c r="B1518" s="7" t="s">
        <v>3781</v>
      </c>
      <c r="C1518" s="54">
        <v>2000</v>
      </c>
      <c r="D1518" s="54"/>
      <c r="E1518" s="54">
        <f t="shared" si="31"/>
        <v>6939210</v>
      </c>
      <c r="F1518" s="80" t="s">
        <v>137</v>
      </c>
      <c r="G1518" s="14" t="s">
        <v>138</v>
      </c>
      <c r="H1518" s="14" t="s">
        <v>2976</v>
      </c>
      <c r="I1518"/>
    </row>
    <row r="1519" spans="1:9" s="14" customFormat="1">
      <c r="A1519" s="138"/>
      <c r="B1519" s="7" t="s">
        <v>3782</v>
      </c>
      <c r="C1519" s="54">
        <v>137596</v>
      </c>
      <c r="D1519" s="54"/>
      <c r="E1519" s="54">
        <f t="shared" si="31"/>
        <v>6801614</v>
      </c>
      <c r="F1519" s="80" t="s">
        <v>137</v>
      </c>
      <c r="G1519" s="14" t="s">
        <v>138</v>
      </c>
      <c r="H1519" s="14" t="s">
        <v>2976</v>
      </c>
      <c r="I1519"/>
    </row>
    <row r="1520" spans="1:9" s="14" customFormat="1">
      <c r="A1520" s="138"/>
      <c r="B1520" s="7" t="s">
        <v>3783</v>
      </c>
      <c r="C1520" s="54">
        <v>5000</v>
      </c>
      <c r="D1520" s="54"/>
      <c r="E1520" s="54">
        <f t="shared" si="31"/>
        <v>6796614</v>
      </c>
      <c r="F1520" s="80" t="s">
        <v>137</v>
      </c>
      <c r="G1520" s="14" t="s">
        <v>138</v>
      </c>
      <c r="H1520" s="14" t="s">
        <v>2976</v>
      </c>
      <c r="I1520"/>
    </row>
    <row r="1521" spans="1:9" s="14" customFormat="1">
      <c r="A1521" s="138"/>
      <c r="B1521" s="7" t="s">
        <v>3784</v>
      </c>
      <c r="C1521" s="54">
        <v>5000</v>
      </c>
      <c r="D1521" s="54"/>
      <c r="E1521" s="54">
        <f t="shared" si="31"/>
        <v>6791614</v>
      </c>
      <c r="F1521" s="80" t="s">
        <v>137</v>
      </c>
      <c r="G1521" s="14" t="s">
        <v>138</v>
      </c>
      <c r="H1521" s="14" t="s">
        <v>2976</v>
      </c>
      <c r="I1521"/>
    </row>
    <row r="1522" spans="1:9" s="14" customFormat="1">
      <c r="A1522" s="138"/>
      <c r="B1522" s="7" t="s">
        <v>3785</v>
      </c>
      <c r="C1522" s="54">
        <v>20000</v>
      </c>
      <c r="D1522" s="54"/>
      <c r="E1522" s="54">
        <f t="shared" si="31"/>
        <v>6771614</v>
      </c>
      <c r="F1522" s="80" t="s">
        <v>137</v>
      </c>
      <c r="G1522" s="14" t="s">
        <v>138</v>
      </c>
      <c r="H1522" s="14" t="s">
        <v>2976</v>
      </c>
      <c r="I1522"/>
    </row>
    <row r="1523" spans="1:9" s="14" customFormat="1">
      <c r="A1523" s="138"/>
      <c r="B1523" s="7" t="s">
        <v>3786</v>
      </c>
      <c r="C1523" s="54">
        <v>180500</v>
      </c>
      <c r="D1523" s="54"/>
      <c r="E1523" s="54">
        <f t="shared" si="31"/>
        <v>6591114</v>
      </c>
      <c r="F1523" s="80" t="s">
        <v>137</v>
      </c>
      <c r="G1523" s="14" t="s">
        <v>138</v>
      </c>
      <c r="H1523" s="14" t="s">
        <v>2976</v>
      </c>
      <c r="I1523"/>
    </row>
    <row r="1524" spans="1:9" s="14" customFormat="1">
      <c r="A1524" s="138"/>
      <c r="B1524" s="7" t="s">
        <v>3787</v>
      </c>
      <c r="C1524" s="54">
        <v>98000</v>
      </c>
      <c r="D1524" s="54"/>
      <c r="E1524" s="54">
        <f t="shared" si="31"/>
        <v>6493114</v>
      </c>
      <c r="F1524" s="80" t="s">
        <v>137</v>
      </c>
      <c r="G1524" s="14" t="s">
        <v>138</v>
      </c>
      <c r="H1524" s="14" t="s">
        <v>2976</v>
      </c>
      <c r="I1524"/>
    </row>
    <row r="1525" spans="1:9" s="14" customFormat="1">
      <c r="A1525" s="138"/>
      <c r="B1525" s="7" t="s">
        <v>3788</v>
      </c>
      <c r="C1525" s="54">
        <v>15000</v>
      </c>
      <c r="D1525" s="54"/>
      <c r="E1525" s="54">
        <f t="shared" si="31"/>
        <v>6478114</v>
      </c>
      <c r="F1525" s="80" t="s">
        <v>137</v>
      </c>
      <c r="G1525" s="14" t="s">
        <v>138</v>
      </c>
      <c r="H1525" s="14" t="s">
        <v>2976</v>
      </c>
      <c r="I1525"/>
    </row>
    <row r="1526" spans="1:9" s="14" customFormat="1">
      <c r="A1526" s="138"/>
      <c r="B1526" s="7" t="s">
        <v>3789</v>
      </c>
      <c r="C1526" s="54">
        <v>1003500</v>
      </c>
      <c r="D1526" s="54"/>
      <c r="E1526" s="54">
        <f t="shared" si="31"/>
        <v>5474614</v>
      </c>
      <c r="F1526" s="80" t="s">
        <v>137</v>
      </c>
      <c r="G1526" s="14" t="s">
        <v>138</v>
      </c>
      <c r="H1526" s="14" t="s">
        <v>2976</v>
      </c>
      <c r="I1526"/>
    </row>
    <row r="1527" spans="1:9" s="14" customFormat="1">
      <c r="A1527" s="138"/>
      <c r="B1527" s="7" t="s">
        <v>3790</v>
      </c>
      <c r="C1527" s="54">
        <v>150000</v>
      </c>
      <c r="D1527" s="54"/>
      <c r="E1527" s="54">
        <f t="shared" si="31"/>
        <v>5324614</v>
      </c>
      <c r="F1527" s="80" t="s">
        <v>137</v>
      </c>
      <c r="G1527" s="14" t="s">
        <v>138</v>
      </c>
      <c r="H1527" s="14" t="s">
        <v>2976</v>
      </c>
      <c r="I1527"/>
    </row>
    <row r="1528" spans="1:9" s="14" customFormat="1">
      <c r="A1528" s="138"/>
      <c r="B1528" s="7" t="s">
        <v>3791</v>
      </c>
      <c r="C1528" s="54">
        <v>30000</v>
      </c>
      <c r="D1528" s="54"/>
      <c r="E1528" s="54">
        <f t="shared" si="31"/>
        <v>5294614</v>
      </c>
      <c r="F1528" s="80" t="s">
        <v>137</v>
      </c>
      <c r="G1528" s="14" t="s">
        <v>138</v>
      </c>
      <c r="H1528" s="14" t="s">
        <v>2976</v>
      </c>
      <c r="I1528"/>
    </row>
    <row r="1529" spans="1:9" s="14" customFormat="1">
      <c r="A1529" s="138"/>
      <c r="B1529" s="7" t="s">
        <v>3792</v>
      </c>
      <c r="C1529" s="54">
        <v>15000</v>
      </c>
      <c r="D1529" s="54"/>
      <c r="E1529" s="54">
        <f t="shared" si="31"/>
        <v>5279614</v>
      </c>
      <c r="F1529" s="80" t="s">
        <v>137</v>
      </c>
      <c r="G1529" s="14" t="s">
        <v>138</v>
      </c>
      <c r="H1529" s="14" t="s">
        <v>2976</v>
      </c>
      <c r="I1529"/>
    </row>
    <row r="1530" spans="1:9" s="14" customFormat="1">
      <c r="A1530" s="138"/>
      <c r="B1530" s="7" t="s">
        <v>3793</v>
      </c>
      <c r="C1530" s="54">
        <v>20000</v>
      </c>
      <c r="D1530" s="54"/>
      <c r="E1530" s="54">
        <f t="shared" si="31"/>
        <v>5259614</v>
      </c>
      <c r="F1530" s="80" t="s">
        <v>137</v>
      </c>
      <c r="G1530" s="14" t="s">
        <v>138</v>
      </c>
      <c r="H1530" s="14" t="s">
        <v>2976</v>
      </c>
      <c r="I1530"/>
    </row>
    <row r="1531" spans="1:9" s="14" customFormat="1">
      <c r="A1531" s="138"/>
      <c r="B1531" s="7" t="s">
        <v>3794</v>
      </c>
      <c r="C1531" s="54">
        <v>24000</v>
      </c>
      <c r="D1531" s="54"/>
      <c r="E1531" s="54">
        <f t="shared" si="31"/>
        <v>5235614</v>
      </c>
      <c r="F1531" s="80" t="s">
        <v>137</v>
      </c>
      <c r="G1531" s="14" t="s">
        <v>138</v>
      </c>
      <c r="H1531" s="14" t="s">
        <v>2976</v>
      </c>
      <c r="I1531"/>
    </row>
    <row r="1532" spans="1:9" s="14" customFormat="1">
      <c r="A1532" s="138"/>
      <c r="B1532" s="7" t="s">
        <v>3795</v>
      </c>
      <c r="C1532" s="54">
        <v>115000</v>
      </c>
      <c r="D1532" s="54"/>
      <c r="E1532" s="54">
        <f t="shared" si="31"/>
        <v>5120614</v>
      </c>
      <c r="F1532" s="80" t="s">
        <v>137</v>
      </c>
      <c r="G1532" s="14" t="s">
        <v>138</v>
      </c>
      <c r="H1532" s="14" t="s">
        <v>2976</v>
      </c>
      <c r="I1532"/>
    </row>
    <row r="1533" spans="1:9" s="14" customFormat="1">
      <c r="A1533" s="138"/>
      <c r="B1533" s="7" t="s">
        <v>3795</v>
      </c>
      <c r="C1533" s="54">
        <v>10000</v>
      </c>
      <c r="D1533" s="54"/>
      <c r="E1533" s="54">
        <f t="shared" si="31"/>
        <v>5110614</v>
      </c>
      <c r="F1533" s="80" t="s">
        <v>137</v>
      </c>
      <c r="G1533" s="14" t="s">
        <v>138</v>
      </c>
      <c r="H1533" s="14" t="s">
        <v>2976</v>
      </c>
      <c r="I1533"/>
    </row>
    <row r="1534" spans="1:9" s="14" customFormat="1">
      <c r="A1534" s="138"/>
      <c r="B1534" s="7" t="s">
        <v>3796</v>
      </c>
      <c r="C1534" s="54">
        <v>330000</v>
      </c>
      <c r="D1534" s="54"/>
      <c r="E1534" s="54">
        <f t="shared" si="31"/>
        <v>4780614</v>
      </c>
      <c r="F1534" s="80" t="s">
        <v>137</v>
      </c>
      <c r="G1534" s="14" t="s">
        <v>138</v>
      </c>
      <c r="H1534" s="14" t="s">
        <v>2976</v>
      </c>
      <c r="I1534"/>
    </row>
    <row r="1535" spans="1:9" s="14" customFormat="1">
      <c r="A1535" s="138"/>
      <c r="B1535" s="7" t="s">
        <v>3797</v>
      </c>
      <c r="C1535" s="54">
        <v>20000</v>
      </c>
      <c r="D1535" s="54"/>
      <c r="E1535" s="54">
        <f t="shared" si="31"/>
        <v>4760614</v>
      </c>
      <c r="F1535" s="80" t="s">
        <v>137</v>
      </c>
      <c r="G1535" s="14" t="s">
        <v>138</v>
      </c>
      <c r="H1535" s="14" t="s">
        <v>2976</v>
      </c>
      <c r="I1535"/>
    </row>
    <row r="1536" spans="1:9" s="14" customFormat="1">
      <c r="A1536" s="138"/>
      <c r="B1536" s="7" t="s">
        <v>3798</v>
      </c>
      <c r="C1536" s="54">
        <v>97000</v>
      </c>
      <c r="D1536" s="54"/>
      <c r="E1536" s="54">
        <f t="shared" si="31"/>
        <v>4663614</v>
      </c>
      <c r="F1536" s="80" t="s">
        <v>137</v>
      </c>
      <c r="G1536" s="14" t="s">
        <v>138</v>
      </c>
      <c r="H1536" s="14" t="s">
        <v>2976</v>
      </c>
      <c r="I1536"/>
    </row>
    <row r="1537" spans="1:9" s="14" customFormat="1">
      <c r="A1537" s="138"/>
      <c r="B1537" s="7" t="s">
        <v>3799</v>
      </c>
      <c r="C1537" s="54">
        <v>50000</v>
      </c>
      <c r="D1537" s="54"/>
      <c r="E1537" s="54">
        <f t="shared" si="31"/>
        <v>4613614</v>
      </c>
      <c r="F1537" s="80" t="s">
        <v>137</v>
      </c>
      <c r="G1537" s="14" t="s">
        <v>138</v>
      </c>
      <c r="H1537" s="14" t="s">
        <v>2976</v>
      </c>
      <c r="I1537"/>
    </row>
    <row r="1538" spans="1:9" s="14" customFormat="1">
      <c r="A1538" s="138"/>
      <c r="B1538" s="7" t="s">
        <v>3800</v>
      </c>
      <c r="C1538" s="54">
        <v>198000</v>
      </c>
      <c r="D1538" s="54"/>
      <c r="E1538" s="54">
        <f t="shared" si="31"/>
        <v>4415614</v>
      </c>
      <c r="F1538" s="80" t="s">
        <v>137</v>
      </c>
      <c r="G1538" s="14" t="s">
        <v>138</v>
      </c>
      <c r="H1538" s="14" t="s">
        <v>2976</v>
      </c>
      <c r="I1538"/>
    </row>
    <row r="1539" spans="1:9" s="14" customFormat="1">
      <c r="A1539" s="138"/>
      <c r="B1539" s="7" t="s">
        <v>3801</v>
      </c>
      <c r="C1539" s="54">
        <v>127260</v>
      </c>
      <c r="D1539" s="54"/>
      <c r="E1539" s="54">
        <f t="shared" si="31"/>
        <v>4288354</v>
      </c>
      <c r="F1539" s="80" t="s">
        <v>137</v>
      </c>
      <c r="G1539" s="14" t="s">
        <v>138</v>
      </c>
      <c r="H1539" s="14" t="s">
        <v>2976</v>
      </c>
      <c r="I1539"/>
    </row>
    <row r="1540" spans="1:9" s="14" customFormat="1">
      <c r="A1540" s="138"/>
      <c r="B1540" s="7" t="s">
        <v>3802</v>
      </c>
      <c r="C1540" s="54">
        <v>25000</v>
      </c>
      <c r="D1540" s="54"/>
      <c r="E1540" s="54">
        <f t="shared" si="31"/>
        <v>4263354</v>
      </c>
      <c r="F1540" s="80" t="s">
        <v>137</v>
      </c>
      <c r="G1540" s="14" t="s">
        <v>138</v>
      </c>
      <c r="H1540" s="14" t="s">
        <v>2976</v>
      </c>
      <c r="I1540"/>
    </row>
    <row r="1541" spans="1:9" s="14" customFormat="1">
      <c r="A1541" s="138"/>
      <c r="B1541" s="7" t="s">
        <v>3803</v>
      </c>
      <c r="C1541" s="54">
        <v>1087500</v>
      </c>
      <c r="D1541" s="54"/>
      <c r="E1541" s="54">
        <f t="shared" si="31"/>
        <v>3175854</v>
      </c>
      <c r="F1541" s="80" t="s">
        <v>137</v>
      </c>
      <c r="G1541" s="14" t="s">
        <v>138</v>
      </c>
      <c r="H1541" s="14" t="s">
        <v>2976</v>
      </c>
      <c r="I1541"/>
    </row>
    <row r="1542" spans="1:9" s="14" customFormat="1">
      <c r="A1542" s="138"/>
      <c r="B1542" s="7" t="s">
        <v>3804</v>
      </c>
      <c r="C1542" s="54">
        <v>99000</v>
      </c>
      <c r="D1542" s="54"/>
      <c r="E1542" s="54">
        <f t="shared" si="31"/>
        <v>3076854</v>
      </c>
      <c r="F1542" s="80" t="s">
        <v>137</v>
      </c>
      <c r="G1542" s="14" t="s">
        <v>138</v>
      </c>
      <c r="H1542" s="14" t="s">
        <v>2976</v>
      </c>
      <c r="I1542"/>
    </row>
    <row r="1543" spans="1:9" s="14" customFormat="1">
      <c r="A1543" s="138"/>
      <c r="B1543" s="7" t="s">
        <v>3805</v>
      </c>
      <c r="C1543" s="54">
        <v>5000</v>
      </c>
      <c r="D1543" s="54"/>
      <c r="E1543" s="54">
        <f t="shared" si="31"/>
        <v>3071854</v>
      </c>
      <c r="F1543" s="80" t="s">
        <v>137</v>
      </c>
      <c r="G1543" s="14" t="s">
        <v>138</v>
      </c>
      <c r="H1543" s="14" t="s">
        <v>2976</v>
      </c>
      <c r="I1543"/>
    </row>
    <row r="1544" spans="1:9" s="14" customFormat="1">
      <c r="A1544" s="138"/>
      <c r="B1544" s="7" t="s">
        <v>3806</v>
      </c>
      <c r="C1544" s="54">
        <v>16000</v>
      </c>
      <c r="D1544" s="54"/>
      <c r="E1544" s="54">
        <f t="shared" si="31"/>
        <v>3055854</v>
      </c>
      <c r="F1544" s="80" t="s">
        <v>137</v>
      </c>
      <c r="G1544" s="14" t="s">
        <v>138</v>
      </c>
      <c r="H1544" s="14" t="s">
        <v>2976</v>
      </c>
      <c r="I1544"/>
    </row>
    <row r="1545" spans="1:9" s="14" customFormat="1">
      <c r="A1545" s="138"/>
      <c r="B1545" s="7" t="s">
        <v>3807</v>
      </c>
      <c r="C1545" s="54">
        <v>1236000</v>
      </c>
      <c r="D1545" s="54"/>
      <c r="E1545" s="54">
        <f t="shared" si="31"/>
        <v>1819854</v>
      </c>
      <c r="F1545" s="80" t="s">
        <v>137</v>
      </c>
      <c r="G1545" s="14" t="s">
        <v>138</v>
      </c>
      <c r="H1545" s="14" t="s">
        <v>2976</v>
      </c>
      <c r="I1545"/>
    </row>
    <row r="1546" spans="1:9" s="14" customFormat="1">
      <c r="A1546" s="138"/>
      <c r="B1546" s="7" t="s">
        <v>3808</v>
      </c>
      <c r="C1546" s="54">
        <v>25000</v>
      </c>
      <c r="D1546" s="54"/>
      <c r="E1546" s="54">
        <f t="shared" si="31"/>
        <v>1794854</v>
      </c>
      <c r="F1546" s="80" t="s">
        <v>137</v>
      </c>
      <c r="G1546" s="14" t="s">
        <v>138</v>
      </c>
      <c r="H1546" s="14" t="s">
        <v>2976</v>
      </c>
      <c r="I1546"/>
    </row>
    <row r="1547" spans="1:9" s="14" customFormat="1">
      <c r="A1547" s="138"/>
      <c r="B1547" s="7" t="s">
        <v>3809</v>
      </c>
      <c r="C1547" s="54">
        <v>26000</v>
      </c>
      <c r="D1547" s="54"/>
      <c r="E1547" s="54">
        <f t="shared" si="31"/>
        <v>1768854</v>
      </c>
      <c r="F1547" s="80" t="s">
        <v>137</v>
      </c>
      <c r="G1547" s="14" t="s">
        <v>138</v>
      </c>
      <c r="H1547" s="14" t="s">
        <v>2976</v>
      </c>
      <c r="I1547"/>
    </row>
    <row r="1548" spans="1:9" s="14" customFormat="1">
      <c r="A1548" s="138"/>
      <c r="B1548" s="7" t="s">
        <v>3810</v>
      </c>
      <c r="C1548" s="54">
        <v>7000</v>
      </c>
      <c r="D1548" s="54"/>
      <c r="E1548" s="54">
        <f t="shared" si="31"/>
        <v>1761854</v>
      </c>
      <c r="F1548" s="80" t="s">
        <v>137</v>
      </c>
      <c r="G1548" s="14" t="s">
        <v>138</v>
      </c>
      <c r="H1548" s="14" t="s">
        <v>2976</v>
      </c>
      <c r="I1548"/>
    </row>
    <row r="1549" spans="1:9" s="14" customFormat="1">
      <c r="A1549" s="138"/>
      <c r="B1549" s="7" t="s">
        <v>3811</v>
      </c>
      <c r="C1549" s="54">
        <v>5000</v>
      </c>
      <c r="D1549" s="54"/>
      <c r="E1549" s="54">
        <f t="shared" si="31"/>
        <v>1756854</v>
      </c>
      <c r="F1549" s="80" t="s">
        <v>137</v>
      </c>
      <c r="G1549" s="14" t="s">
        <v>138</v>
      </c>
      <c r="H1549" s="14" t="s">
        <v>2976</v>
      </c>
      <c r="I1549"/>
    </row>
    <row r="1550" spans="1:9" s="14" customFormat="1">
      <c r="A1550" s="138"/>
      <c r="B1550" s="7" t="s">
        <v>3812</v>
      </c>
      <c r="C1550" s="54">
        <v>150000</v>
      </c>
      <c r="D1550" s="54"/>
      <c r="E1550" s="54">
        <f t="shared" si="31"/>
        <v>1606854</v>
      </c>
      <c r="F1550" s="80" t="s">
        <v>137</v>
      </c>
      <c r="G1550" s="14" t="s">
        <v>138</v>
      </c>
      <c r="H1550" s="14" t="s">
        <v>2976</v>
      </c>
      <c r="I1550"/>
    </row>
    <row r="1551" spans="1:9" s="14" customFormat="1">
      <c r="A1551" s="138"/>
      <c r="B1551" s="7" t="s">
        <v>3813</v>
      </c>
      <c r="C1551" s="54">
        <v>89000</v>
      </c>
      <c r="D1551" s="54"/>
      <c r="E1551" s="54">
        <f t="shared" si="31"/>
        <v>1517854</v>
      </c>
      <c r="F1551" s="80" t="s">
        <v>137</v>
      </c>
      <c r="G1551" s="14" t="s">
        <v>138</v>
      </c>
      <c r="H1551" s="14" t="s">
        <v>2976</v>
      </c>
      <c r="I1551"/>
    </row>
    <row r="1552" spans="1:9" s="14" customFormat="1">
      <c r="A1552" s="138"/>
      <c r="B1552" s="7" t="s">
        <v>3814</v>
      </c>
      <c r="C1552" s="54">
        <v>28000</v>
      </c>
      <c r="D1552" s="54"/>
      <c r="E1552" s="54">
        <f t="shared" si="31"/>
        <v>1489854</v>
      </c>
      <c r="F1552" s="80" t="s">
        <v>137</v>
      </c>
      <c r="G1552" s="14" t="s">
        <v>138</v>
      </c>
      <c r="H1552" s="14" t="s">
        <v>2976</v>
      </c>
      <c r="I1552"/>
    </row>
    <row r="1553" spans="1:12" s="14" customFormat="1">
      <c r="A1553" s="138"/>
      <c r="B1553" s="7" t="s">
        <v>3815</v>
      </c>
      <c r="C1553" s="54">
        <v>5000</v>
      </c>
      <c r="D1553" s="54"/>
      <c r="E1553" s="54">
        <f t="shared" si="31"/>
        <v>1484854</v>
      </c>
      <c r="F1553" s="80" t="s">
        <v>137</v>
      </c>
      <c r="G1553" s="14" t="s">
        <v>138</v>
      </c>
      <c r="H1553" s="14" t="s">
        <v>2976</v>
      </c>
      <c r="I1553"/>
    </row>
    <row r="1554" spans="1:12" s="14" customFormat="1">
      <c r="A1554" s="138"/>
      <c r="B1554" s="7" t="s">
        <v>3816</v>
      </c>
      <c r="C1554" s="54">
        <v>60000</v>
      </c>
      <c r="D1554" s="54"/>
      <c r="E1554" s="54">
        <f t="shared" si="31"/>
        <v>1424854</v>
      </c>
      <c r="F1554" s="80" t="s">
        <v>137</v>
      </c>
      <c r="G1554" s="14" t="s">
        <v>138</v>
      </c>
      <c r="H1554" s="14" t="s">
        <v>2976</v>
      </c>
      <c r="I1554"/>
    </row>
    <row r="1555" spans="1:12" s="14" customFormat="1">
      <c r="A1555" s="138"/>
      <c r="B1555" s="7" t="s">
        <v>3817</v>
      </c>
      <c r="C1555" s="54">
        <v>501000</v>
      </c>
      <c r="D1555" s="54"/>
      <c r="E1555" s="54">
        <f t="shared" si="31"/>
        <v>923854</v>
      </c>
      <c r="F1555" s="80" t="s">
        <v>137</v>
      </c>
      <c r="G1555" s="14" t="s">
        <v>138</v>
      </c>
      <c r="H1555" s="168" t="s">
        <v>2991</v>
      </c>
      <c r="I1555"/>
    </row>
    <row r="1556" spans="1:12" s="14" customFormat="1">
      <c r="A1556" s="138"/>
      <c r="B1556" s="7" t="s">
        <v>3818</v>
      </c>
      <c r="C1556" s="54">
        <v>501000</v>
      </c>
      <c r="D1556" s="54"/>
      <c r="E1556" s="54">
        <f t="shared" si="31"/>
        <v>422854</v>
      </c>
      <c r="F1556" s="80" t="s">
        <v>137</v>
      </c>
      <c r="G1556" s="14" t="s">
        <v>138</v>
      </c>
      <c r="H1556" s="168" t="s">
        <v>2991</v>
      </c>
      <c r="I1556"/>
    </row>
    <row r="1557" spans="1:12" s="14" customFormat="1">
      <c r="A1557" s="138"/>
      <c r="B1557" s="7" t="s">
        <v>3819</v>
      </c>
      <c r="C1557" s="54">
        <v>282500</v>
      </c>
      <c r="D1557" s="54"/>
      <c r="E1557" s="54">
        <f t="shared" si="31"/>
        <v>140354</v>
      </c>
      <c r="F1557" s="80" t="s">
        <v>115</v>
      </c>
      <c r="G1557" s="14" t="s">
        <v>120</v>
      </c>
      <c r="H1557" s="14" t="s">
        <v>127</v>
      </c>
      <c r="I1557" s="14" t="s">
        <v>444</v>
      </c>
    </row>
    <row r="1558" spans="1:12" s="14" customFormat="1">
      <c r="A1558" s="138"/>
      <c r="B1558" s="7" t="s">
        <v>2623</v>
      </c>
      <c r="C1558" s="8">
        <v>140354</v>
      </c>
      <c r="D1558" s="8">
        <v>0</v>
      </c>
      <c r="E1558" s="8">
        <f t="shared" si="31"/>
        <v>0</v>
      </c>
      <c r="F1558" s="83" t="s">
        <v>107</v>
      </c>
      <c r="G1558" s="14" t="s">
        <v>668</v>
      </c>
      <c r="H1558" s="14" t="s">
        <v>3405</v>
      </c>
      <c r="I1558" t="s">
        <v>3767</v>
      </c>
    </row>
    <row r="1559" spans="1:12" s="14" customFormat="1">
      <c r="A1559" s="3">
        <v>44475</v>
      </c>
      <c r="B1559" s="7" t="s">
        <v>2549</v>
      </c>
      <c r="C1559" s="50">
        <v>0</v>
      </c>
      <c r="D1559" s="50">
        <v>3000000</v>
      </c>
      <c r="E1559" s="8">
        <f t="shared" si="31"/>
        <v>3000000</v>
      </c>
      <c r="F1559" s="83" t="s">
        <v>107</v>
      </c>
      <c r="G1559" s="14" t="s">
        <v>666</v>
      </c>
      <c r="H1559" s="14" t="s">
        <v>3405</v>
      </c>
      <c r="I1559" t="s">
        <v>3820</v>
      </c>
    </row>
    <row r="1560" spans="1:12" s="14" customFormat="1">
      <c r="A1560" s="138"/>
      <c r="B1560" s="7" t="s">
        <v>3821</v>
      </c>
      <c r="C1560" s="54">
        <v>75000</v>
      </c>
      <c r="D1560" s="54"/>
      <c r="E1560" s="54">
        <f t="shared" si="31"/>
        <v>2925000</v>
      </c>
      <c r="F1560" s="80" t="s">
        <v>137</v>
      </c>
      <c r="G1560" s="14" t="s">
        <v>138</v>
      </c>
      <c r="H1560" s="14" t="s">
        <v>2984</v>
      </c>
      <c r="I1560"/>
    </row>
    <row r="1561" spans="1:12" s="14" customFormat="1">
      <c r="A1561" s="138"/>
      <c r="B1561" s="7" t="s">
        <v>3822</v>
      </c>
      <c r="C1561" s="54">
        <v>100000</v>
      </c>
      <c r="D1561" s="54"/>
      <c r="E1561" s="54">
        <f t="shared" si="31"/>
        <v>2825000</v>
      </c>
      <c r="F1561" s="80" t="s">
        <v>137</v>
      </c>
      <c r="G1561" s="14" t="s">
        <v>138</v>
      </c>
      <c r="H1561" s="14" t="s">
        <v>2984</v>
      </c>
      <c r="I1561"/>
    </row>
    <row r="1562" spans="1:12" s="14" customFormat="1">
      <c r="A1562" s="138"/>
      <c r="B1562" s="7" t="s">
        <v>3823</v>
      </c>
      <c r="C1562" s="54">
        <v>1451400</v>
      </c>
      <c r="D1562" s="54"/>
      <c r="E1562" s="54">
        <f t="shared" si="31"/>
        <v>1373600</v>
      </c>
      <c r="F1562" s="80" t="s">
        <v>137</v>
      </c>
      <c r="G1562" s="14" t="s">
        <v>138</v>
      </c>
      <c r="H1562" s="14" t="s">
        <v>2984</v>
      </c>
      <c r="I1562"/>
    </row>
    <row r="1563" spans="1:12" s="14" customFormat="1">
      <c r="A1563" s="138"/>
      <c r="B1563" s="7" t="s">
        <v>3824</v>
      </c>
      <c r="C1563" s="54">
        <v>375000</v>
      </c>
      <c r="D1563" s="54"/>
      <c r="E1563" s="54">
        <f t="shared" si="31"/>
        <v>998600</v>
      </c>
      <c r="F1563" s="80" t="s">
        <v>137</v>
      </c>
      <c r="G1563" s="14" t="s">
        <v>138</v>
      </c>
      <c r="H1563" s="14" t="s">
        <v>2984</v>
      </c>
      <c r="I1563"/>
    </row>
    <row r="1564" spans="1:12" s="14" customFormat="1">
      <c r="A1564" s="138"/>
      <c r="B1564" s="7" t="s">
        <v>3825</v>
      </c>
      <c r="C1564" s="54">
        <v>2000000</v>
      </c>
      <c r="D1564" s="54"/>
      <c r="E1564" s="54">
        <f t="shared" si="31"/>
        <v>-1001400</v>
      </c>
      <c r="F1564" s="80" t="s">
        <v>137</v>
      </c>
      <c r="G1564" s="14" t="s">
        <v>138</v>
      </c>
      <c r="H1564" s="14" t="s">
        <v>2984</v>
      </c>
      <c r="I1564"/>
      <c r="K1564" s="14" t="s">
        <v>4150</v>
      </c>
      <c r="L1564" s="14" t="s">
        <v>119</v>
      </c>
    </row>
    <row r="1565" spans="1:12" s="14" customFormat="1">
      <c r="A1565" s="138"/>
      <c r="B1565" s="7" t="s">
        <v>2668</v>
      </c>
      <c r="C1565" s="8">
        <v>0</v>
      </c>
      <c r="D1565" s="8">
        <v>1001400</v>
      </c>
      <c r="E1565" s="8">
        <f t="shared" si="31"/>
        <v>0</v>
      </c>
      <c r="F1565" s="83" t="s">
        <v>107</v>
      </c>
      <c r="G1565" s="14" t="s">
        <v>666</v>
      </c>
      <c r="H1565" s="14" t="s">
        <v>3405</v>
      </c>
      <c r="I1565" t="s">
        <v>3820</v>
      </c>
    </row>
    <row r="1566" spans="1:12" s="14" customFormat="1">
      <c r="A1566" s="138">
        <v>44475</v>
      </c>
      <c r="B1566" s="14" t="s">
        <v>2816</v>
      </c>
      <c r="C1566" s="50">
        <v>0</v>
      </c>
      <c r="D1566" s="50">
        <v>47691838</v>
      </c>
      <c r="E1566" s="8">
        <f t="shared" si="31"/>
        <v>47691838</v>
      </c>
      <c r="F1566" s="14" t="s">
        <v>107</v>
      </c>
      <c r="G1566" s="14" t="s">
        <v>274</v>
      </c>
      <c r="H1566" s="14" t="s">
        <v>142</v>
      </c>
    </row>
    <row r="1567" spans="1:12" s="14" customFormat="1">
      <c r="A1567" s="138"/>
      <c r="B1567" s="14" t="s">
        <v>3278</v>
      </c>
      <c r="C1567" s="53">
        <v>368000</v>
      </c>
      <c r="D1567" s="53"/>
      <c r="E1567" s="54">
        <f t="shared" si="31"/>
        <v>47323838</v>
      </c>
      <c r="F1567" s="14" t="s">
        <v>137</v>
      </c>
      <c r="G1567" s="14" t="s">
        <v>138</v>
      </c>
      <c r="H1567" s="14" t="s">
        <v>2277</v>
      </c>
    </row>
    <row r="1568" spans="1:12" s="14" customFormat="1">
      <c r="A1568" s="138"/>
      <c r="B1568" s="14" t="s">
        <v>3278</v>
      </c>
      <c r="C1568" s="53">
        <v>73000</v>
      </c>
      <c r="D1568" s="53"/>
      <c r="E1568" s="54">
        <f t="shared" si="31"/>
        <v>47250838</v>
      </c>
      <c r="F1568" s="14" t="s">
        <v>137</v>
      </c>
      <c r="G1568" s="14" t="s">
        <v>138</v>
      </c>
      <c r="H1568" s="14" t="s">
        <v>2277</v>
      </c>
    </row>
    <row r="1569" spans="1:8" s="14" customFormat="1">
      <c r="A1569" s="138"/>
      <c r="B1569" s="14" t="s">
        <v>3279</v>
      </c>
      <c r="C1569" s="53">
        <v>329900</v>
      </c>
      <c r="D1569" s="53"/>
      <c r="E1569" s="54">
        <f t="shared" si="31"/>
        <v>46920938</v>
      </c>
      <c r="F1569" s="14" t="s">
        <v>137</v>
      </c>
      <c r="G1569" s="14" t="s">
        <v>138</v>
      </c>
      <c r="H1569" s="14" t="s">
        <v>2277</v>
      </c>
    </row>
    <row r="1570" spans="1:8" s="14" customFormat="1">
      <c r="A1570" s="138"/>
      <c r="B1570" s="14" t="s">
        <v>3236</v>
      </c>
      <c r="C1570" s="53">
        <v>195000</v>
      </c>
      <c r="D1570" s="53"/>
      <c r="E1570" s="54">
        <f t="shared" si="31"/>
        <v>46725938</v>
      </c>
      <c r="F1570" s="14" t="s">
        <v>137</v>
      </c>
      <c r="G1570" s="14" t="s">
        <v>138</v>
      </c>
      <c r="H1570" s="168" t="s">
        <v>3016</v>
      </c>
    </row>
    <row r="1571" spans="1:8" s="14" customFormat="1">
      <c r="A1571" s="138"/>
      <c r="B1571" s="14" t="s">
        <v>3280</v>
      </c>
      <c r="C1571" s="53">
        <v>377500</v>
      </c>
      <c r="D1571" s="53"/>
      <c r="E1571" s="54">
        <f t="shared" si="31"/>
        <v>46348438</v>
      </c>
      <c r="F1571" s="14" t="s">
        <v>137</v>
      </c>
      <c r="G1571" s="14" t="s">
        <v>138</v>
      </c>
      <c r="H1571" s="168" t="s">
        <v>3016</v>
      </c>
    </row>
    <row r="1572" spans="1:8" s="14" customFormat="1">
      <c r="A1572" s="138"/>
      <c r="B1572" s="14" t="s">
        <v>3281</v>
      </c>
      <c r="C1572" s="53">
        <v>100000</v>
      </c>
      <c r="D1572" s="53"/>
      <c r="E1572" s="54">
        <f t="shared" si="31"/>
        <v>46248438</v>
      </c>
      <c r="F1572" s="14" t="s">
        <v>137</v>
      </c>
      <c r="G1572" s="14" t="s">
        <v>138</v>
      </c>
      <c r="H1572" s="168" t="s">
        <v>3016</v>
      </c>
    </row>
    <row r="1573" spans="1:8" s="14" customFormat="1">
      <c r="A1573" s="138"/>
      <c r="B1573" s="14" t="s">
        <v>3282</v>
      </c>
      <c r="C1573" s="53">
        <v>286600</v>
      </c>
      <c r="D1573" s="53"/>
      <c r="E1573" s="54">
        <f t="shared" si="31"/>
        <v>45961838</v>
      </c>
      <c r="F1573" s="14" t="s">
        <v>137</v>
      </c>
      <c r="G1573" s="14" t="s">
        <v>138</v>
      </c>
      <c r="H1573" s="168" t="s">
        <v>3016</v>
      </c>
    </row>
    <row r="1574" spans="1:8" s="14" customFormat="1">
      <c r="A1574" s="138"/>
      <c r="B1574" s="14" t="s">
        <v>3283</v>
      </c>
      <c r="C1574" s="53">
        <v>1393000</v>
      </c>
      <c r="D1574" s="53"/>
      <c r="E1574" s="54">
        <f t="shared" si="31"/>
        <v>44568838</v>
      </c>
      <c r="F1574" s="14" t="s">
        <v>137</v>
      </c>
      <c r="G1574" s="14" t="s">
        <v>138</v>
      </c>
      <c r="H1574" s="14" t="s">
        <v>3036</v>
      </c>
    </row>
    <row r="1575" spans="1:8" s="14" customFormat="1">
      <c r="A1575" s="138"/>
      <c r="B1575" s="14" t="s">
        <v>3284</v>
      </c>
      <c r="C1575" s="53">
        <v>12509000</v>
      </c>
      <c r="D1575" s="53"/>
      <c r="E1575" s="54">
        <f t="shared" si="31"/>
        <v>32059838</v>
      </c>
      <c r="F1575" s="14" t="s">
        <v>137</v>
      </c>
      <c r="G1575" s="14" t="s">
        <v>138</v>
      </c>
      <c r="H1575" s="14" t="s">
        <v>3036</v>
      </c>
    </row>
    <row r="1576" spans="1:8" s="14" customFormat="1">
      <c r="A1576" s="138"/>
      <c r="B1576" s="14" t="s">
        <v>3285</v>
      </c>
      <c r="C1576" s="50">
        <v>1575000</v>
      </c>
      <c r="D1576" s="50"/>
      <c r="E1576" s="8">
        <f t="shared" si="31"/>
        <v>30484838</v>
      </c>
      <c r="F1576" s="14" t="s">
        <v>137</v>
      </c>
      <c r="G1576" s="14" t="s">
        <v>138</v>
      </c>
      <c r="H1576" s="14" t="s">
        <v>3036</v>
      </c>
    </row>
    <row r="1577" spans="1:8" s="14" customFormat="1">
      <c r="A1577" s="138"/>
      <c r="B1577" s="14" t="s">
        <v>3286</v>
      </c>
      <c r="C1577" s="50">
        <v>4065000</v>
      </c>
      <c r="D1577" s="50"/>
      <c r="E1577" s="8">
        <f t="shared" si="31"/>
        <v>26419838</v>
      </c>
      <c r="F1577" s="14" t="s">
        <v>137</v>
      </c>
      <c r="G1577" s="14" t="s">
        <v>138</v>
      </c>
      <c r="H1577" s="14" t="s">
        <v>3036</v>
      </c>
    </row>
    <row r="1578" spans="1:8" s="14" customFormat="1">
      <c r="A1578" s="138"/>
      <c r="B1578" s="14" t="s">
        <v>3287</v>
      </c>
      <c r="C1578" s="50">
        <v>2221320</v>
      </c>
      <c r="D1578" s="50"/>
      <c r="E1578" s="8">
        <f t="shared" si="31"/>
        <v>24198518</v>
      </c>
      <c r="F1578" s="14" t="s">
        <v>137</v>
      </c>
      <c r="G1578" s="14" t="s">
        <v>138</v>
      </c>
      <c r="H1578" s="14" t="s">
        <v>3036</v>
      </c>
    </row>
    <row r="1579" spans="1:8" s="14" customFormat="1">
      <c r="A1579" s="138"/>
      <c r="B1579" s="14" t="s">
        <v>3288</v>
      </c>
      <c r="C1579" s="50">
        <v>128300</v>
      </c>
      <c r="D1579" s="50"/>
      <c r="E1579" s="8">
        <f t="shared" ref="E1579:E1643" si="32">E1578-C1579+D1579</f>
        <v>24070218</v>
      </c>
      <c r="F1579" s="14" t="s">
        <v>137</v>
      </c>
      <c r="G1579" s="14" t="s">
        <v>138</v>
      </c>
      <c r="H1579" s="14" t="s">
        <v>3036</v>
      </c>
    </row>
    <row r="1580" spans="1:8" s="14" customFormat="1">
      <c r="A1580" s="138"/>
      <c r="B1580" s="14" t="s">
        <v>3289</v>
      </c>
      <c r="C1580" s="50">
        <v>3247800</v>
      </c>
      <c r="D1580" s="50"/>
      <c r="E1580" s="8">
        <f t="shared" si="32"/>
        <v>20822418</v>
      </c>
      <c r="F1580" s="14" t="s">
        <v>137</v>
      </c>
      <c r="G1580" s="14" t="s">
        <v>138</v>
      </c>
      <c r="H1580" s="14" t="s">
        <v>3036</v>
      </c>
    </row>
    <row r="1581" spans="1:8" s="14" customFormat="1">
      <c r="A1581" s="138"/>
      <c r="B1581" s="14" t="s">
        <v>3289</v>
      </c>
      <c r="C1581" s="50">
        <v>50000</v>
      </c>
      <c r="D1581" s="50"/>
      <c r="E1581" s="8">
        <f t="shared" si="32"/>
        <v>20772418</v>
      </c>
      <c r="F1581" s="14" t="s">
        <v>137</v>
      </c>
      <c r="G1581" s="14" t="s">
        <v>138</v>
      </c>
      <c r="H1581" s="14" t="s">
        <v>3036</v>
      </c>
    </row>
    <row r="1582" spans="1:8" s="14" customFormat="1">
      <c r="A1582" s="138"/>
      <c r="B1582" s="14" t="s">
        <v>3290</v>
      </c>
      <c r="C1582" s="50">
        <v>589500</v>
      </c>
      <c r="D1582" s="50"/>
      <c r="E1582" s="8">
        <f t="shared" si="32"/>
        <v>20182918</v>
      </c>
      <c r="F1582" s="14" t="s">
        <v>137</v>
      </c>
      <c r="G1582" s="14" t="s">
        <v>138</v>
      </c>
      <c r="H1582" s="14" t="s">
        <v>3036</v>
      </c>
    </row>
    <row r="1583" spans="1:8" s="14" customFormat="1">
      <c r="A1583" s="138"/>
      <c r="B1583" s="14" t="s">
        <v>3291</v>
      </c>
      <c r="C1583" s="50">
        <v>449900</v>
      </c>
      <c r="D1583" s="50"/>
      <c r="E1583" s="8">
        <f t="shared" si="32"/>
        <v>19733018</v>
      </c>
      <c r="F1583" s="14" t="s">
        <v>137</v>
      </c>
      <c r="G1583" s="14" t="s">
        <v>138</v>
      </c>
      <c r="H1583" s="14" t="s">
        <v>3036</v>
      </c>
    </row>
    <row r="1584" spans="1:8" s="14" customFormat="1">
      <c r="A1584" s="138"/>
      <c r="B1584" s="14" t="s">
        <v>3292</v>
      </c>
      <c r="C1584" s="50">
        <v>185000</v>
      </c>
      <c r="D1584" s="50"/>
      <c r="E1584" s="8">
        <f t="shared" si="32"/>
        <v>19548018</v>
      </c>
      <c r="F1584" s="14" t="s">
        <v>137</v>
      </c>
      <c r="G1584" s="14" t="s">
        <v>138</v>
      </c>
      <c r="H1584" s="14" t="s">
        <v>3036</v>
      </c>
    </row>
    <row r="1585" spans="1:9" s="14" customFormat="1">
      <c r="A1585" s="138"/>
      <c r="B1585" s="14" t="s">
        <v>3293</v>
      </c>
      <c r="C1585" s="53">
        <v>8438000</v>
      </c>
      <c r="D1585" s="53"/>
      <c r="E1585" s="54">
        <f t="shared" si="32"/>
        <v>11110018</v>
      </c>
      <c r="F1585" s="14" t="s">
        <v>115</v>
      </c>
      <c r="G1585" s="14" t="s">
        <v>120</v>
      </c>
      <c r="H1585" s="14" t="s">
        <v>560</v>
      </c>
      <c r="I1585" s="14" t="s">
        <v>444</v>
      </c>
    </row>
    <row r="1586" spans="1:9" s="14" customFormat="1">
      <c r="A1586" s="138"/>
      <c r="B1586" s="14" t="s">
        <v>3286</v>
      </c>
      <c r="C1586" s="50">
        <v>1675000</v>
      </c>
      <c r="D1586" s="50"/>
      <c r="E1586" s="8">
        <f t="shared" si="32"/>
        <v>9435018</v>
      </c>
      <c r="F1586" s="14" t="s">
        <v>137</v>
      </c>
      <c r="G1586" s="14" t="s">
        <v>138</v>
      </c>
      <c r="H1586" s="14" t="s">
        <v>3036</v>
      </c>
    </row>
    <row r="1587" spans="1:9" s="14" customFormat="1">
      <c r="A1587" s="138"/>
      <c r="B1587" s="14" t="s">
        <v>3294</v>
      </c>
      <c r="C1587" s="53">
        <v>360000</v>
      </c>
      <c r="D1587" s="53"/>
      <c r="E1587" s="54">
        <f t="shared" si="32"/>
        <v>9075018</v>
      </c>
      <c r="F1587" s="14" t="s">
        <v>115</v>
      </c>
      <c r="G1587" s="14" t="s">
        <v>120</v>
      </c>
      <c r="H1587" s="14" t="s">
        <v>127</v>
      </c>
      <c r="I1587" s="14" t="s">
        <v>444</v>
      </c>
    </row>
    <row r="1588" spans="1:9" s="14" customFormat="1">
      <c r="A1588" s="138"/>
      <c r="B1588" s="14" t="s">
        <v>3295</v>
      </c>
      <c r="C1588" s="50">
        <v>177870</v>
      </c>
      <c r="D1588" s="50"/>
      <c r="E1588" s="8">
        <f t="shared" si="32"/>
        <v>8897148</v>
      </c>
      <c r="F1588" s="14" t="s">
        <v>137</v>
      </c>
      <c r="G1588" s="14" t="s">
        <v>138</v>
      </c>
      <c r="H1588" s="168" t="s">
        <v>3037</v>
      </c>
    </row>
    <row r="1589" spans="1:9" s="14" customFormat="1">
      <c r="A1589" s="138"/>
      <c r="B1589" s="14" t="s">
        <v>3296</v>
      </c>
      <c r="C1589" s="50">
        <v>1031415</v>
      </c>
      <c r="D1589" s="50"/>
      <c r="E1589" s="8">
        <f t="shared" si="32"/>
        <v>7865733</v>
      </c>
      <c r="F1589" s="14" t="s">
        <v>137</v>
      </c>
      <c r="G1589" s="14" t="s">
        <v>138</v>
      </c>
      <c r="H1589" s="168" t="s">
        <v>3037</v>
      </c>
    </row>
    <row r="1590" spans="1:9" s="14" customFormat="1">
      <c r="A1590" s="138"/>
      <c r="B1590" s="14" t="s">
        <v>3125</v>
      </c>
      <c r="C1590" s="50">
        <v>124100</v>
      </c>
      <c r="D1590" s="50"/>
      <c r="E1590" s="8">
        <f t="shared" si="32"/>
        <v>7741633</v>
      </c>
      <c r="F1590" s="14" t="s">
        <v>137</v>
      </c>
      <c r="G1590" s="14" t="s">
        <v>138</v>
      </c>
      <c r="H1590" s="168" t="s">
        <v>3037</v>
      </c>
    </row>
    <row r="1591" spans="1:9">
      <c r="B1591" t="s">
        <v>3297</v>
      </c>
      <c r="C1591" s="8">
        <v>1383250</v>
      </c>
      <c r="E1591" s="8">
        <f t="shared" si="32"/>
        <v>6358383</v>
      </c>
      <c r="F1591" s="14" t="s">
        <v>137</v>
      </c>
      <c r="G1591" s="14" t="s">
        <v>138</v>
      </c>
      <c r="H1591" s="168" t="s">
        <v>3041</v>
      </c>
    </row>
    <row r="1592" spans="1:9">
      <c r="B1592" t="s">
        <v>3298</v>
      </c>
      <c r="C1592" s="8">
        <v>461200</v>
      </c>
      <c r="E1592" s="8">
        <f t="shared" si="32"/>
        <v>5897183</v>
      </c>
      <c r="F1592" s="14" t="s">
        <v>137</v>
      </c>
      <c r="G1592" s="14" t="s">
        <v>138</v>
      </c>
      <c r="H1592" s="168" t="s">
        <v>3037</v>
      </c>
    </row>
    <row r="1593" spans="1:9">
      <c r="B1593" t="s">
        <v>3299</v>
      </c>
      <c r="C1593" s="8">
        <v>424000</v>
      </c>
      <c r="E1593" s="8">
        <f t="shared" si="32"/>
        <v>5473183</v>
      </c>
      <c r="F1593" s="14" t="s">
        <v>137</v>
      </c>
      <c r="G1593" s="14" t="s">
        <v>138</v>
      </c>
      <c r="H1593" s="168" t="s">
        <v>3037</v>
      </c>
    </row>
    <row r="1594" spans="1:9">
      <c r="B1594" t="s">
        <v>3300</v>
      </c>
      <c r="C1594" s="54">
        <v>1994000</v>
      </c>
      <c r="D1594" s="54"/>
      <c r="E1594" s="54">
        <f t="shared" si="32"/>
        <v>3479183</v>
      </c>
      <c r="F1594" s="14" t="s">
        <v>115</v>
      </c>
      <c r="G1594" s="14" t="s">
        <v>120</v>
      </c>
      <c r="H1594" s="14" t="s">
        <v>127</v>
      </c>
      <c r="I1594" s="14" t="s">
        <v>444</v>
      </c>
    </row>
    <row r="1595" spans="1:9">
      <c r="B1595" t="s">
        <v>3194</v>
      </c>
      <c r="C1595" s="8">
        <v>303600</v>
      </c>
      <c r="E1595" s="8">
        <f t="shared" si="32"/>
        <v>3175583</v>
      </c>
      <c r="F1595" s="14" t="s">
        <v>248</v>
      </c>
      <c r="G1595" s="14" t="s">
        <v>407</v>
      </c>
      <c r="H1595" t="s">
        <v>64</v>
      </c>
    </row>
    <row r="1596" spans="1:9">
      <c r="B1596" t="s">
        <v>417</v>
      </c>
      <c r="C1596" s="8">
        <v>10000</v>
      </c>
      <c r="E1596" s="8">
        <f t="shared" si="32"/>
        <v>3165583</v>
      </c>
      <c r="F1596" s="14" t="s">
        <v>113</v>
      </c>
      <c r="G1596" s="14" t="s">
        <v>114</v>
      </c>
      <c r="H1596" t="s">
        <v>64</v>
      </c>
    </row>
    <row r="1597" spans="1:9">
      <c r="B1597" t="s">
        <v>3301</v>
      </c>
      <c r="C1597" s="54">
        <v>1707333</v>
      </c>
      <c r="D1597" s="54"/>
      <c r="E1597" s="54">
        <f t="shared" si="32"/>
        <v>1458250</v>
      </c>
      <c r="F1597" s="14" t="s">
        <v>115</v>
      </c>
      <c r="G1597" s="14" t="s">
        <v>440</v>
      </c>
      <c r="H1597" s="14" t="s">
        <v>4001</v>
      </c>
    </row>
    <row r="1598" spans="1:9">
      <c r="B1598" t="s">
        <v>3302</v>
      </c>
      <c r="C1598" s="54">
        <v>1458250</v>
      </c>
      <c r="D1598" s="54"/>
      <c r="E1598" s="54">
        <f t="shared" si="32"/>
        <v>0</v>
      </c>
      <c r="F1598" s="14" t="s">
        <v>115</v>
      </c>
      <c r="G1598" s="14" t="s">
        <v>440</v>
      </c>
      <c r="H1598" s="14" t="s">
        <v>4002</v>
      </c>
    </row>
    <row r="1599" spans="1:9" s="14" customFormat="1">
      <c r="A1599" s="138">
        <v>44475</v>
      </c>
      <c r="B1599" s="14" t="s">
        <v>2818</v>
      </c>
      <c r="C1599" s="50">
        <v>0</v>
      </c>
      <c r="D1599" s="50">
        <v>14433747</v>
      </c>
      <c r="E1599" s="8">
        <f t="shared" si="32"/>
        <v>14433747</v>
      </c>
      <c r="F1599" s="14" t="s">
        <v>107</v>
      </c>
      <c r="G1599" s="14" t="s">
        <v>274</v>
      </c>
      <c r="H1599" s="14" t="s">
        <v>141</v>
      </c>
    </row>
    <row r="1600" spans="1:9">
      <c r="B1600" t="s">
        <v>897</v>
      </c>
      <c r="C1600" s="8">
        <v>150000</v>
      </c>
      <c r="E1600" s="8">
        <f t="shared" si="32"/>
        <v>14283747</v>
      </c>
      <c r="F1600" s="14" t="s">
        <v>319</v>
      </c>
      <c r="G1600" s="14" t="s">
        <v>117</v>
      </c>
      <c r="H1600" t="s">
        <v>64</v>
      </c>
    </row>
    <row r="1601" spans="2:8">
      <c r="B1601" t="s">
        <v>1042</v>
      </c>
      <c r="C1601" s="8">
        <v>268393</v>
      </c>
      <c r="E1601" s="8">
        <f t="shared" si="32"/>
        <v>14015354</v>
      </c>
      <c r="F1601" s="14" t="s">
        <v>319</v>
      </c>
      <c r="G1601" s="14" t="s">
        <v>117</v>
      </c>
      <c r="H1601" t="s">
        <v>64</v>
      </c>
    </row>
    <row r="1602" spans="2:8">
      <c r="B1602" t="s">
        <v>897</v>
      </c>
      <c r="C1602" s="8">
        <v>260820</v>
      </c>
      <c r="E1602" s="8">
        <f t="shared" si="32"/>
        <v>13754534</v>
      </c>
      <c r="F1602" s="14" t="s">
        <v>319</v>
      </c>
      <c r="G1602" s="14" t="s">
        <v>117</v>
      </c>
      <c r="H1602" t="s">
        <v>64</v>
      </c>
    </row>
    <row r="1603" spans="2:8">
      <c r="B1603" t="s">
        <v>3303</v>
      </c>
      <c r="C1603" s="8">
        <v>259412</v>
      </c>
      <c r="E1603" s="8">
        <f t="shared" si="32"/>
        <v>13495122</v>
      </c>
      <c r="F1603" s="14" t="s">
        <v>319</v>
      </c>
      <c r="G1603" s="14" t="s">
        <v>117</v>
      </c>
      <c r="H1603" t="s">
        <v>64</v>
      </c>
    </row>
    <row r="1604" spans="2:8">
      <c r="B1604" t="s">
        <v>3304</v>
      </c>
      <c r="C1604" s="8">
        <v>5000</v>
      </c>
      <c r="E1604" s="8">
        <f t="shared" si="32"/>
        <v>13490122</v>
      </c>
      <c r="F1604" s="14" t="s">
        <v>113</v>
      </c>
      <c r="G1604" s="14" t="s">
        <v>114</v>
      </c>
      <c r="H1604" t="s">
        <v>64</v>
      </c>
    </row>
    <row r="1605" spans="2:8">
      <c r="B1605" t="s">
        <v>3313</v>
      </c>
      <c r="C1605" s="8">
        <v>1817000</v>
      </c>
      <c r="E1605" s="8">
        <f t="shared" si="32"/>
        <v>11673122</v>
      </c>
      <c r="F1605" s="14" t="s">
        <v>319</v>
      </c>
      <c r="G1605" s="14" t="s">
        <v>647</v>
      </c>
      <c r="H1605" t="s">
        <v>64</v>
      </c>
    </row>
    <row r="1606" spans="2:8">
      <c r="B1606" t="s">
        <v>3315</v>
      </c>
      <c r="C1606" s="8">
        <v>276595</v>
      </c>
      <c r="E1606" s="8">
        <f t="shared" si="32"/>
        <v>11396527</v>
      </c>
      <c r="F1606" s="14" t="s">
        <v>248</v>
      </c>
      <c r="G1606" s="14" t="s">
        <v>407</v>
      </c>
      <c r="H1606" t="s">
        <v>64</v>
      </c>
    </row>
    <row r="1607" spans="2:8">
      <c r="B1607" t="s">
        <v>3303</v>
      </c>
      <c r="C1607" s="8">
        <v>289170</v>
      </c>
      <c r="E1607" s="8">
        <f t="shared" si="32"/>
        <v>11107357</v>
      </c>
      <c r="F1607" s="14" t="s">
        <v>319</v>
      </c>
      <c r="G1607" s="14" t="s">
        <v>117</v>
      </c>
      <c r="H1607" t="s">
        <v>64</v>
      </c>
    </row>
    <row r="1608" spans="2:8">
      <c r="B1608" t="s">
        <v>3314</v>
      </c>
      <c r="C1608" s="8">
        <v>1545000</v>
      </c>
      <c r="E1608" s="8">
        <f t="shared" si="32"/>
        <v>9562357</v>
      </c>
      <c r="F1608" s="14" t="s">
        <v>319</v>
      </c>
      <c r="G1608" s="14" t="s">
        <v>320</v>
      </c>
      <c r="H1608" t="s">
        <v>64</v>
      </c>
    </row>
    <row r="1609" spans="2:8">
      <c r="B1609" t="s">
        <v>3284</v>
      </c>
      <c r="C1609" s="8">
        <v>1712500</v>
      </c>
      <c r="E1609" s="8">
        <f t="shared" si="32"/>
        <v>7849857</v>
      </c>
      <c r="F1609" s="14" t="s">
        <v>137</v>
      </c>
      <c r="G1609" s="14" t="s">
        <v>138</v>
      </c>
      <c r="H1609" s="14" t="s">
        <v>3036</v>
      </c>
    </row>
    <row r="1610" spans="2:8">
      <c r="B1610" t="s">
        <v>1042</v>
      </c>
      <c r="C1610" s="8">
        <v>223984</v>
      </c>
      <c r="E1610" s="8">
        <f t="shared" si="32"/>
        <v>7625873</v>
      </c>
      <c r="F1610" s="14" t="s">
        <v>319</v>
      </c>
      <c r="G1610" s="14" t="s">
        <v>117</v>
      </c>
      <c r="H1610" t="s">
        <v>64</v>
      </c>
    </row>
    <row r="1611" spans="2:8">
      <c r="B1611" t="s">
        <v>3305</v>
      </c>
      <c r="C1611" s="8">
        <v>323500</v>
      </c>
      <c r="E1611" s="8">
        <f t="shared" si="32"/>
        <v>7302373</v>
      </c>
      <c r="F1611" s="14" t="s">
        <v>137</v>
      </c>
      <c r="G1611" s="14" t="s">
        <v>138</v>
      </c>
      <c r="H1611" s="14" t="s">
        <v>3036</v>
      </c>
    </row>
    <row r="1612" spans="2:8">
      <c r="B1612" t="s">
        <v>3306</v>
      </c>
      <c r="C1612" s="8">
        <v>266420</v>
      </c>
      <c r="E1612" s="8">
        <f t="shared" si="32"/>
        <v>7035953</v>
      </c>
      <c r="F1612" s="14" t="s">
        <v>319</v>
      </c>
      <c r="G1612" s="14" t="s">
        <v>117</v>
      </c>
      <c r="H1612" t="s">
        <v>64</v>
      </c>
    </row>
    <row r="1613" spans="2:8">
      <c r="B1613" t="s">
        <v>1042</v>
      </c>
      <c r="C1613" s="8">
        <v>258471</v>
      </c>
      <c r="E1613" s="8">
        <f t="shared" si="32"/>
        <v>6777482</v>
      </c>
      <c r="F1613" s="14" t="s">
        <v>319</v>
      </c>
      <c r="G1613" s="14" t="s">
        <v>117</v>
      </c>
      <c r="H1613" t="s">
        <v>64</v>
      </c>
    </row>
    <row r="1614" spans="2:8">
      <c r="B1614" t="s">
        <v>3307</v>
      </c>
      <c r="C1614" s="8">
        <v>220060</v>
      </c>
      <c r="E1614" s="8">
        <f t="shared" si="32"/>
        <v>6557422</v>
      </c>
      <c r="F1614" s="14" t="s">
        <v>319</v>
      </c>
      <c r="G1614" s="14" t="s">
        <v>117</v>
      </c>
      <c r="H1614" t="s">
        <v>64</v>
      </c>
    </row>
    <row r="1615" spans="2:8">
      <c r="B1615" t="s">
        <v>3308</v>
      </c>
      <c r="C1615" s="8">
        <v>4625000</v>
      </c>
      <c r="E1615" s="8">
        <f t="shared" si="32"/>
        <v>1932422</v>
      </c>
      <c r="F1615" s="14" t="s">
        <v>137</v>
      </c>
      <c r="G1615" s="14" t="s">
        <v>138</v>
      </c>
      <c r="H1615" s="168" t="s">
        <v>3037</v>
      </c>
    </row>
    <row r="1616" spans="2:8">
      <c r="B1616" t="s">
        <v>897</v>
      </c>
      <c r="C1616" s="8">
        <v>200000</v>
      </c>
      <c r="E1616" s="8">
        <f t="shared" si="32"/>
        <v>1732422</v>
      </c>
      <c r="F1616" s="14" t="s">
        <v>319</v>
      </c>
      <c r="G1616" s="14" t="s">
        <v>117</v>
      </c>
      <c r="H1616" t="s">
        <v>64</v>
      </c>
    </row>
    <row r="1617" spans="1:8">
      <c r="B1617" t="s">
        <v>3309</v>
      </c>
      <c r="C1617" s="8">
        <v>155000</v>
      </c>
      <c r="E1617" s="8">
        <f t="shared" si="32"/>
        <v>1577422</v>
      </c>
      <c r="F1617" s="14" t="s">
        <v>137</v>
      </c>
      <c r="G1617" s="14" t="s">
        <v>138</v>
      </c>
      <c r="H1617" s="168" t="s">
        <v>3037</v>
      </c>
    </row>
    <row r="1618" spans="1:8">
      <c r="B1618" t="s">
        <v>1039</v>
      </c>
      <c r="C1618" s="8">
        <v>192300</v>
      </c>
      <c r="E1618" s="8">
        <f t="shared" si="32"/>
        <v>1385122</v>
      </c>
      <c r="F1618" s="14" t="s">
        <v>137</v>
      </c>
      <c r="G1618" s="14" t="s">
        <v>138</v>
      </c>
      <c r="H1618" s="168" t="s">
        <v>3037</v>
      </c>
    </row>
    <row r="1619" spans="1:8">
      <c r="B1619" t="s">
        <v>3110</v>
      </c>
      <c r="C1619" s="8">
        <v>174300</v>
      </c>
      <c r="E1619" s="8">
        <f t="shared" si="32"/>
        <v>1210822</v>
      </c>
      <c r="F1619" s="14" t="s">
        <v>137</v>
      </c>
      <c r="G1619" s="14" t="s">
        <v>138</v>
      </c>
      <c r="H1619" s="168" t="s">
        <v>3037</v>
      </c>
    </row>
    <row r="1620" spans="1:8">
      <c r="B1620" t="s">
        <v>3310</v>
      </c>
      <c r="C1620" s="8">
        <v>549000</v>
      </c>
      <c r="E1620" s="8">
        <f t="shared" si="32"/>
        <v>661822</v>
      </c>
      <c r="F1620" s="14" t="s">
        <v>137</v>
      </c>
      <c r="G1620" s="14" t="s">
        <v>138</v>
      </c>
      <c r="H1620" s="168" t="s">
        <v>3037</v>
      </c>
    </row>
    <row r="1621" spans="1:8">
      <c r="B1621" t="s">
        <v>1039</v>
      </c>
      <c r="C1621" s="8">
        <v>130000</v>
      </c>
      <c r="E1621" s="8">
        <f t="shared" si="32"/>
        <v>531822</v>
      </c>
      <c r="F1621" s="14" t="s">
        <v>137</v>
      </c>
      <c r="G1621" s="14" t="s">
        <v>138</v>
      </c>
      <c r="H1621" s="168" t="s">
        <v>3037</v>
      </c>
    </row>
    <row r="1622" spans="1:8">
      <c r="B1622" t="s">
        <v>1042</v>
      </c>
      <c r="C1622" s="8">
        <v>275928</v>
      </c>
      <c r="E1622" s="8">
        <f t="shared" si="32"/>
        <v>255894</v>
      </c>
      <c r="F1622" s="14" t="s">
        <v>319</v>
      </c>
      <c r="G1622" s="14" t="s">
        <v>117</v>
      </c>
      <c r="H1622" t="s">
        <v>64</v>
      </c>
    </row>
    <row r="1623" spans="1:8">
      <c r="B1623" t="s">
        <v>3311</v>
      </c>
      <c r="C1623" s="8">
        <v>245894</v>
      </c>
      <c r="E1623" s="8">
        <f t="shared" si="32"/>
        <v>10000</v>
      </c>
      <c r="F1623" s="14" t="s">
        <v>319</v>
      </c>
      <c r="G1623" s="14" t="s">
        <v>117</v>
      </c>
      <c r="H1623" t="s">
        <v>64</v>
      </c>
    </row>
    <row r="1624" spans="1:8">
      <c r="B1624" t="s">
        <v>3312</v>
      </c>
      <c r="C1624" s="8">
        <v>10000</v>
      </c>
      <c r="E1624" s="8">
        <f t="shared" si="32"/>
        <v>0</v>
      </c>
      <c r="F1624" s="14" t="s">
        <v>113</v>
      </c>
      <c r="G1624" s="14" t="s">
        <v>114</v>
      </c>
      <c r="H1624" t="s">
        <v>64</v>
      </c>
    </row>
    <row r="1625" spans="1:8" s="14" customFormat="1">
      <c r="A1625" s="138">
        <v>44475</v>
      </c>
      <c r="B1625" s="14" t="s">
        <v>2820</v>
      </c>
      <c r="C1625" s="50">
        <v>0</v>
      </c>
      <c r="D1625" s="50">
        <v>2628106</v>
      </c>
      <c r="E1625" s="8">
        <f t="shared" si="32"/>
        <v>2628106</v>
      </c>
      <c r="F1625" s="14" t="s">
        <v>107</v>
      </c>
      <c r="G1625" s="14" t="s">
        <v>274</v>
      </c>
      <c r="H1625" s="14" t="s">
        <v>140</v>
      </c>
    </row>
    <row r="1626" spans="1:8" s="14" customFormat="1">
      <c r="A1626" s="138"/>
      <c r="B1626" s="14" t="s">
        <v>3316</v>
      </c>
      <c r="C1626" s="50">
        <v>266719</v>
      </c>
      <c r="D1626" s="50"/>
      <c r="E1626" s="8">
        <f t="shared" si="32"/>
        <v>2361387</v>
      </c>
      <c r="F1626" s="14" t="s">
        <v>319</v>
      </c>
      <c r="G1626" s="14" t="s">
        <v>117</v>
      </c>
      <c r="H1626" s="14" t="s">
        <v>64</v>
      </c>
    </row>
    <row r="1627" spans="1:8" s="14" customFormat="1">
      <c r="A1627" s="138"/>
      <c r="B1627" s="14" t="s">
        <v>3321</v>
      </c>
      <c r="C1627" s="50">
        <v>761000</v>
      </c>
      <c r="D1627" s="50"/>
      <c r="E1627" s="8">
        <f t="shared" si="32"/>
        <v>1600387</v>
      </c>
      <c r="F1627" s="14" t="s">
        <v>319</v>
      </c>
      <c r="G1627" s="14" t="s">
        <v>320</v>
      </c>
      <c r="H1627" s="14" t="s">
        <v>64</v>
      </c>
    </row>
    <row r="1628" spans="1:8" s="14" customFormat="1">
      <c r="A1628" s="138"/>
      <c r="B1628" s="14" t="s">
        <v>3317</v>
      </c>
      <c r="C1628" s="50">
        <v>5000</v>
      </c>
      <c r="D1628" s="50"/>
      <c r="E1628" s="8">
        <f t="shared" si="32"/>
        <v>1595387</v>
      </c>
      <c r="F1628" s="14" t="s">
        <v>113</v>
      </c>
      <c r="G1628" s="14" t="s">
        <v>114</v>
      </c>
      <c r="H1628" s="14" t="s">
        <v>64</v>
      </c>
    </row>
    <row r="1629" spans="1:8" s="14" customFormat="1">
      <c r="A1629" s="138"/>
      <c r="B1629" s="14" t="s">
        <v>897</v>
      </c>
      <c r="C1629" s="50">
        <v>264910</v>
      </c>
      <c r="D1629" s="50"/>
      <c r="E1629" s="8">
        <f t="shared" si="32"/>
        <v>1330477</v>
      </c>
      <c r="F1629" s="14" t="s">
        <v>319</v>
      </c>
      <c r="G1629" s="14" t="s">
        <v>117</v>
      </c>
      <c r="H1629" s="14" t="s">
        <v>64</v>
      </c>
    </row>
    <row r="1630" spans="1:8" s="14" customFormat="1">
      <c r="A1630" s="138"/>
      <c r="B1630" s="14" t="s">
        <v>3318</v>
      </c>
      <c r="C1630" s="50">
        <v>243527</v>
      </c>
      <c r="D1630" s="50"/>
      <c r="E1630" s="8">
        <f t="shared" si="32"/>
        <v>1086950</v>
      </c>
      <c r="F1630" s="14" t="s">
        <v>319</v>
      </c>
      <c r="G1630" s="14" t="s">
        <v>1045</v>
      </c>
      <c r="H1630" s="14" t="s">
        <v>64</v>
      </c>
    </row>
    <row r="1631" spans="1:8" s="14" customFormat="1">
      <c r="A1631" s="138"/>
      <c r="B1631" s="14" t="s">
        <v>3316</v>
      </c>
      <c r="C1631" s="50">
        <v>272340</v>
      </c>
      <c r="D1631" s="50"/>
      <c r="E1631" s="8">
        <f t="shared" si="32"/>
        <v>814610</v>
      </c>
      <c r="F1631" s="14" t="s">
        <v>319</v>
      </c>
      <c r="G1631" s="14" t="s">
        <v>117</v>
      </c>
      <c r="H1631" s="14" t="s">
        <v>64</v>
      </c>
    </row>
    <row r="1632" spans="1:8" s="14" customFormat="1">
      <c r="A1632" s="138"/>
      <c r="B1632" s="14" t="s">
        <v>3319</v>
      </c>
      <c r="C1632" s="50">
        <v>125400</v>
      </c>
      <c r="D1632" s="50"/>
      <c r="E1632" s="8">
        <f t="shared" si="32"/>
        <v>689210</v>
      </c>
      <c r="F1632" s="14" t="s">
        <v>248</v>
      </c>
      <c r="G1632" s="14" t="s">
        <v>407</v>
      </c>
      <c r="H1632" s="14" t="s">
        <v>64</v>
      </c>
    </row>
    <row r="1633" spans="1:12" s="14" customFormat="1">
      <c r="A1633" s="138"/>
      <c r="B1633" s="14" t="s">
        <v>3322</v>
      </c>
      <c r="C1633" s="50">
        <v>283750</v>
      </c>
      <c r="D1633" s="50"/>
      <c r="E1633" s="8">
        <f t="shared" si="32"/>
        <v>405460</v>
      </c>
      <c r="F1633" s="14" t="s">
        <v>248</v>
      </c>
      <c r="G1633" s="14" t="s">
        <v>391</v>
      </c>
      <c r="H1633" s="14" t="s">
        <v>64</v>
      </c>
    </row>
    <row r="1634" spans="1:12" s="14" customFormat="1">
      <c r="A1634" s="138"/>
      <c r="B1634" s="14" t="s">
        <v>3320</v>
      </c>
      <c r="C1634" s="53">
        <v>124000</v>
      </c>
      <c r="D1634" s="53"/>
      <c r="E1634" s="54">
        <f t="shared" si="32"/>
        <v>281460</v>
      </c>
      <c r="F1634" s="14" t="s">
        <v>115</v>
      </c>
      <c r="G1634" s="14" t="s">
        <v>120</v>
      </c>
      <c r="H1634" s="14" t="s">
        <v>127</v>
      </c>
      <c r="I1634" s="14" t="s">
        <v>444</v>
      </c>
    </row>
    <row r="1635" spans="1:12" s="14" customFormat="1">
      <c r="A1635" s="138"/>
      <c r="B1635" s="14" t="s">
        <v>897</v>
      </c>
      <c r="C1635" s="50">
        <v>271460</v>
      </c>
      <c r="D1635" s="50"/>
      <c r="E1635" s="8">
        <f t="shared" si="32"/>
        <v>10000</v>
      </c>
      <c r="F1635" s="14" t="s">
        <v>319</v>
      </c>
      <c r="G1635" s="14" t="s">
        <v>117</v>
      </c>
      <c r="H1635" s="14" t="s">
        <v>64</v>
      </c>
    </row>
    <row r="1636" spans="1:12" s="14" customFormat="1">
      <c r="A1636" s="138"/>
      <c r="B1636" s="14" t="s">
        <v>389</v>
      </c>
      <c r="C1636" s="50">
        <v>10000</v>
      </c>
      <c r="D1636" s="50"/>
      <c r="E1636" s="8">
        <f t="shared" si="32"/>
        <v>0</v>
      </c>
      <c r="F1636" s="14" t="s">
        <v>113</v>
      </c>
      <c r="G1636" s="14" t="s">
        <v>114</v>
      </c>
      <c r="H1636" s="14" t="s">
        <v>64</v>
      </c>
    </row>
    <row r="1637" spans="1:12" s="14" customFormat="1">
      <c r="A1637" s="3">
        <v>44475</v>
      </c>
      <c r="B1637" t="s">
        <v>1790</v>
      </c>
      <c r="C1637" s="8">
        <v>0</v>
      </c>
      <c r="D1637" s="8">
        <v>4695048</v>
      </c>
      <c r="E1637" s="8">
        <f t="shared" si="32"/>
        <v>4695048</v>
      </c>
      <c r="F1637" t="s">
        <v>581</v>
      </c>
      <c r="G1637" t="s">
        <v>582</v>
      </c>
      <c r="H1637" s="14" t="s">
        <v>2977</v>
      </c>
      <c r="I1637">
        <v>69</v>
      </c>
    </row>
    <row r="1638" spans="1:12" s="14" customFormat="1">
      <c r="A1638" s="138"/>
      <c r="B1638" t="s">
        <v>1790</v>
      </c>
      <c r="C1638" s="50">
        <v>3912540</v>
      </c>
      <c r="D1638" s="50"/>
      <c r="E1638" s="8">
        <f t="shared" si="32"/>
        <v>782508</v>
      </c>
      <c r="F1638" s="14" t="s">
        <v>568</v>
      </c>
      <c r="G1638" s="14" t="s">
        <v>4395</v>
      </c>
      <c r="H1638" s="14" t="s">
        <v>2977</v>
      </c>
      <c r="I1638">
        <v>69</v>
      </c>
    </row>
    <row r="1639" spans="1:12" s="14" customFormat="1">
      <c r="A1639" s="138"/>
      <c r="B1639" t="s">
        <v>1790</v>
      </c>
      <c r="C1639" s="50">
        <v>782508</v>
      </c>
      <c r="D1639" s="50"/>
      <c r="E1639" s="8">
        <f t="shared" si="32"/>
        <v>0</v>
      </c>
      <c r="F1639" t="s">
        <v>714</v>
      </c>
      <c r="G1639" t="s">
        <v>715</v>
      </c>
      <c r="H1639" s="14" t="s">
        <v>2977</v>
      </c>
      <c r="I1639">
        <v>69</v>
      </c>
    </row>
    <row r="1640" spans="1:12" s="14" customFormat="1">
      <c r="A1640" s="3">
        <v>44480</v>
      </c>
      <c r="B1640" s="7" t="s">
        <v>2573</v>
      </c>
      <c r="C1640" s="50">
        <v>0</v>
      </c>
      <c r="D1640" s="50">
        <v>40000000</v>
      </c>
      <c r="E1640" s="8">
        <f t="shared" si="32"/>
        <v>40000000</v>
      </c>
      <c r="F1640" s="83" t="s">
        <v>107</v>
      </c>
      <c r="G1640" s="14" t="s">
        <v>666</v>
      </c>
      <c r="H1640" s="14" t="s">
        <v>3405</v>
      </c>
      <c r="I1640" t="s">
        <v>3827</v>
      </c>
    </row>
    <row r="1641" spans="1:12" s="14" customFormat="1">
      <c r="A1641" s="3"/>
      <c r="B1641" s="7" t="s">
        <v>3828</v>
      </c>
      <c r="C1641" s="53">
        <v>14940000</v>
      </c>
      <c r="D1641" s="53"/>
      <c r="E1641" s="54">
        <f t="shared" si="32"/>
        <v>25060000</v>
      </c>
      <c r="F1641" s="80" t="s">
        <v>137</v>
      </c>
      <c r="G1641" s="14" t="s">
        <v>138</v>
      </c>
      <c r="H1641" s="14" t="s">
        <v>2278</v>
      </c>
      <c r="I1641"/>
    </row>
    <row r="1642" spans="1:12" s="14" customFormat="1">
      <c r="A1642" s="3"/>
      <c r="B1642" s="7" t="s">
        <v>3821</v>
      </c>
      <c r="C1642" s="53">
        <v>75000</v>
      </c>
      <c r="D1642" s="53"/>
      <c r="E1642" s="54">
        <f t="shared" si="32"/>
        <v>24985000</v>
      </c>
      <c r="F1642" s="80" t="s">
        <v>137</v>
      </c>
      <c r="G1642" s="14" t="s">
        <v>138</v>
      </c>
      <c r="H1642" s="14" t="s">
        <v>2278</v>
      </c>
      <c r="I1642"/>
    </row>
    <row r="1643" spans="1:12" s="14" customFormat="1">
      <c r="A1643" s="3"/>
      <c r="B1643" s="7" t="s">
        <v>3829</v>
      </c>
      <c r="C1643" s="53">
        <v>100000</v>
      </c>
      <c r="D1643" s="53"/>
      <c r="E1643" s="54">
        <f t="shared" si="32"/>
        <v>24885000</v>
      </c>
      <c r="F1643" s="80" t="s">
        <v>137</v>
      </c>
      <c r="G1643" s="14" t="s">
        <v>138</v>
      </c>
      <c r="H1643" s="14" t="s">
        <v>2278</v>
      </c>
      <c r="I1643"/>
    </row>
    <row r="1644" spans="1:12" s="14" customFormat="1">
      <c r="A1644" s="3"/>
      <c r="B1644" s="7" t="s">
        <v>3830</v>
      </c>
      <c r="C1644" s="53">
        <v>200000</v>
      </c>
      <c r="D1644" s="53"/>
      <c r="E1644" s="54">
        <f t="shared" ref="E1644:E1645" si="33">E1643-C1644+D1644</f>
        <v>24685000</v>
      </c>
      <c r="F1644" s="80" t="s">
        <v>137</v>
      </c>
      <c r="G1644" s="14" t="s">
        <v>138</v>
      </c>
      <c r="H1644" s="14" t="s">
        <v>2278</v>
      </c>
      <c r="I1644"/>
    </row>
    <row r="1645" spans="1:12" s="14" customFormat="1">
      <c r="A1645" s="3"/>
      <c r="B1645" s="7" t="s">
        <v>3831</v>
      </c>
      <c r="C1645" s="53">
        <v>80000</v>
      </c>
      <c r="D1645" s="53"/>
      <c r="E1645" s="54">
        <f t="shared" si="33"/>
        <v>24605000</v>
      </c>
      <c r="F1645" s="80" t="s">
        <v>137</v>
      </c>
      <c r="G1645" s="14" t="s">
        <v>138</v>
      </c>
      <c r="H1645" s="14" t="s">
        <v>2278</v>
      </c>
      <c r="I1645"/>
    </row>
    <row r="1646" spans="1:12" s="14" customFormat="1">
      <c r="A1646" s="3"/>
      <c r="B1646" s="7" t="s">
        <v>3832</v>
      </c>
      <c r="C1646" s="53">
        <v>125000</v>
      </c>
      <c r="D1646" s="53"/>
      <c r="E1646" s="54">
        <f t="shared" ref="E1646" si="34">E1645-C1646+D1646</f>
        <v>24480000</v>
      </c>
      <c r="F1646" s="80" t="s">
        <v>137</v>
      </c>
      <c r="G1646" s="14" t="s">
        <v>138</v>
      </c>
      <c r="H1646" s="14" t="s">
        <v>2278</v>
      </c>
      <c r="I1646"/>
    </row>
    <row r="1647" spans="1:12" s="14" customFormat="1">
      <c r="A1647" s="3"/>
      <c r="B1647" s="7" t="s">
        <v>3833</v>
      </c>
      <c r="C1647" s="53">
        <v>150000</v>
      </c>
      <c r="D1647" s="53"/>
      <c r="E1647" s="54">
        <f t="shared" ref="E1647:E1651" si="35">E1646-C1647+D1647</f>
        <v>24330000</v>
      </c>
      <c r="F1647" s="80" t="s">
        <v>137</v>
      </c>
      <c r="G1647" s="14" t="s">
        <v>138</v>
      </c>
      <c r="H1647" s="14" t="s">
        <v>2278</v>
      </c>
      <c r="I1647"/>
    </row>
    <row r="1648" spans="1:12" s="14" customFormat="1">
      <c r="A1648" s="3"/>
      <c r="B1648" s="7" t="s">
        <v>3834</v>
      </c>
      <c r="C1648" s="53">
        <v>1500000</v>
      </c>
      <c r="D1648" s="53"/>
      <c r="E1648" s="54">
        <f t="shared" si="35"/>
        <v>22830000</v>
      </c>
      <c r="F1648" s="80" t="s">
        <v>137</v>
      </c>
      <c r="G1648" s="14" t="s">
        <v>138</v>
      </c>
      <c r="H1648" s="14" t="s">
        <v>2278</v>
      </c>
      <c r="I1648"/>
      <c r="K1648" s="14" t="s">
        <v>4150</v>
      </c>
      <c r="L1648" s="14" t="s">
        <v>119</v>
      </c>
    </row>
    <row r="1649" spans="1:12" s="14" customFormat="1">
      <c r="A1649" s="3"/>
      <c r="B1649" s="7" t="s">
        <v>2731</v>
      </c>
      <c r="C1649" s="8">
        <v>22830000</v>
      </c>
      <c r="D1649" s="8">
        <v>0</v>
      </c>
      <c r="E1649" s="8">
        <f t="shared" si="35"/>
        <v>0</v>
      </c>
      <c r="F1649" s="83" t="s">
        <v>107</v>
      </c>
      <c r="G1649" s="14" t="s">
        <v>668</v>
      </c>
      <c r="H1649" s="14" t="s">
        <v>3405</v>
      </c>
      <c r="I1649" t="s">
        <v>3827</v>
      </c>
    </row>
    <row r="1650" spans="1:12" s="14" customFormat="1">
      <c r="A1650" s="3">
        <v>44482</v>
      </c>
      <c r="B1650" s="7" t="s">
        <v>2581</v>
      </c>
      <c r="C1650" s="8">
        <v>0</v>
      </c>
      <c r="D1650" s="8">
        <v>59000000</v>
      </c>
      <c r="E1650" s="8">
        <f t="shared" si="35"/>
        <v>59000000</v>
      </c>
      <c r="F1650" s="83" t="s">
        <v>107</v>
      </c>
      <c r="G1650" s="14" t="s">
        <v>666</v>
      </c>
      <c r="H1650" s="14" t="s">
        <v>3405</v>
      </c>
      <c r="I1650" t="s">
        <v>3835</v>
      </c>
    </row>
    <row r="1651" spans="1:12" s="14" customFormat="1">
      <c r="A1651" s="3"/>
      <c r="B1651" s="7" t="s">
        <v>3836</v>
      </c>
      <c r="C1651" s="54">
        <v>14800000</v>
      </c>
      <c r="D1651" s="54"/>
      <c r="E1651" s="54">
        <f t="shared" si="35"/>
        <v>44200000</v>
      </c>
      <c r="F1651" s="80" t="s">
        <v>137</v>
      </c>
      <c r="G1651" s="14" t="s">
        <v>138</v>
      </c>
      <c r="H1651" s="14" t="s">
        <v>3018</v>
      </c>
      <c r="I1651"/>
    </row>
    <row r="1652" spans="1:12" s="14" customFormat="1">
      <c r="A1652" s="3"/>
      <c r="B1652" s="7" t="s">
        <v>3837</v>
      </c>
      <c r="C1652" s="54">
        <v>10000000</v>
      </c>
      <c r="D1652" s="54"/>
      <c r="E1652" s="54">
        <f t="shared" ref="E1652:E1714" si="36">E1651-C1652+D1652</f>
        <v>34200000</v>
      </c>
      <c r="F1652" s="80" t="s">
        <v>137</v>
      </c>
      <c r="G1652" s="14" t="s">
        <v>138</v>
      </c>
      <c r="H1652" s="14" t="s">
        <v>3018</v>
      </c>
      <c r="I1652"/>
    </row>
    <row r="1653" spans="1:12" s="14" customFormat="1">
      <c r="A1653" s="3"/>
      <c r="B1653" s="7" t="s">
        <v>3838</v>
      </c>
      <c r="C1653" s="54">
        <v>8392000</v>
      </c>
      <c r="D1653" s="54"/>
      <c r="E1653" s="54">
        <f t="shared" si="36"/>
        <v>25808000</v>
      </c>
      <c r="F1653" s="80" t="s">
        <v>137</v>
      </c>
      <c r="G1653" s="14" t="s">
        <v>138</v>
      </c>
      <c r="H1653" s="14" t="s">
        <v>3018</v>
      </c>
      <c r="I1653"/>
    </row>
    <row r="1654" spans="1:12" s="14" customFormat="1">
      <c r="A1654" s="3"/>
      <c r="B1654" s="7" t="s">
        <v>3503</v>
      </c>
      <c r="C1654" s="54">
        <v>100000</v>
      </c>
      <c r="D1654" s="54"/>
      <c r="E1654" s="54">
        <f t="shared" si="36"/>
        <v>25708000</v>
      </c>
      <c r="F1654" s="80" t="s">
        <v>137</v>
      </c>
      <c r="G1654" s="14" t="s">
        <v>138</v>
      </c>
      <c r="H1654" s="14" t="s">
        <v>3018</v>
      </c>
      <c r="I1654"/>
    </row>
    <row r="1655" spans="1:12" s="14" customFormat="1">
      <c r="A1655" s="3"/>
      <c r="B1655" s="7" t="s">
        <v>3839</v>
      </c>
      <c r="C1655" s="54">
        <v>1041000</v>
      </c>
      <c r="D1655" s="54"/>
      <c r="E1655" s="54">
        <f t="shared" si="36"/>
        <v>24667000</v>
      </c>
      <c r="F1655" s="80" t="s">
        <v>137</v>
      </c>
      <c r="G1655" s="14" t="s">
        <v>138</v>
      </c>
      <c r="H1655" s="14" t="s">
        <v>3018</v>
      </c>
      <c r="I1655"/>
    </row>
    <row r="1656" spans="1:12" s="14" customFormat="1">
      <c r="A1656" s="3"/>
      <c r="B1656" s="7" t="s">
        <v>3842</v>
      </c>
      <c r="C1656" s="54">
        <v>50000000</v>
      </c>
      <c r="D1656" s="54"/>
      <c r="E1656" s="54">
        <f t="shared" si="36"/>
        <v>-25333000</v>
      </c>
      <c r="F1656" s="80" t="s">
        <v>137</v>
      </c>
      <c r="G1656" s="14" t="s">
        <v>138</v>
      </c>
      <c r="H1656" s="14" t="s">
        <v>3018</v>
      </c>
      <c r="I1656"/>
    </row>
    <row r="1657" spans="1:12" s="14" customFormat="1">
      <c r="A1657" s="3"/>
      <c r="B1657" s="7" t="s">
        <v>3840</v>
      </c>
      <c r="C1657" s="53">
        <v>1500000</v>
      </c>
      <c r="D1657" s="53"/>
      <c r="E1657" s="54">
        <f t="shared" si="36"/>
        <v>-26833000</v>
      </c>
      <c r="F1657" s="80" t="s">
        <v>137</v>
      </c>
      <c r="G1657" s="14" t="s">
        <v>138</v>
      </c>
      <c r="H1657" s="14" t="s">
        <v>3018</v>
      </c>
      <c r="I1657"/>
      <c r="K1657" s="14" t="s">
        <v>4150</v>
      </c>
      <c r="L1657" s="14" t="s">
        <v>119</v>
      </c>
    </row>
    <row r="1658" spans="1:12" s="14" customFormat="1">
      <c r="A1658" s="3"/>
      <c r="B1658" s="7" t="s">
        <v>3841</v>
      </c>
      <c r="C1658" s="53">
        <v>4000000</v>
      </c>
      <c r="D1658" s="53"/>
      <c r="E1658" s="54">
        <f t="shared" si="36"/>
        <v>-30833000</v>
      </c>
      <c r="F1658" s="80" t="s">
        <v>137</v>
      </c>
      <c r="G1658" s="14" t="s">
        <v>138</v>
      </c>
      <c r="H1658" s="14" t="s">
        <v>3018</v>
      </c>
      <c r="I1658"/>
    </row>
    <row r="1659" spans="1:12" s="14" customFormat="1">
      <c r="A1659" s="3"/>
      <c r="B1659" s="7" t="s">
        <v>2709</v>
      </c>
      <c r="C1659" s="8">
        <v>0</v>
      </c>
      <c r="D1659" s="8">
        <v>30833000</v>
      </c>
      <c r="E1659" s="8">
        <f t="shared" si="36"/>
        <v>0</v>
      </c>
      <c r="F1659" s="81" t="s">
        <v>107</v>
      </c>
      <c r="G1659" s="14" t="s">
        <v>666</v>
      </c>
      <c r="H1659" s="14" t="s">
        <v>3405</v>
      </c>
      <c r="I1659" t="s">
        <v>3835</v>
      </c>
    </row>
    <row r="1660" spans="1:12" s="14" customFormat="1">
      <c r="A1660" s="3">
        <v>44482</v>
      </c>
      <c r="B1660" s="7" t="s">
        <v>2582</v>
      </c>
      <c r="C1660" s="8">
        <v>0</v>
      </c>
      <c r="D1660" s="8">
        <v>3000000</v>
      </c>
      <c r="E1660" s="8">
        <f t="shared" si="36"/>
        <v>3000000</v>
      </c>
      <c r="F1660" s="83" t="s">
        <v>107</v>
      </c>
      <c r="G1660" s="14" t="s">
        <v>666</v>
      </c>
      <c r="H1660" s="14" t="s">
        <v>3405</v>
      </c>
      <c r="I1660" t="s">
        <v>3843</v>
      </c>
    </row>
    <row r="1661" spans="1:12" s="14" customFormat="1">
      <c r="A1661" s="3"/>
      <c r="B1661" s="7" t="s">
        <v>3844</v>
      </c>
      <c r="C1661" s="54">
        <v>99000</v>
      </c>
      <c r="D1661" s="54"/>
      <c r="E1661" s="54">
        <f t="shared" si="36"/>
        <v>2901000</v>
      </c>
      <c r="F1661" s="80" t="s">
        <v>137</v>
      </c>
      <c r="G1661" s="14" t="s">
        <v>138</v>
      </c>
      <c r="H1661" s="14" t="s">
        <v>3018</v>
      </c>
      <c r="I1661"/>
    </row>
    <row r="1662" spans="1:12" s="14" customFormat="1">
      <c r="A1662" s="3"/>
      <c r="B1662" s="7" t="s">
        <v>3845</v>
      </c>
      <c r="C1662" s="54">
        <v>150000</v>
      </c>
      <c r="D1662" s="54"/>
      <c r="E1662" s="54">
        <f t="shared" si="36"/>
        <v>2751000</v>
      </c>
      <c r="F1662" s="80" t="s">
        <v>137</v>
      </c>
      <c r="G1662" s="14" t="s">
        <v>138</v>
      </c>
      <c r="H1662" s="14" t="s">
        <v>3018</v>
      </c>
      <c r="I1662"/>
    </row>
    <row r="1663" spans="1:12" s="14" customFormat="1">
      <c r="A1663" s="3"/>
      <c r="B1663" s="7" t="s">
        <v>3846</v>
      </c>
      <c r="C1663" s="54">
        <v>375000</v>
      </c>
      <c r="D1663" s="54"/>
      <c r="E1663" s="54">
        <f t="shared" si="36"/>
        <v>2376000</v>
      </c>
      <c r="F1663" s="80" t="s">
        <v>137</v>
      </c>
      <c r="G1663" s="14" t="s">
        <v>138</v>
      </c>
      <c r="H1663" s="14" t="s">
        <v>3018</v>
      </c>
      <c r="I1663"/>
    </row>
    <row r="1664" spans="1:12" s="14" customFormat="1">
      <c r="A1664" s="3"/>
      <c r="B1664" s="7" t="s">
        <v>3847</v>
      </c>
      <c r="C1664" s="54">
        <v>803600</v>
      </c>
      <c r="D1664" s="54"/>
      <c r="E1664" s="54">
        <f t="shared" si="36"/>
        <v>1572400</v>
      </c>
      <c r="F1664" s="80" t="s">
        <v>137</v>
      </c>
      <c r="G1664" s="14" t="s">
        <v>138</v>
      </c>
      <c r="H1664" s="14" t="s">
        <v>3018</v>
      </c>
      <c r="I1664"/>
    </row>
    <row r="1665" spans="1:12" s="14" customFormat="1">
      <c r="A1665" s="3"/>
      <c r="B1665" s="7" t="s">
        <v>3848</v>
      </c>
      <c r="C1665" s="54">
        <v>268800</v>
      </c>
      <c r="D1665" s="54"/>
      <c r="E1665" s="54">
        <f t="shared" si="36"/>
        <v>1303600</v>
      </c>
      <c r="F1665" s="80" t="s">
        <v>137</v>
      </c>
      <c r="G1665" s="14" t="s">
        <v>138</v>
      </c>
      <c r="H1665" s="14" t="s">
        <v>3018</v>
      </c>
      <c r="I1665"/>
    </row>
    <row r="1666" spans="1:12" s="14" customFormat="1">
      <c r="A1666" s="3"/>
      <c r="B1666" s="7" t="s">
        <v>3849</v>
      </c>
      <c r="C1666" s="54">
        <v>50000</v>
      </c>
      <c r="D1666" s="54"/>
      <c r="E1666" s="54">
        <f t="shared" si="36"/>
        <v>1253600</v>
      </c>
      <c r="F1666" s="80" t="s">
        <v>137</v>
      </c>
      <c r="G1666" s="14" t="s">
        <v>138</v>
      </c>
      <c r="H1666" s="14" t="s">
        <v>3018</v>
      </c>
      <c r="I1666"/>
    </row>
    <row r="1667" spans="1:12" s="14" customFormat="1">
      <c r="A1667" s="3"/>
      <c r="B1667" s="7" t="s">
        <v>3850</v>
      </c>
      <c r="C1667" s="54">
        <v>798600</v>
      </c>
      <c r="D1667" s="54"/>
      <c r="E1667" s="54">
        <f t="shared" si="36"/>
        <v>455000</v>
      </c>
      <c r="F1667" s="80" t="s">
        <v>137</v>
      </c>
      <c r="G1667" s="14" t="s">
        <v>138</v>
      </c>
      <c r="H1667" s="14" t="s">
        <v>3018</v>
      </c>
      <c r="I1667"/>
    </row>
    <row r="1668" spans="1:12" s="14" customFormat="1">
      <c r="A1668" s="3"/>
      <c r="B1668" s="7" t="s">
        <v>3851</v>
      </c>
      <c r="C1668" s="54">
        <v>100000</v>
      </c>
      <c r="D1668" s="54"/>
      <c r="E1668" s="54">
        <f t="shared" si="36"/>
        <v>355000</v>
      </c>
      <c r="F1668" s="80" t="s">
        <v>137</v>
      </c>
      <c r="G1668" s="14" t="s">
        <v>138</v>
      </c>
      <c r="H1668" s="14" t="s">
        <v>3018</v>
      </c>
      <c r="I1668"/>
    </row>
    <row r="1669" spans="1:12" s="14" customFormat="1">
      <c r="A1669" s="3"/>
      <c r="B1669" s="7" t="s">
        <v>3852</v>
      </c>
      <c r="C1669" s="54">
        <v>200000</v>
      </c>
      <c r="D1669" s="54"/>
      <c r="E1669" s="54">
        <f t="shared" si="36"/>
        <v>155000</v>
      </c>
      <c r="F1669" s="80" t="s">
        <v>137</v>
      </c>
      <c r="G1669" s="14" t="s">
        <v>138</v>
      </c>
      <c r="H1669" s="14" t="s">
        <v>3018</v>
      </c>
      <c r="I1669"/>
    </row>
    <row r="1670" spans="1:12" s="14" customFormat="1">
      <c r="A1670" s="3"/>
      <c r="B1670" s="7" t="s">
        <v>3853</v>
      </c>
      <c r="C1670" s="54">
        <v>300000</v>
      </c>
      <c r="D1670" s="54"/>
      <c r="E1670" s="54">
        <f t="shared" si="36"/>
        <v>-145000</v>
      </c>
      <c r="F1670" s="80" t="s">
        <v>137</v>
      </c>
      <c r="G1670" s="14" t="s">
        <v>138</v>
      </c>
      <c r="H1670" s="14" t="s">
        <v>3018</v>
      </c>
      <c r="I1670"/>
    </row>
    <row r="1671" spans="1:12" s="14" customFormat="1">
      <c r="A1671" s="3"/>
      <c r="B1671" s="7" t="s">
        <v>3854</v>
      </c>
      <c r="C1671" s="54">
        <v>1600000</v>
      </c>
      <c r="D1671" s="54"/>
      <c r="E1671" s="54">
        <f t="shared" si="36"/>
        <v>-1745000</v>
      </c>
      <c r="F1671" s="80" t="s">
        <v>137</v>
      </c>
      <c r="G1671" s="14" t="s">
        <v>138</v>
      </c>
      <c r="H1671" s="14" t="s">
        <v>3018</v>
      </c>
      <c r="I1671"/>
      <c r="K1671" s="14" t="s">
        <v>4150</v>
      </c>
      <c r="L1671" s="14" t="s">
        <v>459</v>
      </c>
    </row>
    <row r="1672" spans="1:12" s="14" customFormat="1">
      <c r="A1672" s="3"/>
      <c r="B1672" s="7" t="s">
        <v>2673</v>
      </c>
      <c r="C1672" s="8">
        <v>0</v>
      </c>
      <c r="D1672" s="8">
        <v>1745000</v>
      </c>
      <c r="E1672" s="8">
        <f t="shared" si="36"/>
        <v>0</v>
      </c>
      <c r="F1672" s="83" t="s">
        <v>107</v>
      </c>
      <c r="G1672" s="14" t="s">
        <v>666</v>
      </c>
      <c r="H1672" s="14" t="s">
        <v>3405</v>
      </c>
      <c r="I1672" t="s">
        <v>3843</v>
      </c>
    </row>
    <row r="1673" spans="1:12" s="14" customFormat="1">
      <c r="A1673" s="138">
        <v>44487</v>
      </c>
      <c r="B1673" s="14" t="s">
        <v>2853</v>
      </c>
      <c r="C1673" s="50">
        <v>0</v>
      </c>
      <c r="D1673" s="50">
        <v>34356057</v>
      </c>
      <c r="E1673" s="8">
        <f t="shared" si="36"/>
        <v>34356057</v>
      </c>
      <c r="F1673" s="14" t="s">
        <v>107</v>
      </c>
      <c r="G1673" s="14" t="s">
        <v>274</v>
      </c>
      <c r="H1673" s="14" t="s">
        <v>143</v>
      </c>
    </row>
    <row r="1674" spans="1:12" s="14" customFormat="1">
      <c r="A1674" s="138"/>
      <c r="B1674" s="14" t="s">
        <v>1052</v>
      </c>
      <c r="C1674" s="50">
        <v>5000</v>
      </c>
      <c r="D1674" s="50"/>
      <c r="E1674" s="8">
        <f t="shared" si="36"/>
        <v>34351057</v>
      </c>
      <c r="F1674" s="14" t="s">
        <v>113</v>
      </c>
      <c r="G1674" s="14" t="s">
        <v>114</v>
      </c>
      <c r="H1674" s="14" t="s">
        <v>64</v>
      </c>
    </row>
    <row r="1675" spans="1:12" s="14" customFormat="1">
      <c r="A1675" s="138"/>
      <c r="B1675" s="14" t="s">
        <v>3294</v>
      </c>
      <c r="C1675" s="53">
        <v>350000</v>
      </c>
      <c r="D1675" s="53"/>
      <c r="E1675" s="54">
        <f t="shared" si="36"/>
        <v>34001057</v>
      </c>
      <c r="F1675" s="14" t="s">
        <v>115</v>
      </c>
      <c r="G1675" s="14" t="s">
        <v>120</v>
      </c>
      <c r="H1675" s="14" t="s">
        <v>127</v>
      </c>
      <c r="I1675" s="14" t="s">
        <v>444</v>
      </c>
    </row>
    <row r="1676" spans="1:12" s="14" customFormat="1">
      <c r="A1676" s="138"/>
      <c r="B1676" s="14" t="s">
        <v>902</v>
      </c>
      <c r="C1676" s="53">
        <v>6919500</v>
      </c>
      <c r="D1676" s="53"/>
      <c r="E1676" s="54">
        <f t="shared" si="36"/>
        <v>27081557</v>
      </c>
      <c r="F1676" s="14" t="s">
        <v>137</v>
      </c>
      <c r="G1676" s="14" t="s">
        <v>138</v>
      </c>
      <c r="H1676" s="168" t="s">
        <v>3042</v>
      </c>
    </row>
    <row r="1677" spans="1:12" s="14" customFormat="1">
      <c r="A1677" s="138"/>
      <c r="B1677" s="14" t="s">
        <v>902</v>
      </c>
      <c r="C1677" s="53">
        <v>4620500</v>
      </c>
      <c r="D1677" s="53"/>
      <c r="E1677" s="54">
        <f t="shared" si="36"/>
        <v>22461057</v>
      </c>
      <c r="F1677" s="14" t="s">
        <v>137</v>
      </c>
      <c r="G1677" s="14" t="s">
        <v>138</v>
      </c>
      <c r="H1677" s="168" t="s">
        <v>3042</v>
      </c>
    </row>
    <row r="1678" spans="1:12" s="14" customFormat="1">
      <c r="A1678" s="138"/>
      <c r="B1678" s="14" t="s">
        <v>902</v>
      </c>
      <c r="C1678" s="53">
        <v>4266000</v>
      </c>
      <c r="D1678" s="53"/>
      <c r="E1678" s="54">
        <f t="shared" si="36"/>
        <v>18195057</v>
      </c>
      <c r="F1678" s="14" t="s">
        <v>137</v>
      </c>
      <c r="G1678" s="14" t="s">
        <v>138</v>
      </c>
      <c r="H1678" s="168" t="s">
        <v>3042</v>
      </c>
    </row>
    <row r="1679" spans="1:12" s="14" customFormat="1">
      <c r="A1679" s="138"/>
      <c r="B1679" s="14" t="s">
        <v>902</v>
      </c>
      <c r="C1679" s="53">
        <v>6048400</v>
      </c>
      <c r="D1679" s="53"/>
      <c r="E1679" s="54">
        <f t="shared" si="36"/>
        <v>12146657</v>
      </c>
      <c r="F1679" s="14" t="s">
        <v>137</v>
      </c>
      <c r="G1679" s="14" t="s">
        <v>138</v>
      </c>
      <c r="H1679" s="168" t="s">
        <v>3042</v>
      </c>
    </row>
    <row r="1680" spans="1:12" s="14" customFormat="1">
      <c r="A1680" s="138"/>
      <c r="B1680" s="14" t="s">
        <v>3216</v>
      </c>
      <c r="C1680" s="53">
        <v>2000</v>
      </c>
      <c r="D1680" s="53"/>
      <c r="E1680" s="54">
        <f t="shared" si="36"/>
        <v>12144657</v>
      </c>
      <c r="F1680" s="14" t="s">
        <v>137</v>
      </c>
      <c r="G1680" s="14" t="s">
        <v>138</v>
      </c>
      <c r="H1680" s="168" t="s">
        <v>3042</v>
      </c>
    </row>
    <row r="1681" spans="1:8" s="14" customFormat="1">
      <c r="A1681" s="138"/>
      <c r="B1681" s="14" t="s">
        <v>902</v>
      </c>
      <c r="C1681" s="53">
        <v>559000</v>
      </c>
      <c r="D1681" s="53"/>
      <c r="E1681" s="54">
        <f t="shared" si="36"/>
        <v>11585657</v>
      </c>
      <c r="F1681" s="14" t="s">
        <v>137</v>
      </c>
      <c r="G1681" s="14" t="s">
        <v>138</v>
      </c>
      <c r="H1681" s="168" t="s">
        <v>3042</v>
      </c>
    </row>
    <row r="1682" spans="1:8" s="14" customFormat="1">
      <c r="A1682" s="138"/>
      <c r="B1682" s="14" t="s">
        <v>3323</v>
      </c>
      <c r="C1682" s="53">
        <v>1749750</v>
      </c>
      <c r="D1682" s="53"/>
      <c r="E1682" s="54">
        <f t="shared" si="36"/>
        <v>9835907</v>
      </c>
      <c r="F1682" s="14" t="s">
        <v>115</v>
      </c>
      <c r="G1682" s="14" t="s">
        <v>440</v>
      </c>
      <c r="H1682" s="168" t="s">
        <v>4490</v>
      </c>
    </row>
    <row r="1683" spans="1:8" s="14" customFormat="1">
      <c r="A1683" s="138"/>
      <c r="B1683" s="14" t="s">
        <v>3324</v>
      </c>
      <c r="C1683" s="50">
        <v>1978200</v>
      </c>
      <c r="D1683" s="50"/>
      <c r="E1683" s="8">
        <f t="shared" si="36"/>
        <v>7857707</v>
      </c>
      <c r="F1683" s="14" t="s">
        <v>137</v>
      </c>
      <c r="G1683" s="14" t="s">
        <v>138</v>
      </c>
      <c r="H1683" s="14" t="s">
        <v>2976</v>
      </c>
    </row>
    <row r="1684" spans="1:8" s="14" customFormat="1">
      <c r="A1684" s="138"/>
      <c r="B1684" s="14" t="s">
        <v>3235</v>
      </c>
      <c r="C1684" s="50">
        <v>10000</v>
      </c>
      <c r="D1684" s="50"/>
      <c r="E1684" s="8">
        <f t="shared" si="36"/>
        <v>7847707</v>
      </c>
      <c r="F1684" s="14" t="s">
        <v>113</v>
      </c>
      <c r="G1684" s="14" t="s">
        <v>114</v>
      </c>
      <c r="H1684" s="14" t="s">
        <v>64</v>
      </c>
    </row>
    <row r="1685" spans="1:8" s="14" customFormat="1">
      <c r="A1685" s="138"/>
      <c r="B1685" s="14" t="s">
        <v>3327</v>
      </c>
      <c r="C1685" s="50">
        <v>547000</v>
      </c>
      <c r="D1685" s="50"/>
      <c r="E1685" s="8">
        <f t="shared" si="36"/>
        <v>7300707</v>
      </c>
      <c r="F1685" s="14" t="s">
        <v>248</v>
      </c>
      <c r="G1685" s="14" t="s">
        <v>391</v>
      </c>
      <c r="H1685" s="14" t="s">
        <v>64</v>
      </c>
    </row>
    <row r="1686" spans="1:8" s="14" customFormat="1">
      <c r="A1686" s="138"/>
      <c r="B1686" s="14" t="s">
        <v>897</v>
      </c>
      <c r="C1686" s="50">
        <v>701130</v>
      </c>
      <c r="D1686" s="50"/>
      <c r="E1686" s="8">
        <f t="shared" si="36"/>
        <v>6599577</v>
      </c>
      <c r="F1686" s="14" t="s">
        <v>319</v>
      </c>
      <c r="G1686" s="14" t="s">
        <v>117</v>
      </c>
      <c r="H1686" s="14" t="s">
        <v>64</v>
      </c>
    </row>
    <row r="1687" spans="1:8" s="14" customFormat="1">
      <c r="A1687" s="138"/>
      <c r="B1687" s="14" t="s">
        <v>3326</v>
      </c>
      <c r="C1687" s="50">
        <v>893000</v>
      </c>
      <c r="D1687" s="50"/>
      <c r="E1687" s="8">
        <f t="shared" si="36"/>
        <v>5706577</v>
      </c>
      <c r="F1687" s="14" t="s">
        <v>248</v>
      </c>
      <c r="G1687" s="14" t="s">
        <v>391</v>
      </c>
      <c r="H1687" s="14" t="s">
        <v>64</v>
      </c>
    </row>
    <row r="1688" spans="1:8" s="14" customFormat="1">
      <c r="A1688" s="138"/>
      <c r="B1688" s="14" t="s">
        <v>3328</v>
      </c>
      <c r="C1688" s="50">
        <v>495000</v>
      </c>
      <c r="D1688" s="50"/>
      <c r="E1688" s="8">
        <f t="shared" si="36"/>
        <v>5211577</v>
      </c>
      <c r="F1688" s="14" t="s">
        <v>248</v>
      </c>
      <c r="G1688" s="14" t="s">
        <v>391</v>
      </c>
      <c r="H1688" s="14" t="s">
        <v>64</v>
      </c>
    </row>
    <row r="1689" spans="1:8" s="14" customFormat="1">
      <c r="A1689" s="138"/>
      <c r="B1689" s="14" t="s">
        <v>897</v>
      </c>
      <c r="C1689" s="50">
        <v>621186</v>
      </c>
      <c r="D1689" s="50"/>
      <c r="E1689" s="8">
        <f t="shared" si="36"/>
        <v>4590391</v>
      </c>
      <c r="F1689" s="14" t="s">
        <v>319</v>
      </c>
      <c r="G1689" s="14" t="s">
        <v>117</v>
      </c>
      <c r="H1689" s="14" t="s">
        <v>64</v>
      </c>
    </row>
    <row r="1690" spans="1:8" s="14" customFormat="1">
      <c r="A1690" s="138"/>
      <c r="B1690" s="14" t="s">
        <v>897</v>
      </c>
      <c r="C1690" s="50">
        <v>250079</v>
      </c>
      <c r="D1690" s="50"/>
      <c r="E1690" s="8">
        <f t="shared" si="36"/>
        <v>4340312</v>
      </c>
      <c r="F1690" s="14" t="s">
        <v>319</v>
      </c>
      <c r="G1690" s="14" t="s">
        <v>117</v>
      </c>
      <c r="H1690" s="14" t="s">
        <v>64</v>
      </c>
    </row>
    <row r="1691" spans="1:8" s="14" customFormat="1">
      <c r="A1691" s="138"/>
      <c r="B1691" s="14" t="s">
        <v>897</v>
      </c>
      <c r="C1691" s="50">
        <v>580172</v>
      </c>
      <c r="D1691" s="50"/>
      <c r="E1691" s="8">
        <f t="shared" si="36"/>
        <v>3760140</v>
      </c>
      <c r="F1691" s="14" t="s">
        <v>319</v>
      </c>
      <c r="G1691" s="14" t="s">
        <v>117</v>
      </c>
      <c r="H1691" s="14" t="s">
        <v>64</v>
      </c>
    </row>
    <row r="1692" spans="1:8" s="14" customFormat="1">
      <c r="A1692" s="138"/>
      <c r="B1692" s="14" t="s">
        <v>3329</v>
      </c>
      <c r="C1692" s="50">
        <v>600000</v>
      </c>
      <c r="D1692" s="50"/>
      <c r="E1692" s="8">
        <f t="shared" si="36"/>
        <v>3160140</v>
      </c>
      <c r="F1692" s="14" t="s">
        <v>248</v>
      </c>
      <c r="G1692" s="14" t="s">
        <v>391</v>
      </c>
      <c r="H1692" s="14" t="s">
        <v>64</v>
      </c>
    </row>
    <row r="1693" spans="1:8" s="14" customFormat="1">
      <c r="A1693" s="138"/>
      <c r="B1693" s="14" t="s">
        <v>897</v>
      </c>
      <c r="C1693" s="50">
        <v>714632</v>
      </c>
      <c r="D1693" s="50"/>
      <c r="E1693" s="8">
        <f t="shared" si="36"/>
        <v>2445508</v>
      </c>
      <c r="F1693" s="14" t="s">
        <v>319</v>
      </c>
      <c r="G1693" s="14" t="s">
        <v>117</v>
      </c>
      <c r="H1693" s="14" t="s">
        <v>64</v>
      </c>
    </row>
    <row r="1694" spans="1:8" s="14" customFormat="1">
      <c r="A1694" s="138"/>
      <c r="B1694" s="14" t="s">
        <v>3325</v>
      </c>
      <c r="C1694" s="50">
        <v>122700</v>
      </c>
      <c r="D1694" s="50"/>
      <c r="E1694" s="8">
        <f t="shared" si="36"/>
        <v>2322808</v>
      </c>
      <c r="F1694" s="14" t="s">
        <v>248</v>
      </c>
      <c r="G1694" s="14" t="s">
        <v>407</v>
      </c>
      <c r="H1694" s="14" t="s">
        <v>64</v>
      </c>
    </row>
    <row r="1695" spans="1:8" s="14" customFormat="1">
      <c r="A1695" s="138"/>
      <c r="B1695" s="14" t="s">
        <v>3330</v>
      </c>
      <c r="C1695" s="50">
        <v>600000</v>
      </c>
      <c r="D1695" s="50"/>
      <c r="E1695" s="8">
        <f t="shared" si="36"/>
        <v>1722808</v>
      </c>
      <c r="F1695" s="14" t="s">
        <v>248</v>
      </c>
      <c r="G1695" s="14" t="s">
        <v>391</v>
      </c>
      <c r="H1695" s="14" t="s">
        <v>64</v>
      </c>
    </row>
    <row r="1696" spans="1:8" s="14" customFormat="1">
      <c r="A1696" s="138"/>
      <c r="B1696" s="14" t="s">
        <v>3331</v>
      </c>
      <c r="C1696" s="50">
        <v>945200</v>
      </c>
      <c r="D1696" s="50"/>
      <c r="E1696" s="8">
        <f t="shared" si="36"/>
        <v>777608</v>
      </c>
      <c r="F1696" s="14" t="s">
        <v>248</v>
      </c>
      <c r="G1696" s="14" t="s">
        <v>391</v>
      </c>
      <c r="H1696" s="14" t="s">
        <v>64</v>
      </c>
    </row>
    <row r="1697" spans="1:9" s="14" customFormat="1">
      <c r="A1697" s="138"/>
      <c r="B1697" s="14" t="s">
        <v>897</v>
      </c>
      <c r="C1697" s="50">
        <v>777608</v>
      </c>
      <c r="D1697" s="50"/>
      <c r="E1697" s="8">
        <f t="shared" si="36"/>
        <v>0</v>
      </c>
      <c r="F1697" s="14" t="s">
        <v>319</v>
      </c>
      <c r="G1697" s="14" t="s">
        <v>117</v>
      </c>
      <c r="H1697" s="14" t="s">
        <v>64</v>
      </c>
    </row>
    <row r="1698" spans="1:9" s="14" customFormat="1">
      <c r="A1698" s="3">
        <v>44482</v>
      </c>
      <c r="B1698" t="s">
        <v>2119</v>
      </c>
      <c r="C1698" s="8">
        <v>0</v>
      </c>
      <c r="D1698" s="8">
        <v>65454584</v>
      </c>
      <c r="E1698" s="8">
        <f t="shared" si="36"/>
        <v>65454584</v>
      </c>
      <c r="F1698" t="s">
        <v>581</v>
      </c>
      <c r="G1698" t="s">
        <v>582</v>
      </c>
      <c r="H1698" s="14" t="s">
        <v>3014</v>
      </c>
      <c r="I1698">
        <v>43</v>
      </c>
    </row>
    <row r="1699" spans="1:9" s="14" customFormat="1">
      <c r="A1699" s="138"/>
      <c r="B1699" t="s">
        <v>2119</v>
      </c>
      <c r="C1699" s="50">
        <v>54545458</v>
      </c>
      <c r="D1699" s="50"/>
      <c r="E1699" s="8">
        <f t="shared" si="36"/>
        <v>10909126</v>
      </c>
      <c r="F1699" s="14" t="s">
        <v>568</v>
      </c>
      <c r="G1699" s="14" t="s">
        <v>4395</v>
      </c>
      <c r="H1699" s="14" t="s">
        <v>3014</v>
      </c>
      <c r="I1699">
        <v>43</v>
      </c>
    </row>
    <row r="1700" spans="1:9" s="14" customFormat="1">
      <c r="A1700" s="138"/>
      <c r="B1700" t="s">
        <v>2119</v>
      </c>
      <c r="C1700" s="53">
        <v>10909092</v>
      </c>
      <c r="D1700" s="53"/>
      <c r="E1700" s="54">
        <f t="shared" si="36"/>
        <v>34</v>
      </c>
      <c r="F1700" t="s">
        <v>714</v>
      </c>
      <c r="G1700" t="s">
        <v>715</v>
      </c>
      <c r="H1700" s="14" t="s">
        <v>3014</v>
      </c>
      <c r="I1700">
        <v>43</v>
      </c>
    </row>
    <row r="1701" spans="1:9" s="14" customFormat="1">
      <c r="A1701" s="138"/>
      <c r="B1701" t="s">
        <v>2119</v>
      </c>
      <c r="C1701" s="53">
        <v>34</v>
      </c>
      <c r="D1701" s="53"/>
      <c r="E1701" s="54">
        <f t="shared" si="36"/>
        <v>0</v>
      </c>
      <c r="F1701" t="s">
        <v>252</v>
      </c>
      <c r="G1701" t="s">
        <v>665</v>
      </c>
      <c r="I1701"/>
    </row>
    <row r="1702" spans="1:9" s="14" customFormat="1">
      <c r="A1702" s="3">
        <v>44482</v>
      </c>
      <c r="B1702" t="s">
        <v>1790</v>
      </c>
      <c r="C1702" s="54">
        <v>0</v>
      </c>
      <c r="D1702" s="54">
        <v>34659900</v>
      </c>
      <c r="E1702" s="54">
        <f t="shared" si="36"/>
        <v>34659900</v>
      </c>
      <c r="F1702" t="s">
        <v>581</v>
      </c>
      <c r="G1702" t="s">
        <v>582</v>
      </c>
      <c r="H1702" s="14" t="s">
        <v>2975</v>
      </c>
      <c r="I1702">
        <v>66</v>
      </c>
    </row>
    <row r="1703" spans="1:9" s="14" customFormat="1">
      <c r="A1703" s="138"/>
      <c r="B1703" t="s">
        <v>1790</v>
      </c>
      <c r="C1703" s="53">
        <v>28883250</v>
      </c>
      <c r="D1703" s="53"/>
      <c r="E1703" s="54">
        <f t="shared" si="36"/>
        <v>5776650</v>
      </c>
      <c r="F1703" s="14" t="s">
        <v>568</v>
      </c>
      <c r="G1703" s="14" t="s">
        <v>4395</v>
      </c>
      <c r="H1703" s="14" t="s">
        <v>2975</v>
      </c>
      <c r="I1703">
        <v>66</v>
      </c>
    </row>
    <row r="1704" spans="1:9" s="14" customFormat="1">
      <c r="A1704" s="138"/>
      <c r="B1704" t="s">
        <v>1790</v>
      </c>
      <c r="C1704" s="50">
        <v>5776650</v>
      </c>
      <c r="D1704" s="50"/>
      <c r="E1704" s="8">
        <f t="shared" si="36"/>
        <v>0</v>
      </c>
      <c r="F1704" t="s">
        <v>714</v>
      </c>
      <c r="G1704" t="s">
        <v>715</v>
      </c>
      <c r="H1704" s="14" t="s">
        <v>2975</v>
      </c>
      <c r="I1704">
        <v>66</v>
      </c>
    </row>
    <row r="1705" spans="1:9" s="14" customFormat="1">
      <c r="A1705" s="3">
        <v>44490</v>
      </c>
      <c r="B1705" s="7" t="s">
        <v>2614</v>
      </c>
      <c r="C1705" s="8">
        <v>0</v>
      </c>
      <c r="D1705" s="8">
        <v>3000000</v>
      </c>
      <c r="E1705" s="8">
        <f t="shared" si="36"/>
        <v>3000000</v>
      </c>
      <c r="F1705" s="83" t="s">
        <v>107</v>
      </c>
      <c r="G1705" s="14" t="s">
        <v>666</v>
      </c>
      <c r="H1705" s="14" t="s">
        <v>3405</v>
      </c>
      <c r="I1705" t="s">
        <v>3855</v>
      </c>
    </row>
    <row r="1706" spans="1:9" s="14" customFormat="1">
      <c r="A1706" s="138"/>
      <c r="B1706" s="14" t="s">
        <v>3856</v>
      </c>
      <c r="C1706" s="53">
        <v>10000</v>
      </c>
      <c r="D1706" s="53"/>
      <c r="E1706" s="54">
        <f t="shared" si="36"/>
        <v>2990000</v>
      </c>
      <c r="F1706" s="14" t="s">
        <v>137</v>
      </c>
      <c r="G1706" s="14" t="s">
        <v>138</v>
      </c>
      <c r="H1706" s="14" t="s">
        <v>2279</v>
      </c>
    </row>
    <row r="1707" spans="1:9" s="14" customFormat="1">
      <c r="A1707" s="138"/>
      <c r="B1707" s="14" t="s">
        <v>3857</v>
      </c>
      <c r="C1707" s="53">
        <v>70000</v>
      </c>
      <c r="D1707" s="53"/>
      <c r="E1707" s="54">
        <f t="shared" si="36"/>
        <v>2920000</v>
      </c>
      <c r="F1707" s="14" t="s">
        <v>137</v>
      </c>
      <c r="G1707" s="14" t="s">
        <v>138</v>
      </c>
      <c r="H1707" s="14" t="s">
        <v>2279</v>
      </c>
    </row>
    <row r="1708" spans="1:9" s="14" customFormat="1">
      <c r="A1708" s="138"/>
      <c r="B1708" s="14" t="s">
        <v>3858</v>
      </c>
      <c r="C1708" s="53">
        <v>975000</v>
      </c>
      <c r="D1708" s="53"/>
      <c r="E1708" s="54">
        <f t="shared" si="36"/>
        <v>1945000</v>
      </c>
      <c r="F1708" s="14" t="s">
        <v>137</v>
      </c>
      <c r="G1708" s="14" t="s">
        <v>138</v>
      </c>
      <c r="H1708" s="14" t="s">
        <v>2279</v>
      </c>
    </row>
    <row r="1709" spans="1:9" s="14" customFormat="1">
      <c r="A1709" s="138"/>
      <c r="B1709" s="14" t="s">
        <v>3859</v>
      </c>
      <c r="C1709" s="53">
        <v>122000</v>
      </c>
      <c r="D1709" s="53"/>
      <c r="E1709" s="54">
        <f t="shared" si="36"/>
        <v>1823000</v>
      </c>
      <c r="F1709" s="14" t="s">
        <v>137</v>
      </c>
      <c r="G1709" s="14" t="s">
        <v>138</v>
      </c>
      <c r="H1709" s="14" t="s">
        <v>2279</v>
      </c>
    </row>
    <row r="1710" spans="1:9" s="14" customFormat="1">
      <c r="A1710" s="138"/>
      <c r="B1710" s="14" t="s">
        <v>3860</v>
      </c>
      <c r="C1710" s="53">
        <v>119000</v>
      </c>
      <c r="D1710" s="53"/>
      <c r="E1710" s="54">
        <f t="shared" si="36"/>
        <v>1704000</v>
      </c>
      <c r="F1710" s="14" t="s">
        <v>137</v>
      </c>
      <c r="G1710" s="14" t="s">
        <v>138</v>
      </c>
      <c r="H1710" s="14" t="s">
        <v>2279</v>
      </c>
    </row>
    <row r="1711" spans="1:9" s="14" customFormat="1">
      <c r="A1711" s="138"/>
      <c r="B1711" s="14" t="s">
        <v>3861</v>
      </c>
      <c r="C1711" s="53">
        <v>173000</v>
      </c>
      <c r="D1711" s="53"/>
      <c r="E1711" s="54">
        <f t="shared" si="36"/>
        <v>1531000</v>
      </c>
      <c r="F1711" s="14" t="s">
        <v>137</v>
      </c>
      <c r="G1711" s="14" t="s">
        <v>138</v>
      </c>
      <c r="H1711" s="14" t="s">
        <v>2279</v>
      </c>
    </row>
    <row r="1712" spans="1:9" s="14" customFormat="1">
      <c r="A1712" s="138"/>
      <c r="B1712" s="14" t="s">
        <v>3862</v>
      </c>
      <c r="C1712" s="53">
        <v>501000</v>
      </c>
      <c r="D1712" s="53"/>
      <c r="E1712" s="54">
        <f t="shared" si="36"/>
        <v>1030000</v>
      </c>
      <c r="F1712" s="14" t="s">
        <v>137</v>
      </c>
      <c r="G1712" s="14" t="s">
        <v>138</v>
      </c>
      <c r="H1712" s="168" t="s">
        <v>2991</v>
      </c>
    </row>
    <row r="1713" spans="1:9" s="14" customFormat="1">
      <c r="A1713" s="138"/>
      <c r="B1713" s="14" t="s">
        <v>3863</v>
      </c>
      <c r="C1713" s="53">
        <v>501000</v>
      </c>
      <c r="D1713" s="53"/>
      <c r="E1713" s="54">
        <f t="shared" si="36"/>
        <v>529000</v>
      </c>
      <c r="F1713" s="14" t="s">
        <v>137</v>
      </c>
      <c r="G1713" s="14" t="s">
        <v>138</v>
      </c>
      <c r="H1713" s="168" t="s">
        <v>2991</v>
      </c>
    </row>
    <row r="1714" spans="1:9" s="14" customFormat="1">
      <c r="A1714" s="138"/>
      <c r="B1714" s="14" t="s">
        <v>3864</v>
      </c>
      <c r="C1714" s="53">
        <v>501000</v>
      </c>
      <c r="D1714" s="53"/>
      <c r="E1714" s="54">
        <f t="shared" si="36"/>
        <v>28000</v>
      </c>
      <c r="F1714" s="14" t="s">
        <v>137</v>
      </c>
      <c r="G1714" s="14" t="s">
        <v>138</v>
      </c>
      <c r="H1714" s="168" t="s">
        <v>2991</v>
      </c>
    </row>
    <row r="1715" spans="1:9" s="14" customFormat="1">
      <c r="A1715" s="138"/>
      <c r="B1715" s="7" t="s">
        <v>2624</v>
      </c>
      <c r="C1715" s="8">
        <v>28000</v>
      </c>
      <c r="D1715" s="8">
        <v>0</v>
      </c>
      <c r="E1715" s="8">
        <f t="shared" ref="E1715:E1717" si="37">E1714-C1715+D1715</f>
        <v>0</v>
      </c>
      <c r="F1715" s="83" t="s">
        <v>107</v>
      </c>
      <c r="G1715" s="14" t="s">
        <v>668</v>
      </c>
      <c r="H1715" s="14" t="s">
        <v>3405</v>
      </c>
      <c r="I1715" t="s">
        <v>3855</v>
      </c>
    </row>
    <row r="1716" spans="1:9" s="14" customFormat="1">
      <c r="A1716" s="3">
        <v>44490</v>
      </c>
      <c r="B1716" s="7" t="s">
        <v>2611</v>
      </c>
      <c r="C1716" s="8">
        <v>0</v>
      </c>
      <c r="D1716" s="8">
        <v>10000000</v>
      </c>
      <c r="E1716" s="8">
        <f t="shared" si="37"/>
        <v>10000000</v>
      </c>
      <c r="F1716" s="83" t="s">
        <v>107</v>
      </c>
      <c r="G1716" s="14" t="s">
        <v>666</v>
      </c>
      <c r="H1716" s="14" t="s">
        <v>3405</v>
      </c>
      <c r="I1716" t="s">
        <v>3865</v>
      </c>
    </row>
    <row r="1717" spans="1:9" s="14" customFormat="1">
      <c r="A1717" s="3"/>
      <c r="B1717" s="7" t="s">
        <v>3866</v>
      </c>
      <c r="C1717" s="54">
        <v>300200</v>
      </c>
      <c r="D1717" s="54"/>
      <c r="E1717" s="54">
        <f t="shared" si="37"/>
        <v>9699800</v>
      </c>
      <c r="F1717" s="80" t="s">
        <v>137</v>
      </c>
      <c r="G1717" s="14" t="s">
        <v>138</v>
      </c>
      <c r="H1717" s="14" t="s">
        <v>2279</v>
      </c>
      <c r="I1717"/>
    </row>
    <row r="1718" spans="1:9" s="14" customFormat="1">
      <c r="A1718" s="3"/>
      <c r="B1718" s="7" t="s">
        <v>3867</v>
      </c>
      <c r="C1718" s="54">
        <v>216700</v>
      </c>
      <c r="D1718" s="54"/>
      <c r="E1718" s="54">
        <f t="shared" ref="E1718:E1792" si="38">E1717-C1718+D1718</f>
        <v>9483100</v>
      </c>
      <c r="F1718" s="80" t="s">
        <v>137</v>
      </c>
      <c r="G1718" s="14" t="s">
        <v>138</v>
      </c>
      <c r="H1718" s="14" t="s">
        <v>2279</v>
      </c>
      <c r="I1718"/>
    </row>
    <row r="1719" spans="1:9" s="14" customFormat="1">
      <c r="A1719" s="3"/>
      <c r="B1719" s="7" t="s">
        <v>3868</v>
      </c>
      <c r="C1719" s="54">
        <v>155100</v>
      </c>
      <c r="D1719" s="54"/>
      <c r="E1719" s="54">
        <f t="shared" si="38"/>
        <v>9328000</v>
      </c>
      <c r="F1719" s="80" t="s">
        <v>137</v>
      </c>
      <c r="G1719" s="14" t="s">
        <v>138</v>
      </c>
      <c r="H1719" s="14" t="s">
        <v>2279</v>
      </c>
      <c r="I1719"/>
    </row>
    <row r="1720" spans="1:9" s="14" customFormat="1">
      <c r="A1720" s="3"/>
      <c r="B1720" s="7" t="s">
        <v>3869</v>
      </c>
      <c r="C1720" s="54">
        <v>225500</v>
      </c>
      <c r="D1720" s="54"/>
      <c r="E1720" s="54">
        <f t="shared" si="38"/>
        <v>9102500</v>
      </c>
      <c r="F1720" s="80" t="s">
        <v>137</v>
      </c>
      <c r="G1720" s="14" t="s">
        <v>138</v>
      </c>
      <c r="H1720" s="14" t="s">
        <v>2279</v>
      </c>
      <c r="I1720"/>
    </row>
    <row r="1721" spans="1:9" s="14" customFormat="1">
      <c r="A1721" s="3"/>
      <c r="B1721" s="7" t="s">
        <v>3870</v>
      </c>
      <c r="C1721" s="54">
        <v>190000</v>
      </c>
      <c r="D1721" s="54"/>
      <c r="E1721" s="54">
        <f t="shared" si="38"/>
        <v>8912500</v>
      </c>
      <c r="F1721" s="80" t="s">
        <v>137</v>
      </c>
      <c r="G1721" s="14" t="s">
        <v>138</v>
      </c>
      <c r="H1721" s="14" t="s">
        <v>2279</v>
      </c>
      <c r="I1721"/>
    </row>
    <row r="1722" spans="1:9" s="14" customFormat="1">
      <c r="A1722" s="3"/>
      <c r="B1722" s="7" t="s">
        <v>3871</v>
      </c>
      <c r="C1722" s="54">
        <v>2000000</v>
      </c>
      <c r="D1722" s="54"/>
      <c r="E1722" s="54">
        <f t="shared" si="38"/>
        <v>6912500</v>
      </c>
      <c r="F1722" s="80" t="s">
        <v>137</v>
      </c>
      <c r="G1722" s="14" t="s">
        <v>138</v>
      </c>
      <c r="H1722" s="14" t="s">
        <v>2279</v>
      </c>
      <c r="I1722"/>
    </row>
    <row r="1723" spans="1:9" s="14" customFormat="1">
      <c r="A1723" s="3"/>
      <c r="B1723" s="7" t="s">
        <v>3872</v>
      </c>
      <c r="C1723" s="54">
        <v>1106000</v>
      </c>
      <c r="D1723" s="54"/>
      <c r="E1723" s="54">
        <f t="shared" si="38"/>
        <v>5806500</v>
      </c>
      <c r="F1723" s="80" t="s">
        <v>137</v>
      </c>
      <c r="G1723" s="14" t="s">
        <v>138</v>
      </c>
      <c r="H1723" s="14" t="s">
        <v>2279</v>
      </c>
      <c r="I1723"/>
    </row>
    <row r="1724" spans="1:9" s="14" customFormat="1">
      <c r="A1724" s="3"/>
      <c r="B1724" s="7" t="s">
        <v>3873</v>
      </c>
      <c r="C1724" s="54">
        <v>1061000</v>
      </c>
      <c r="D1724" s="54"/>
      <c r="E1724" s="54">
        <f t="shared" si="38"/>
        <v>4745500</v>
      </c>
      <c r="F1724" s="80" t="s">
        <v>137</v>
      </c>
      <c r="G1724" s="14" t="s">
        <v>138</v>
      </c>
      <c r="H1724" s="14" t="s">
        <v>2279</v>
      </c>
      <c r="I1724"/>
    </row>
    <row r="1725" spans="1:9" s="14" customFormat="1">
      <c r="A1725" s="3"/>
      <c r="B1725" s="7" t="s">
        <v>3874</v>
      </c>
      <c r="C1725" s="54">
        <v>656500</v>
      </c>
      <c r="D1725" s="54"/>
      <c r="E1725" s="54">
        <f t="shared" si="38"/>
        <v>4089000</v>
      </c>
      <c r="F1725" s="80" t="s">
        <v>137</v>
      </c>
      <c r="G1725" s="14" t="s">
        <v>138</v>
      </c>
      <c r="H1725" s="14" t="s">
        <v>2279</v>
      </c>
      <c r="I1725"/>
    </row>
    <row r="1726" spans="1:9" s="14" customFormat="1">
      <c r="A1726" s="3"/>
      <c r="B1726" s="7" t="s">
        <v>3875</v>
      </c>
      <c r="C1726" s="54">
        <v>500000</v>
      </c>
      <c r="D1726" s="54"/>
      <c r="E1726" s="54">
        <f t="shared" si="38"/>
        <v>3589000</v>
      </c>
      <c r="F1726" s="80" t="s">
        <v>137</v>
      </c>
      <c r="G1726" s="14" t="s">
        <v>138</v>
      </c>
      <c r="H1726" s="14" t="s">
        <v>2279</v>
      </c>
      <c r="I1726"/>
    </row>
    <row r="1727" spans="1:9" s="14" customFormat="1">
      <c r="A1727" s="3"/>
      <c r="B1727" s="7" t="s">
        <v>3876</v>
      </c>
      <c r="C1727" s="54">
        <v>750000</v>
      </c>
      <c r="D1727" s="54"/>
      <c r="E1727" s="54">
        <f t="shared" si="38"/>
        <v>2839000</v>
      </c>
      <c r="F1727" s="80" t="s">
        <v>137</v>
      </c>
      <c r="G1727" s="14" t="s">
        <v>138</v>
      </c>
      <c r="H1727" s="14" t="s">
        <v>2279</v>
      </c>
      <c r="I1727"/>
    </row>
    <row r="1728" spans="1:9" s="14" customFormat="1">
      <c r="A1728" s="3"/>
      <c r="B1728" s="7" t="s">
        <v>3877</v>
      </c>
      <c r="C1728" s="54">
        <v>216100</v>
      </c>
      <c r="D1728" s="54"/>
      <c r="E1728" s="54">
        <f t="shared" si="38"/>
        <v>2622900</v>
      </c>
      <c r="F1728" s="80" t="s">
        <v>137</v>
      </c>
      <c r="G1728" s="14" t="s">
        <v>138</v>
      </c>
      <c r="H1728" s="14" t="s">
        <v>2279</v>
      </c>
      <c r="I1728"/>
    </row>
    <row r="1729" spans="1:12" s="14" customFormat="1">
      <c r="A1729" s="3"/>
      <c r="B1729" s="7" t="s">
        <v>3878</v>
      </c>
      <c r="C1729" s="54">
        <v>200000</v>
      </c>
      <c r="D1729" s="54"/>
      <c r="E1729" s="54">
        <f t="shared" si="38"/>
        <v>2422900</v>
      </c>
      <c r="F1729" s="80" t="s">
        <v>137</v>
      </c>
      <c r="G1729" s="14" t="s">
        <v>138</v>
      </c>
      <c r="H1729" s="14" t="s">
        <v>2279</v>
      </c>
      <c r="I1729"/>
    </row>
    <row r="1730" spans="1:12" s="14" customFormat="1">
      <c r="A1730" s="3"/>
      <c r="B1730" s="7" t="s">
        <v>3879</v>
      </c>
      <c r="C1730" s="54">
        <v>156000</v>
      </c>
      <c r="D1730" s="54"/>
      <c r="E1730" s="54">
        <f t="shared" si="38"/>
        <v>2266900</v>
      </c>
      <c r="F1730" s="80" t="s">
        <v>137</v>
      </c>
      <c r="G1730" s="14" t="s">
        <v>138</v>
      </c>
      <c r="H1730" s="14" t="s">
        <v>2279</v>
      </c>
      <c r="I1730"/>
    </row>
    <row r="1731" spans="1:12" s="14" customFormat="1">
      <c r="A1731" s="3"/>
      <c r="B1731" s="7" t="s">
        <v>3880</v>
      </c>
      <c r="C1731" s="54">
        <v>2000000</v>
      </c>
      <c r="D1731" s="54"/>
      <c r="E1731" s="54">
        <f t="shared" si="38"/>
        <v>266900</v>
      </c>
      <c r="F1731" s="80" t="s">
        <v>137</v>
      </c>
      <c r="G1731" s="14" t="s">
        <v>138</v>
      </c>
      <c r="H1731" s="14" t="s">
        <v>2279</v>
      </c>
      <c r="I1731"/>
      <c r="K1731" s="14" t="s">
        <v>4150</v>
      </c>
      <c r="L1731" s="14" t="s">
        <v>3990</v>
      </c>
    </row>
    <row r="1732" spans="1:12" s="14" customFormat="1">
      <c r="A1732" s="3"/>
      <c r="B1732" s="7" t="s">
        <v>3881</v>
      </c>
      <c r="C1732" s="54">
        <v>100000</v>
      </c>
      <c r="D1732" s="54"/>
      <c r="E1732" s="54">
        <f t="shared" si="38"/>
        <v>166900</v>
      </c>
      <c r="F1732" s="80" t="s">
        <v>137</v>
      </c>
      <c r="G1732" s="14" t="s">
        <v>138</v>
      </c>
      <c r="H1732" s="14" t="s">
        <v>2279</v>
      </c>
      <c r="I1732"/>
    </row>
    <row r="1733" spans="1:12" s="14" customFormat="1">
      <c r="A1733" s="3"/>
      <c r="B1733" s="7" t="s">
        <v>2765</v>
      </c>
      <c r="C1733" s="8">
        <v>166900</v>
      </c>
      <c r="D1733" s="8">
        <v>0</v>
      </c>
      <c r="E1733" s="8">
        <f t="shared" si="38"/>
        <v>0</v>
      </c>
      <c r="F1733" s="83" t="s">
        <v>107</v>
      </c>
      <c r="G1733" s="14" t="s">
        <v>668</v>
      </c>
      <c r="H1733" s="14" t="s">
        <v>3405</v>
      </c>
      <c r="I1733" t="s">
        <v>3865</v>
      </c>
    </row>
    <row r="1734" spans="1:12" s="14" customFormat="1">
      <c r="A1734" s="3">
        <v>44490</v>
      </c>
      <c r="B1734" s="7" t="s">
        <v>2612</v>
      </c>
      <c r="C1734" s="8">
        <v>0</v>
      </c>
      <c r="D1734" s="8">
        <v>10000000</v>
      </c>
      <c r="E1734" s="8">
        <f t="shared" si="38"/>
        <v>10000000</v>
      </c>
      <c r="F1734" s="83" t="s">
        <v>107</v>
      </c>
      <c r="G1734" s="14" t="s">
        <v>666</v>
      </c>
      <c r="H1734" s="14" t="s">
        <v>3405</v>
      </c>
      <c r="I1734" t="s">
        <v>3882</v>
      </c>
    </row>
    <row r="1735" spans="1:12" s="14" customFormat="1">
      <c r="A1735" s="3"/>
      <c r="B1735" s="7" t="s">
        <v>3883</v>
      </c>
      <c r="C1735" s="54">
        <v>120000</v>
      </c>
      <c r="D1735" s="54"/>
      <c r="E1735" s="54">
        <f t="shared" si="38"/>
        <v>9880000</v>
      </c>
      <c r="F1735" s="80" t="s">
        <v>137</v>
      </c>
      <c r="G1735" s="14" t="s">
        <v>138</v>
      </c>
      <c r="H1735" s="14" t="s">
        <v>2279</v>
      </c>
      <c r="I1735"/>
    </row>
    <row r="1736" spans="1:12" s="14" customFormat="1">
      <c r="A1736" s="3"/>
      <c r="B1736" s="7" t="s">
        <v>3884</v>
      </c>
      <c r="C1736" s="54">
        <v>186000</v>
      </c>
      <c r="D1736" s="54"/>
      <c r="E1736" s="54">
        <f t="shared" si="38"/>
        <v>9694000</v>
      </c>
      <c r="F1736" s="80" t="s">
        <v>137</v>
      </c>
      <c r="G1736" s="14" t="s">
        <v>138</v>
      </c>
      <c r="H1736" s="14" t="s">
        <v>2279</v>
      </c>
      <c r="I1736"/>
    </row>
    <row r="1737" spans="1:12" s="14" customFormat="1">
      <c r="A1737" s="3"/>
      <c r="B1737" s="7" t="s">
        <v>3885</v>
      </c>
      <c r="C1737" s="54">
        <v>74100</v>
      </c>
      <c r="D1737" s="54"/>
      <c r="E1737" s="54">
        <f t="shared" si="38"/>
        <v>9619900</v>
      </c>
      <c r="F1737" s="80" t="s">
        <v>137</v>
      </c>
      <c r="G1737" s="14" t="s">
        <v>138</v>
      </c>
      <c r="H1737" s="14" t="s">
        <v>2279</v>
      </c>
      <c r="I1737"/>
    </row>
    <row r="1738" spans="1:12" s="14" customFormat="1">
      <c r="A1738" s="3"/>
      <c r="B1738" s="7" t="s">
        <v>3886</v>
      </c>
      <c r="C1738" s="54">
        <v>524000</v>
      </c>
      <c r="D1738" s="54"/>
      <c r="E1738" s="54">
        <f t="shared" si="38"/>
        <v>9095900</v>
      </c>
      <c r="F1738" s="80" t="s">
        <v>137</v>
      </c>
      <c r="G1738" s="14" t="s">
        <v>138</v>
      </c>
      <c r="H1738" s="14" t="s">
        <v>2279</v>
      </c>
      <c r="I1738"/>
    </row>
    <row r="1739" spans="1:12" s="14" customFormat="1">
      <c r="A1739" s="138"/>
      <c r="B1739" s="14" t="s">
        <v>3887</v>
      </c>
      <c r="C1739" s="53">
        <v>490000</v>
      </c>
      <c r="D1739" s="53"/>
      <c r="E1739" s="54">
        <f t="shared" si="38"/>
        <v>8605900</v>
      </c>
      <c r="F1739" s="80" t="s">
        <v>137</v>
      </c>
      <c r="G1739" s="14" t="s">
        <v>138</v>
      </c>
      <c r="H1739" s="14" t="s">
        <v>2279</v>
      </c>
    </row>
    <row r="1740" spans="1:12" s="14" customFormat="1">
      <c r="A1740" s="138"/>
      <c r="B1740" s="14" t="s">
        <v>3888</v>
      </c>
      <c r="C1740" s="53">
        <v>76000</v>
      </c>
      <c r="D1740" s="53"/>
      <c r="E1740" s="54">
        <f t="shared" si="38"/>
        <v>8529900</v>
      </c>
      <c r="F1740" s="80" t="s">
        <v>137</v>
      </c>
      <c r="G1740" s="14" t="s">
        <v>138</v>
      </c>
      <c r="H1740" s="14" t="s">
        <v>2279</v>
      </c>
    </row>
    <row r="1741" spans="1:12" s="14" customFormat="1">
      <c r="A1741" s="138"/>
      <c r="B1741" s="14" t="s">
        <v>3889</v>
      </c>
      <c r="C1741" s="53">
        <v>30000</v>
      </c>
      <c r="D1741" s="53"/>
      <c r="E1741" s="54">
        <f t="shared" si="38"/>
        <v>8499900</v>
      </c>
      <c r="F1741" s="80" t="s">
        <v>137</v>
      </c>
      <c r="G1741" s="14" t="s">
        <v>138</v>
      </c>
      <c r="H1741" s="14" t="s">
        <v>2279</v>
      </c>
    </row>
    <row r="1742" spans="1:12" s="14" customFormat="1">
      <c r="A1742" s="138"/>
      <c r="B1742" s="14" t="s">
        <v>3890</v>
      </c>
      <c r="C1742" s="53">
        <v>150000</v>
      </c>
      <c r="D1742" s="53"/>
      <c r="E1742" s="54">
        <f t="shared" si="38"/>
        <v>8349900</v>
      </c>
      <c r="F1742" s="80" t="s">
        <v>137</v>
      </c>
      <c r="G1742" s="14" t="s">
        <v>138</v>
      </c>
      <c r="H1742" s="14" t="s">
        <v>2279</v>
      </c>
    </row>
    <row r="1743" spans="1:12" s="14" customFormat="1">
      <c r="A1743" s="138"/>
      <c r="B1743" s="14" t="s">
        <v>3891</v>
      </c>
      <c r="C1743" s="53">
        <v>99000</v>
      </c>
      <c r="D1743" s="53"/>
      <c r="E1743" s="54">
        <f t="shared" si="38"/>
        <v>8250900</v>
      </c>
      <c r="F1743" s="80" t="s">
        <v>137</v>
      </c>
      <c r="G1743" s="14" t="s">
        <v>138</v>
      </c>
      <c r="H1743" s="14" t="s">
        <v>2279</v>
      </c>
    </row>
    <row r="1744" spans="1:12">
      <c r="B1744" t="s">
        <v>3892</v>
      </c>
      <c r="C1744" s="54">
        <v>1600000</v>
      </c>
      <c r="D1744" s="54"/>
      <c r="E1744" s="54">
        <f t="shared" si="38"/>
        <v>6650900</v>
      </c>
      <c r="F1744" s="80" t="s">
        <v>137</v>
      </c>
      <c r="G1744" s="14" t="s">
        <v>138</v>
      </c>
      <c r="H1744" s="14" t="s">
        <v>2279</v>
      </c>
      <c r="K1744" s="14" t="s">
        <v>4150</v>
      </c>
      <c r="L1744" s="14" t="s">
        <v>119</v>
      </c>
    </row>
    <row r="1745" spans="1:12">
      <c r="B1745" t="s">
        <v>3893</v>
      </c>
      <c r="C1745" s="54">
        <v>400000</v>
      </c>
      <c r="D1745" s="54"/>
      <c r="E1745" s="54">
        <f t="shared" si="38"/>
        <v>6250900</v>
      </c>
      <c r="F1745" s="80" t="s">
        <v>137</v>
      </c>
      <c r="G1745" s="14" t="s">
        <v>138</v>
      </c>
      <c r="H1745" s="14" t="s">
        <v>2279</v>
      </c>
    </row>
    <row r="1746" spans="1:12">
      <c r="B1746" t="s">
        <v>3894</v>
      </c>
      <c r="C1746" s="54">
        <v>100000</v>
      </c>
      <c r="D1746" s="54"/>
      <c r="E1746" s="54">
        <f t="shared" si="38"/>
        <v>6150900</v>
      </c>
      <c r="F1746" s="80" t="s">
        <v>137</v>
      </c>
      <c r="G1746" s="14" t="s">
        <v>138</v>
      </c>
      <c r="H1746" s="14" t="s">
        <v>2279</v>
      </c>
    </row>
    <row r="1747" spans="1:12">
      <c r="B1747" s="7" t="s">
        <v>2774</v>
      </c>
      <c r="C1747" s="8">
        <v>6150900</v>
      </c>
      <c r="D1747" s="8">
        <v>0</v>
      </c>
      <c r="E1747" s="8">
        <f t="shared" si="38"/>
        <v>0</v>
      </c>
      <c r="F1747" s="83" t="s">
        <v>107</v>
      </c>
      <c r="G1747" s="14" t="s">
        <v>668</v>
      </c>
      <c r="H1747" s="14" t="s">
        <v>3405</v>
      </c>
      <c r="I1747" t="s">
        <v>3882</v>
      </c>
    </row>
    <row r="1748" spans="1:12">
      <c r="A1748" s="3">
        <v>44496</v>
      </c>
      <c r="B1748" s="7" t="s">
        <v>3895</v>
      </c>
      <c r="C1748" s="8">
        <v>0</v>
      </c>
      <c r="D1748" s="8">
        <v>5000000</v>
      </c>
      <c r="E1748" s="8">
        <f t="shared" si="38"/>
        <v>5000000</v>
      </c>
      <c r="F1748" s="81" t="s">
        <v>107</v>
      </c>
      <c r="G1748" s="14" t="s">
        <v>666</v>
      </c>
      <c r="H1748" s="14" t="s">
        <v>3405</v>
      </c>
      <c r="I1748" t="s">
        <v>3896</v>
      </c>
    </row>
    <row r="1749" spans="1:12">
      <c r="B1749" s="7" t="s">
        <v>3897</v>
      </c>
      <c r="C1749" s="54">
        <v>329000</v>
      </c>
      <c r="D1749" s="54"/>
      <c r="E1749" s="54">
        <f t="shared" si="38"/>
        <v>4671000</v>
      </c>
      <c r="F1749" s="80" t="s">
        <v>137</v>
      </c>
      <c r="G1749" s="14" t="s">
        <v>138</v>
      </c>
      <c r="H1749" s="14" t="s">
        <v>3025</v>
      </c>
    </row>
    <row r="1750" spans="1:12">
      <c r="B1750" s="7" t="s">
        <v>3898</v>
      </c>
      <c r="C1750" s="54">
        <v>3000000</v>
      </c>
      <c r="D1750" s="54"/>
      <c r="E1750" s="54">
        <f t="shared" si="38"/>
        <v>1671000</v>
      </c>
      <c r="F1750" s="80" t="s">
        <v>137</v>
      </c>
      <c r="G1750" s="14" t="s">
        <v>138</v>
      </c>
      <c r="H1750" s="14" t="s">
        <v>3025</v>
      </c>
    </row>
    <row r="1751" spans="1:12">
      <c r="B1751" s="7" t="s">
        <v>3996</v>
      </c>
      <c r="C1751" s="8">
        <v>400000</v>
      </c>
      <c r="E1751" s="8">
        <f t="shared" si="38"/>
        <v>1271000</v>
      </c>
      <c r="F1751" s="83" t="s">
        <v>107</v>
      </c>
      <c r="G1751" s="14" t="s">
        <v>668</v>
      </c>
      <c r="H1751" s="14" t="s">
        <v>3405</v>
      </c>
      <c r="I1751" t="s">
        <v>3896</v>
      </c>
      <c r="K1751" s="14" t="s">
        <v>4150</v>
      </c>
      <c r="L1751" s="14" t="s">
        <v>119</v>
      </c>
    </row>
    <row r="1752" spans="1:12">
      <c r="B1752" s="7" t="s">
        <v>3899</v>
      </c>
      <c r="C1752" s="54">
        <v>160000</v>
      </c>
      <c r="D1752" s="54"/>
      <c r="E1752" s="54">
        <f t="shared" si="38"/>
        <v>1111000</v>
      </c>
      <c r="F1752" s="80" t="s">
        <v>137</v>
      </c>
      <c r="G1752" s="14" t="s">
        <v>138</v>
      </c>
      <c r="H1752" s="14" t="s">
        <v>3025</v>
      </c>
      <c r="K1752" s="14" t="s">
        <v>4150</v>
      </c>
      <c r="L1752" s="14" t="s">
        <v>4153</v>
      </c>
    </row>
    <row r="1753" spans="1:12">
      <c r="B1753" s="7" t="s">
        <v>3900</v>
      </c>
      <c r="C1753" s="54">
        <v>400000</v>
      </c>
      <c r="D1753" s="54"/>
      <c r="E1753" s="54">
        <f t="shared" si="38"/>
        <v>711000</v>
      </c>
      <c r="F1753" s="80" t="s">
        <v>137</v>
      </c>
      <c r="G1753" s="14" t="s">
        <v>138</v>
      </c>
      <c r="H1753" s="14" t="s">
        <v>3025</v>
      </c>
      <c r="K1753" s="14" t="s">
        <v>4150</v>
      </c>
      <c r="L1753" s="14" t="s">
        <v>622</v>
      </c>
    </row>
    <row r="1754" spans="1:12">
      <c r="B1754" s="7" t="s">
        <v>3901</v>
      </c>
      <c r="C1754" s="54">
        <v>500000</v>
      </c>
      <c r="D1754" s="54"/>
      <c r="E1754" s="54">
        <f t="shared" si="38"/>
        <v>211000</v>
      </c>
      <c r="F1754" s="80" t="s">
        <v>137</v>
      </c>
      <c r="G1754" s="14" t="s">
        <v>138</v>
      </c>
      <c r="H1754" s="14" t="s">
        <v>3025</v>
      </c>
    </row>
    <row r="1755" spans="1:12">
      <c r="B1755" s="7" t="s">
        <v>2641</v>
      </c>
      <c r="C1755" s="8">
        <v>211000</v>
      </c>
      <c r="D1755" s="8">
        <v>0</v>
      </c>
      <c r="E1755" s="8">
        <f t="shared" si="38"/>
        <v>0</v>
      </c>
      <c r="F1755" s="83" t="s">
        <v>107</v>
      </c>
      <c r="G1755" s="14" t="s">
        <v>668</v>
      </c>
      <c r="H1755" s="14" t="s">
        <v>3405</v>
      </c>
      <c r="I1755" t="s">
        <v>3896</v>
      </c>
    </row>
    <row r="1756" spans="1:12">
      <c r="A1756" s="3">
        <v>44501</v>
      </c>
      <c r="B1756" s="7" t="s">
        <v>2638</v>
      </c>
      <c r="C1756" s="8">
        <v>3</v>
      </c>
      <c r="D1756" s="8">
        <v>0</v>
      </c>
      <c r="E1756" s="8">
        <f t="shared" si="38"/>
        <v>-3</v>
      </c>
      <c r="F1756" s="83" t="s">
        <v>581</v>
      </c>
      <c r="G1756" s="14" t="s">
        <v>582</v>
      </c>
      <c r="H1756" s="14" t="s">
        <v>2279</v>
      </c>
      <c r="I1756">
        <v>88</v>
      </c>
    </row>
    <row r="1757" spans="1:12">
      <c r="B1757" s="7" t="s">
        <v>2638</v>
      </c>
      <c r="D1757" s="8">
        <v>3</v>
      </c>
      <c r="E1757" s="8">
        <f t="shared" si="38"/>
        <v>0</v>
      </c>
      <c r="F1757" s="83" t="s">
        <v>252</v>
      </c>
      <c r="G1757" s="14" t="s">
        <v>664</v>
      </c>
      <c r="H1757" s="14"/>
    </row>
    <row r="1758" spans="1:12">
      <c r="A1758" s="3">
        <v>44501</v>
      </c>
      <c r="B1758" t="s">
        <v>3066</v>
      </c>
      <c r="C1758" s="54">
        <v>0</v>
      </c>
      <c r="D1758" s="54">
        <v>17631900</v>
      </c>
      <c r="E1758" s="8">
        <f t="shared" si="38"/>
        <v>17631900</v>
      </c>
      <c r="F1758" t="s">
        <v>581</v>
      </c>
      <c r="G1758" t="s">
        <v>582</v>
      </c>
      <c r="H1758" s="14" t="s">
        <v>3016</v>
      </c>
      <c r="I1758">
        <v>62</v>
      </c>
    </row>
    <row r="1759" spans="1:12">
      <c r="B1759" t="s">
        <v>3066</v>
      </c>
      <c r="C1759" s="8">
        <v>14693250</v>
      </c>
      <c r="E1759" s="8">
        <f t="shared" si="38"/>
        <v>2938650</v>
      </c>
      <c r="F1759" s="14" t="s">
        <v>568</v>
      </c>
      <c r="G1759" s="14" t="s">
        <v>4395</v>
      </c>
      <c r="H1759" s="14" t="s">
        <v>3016</v>
      </c>
      <c r="I1759">
        <v>62</v>
      </c>
    </row>
    <row r="1760" spans="1:12">
      <c r="B1760" t="s">
        <v>3066</v>
      </c>
      <c r="C1760" s="8">
        <v>2938650</v>
      </c>
      <c r="E1760" s="8">
        <f t="shared" si="38"/>
        <v>0</v>
      </c>
      <c r="F1760" t="s">
        <v>714</v>
      </c>
      <c r="G1760" t="s">
        <v>715</v>
      </c>
      <c r="H1760" s="14" t="s">
        <v>3016</v>
      </c>
      <c r="I1760">
        <v>62</v>
      </c>
    </row>
    <row r="1761" spans="1:9">
      <c r="A1761" s="3">
        <v>44502</v>
      </c>
      <c r="B1761" t="s">
        <v>2138</v>
      </c>
      <c r="C1761" s="8">
        <v>0</v>
      </c>
      <c r="D1761" s="8">
        <v>32536284</v>
      </c>
      <c r="E1761" s="8">
        <f t="shared" si="38"/>
        <v>32536284</v>
      </c>
      <c r="F1761" t="s">
        <v>581</v>
      </c>
      <c r="G1761" t="s">
        <v>582</v>
      </c>
      <c r="H1761" s="14" t="s">
        <v>2984</v>
      </c>
      <c r="I1761">
        <v>80</v>
      </c>
    </row>
    <row r="1762" spans="1:9">
      <c r="B1762" t="s">
        <v>2138</v>
      </c>
      <c r="C1762" s="8">
        <v>27113570</v>
      </c>
      <c r="E1762" s="8">
        <f t="shared" si="38"/>
        <v>5422714</v>
      </c>
      <c r="F1762" s="14" t="s">
        <v>568</v>
      </c>
      <c r="G1762" s="14" t="s">
        <v>4395</v>
      </c>
      <c r="H1762" s="14" t="s">
        <v>2984</v>
      </c>
      <c r="I1762">
        <v>80</v>
      </c>
    </row>
    <row r="1763" spans="1:9">
      <c r="B1763" t="s">
        <v>2138</v>
      </c>
      <c r="C1763" s="8">
        <v>5422714</v>
      </c>
      <c r="E1763" s="8">
        <f t="shared" si="38"/>
        <v>0</v>
      </c>
      <c r="F1763" t="s">
        <v>714</v>
      </c>
      <c r="G1763" t="s">
        <v>715</v>
      </c>
      <c r="H1763" s="14" t="s">
        <v>2984</v>
      </c>
      <c r="I1763">
        <v>80</v>
      </c>
    </row>
    <row r="1764" spans="1:9">
      <c r="A1764" s="3">
        <v>44504</v>
      </c>
      <c r="B1764" t="s">
        <v>2121</v>
      </c>
      <c r="C1764" s="8">
        <v>0</v>
      </c>
      <c r="D1764" s="8">
        <v>34096620</v>
      </c>
      <c r="E1764" s="8">
        <f t="shared" si="38"/>
        <v>34096620</v>
      </c>
      <c r="F1764" t="s">
        <v>581</v>
      </c>
      <c r="G1764" t="s">
        <v>582</v>
      </c>
      <c r="H1764" s="14" t="s">
        <v>2277</v>
      </c>
      <c r="I1764">
        <v>61</v>
      </c>
    </row>
    <row r="1765" spans="1:9">
      <c r="B1765" t="s">
        <v>2121</v>
      </c>
      <c r="C1765" s="8">
        <v>28413850</v>
      </c>
      <c r="E1765" s="8">
        <f t="shared" si="38"/>
        <v>5682770</v>
      </c>
      <c r="F1765" s="14" t="s">
        <v>568</v>
      </c>
      <c r="G1765" s="14" t="s">
        <v>4395</v>
      </c>
      <c r="H1765" s="14" t="s">
        <v>2277</v>
      </c>
      <c r="I1765">
        <v>61</v>
      </c>
    </row>
    <row r="1766" spans="1:9">
      <c r="B1766" t="s">
        <v>2121</v>
      </c>
      <c r="C1766" s="8">
        <v>5682770</v>
      </c>
      <c r="E1766" s="8">
        <f t="shared" si="38"/>
        <v>0</v>
      </c>
      <c r="F1766" t="s">
        <v>714</v>
      </c>
      <c r="G1766" t="s">
        <v>715</v>
      </c>
      <c r="H1766" s="14" t="s">
        <v>2277</v>
      </c>
      <c r="I1766">
        <v>61</v>
      </c>
    </row>
    <row r="1767" spans="1:9">
      <c r="A1767" s="3">
        <v>44504</v>
      </c>
      <c r="B1767" t="s">
        <v>2136</v>
      </c>
      <c r="C1767" s="8">
        <v>0</v>
      </c>
      <c r="D1767" s="8">
        <v>2263636.6000000015</v>
      </c>
      <c r="E1767" s="8">
        <f t="shared" si="38"/>
        <v>2263636.6000000015</v>
      </c>
      <c r="F1767" t="s">
        <v>581</v>
      </c>
      <c r="G1767" t="s">
        <v>582</v>
      </c>
      <c r="H1767" s="14" t="s">
        <v>3041</v>
      </c>
      <c r="I1767">
        <v>72</v>
      </c>
    </row>
    <row r="1768" spans="1:9">
      <c r="B1768" t="s">
        <v>2136</v>
      </c>
      <c r="C1768" s="8">
        <v>1886363.6</v>
      </c>
      <c r="E1768" s="8">
        <f t="shared" si="38"/>
        <v>377273.0000000014</v>
      </c>
      <c r="F1768" s="14" t="s">
        <v>568</v>
      </c>
      <c r="G1768" s="14" t="s">
        <v>4395</v>
      </c>
      <c r="H1768" s="14" t="s">
        <v>3041</v>
      </c>
      <c r="I1768">
        <v>72</v>
      </c>
    </row>
    <row r="1769" spans="1:9">
      <c r="B1769" t="s">
        <v>2136</v>
      </c>
      <c r="C1769" s="8">
        <v>377273.0000000014</v>
      </c>
      <c r="E1769" s="8">
        <f t="shared" si="38"/>
        <v>0</v>
      </c>
      <c r="F1769" t="s">
        <v>714</v>
      </c>
      <c r="G1769" t="s">
        <v>715</v>
      </c>
      <c r="H1769" s="14" t="s">
        <v>3041</v>
      </c>
      <c r="I1769">
        <v>72</v>
      </c>
    </row>
    <row r="1770" spans="1:9">
      <c r="A1770" s="138">
        <v>44505</v>
      </c>
      <c r="B1770" s="49" t="s">
        <v>2692</v>
      </c>
      <c r="C1770" s="53">
        <v>0</v>
      </c>
      <c r="D1770" s="53">
        <v>2628106</v>
      </c>
      <c r="E1770" s="8">
        <f t="shared" si="38"/>
        <v>2628106</v>
      </c>
      <c r="F1770" s="80" t="s">
        <v>107</v>
      </c>
      <c r="G1770" s="14" t="s">
        <v>666</v>
      </c>
      <c r="H1770" s="14" t="s">
        <v>140</v>
      </c>
    </row>
    <row r="1771" spans="1:9">
      <c r="B1771" s="7" t="s">
        <v>3316</v>
      </c>
      <c r="C1771" s="8">
        <v>266719</v>
      </c>
      <c r="E1771" s="8">
        <f t="shared" si="38"/>
        <v>2361387</v>
      </c>
      <c r="F1771" s="14" t="s">
        <v>319</v>
      </c>
      <c r="G1771" s="14" t="s">
        <v>117</v>
      </c>
      <c r="H1771" s="14" t="s">
        <v>64</v>
      </c>
    </row>
    <row r="1772" spans="1:9">
      <c r="B1772" s="7" t="s">
        <v>3321</v>
      </c>
      <c r="C1772" s="8">
        <v>761000</v>
      </c>
      <c r="E1772" s="8">
        <f t="shared" si="38"/>
        <v>1600387</v>
      </c>
      <c r="F1772" s="14" t="s">
        <v>319</v>
      </c>
      <c r="G1772" s="14" t="s">
        <v>320</v>
      </c>
      <c r="H1772" s="14" t="s">
        <v>64</v>
      </c>
    </row>
    <row r="1773" spans="1:9">
      <c r="B1773" s="7" t="s">
        <v>3317</v>
      </c>
      <c r="C1773" s="8">
        <v>5000</v>
      </c>
      <c r="E1773" s="8">
        <f t="shared" si="38"/>
        <v>1595387</v>
      </c>
      <c r="F1773" s="14" t="s">
        <v>113</v>
      </c>
      <c r="G1773" s="14" t="s">
        <v>114</v>
      </c>
      <c r="H1773" s="14" t="s">
        <v>64</v>
      </c>
    </row>
    <row r="1774" spans="1:9">
      <c r="B1774" s="7" t="s">
        <v>897</v>
      </c>
      <c r="C1774" s="8">
        <v>264910</v>
      </c>
      <c r="E1774" s="8">
        <f t="shared" si="38"/>
        <v>1330477</v>
      </c>
      <c r="F1774" s="14" t="s">
        <v>319</v>
      </c>
      <c r="G1774" s="14" t="s">
        <v>117</v>
      </c>
      <c r="H1774" s="14" t="s">
        <v>64</v>
      </c>
    </row>
    <row r="1775" spans="1:9">
      <c r="B1775" s="7" t="s">
        <v>3318</v>
      </c>
      <c r="C1775" s="8">
        <v>243527</v>
      </c>
      <c r="E1775" s="8">
        <f t="shared" si="38"/>
        <v>1086950</v>
      </c>
      <c r="F1775" s="14" t="s">
        <v>319</v>
      </c>
      <c r="G1775" s="14" t="s">
        <v>1045</v>
      </c>
      <c r="H1775" s="14" t="s">
        <v>64</v>
      </c>
    </row>
    <row r="1776" spans="1:9">
      <c r="B1776" s="7" t="s">
        <v>3316</v>
      </c>
      <c r="C1776" s="8">
        <v>272340</v>
      </c>
      <c r="E1776" s="8">
        <f t="shared" si="38"/>
        <v>814610</v>
      </c>
      <c r="F1776" s="14" t="s">
        <v>319</v>
      </c>
      <c r="G1776" s="14" t="s">
        <v>117</v>
      </c>
      <c r="H1776" s="14" t="s">
        <v>64</v>
      </c>
    </row>
    <row r="1777" spans="1:9">
      <c r="B1777" s="7" t="s">
        <v>3319</v>
      </c>
      <c r="C1777" s="8">
        <v>125400</v>
      </c>
      <c r="E1777" s="8">
        <f t="shared" si="38"/>
        <v>689210</v>
      </c>
      <c r="F1777" s="14" t="s">
        <v>248</v>
      </c>
      <c r="G1777" s="14" t="s">
        <v>407</v>
      </c>
      <c r="H1777" s="14" t="s">
        <v>64</v>
      </c>
    </row>
    <row r="1778" spans="1:9">
      <c r="B1778" s="7" t="s">
        <v>3322</v>
      </c>
      <c r="C1778" s="8">
        <v>283750</v>
      </c>
      <c r="E1778" s="8">
        <f t="shared" si="38"/>
        <v>405460</v>
      </c>
      <c r="F1778" s="14" t="s">
        <v>248</v>
      </c>
      <c r="G1778" s="14" t="s">
        <v>391</v>
      </c>
      <c r="H1778" s="14" t="s">
        <v>64</v>
      </c>
    </row>
    <row r="1779" spans="1:9">
      <c r="B1779" s="7" t="s">
        <v>3320</v>
      </c>
      <c r="C1779" s="54">
        <v>124000</v>
      </c>
      <c r="D1779" s="54"/>
      <c r="E1779" s="54">
        <f t="shared" si="38"/>
        <v>281460</v>
      </c>
      <c r="F1779" s="14" t="s">
        <v>115</v>
      </c>
      <c r="G1779" s="14" t="s">
        <v>120</v>
      </c>
      <c r="H1779" s="14" t="s">
        <v>127</v>
      </c>
      <c r="I1779" s="14" t="s">
        <v>444</v>
      </c>
    </row>
    <row r="1780" spans="1:9">
      <c r="B1780" s="7" t="s">
        <v>897</v>
      </c>
      <c r="C1780" s="8">
        <v>271460</v>
      </c>
      <c r="E1780" s="8">
        <f t="shared" si="38"/>
        <v>10000</v>
      </c>
      <c r="F1780" s="14" t="s">
        <v>319</v>
      </c>
      <c r="G1780" s="14" t="s">
        <v>117</v>
      </c>
      <c r="H1780" s="14" t="s">
        <v>64</v>
      </c>
    </row>
    <row r="1781" spans="1:9">
      <c r="B1781" s="7" t="s">
        <v>389</v>
      </c>
      <c r="C1781" s="8">
        <v>10000</v>
      </c>
      <c r="E1781" s="8">
        <f t="shared" si="38"/>
        <v>0</v>
      </c>
      <c r="F1781" s="14" t="s">
        <v>113</v>
      </c>
      <c r="G1781" s="14" t="s">
        <v>114</v>
      </c>
      <c r="H1781" s="14" t="s">
        <v>64</v>
      </c>
    </row>
    <row r="1782" spans="1:9">
      <c r="A1782" s="138">
        <v>44505</v>
      </c>
      <c r="B1782" s="49" t="s">
        <v>2693</v>
      </c>
      <c r="C1782" s="53">
        <v>0</v>
      </c>
      <c r="D1782" s="53">
        <v>14433747</v>
      </c>
      <c r="E1782" s="8">
        <f t="shared" si="38"/>
        <v>14433747</v>
      </c>
      <c r="F1782" s="80" t="s">
        <v>107</v>
      </c>
      <c r="G1782" s="14" t="s">
        <v>666</v>
      </c>
      <c r="H1782" s="14" t="s">
        <v>141</v>
      </c>
    </row>
    <row r="1783" spans="1:9">
      <c r="A1783" s="138"/>
      <c r="B1783" s="49" t="s">
        <v>897</v>
      </c>
      <c r="C1783" s="53">
        <v>150000</v>
      </c>
      <c r="D1783" s="53"/>
      <c r="E1783" s="8">
        <f t="shared" si="38"/>
        <v>14283747</v>
      </c>
      <c r="F1783" s="14" t="s">
        <v>319</v>
      </c>
      <c r="G1783" s="14" t="s">
        <v>117</v>
      </c>
      <c r="H1783" s="14" t="s">
        <v>64</v>
      </c>
    </row>
    <row r="1784" spans="1:9">
      <c r="A1784" s="138"/>
      <c r="B1784" s="49" t="s">
        <v>1042</v>
      </c>
      <c r="C1784" s="53">
        <v>268393</v>
      </c>
      <c r="D1784" s="53"/>
      <c r="E1784" s="8">
        <f t="shared" si="38"/>
        <v>14015354</v>
      </c>
      <c r="F1784" s="14" t="s">
        <v>319</v>
      </c>
      <c r="G1784" s="14" t="s">
        <v>117</v>
      </c>
      <c r="H1784" s="14" t="s">
        <v>64</v>
      </c>
    </row>
    <row r="1785" spans="1:9">
      <c r="A1785" s="138"/>
      <c r="B1785" s="49" t="s">
        <v>897</v>
      </c>
      <c r="C1785" s="53">
        <v>260820</v>
      </c>
      <c r="D1785" s="53"/>
      <c r="E1785" s="8">
        <f t="shared" si="38"/>
        <v>13754534</v>
      </c>
      <c r="F1785" s="14" t="s">
        <v>319</v>
      </c>
      <c r="G1785" s="14" t="s">
        <v>117</v>
      </c>
      <c r="H1785" s="14" t="s">
        <v>64</v>
      </c>
    </row>
    <row r="1786" spans="1:9">
      <c r="A1786" s="138"/>
      <c r="B1786" s="49" t="s">
        <v>3303</v>
      </c>
      <c r="C1786" s="53">
        <v>259412</v>
      </c>
      <c r="D1786" s="53"/>
      <c r="E1786" s="8">
        <f t="shared" si="38"/>
        <v>13495122</v>
      </c>
      <c r="F1786" s="14" t="s">
        <v>319</v>
      </c>
      <c r="G1786" s="14" t="s">
        <v>117</v>
      </c>
      <c r="H1786" s="14" t="s">
        <v>64</v>
      </c>
    </row>
    <row r="1787" spans="1:9">
      <c r="A1787" s="138"/>
      <c r="B1787" s="49" t="s">
        <v>3304</v>
      </c>
      <c r="C1787" s="53">
        <v>5000</v>
      </c>
      <c r="D1787" s="53"/>
      <c r="E1787" s="8">
        <f t="shared" si="38"/>
        <v>13490122</v>
      </c>
      <c r="F1787" s="14" t="s">
        <v>113</v>
      </c>
      <c r="G1787" s="14" t="s">
        <v>114</v>
      </c>
      <c r="H1787" s="14" t="s">
        <v>64</v>
      </c>
    </row>
    <row r="1788" spans="1:9">
      <c r="A1788" s="138"/>
      <c r="B1788" s="49" t="s">
        <v>3313</v>
      </c>
      <c r="C1788" s="53">
        <v>1817000</v>
      </c>
      <c r="D1788" s="53"/>
      <c r="E1788" s="8">
        <f t="shared" si="38"/>
        <v>11673122</v>
      </c>
      <c r="F1788" s="14" t="s">
        <v>319</v>
      </c>
      <c r="G1788" s="14" t="s">
        <v>647</v>
      </c>
      <c r="H1788" s="14" t="s">
        <v>64</v>
      </c>
    </row>
    <row r="1789" spans="1:9">
      <c r="A1789" s="138"/>
      <c r="B1789" s="49" t="s">
        <v>4322</v>
      </c>
      <c r="C1789" s="53">
        <v>276595</v>
      </c>
      <c r="D1789" s="53"/>
      <c r="E1789" s="8">
        <f t="shared" si="38"/>
        <v>11396527</v>
      </c>
      <c r="F1789" s="14" t="s">
        <v>248</v>
      </c>
      <c r="G1789" s="14" t="s">
        <v>407</v>
      </c>
      <c r="H1789" s="14" t="s">
        <v>64</v>
      </c>
    </row>
    <row r="1790" spans="1:9">
      <c r="A1790" s="138"/>
      <c r="B1790" s="49" t="s">
        <v>3303</v>
      </c>
      <c r="C1790" s="53">
        <v>289170</v>
      </c>
      <c r="D1790" s="53"/>
      <c r="E1790" s="8">
        <f t="shared" si="38"/>
        <v>11107357</v>
      </c>
      <c r="F1790" s="14" t="s">
        <v>319</v>
      </c>
      <c r="G1790" s="14" t="s">
        <v>117</v>
      </c>
      <c r="H1790" s="14" t="s">
        <v>64</v>
      </c>
    </row>
    <row r="1791" spans="1:9">
      <c r="A1791" s="138"/>
      <c r="B1791" s="49" t="s">
        <v>4323</v>
      </c>
      <c r="C1791" s="53">
        <v>1545000</v>
      </c>
      <c r="D1791" s="53"/>
      <c r="E1791" s="8">
        <f t="shared" si="38"/>
        <v>9562357</v>
      </c>
      <c r="F1791" s="14" t="s">
        <v>319</v>
      </c>
      <c r="G1791" s="14" t="s">
        <v>320</v>
      </c>
      <c r="H1791" s="14" t="s">
        <v>64</v>
      </c>
    </row>
    <row r="1792" spans="1:9">
      <c r="A1792" s="138"/>
      <c r="B1792" s="49" t="s">
        <v>3284</v>
      </c>
      <c r="C1792" s="53">
        <v>1712500</v>
      </c>
      <c r="D1792" s="53"/>
      <c r="E1792" s="54">
        <f t="shared" si="38"/>
        <v>7849857</v>
      </c>
      <c r="F1792" s="14" t="s">
        <v>137</v>
      </c>
      <c r="G1792" s="14" t="s">
        <v>138</v>
      </c>
      <c r="H1792" s="14" t="s">
        <v>3036</v>
      </c>
    </row>
    <row r="1793" spans="1:8">
      <c r="A1793" s="138"/>
      <c r="B1793" s="49" t="s">
        <v>1042</v>
      </c>
      <c r="C1793" s="53">
        <v>223984</v>
      </c>
      <c r="D1793" s="53"/>
      <c r="E1793" s="8">
        <f t="shared" ref="E1793:E1856" si="39">E1792-C1793+D1793</f>
        <v>7625873</v>
      </c>
      <c r="F1793" s="14" t="s">
        <v>319</v>
      </c>
      <c r="G1793" s="14" t="s">
        <v>117</v>
      </c>
      <c r="H1793" s="14" t="s">
        <v>64</v>
      </c>
    </row>
    <row r="1794" spans="1:8">
      <c r="A1794" s="138"/>
      <c r="B1794" s="49" t="s">
        <v>3305</v>
      </c>
      <c r="C1794" s="53">
        <v>323500</v>
      </c>
      <c r="D1794" s="53"/>
      <c r="E1794" s="54">
        <f t="shared" si="39"/>
        <v>7302373</v>
      </c>
      <c r="F1794" s="14" t="s">
        <v>137</v>
      </c>
      <c r="G1794" s="14" t="s">
        <v>138</v>
      </c>
      <c r="H1794" s="14" t="s">
        <v>3036</v>
      </c>
    </row>
    <row r="1795" spans="1:8">
      <c r="A1795" s="138"/>
      <c r="B1795" s="49" t="s">
        <v>3306</v>
      </c>
      <c r="C1795" s="53">
        <v>266420</v>
      </c>
      <c r="D1795" s="53"/>
      <c r="E1795" s="8">
        <f t="shared" si="39"/>
        <v>7035953</v>
      </c>
      <c r="F1795" s="14" t="s">
        <v>319</v>
      </c>
      <c r="G1795" s="14" t="s">
        <v>117</v>
      </c>
      <c r="H1795" s="14" t="s">
        <v>64</v>
      </c>
    </row>
    <row r="1796" spans="1:8">
      <c r="A1796" s="138"/>
      <c r="B1796" s="49" t="s">
        <v>1042</v>
      </c>
      <c r="C1796" s="53">
        <v>258471</v>
      </c>
      <c r="D1796" s="53"/>
      <c r="E1796" s="8">
        <f t="shared" si="39"/>
        <v>6777482</v>
      </c>
      <c r="F1796" s="14" t="s">
        <v>319</v>
      </c>
      <c r="G1796" s="14" t="s">
        <v>117</v>
      </c>
      <c r="H1796" s="14" t="s">
        <v>64</v>
      </c>
    </row>
    <row r="1797" spans="1:8">
      <c r="A1797" s="138"/>
      <c r="B1797" s="49" t="s">
        <v>3307</v>
      </c>
      <c r="C1797" s="53">
        <v>220060</v>
      </c>
      <c r="D1797" s="53"/>
      <c r="E1797" s="8">
        <f t="shared" si="39"/>
        <v>6557422</v>
      </c>
      <c r="F1797" s="14" t="s">
        <v>319</v>
      </c>
      <c r="G1797" s="14" t="s">
        <v>117</v>
      </c>
      <c r="H1797" s="14" t="s">
        <v>64</v>
      </c>
    </row>
    <row r="1798" spans="1:8">
      <c r="B1798" s="7" t="s">
        <v>3308</v>
      </c>
      <c r="C1798" s="54">
        <v>4625000</v>
      </c>
      <c r="D1798" s="54"/>
      <c r="E1798" s="54">
        <f t="shared" si="39"/>
        <v>1932422</v>
      </c>
      <c r="F1798" s="14" t="s">
        <v>137</v>
      </c>
      <c r="G1798" s="14" t="s">
        <v>138</v>
      </c>
      <c r="H1798" s="168" t="s">
        <v>3037</v>
      </c>
    </row>
    <row r="1799" spans="1:8">
      <c r="B1799" s="7" t="s">
        <v>897</v>
      </c>
      <c r="C1799" s="8">
        <v>200000</v>
      </c>
      <c r="E1799" s="8">
        <f t="shared" si="39"/>
        <v>1732422</v>
      </c>
      <c r="F1799" s="14" t="s">
        <v>319</v>
      </c>
      <c r="G1799" s="14" t="s">
        <v>117</v>
      </c>
      <c r="H1799" s="14" t="s">
        <v>64</v>
      </c>
    </row>
    <row r="1800" spans="1:8">
      <c r="B1800" s="7" t="s">
        <v>3309</v>
      </c>
      <c r="C1800" s="54">
        <v>155000</v>
      </c>
      <c r="D1800" s="54"/>
      <c r="E1800" s="54">
        <f t="shared" si="39"/>
        <v>1577422</v>
      </c>
      <c r="F1800" s="14" t="s">
        <v>137</v>
      </c>
      <c r="G1800" s="14" t="s">
        <v>138</v>
      </c>
      <c r="H1800" s="168" t="s">
        <v>3037</v>
      </c>
    </row>
    <row r="1801" spans="1:8">
      <c r="B1801" s="7" t="s">
        <v>1039</v>
      </c>
      <c r="C1801" s="54">
        <v>192300</v>
      </c>
      <c r="D1801" s="54"/>
      <c r="E1801" s="54">
        <f t="shared" si="39"/>
        <v>1385122</v>
      </c>
      <c r="F1801" s="14" t="s">
        <v>137</v>
      </c>
      <c r="G1801" s="14" t="s">
        <v>138</v>
      </c>
      <c r="H1801" s="168" t="s">
        <v>3037</v>
      </c>
    </row>
    <row r="1802" spans="1:8">
      <c r="B1802" s="7" t="s">
        <v>3110</v>
      </c>
      <c r="C1802" s="54">
        <v>174300</v>
      </c>
      <c r="D1802" s="54"/>
      <c r="E1802" s="54">
        <f t="shared" si="39"/>
        <v>1210822</v>
      </c>
      <c r="F1802" s="14" t="s">
        <v>137</v>
      </c>
      <c r="G1802" s="14" t="s">
        <v>138</v>
      </c>
      <c r="H1802" s="168" t="s">
        <v>3037</v>
      </c>
    </row>
    <row r="1803" spans="1:8">
      <c r="B1803" s="7" t="s">
        <v>3310</v>
      </c>
      <c r="C1803" s="54">
        <v>549000</v>
      </c>
      <c r="D1803" s="54"/>
      <c r="E1803" s="54">
        <f t="shared" si="39"/>
        <v>661822</v>
      </c>
      <c r="F1803" s="14" t="s">
        <v>137</v>
      </c>
      <c r="G1803" s="14" t="s">
        <v>138</v>
      </c>
      <c r="H1803" s="168" t="s">
        <v>3037</v>
      </c>
    </row>
    <row r="1804" spans="1:8">
      <c r="B1804" s="7" t="s">
        <v>1039</v>
      </c>
      <c r="C1804" s="54">
        <v>130000</v>
      </c>
      <c r="D1804" s="54"/>
      <c r="E1804" s="54">
        <f t="shared" si="39"/>
        <v>531822</v>
      </c>
      <c r="F1804" s="14" t="s">
        <v>137</v>
      </c>
      <c r="G1804" s="14" t="s">
        <v>138</v>
      </c>
      <c r="H1804" s="168" t="s">
        <v>3037</v>
      </c>
    </row>
    <row r="1805" spans="1:8">
      <c r="B1805" s="7" t="s">
        <v>1042</v>
      </c>
      <c r="C1805" s="8">
        <v>275928</v>
      </c>
      <c r="E1805" s="8">
        <f t="shared" si="39"/>
        <v>255894</v>
      </c>
      <c r="F1805" s="14" t="s">
        <v>319</v>
      </c>
      <c r="G1805" s="14" t="s">
        <v>117</v>
      </c>
      <c r="H1805" s="14" t="s">
        <v>64</v>
      </c>
    </row>
    <row r="1806" spans="1:8">
      <c r="B1806" s="7" t="s">
        <v>3311</v>
      </c>
      <c r="C1806" s="8">
        <v>245894</v>
      </c>
      <c r="E1806" s="8">
        <f t="shared" si="39"/>
        <v>10000</v>
      </c>
      <c r="F1806" s="14" t="s">
        <v>319</v>
      </c>
      <c r="G1806" s="14" t="s">
        <v>117</v>
      </c>
      <c r="H1806" s="14" t="s">
        <v>64</v>
      </c>
    </row>
    <row r="1807" spans="1:8">
      <c r="B1807" s="7" t="s">
        <v>3312</v>
      </c>
      <c r="C1807" s="8">
        <v>10000</v>
      </c>
      <c r="E1807" s="8">
        <f t="shared" si="39"/>
        <v>0</v>
      </c>
      <c r="F1807" s="14" t="s">
        <v>113</v>
      </c>
      <c r="G1807" s="14" t="s">
        <v>114</v>
      </c>
      <c r="H1807" s="14" t="s">
        <v>64</v>
      </c>
    </row>
    <row r="1808" spans="1:8">
      <c r="A1808" s="138">
        <v>44505</v>
      </c>
      <c r="B1808" s="49" t="s">
        <v>2694</v>
      </c>
      <c r="C1808" s="53">
        <v>0</v>
      </c>
      <c r="D1808" s="53">
        <v>7251872</v>
      </c>
      <c r="E1808" s="8">
        <f t="shared" si="39"/>
        <v>7251872</v>
      </c>
      <c r="F1808" s="80" t="s">
        <v>107</v>
      </c>
      <c r="G1808" s="14" t="s">
        <v>666</v>
      </c>
      <c r="H1808" s="14" t="s">
        <v>141</v>
      </c>
    </row>
    <row r="1809" spans="1:8">
      <c r="A1809" s="138"/>
      <c r="B1809" s="49" t="s">
        <v>4264</v>
      </c>
      <c r="C1809" s="53">
        <v>212364</v>
      </c>
      <c r="D1809" s="53"/>
      <c r="E1809" s="8">
        <f t="shared" si="39"/>
        <v>7039508</v>
      </c>
      <c r="F1809" s="14" t="s">
        <v>319</v>
      </c>
      <c r="G1809" s="14" t="s">
        <v>117</v>
      </c>
      <c r="H1809" s="14" t="s">
        <v>64</v>
      </c>
    </row>
    <row r="1810" spans="1:8">
      <c r="A1810" s="138"/>
      <c r="B1810" s="49" t="s">
        <v>1042</v>
      </c>
      <c r="C1810" s="53">
        <v>240746</v>
      </c>
      <c r="D1810" s="53"/>
      <c r="E1810" s="8">
        <f t="shared" si="39"/>
        <v>6798762</v>
      </c>
      <c r="F1810" s="14" t="s">
        <v>319</v>
      </c>
      <c r="G1810" s="14" t="s">
        <v>117</v>
      </c>
      <c r="H1810" s="14" t="s">
        <v>64</v>
      </c>
    </row>
    <row r="1811" spans="1:8">
      <c r="A1811" s="138"/>
      <c r="B1811" s="49" t="s">
        <v>4324</v>
      </c>
      <c r="C1811" s="53">
        <v>205000</v>
      </c>
      <c r="D1811" s="53"/>
      <c r="E1811" s="8">
        <f t="shared" si="39"/>
        <v>6593762</v>
      </c>
      <c r="F1811" s="14" t="s">
        <v>319</v>
      </c>
      <c r="G1811" s="14" t="s">
        <v>647</v>
      </c>
      <c r="H1811" s="14" t="s">
        <v>64</v>
      </c>
    </row>
    <row r="1812" spans="1:8">
      <c r="A1812" s="138"/>
      <c r="B1812" s="49" t="s">
        <v>4264</v>
      </c>
      <c r="C1812" s="53">
        <v>210528</v>
      </c>
      <c r="D1812" s="53"/>
      <c r="E1812" s="8">
        <f t="shared" si="39"/>
        <v>6383234</v>
      </c>
      <c r="F1812" s="14" t="s">
        <v>319</v>
      </c>
      <c r="G1812" s="14" t="s">
        <v>117</v>
      </c>
      <c r="H1812" s="14" t="s">
        <v>64</v>
      </c>
    </row>
    <row r="1813" spans="1:8">
      <c r="A1813" s="138"/>
      <c r="B1813" s="49" t="s">
        <v>4325</v>
      </c>
      <c r="C1813" s="53">
        <v>5000</v>
      </c>
      <c r="D1813" s="53"/>
      <c r="E1813" s="8">
        <f t="shared" si="39"/>
        <v>6378234</v>
      </c>
      <c r="F1813" s="14" t="s">
        <v>113</v>
      </c>
      <c r="G1813" s="14" t="s">
        <v>114</v>
      </c>
      <c r="H1813" s="14" t="s">
        <v>64</v>
      </c>
    </row>
    <row r="1814" spans="1:8">
      <c r="A1814" s="138"/>
      <c r="B1814" s="49" t="s">
        <v>4326</v>
      </c>
      <c r="C1814" s="53">
        <v>89100</v>
      </c>
      <c r="D1814" s="53"/>
      <c r="E1814" s="54">
        <f t="shared" si="39"/>
        <v>6289134</v>
      </c>
      <c r="F1814" s="14" t="s">
        <v>137</v>
      </c>
      <c r="G1814" s="14" t="s">
        <v>138</v>
      </c>
      <c r="H1814" s="14" t="s">
        <v>3038</v>
      </c>
    </row>
    <row r="1815" spans="1:8">
      <c r="A1815" s="138"/>
      <c r="B1815" s="49" t="s">
        <v>4327</v>
      </c>
      <c r="C1815" s="53">
        <v>73700</v>
      </c>
      <c r="D1815" s="53"/>
      <c r="E1815" s="54">
        <f t="shared" si="39"/>
        <v>6215434</v>
      </c>
      <c r="F1815" s="14" t="s">
        <v>137</v>
      </c>
      <c r="G1815" s="14" t="s">
        <v>138</v>
      </c>
      <c r="H1815" s="14" t="s">
        <v>3038</v>
      </c>
    </row>
    <row r="1816" spans="1:8">
      <c r="A1816" s="138"/>
      <c r="B1816" s="49" t="s">
        <v>4328</v>
      </c>
      <c r="C1816" s="53">
        <v>182000</v>
      </c>
      <c r="D1816" s="53"/>
      <c r="E1816" s="54">
        <f t="shared" si="39"/>
        <v>6033434</v>
      </c>
      <c r="F1816" s="14" t="s">
        <v>137</v>
      </c>
      <c r="G1816" s="14" t="s">
        <v>138</v>
      </c>
      <c r="H1816" s="14" t="s">
        <v>3038</v>
      </c>
    </row>
    <row r="1817" spans="1:8">
      <c r="A1817" s="138"/>
      <c r="B1817" s="49" t="s">
        <v>4329</v>
      </c>
      <c r="C1817" s="53">
        <v>548500</v>
      </c>
      <c r="D1817" s="53"/>
      <c r="E1817" s="54">
        <f t="shared" si="39"/>
        <v>5484934</v>
      </c>
      <c r="F1817" s="14" t="s">
        <v>137</v>
      </c>
      <c r="G1817" s="14" t="s">
        <v>138</v>
      </c>
      <c r="H1817" s="14" t="s">
        <v>3038</v>
      </c>
    </row>
    <row r="1818" spans="1:8">
      <c r="A1818" s="138"/>
      <c r="B1818" s="49" t="s">
        <v>4330</v>
      </c>
      <c r="C1818" s="53">
        <v>610500</v>
      </c>
      <c r="D1818" s="53"/>
      <c r="E1818" s="54">
        <f t="shared" si="39"/>
        <v>4874434</v>
      </c>
      <c r="F1818" s="14" t="s">
        <v>137</v>
      </c>
      <c r="G1818" s="14" t="s">
        <v>138</v>
      </c>
      <c r="H1818" s="14" t="s">
        <v>3038</v>
      </c>
    </row>
    <row r="1819" spans="1:8">
      <c r="A1819" s="138"/>
      <c r="B1819" s="49" t="s">
        <v>4331</v>
      </c>
      <c r="C1819" s="53">
        <v>273717</v>
      </c>
      <c r="D1819" s="53"/>
      <c r="E1819" s="8">
        <f t="shared" si="39"/>
        <v>4600717</v>
      </c>
      <c r="F1819" s="14" t="s">
        <v>319</v>
      </c>
      <c r="G1819" s="14" t="s">
        <v>117</v>
      </c>
      <c r="H1819" s="14" t="s">
        <v>64</v>
      </c>
    </row>
    <row r="1820" spans="1:8">
      <c r="A1820" s="138"/>
      <c r="B1820" s="49" t="s">
        <v>4332</v>
      </c>
      <c r="C1820" s="53">
        <v>378500</v>
      </c>
      <c r="D1820" s="53"/>
      <c r="E1820" s="54">
        <f t="shared" si="39"/>
        <v>4222217</v>
      </c>
      <c r="F1820" s="14" t="s">
        <v>137</v>
      </c>
      <c r="G1820" s="14" t="s">
        <v>138</v>
      </c>
      <c r="H1820" s="14" t="s">
        <v>3038</v>
      </c>
    </row>
    <row r="1821" spans="1:8">
      <c r="A1821" s="138"/>
      <c r="B1821" s="49" t="s">
        <v>4215</v>
      </c>
      <c r="C1821" s="53">
        <v>272799</v>
      </c>
      <c r="D1821" s="53"/>
      <c r="E1821" s="8">
        <f t="shared" si="39"/>
        <v>3949418</v>
      </c>
      <c r="F1821" s="14" t="s">
        <v>319</v>
      </c>
      <c r="G1821" s="14" t="s">
        <v>117</v>
      </c>
      <c r="H1821" s="14" t="s">
        <v>64</v>
      </c>
    </row>
    <row r="1822" spans="1:8">
      <c r="A1822" s="138"/>
      <c r="B1822" s="49" t="s">
        <v>4266</v>
      </c>
      <c r="C1822" s="53">
        <v>544000</v>
      </c>
      <c r="D1822" s="53"/>
      <c r="E1822" s="54">
        <f t="shared" si="39"/>
        <v>3405418</v>
      </c>
      <c r="F1822" s="14" t="s">
        <v>137</v>
      </c>
      <c r="G1822" s="14" t="s">
        <v>138</v>
      </c>
      <c r="H1822" s="14" t="s">
        <v>2982</v>
      </c>
    </row>
    <row r="1823" spans="1:8">
      <c r="A1823" s="138"/>
      <c r="B1823" s="49" t="s">
        <v>4337</v>
      </c>
      <c r="C1823" s="53">
        <v>74800</v>
      </c>
      <c r="D1823" s="53"/>
      <c r="E1823" s="8">
        <f t="shared" si="39"/>
        <v>3330618</v>
      </c>
      <c r="F1823" s="14" t="s">
        <v>319</v>
      </c>
      <c r="G1823" s="14" t="s">
        <v>647</v>
      </c>
      <c r="H1823" s="14" t="s">
        <v>64</v>
      </c>
    </row>
    <row r="1824" spans="1:8">
      <c r="A1824" s="138"/>
      <c r="B1824" s="49" t="s">
        <v>4333</v>
      </c>
      <c r="C1824" s="53">
        <v>102000</v>
      </c>
      <c r="D1824" s="53"/>
      <c r="E1824" s="54">
        <f t="shared" si="39"/>
        <v>3228618</v>
      </c>
      <c r="F1824" s="14" t="s">
        <v>137</v>
      </c>
      <c r="G1824" s="14" t="s">
        <v>138</v>
      </c>
      <c r="H1824" s="14" t="s">
        <v>2982</v>
      </c>
    </row>
    <row r="1825" spans="1:9">
      <c r="A1825" s="138"/>
      <c r="B1825" s="49" t="s">
        <v>4215</v>
      </c>
      <c r="C1825" s="53">
        <v>100000</v>
      </c>
      <c r="D1825" s="53"/>
      <c r="E1825" s="8">
        <f t="shared" si="39"/>
        <v>3128618</v>
      </c>
      <c r="F1825" s="14" t="s">
        <v>319</v>
      </c>
      <c r="G1825" s="14" t="s">
        <v>117</v>
      </c>
      <c r="H1825" s="14" t="s">
        <v>64</v>
      </c>
    </row>
    <row r="1826" spans="1:9">
      <c r="A1826" s="138"/>
      <c r="B1826" s="49" t="s">
        <v>4336</v>
      </c>
      <c r="C1826" s="53">
        <v>1345445</v>
      </c>
      <c r="D1826" s="53"/>
      <c r="E1826" s="8">
        <f t="shared" si="39"/>
        <v>1783173</v>
      </c>
      <c r="F1826" s="14" t="s">
        <v>248</v>
      </c>
      <c r="G1826" s="14" t="s">
        <v>391</v>
      </c>
      <c r="H1826" s="14" t="s">
        <v>64</v>
      </c>
    </row>
    <row r="1827" spans="1:9">
      <c r="A1827" s="138"/>
      <c r="B1827" s="49" t="s">
        <v>1042</v>
      </c>
      <c r="C1827" s="53">
        <v>267543</v>
      </c>
      <c r="D1827" s="53"/>
      <c r="E1827" s="8">
        <f t="shared" si="39"/>
        <v>1515630</v>
      </c>
      <c r="F1827" s="14" t="s">
        <v>319</v>
      </c>
      <c r="G1827" s="14" t="s">
        <v>117</v>
      </c>
      <c r="H1827" s="14" t="s">
        <v>64</v>
      </c>
    </row>
    <row r="1828" spans="1:9">
      <c r="A1828" s="138"/>
      <c r="B1828" s="49" t="s">
        <v>4334</v>
      </c>
      <c r="C1828" s="53">
        <v>100000</v>
      </c>
      <c r="D1828" s="53"/>
      <c r="E1828" s="8">
        <f t="shared" si="39"/>
        <v>1415630</v>
      </c>
      <c r="F1828" s="14" t="s">
        <v>113</v>
      </c>
      <c r="G1828" s="14" t="s">
        <v>478</v>
      </c>
      <c r="H1828" s="14" t="s">
        <v>64</v>
      </c>
    </row>
    <row r="1829" spans="1:9">
      <c r="A1829" s="138"/>
      <c r="B1829" s="49" t="s">
        <v>1042</v>
      </c>
      <c r="C1829" s="53">
        <v>256520</v>
      </c>
      <c r="D1829" s="53"/>
      <c r="E1829" s="8">
        <f t="shared" si="39"/>
        <v>1159110</v>
      </c>
      <c r="F1829" s="14" t="s">
        <v>319</v>
      </c>
      <c r="G1829" s="14" t="s">
        <v>117</v>
      </c>
      <c r="H1829" s="14" t="s">
        <v>64</v>
      </c>
    </row>
    <row r="1830" spans="1:9">
      <c r="A1830" s="138"/>
      <c r="B1830" s="49" t="s">
        <v>1042</v>
      </c>
      <c r="C1830" s="53">
        <v>252855</v>
      </c>
      <c r="D1830" s="53"/>
      <c r="E1830" s="8">
        <f t="shared" si="39"/>
        <v>906255</v>
      </c>
      <c r="F1830" s="14" t="s">
        <v>319</v>
      </c>
      <c r="G1830" s="14" t="s">
        <v>117</v>
      </c>
      <c r="H1830" s="14" t="s">
        <v>64</v>
      </c>
    </row>
    <row r="1831" spans="1:9">
      <c r="A1831" s="138"/>
      <c r="B1831" s="49" t="s">
        <v>4335</v>
      </c>
      <c r="C1831" s="53">
        <v>182600</v>
      </c>
      <c r="D1831" s="53"/>
      <c r="E1831" s="8">
        <f t="shared" si="39"/>
        <v>723655</v>
      </c>
      <c r="F1831" s="14" t="s">
        <v>248</v>
      </c>
      <c r="G1831" s="14" t="s">
        <v>407</v>
      </c>
      <c r="H1831" s="14" t="s">
        <v>64</v>
      </c>
    </row>
    <row r="1832" spans="1:9">
      <c r="B1832" s="7" t="s">
        <v>1042</v>
      </c>
      <c r="C1832" s="8">
        <v>212731</v>
      </c>
      <c r="E1832" s="8">
        <f t="shared" si="39"/>
        <v>510924</v>
      </c>
      <c r="F1832" s="14" t="s">
        <v>319</v>
      </c>
      <c r="G1832" s="14" t="s">
        <v>117</v>
      </c>
      <c r="H1832" s="14" t="s">
        <v>64</v>
      </c>
    </row>
    <row r="1833" spans="1:9">
      <c r="B1833" s="7" t="s">
        <v>1042</v>
      </c>
      <c r="C1833" s="8">
        <v>261324</v>
      </c>
      <c r="E1833" s="8">
        <f t="shared" si="39"/>
        <v>249600</v>
      </c>
      <c r="F1833" s="14" t="s">
        <v>319</v>
      </c>
      <c r="G1833" s="14" t="s">
        <v>117</v>
      </c>
      <c r="H1833" s="14" t="s">
        <v>64</v>
      </c>
    </row>
    <row r="1834" spans="1:9">
      <c r="B1834" s="7" t="s">
        <v>389</v>
      </c>
      <c r="C1834" s="8">
        <v>10000</v>
      </c>
      <c r="E1834" s="8">
        <f t="shared" si="39"/>
        <v>239600</v>
      </c>
      <c r="F1834" s="14" t="s">
        <v>113</v>
      </c>
      <c r="G1834" s="14" t="s">
        <v>114</v>
      </c>
      <c r="H1834" s="14" t="s">
        <v>64</v>
      </c>
    </row>
    <row r="1835" spans="1:9">
      <c r="B1835" s="7" t="s">
        <v>3256</v>
      </c>
      <c r="C1835" s="8">
        <v>239600</v>
      </c>
      <c r="E1835" s="8">
        <f t="shared" si="39"/>
        <v>0</v>
      </c>
      <c r="F1835" s="14" t="s">
        <v>113</v>
      </c>
      <c r="G1835" s="14" t="s">
        <v>478</v>
      </c>
      <c r="H1835" s="14" t="s">
        <v>64</v>
      </c>
    </row>
    <row r="1836" spans="1:9">
      <c r="A1836" s="138">
        <v>44505</v>
      </c>
      <c r="B1836" s="49" t="s">
        <v>2695</v>
      </c>
      <c r="C1836" s="53">
        <v>0</v>
      </c>
      <c r="D1836" s="53">
        <v>3486243</v>
      </c>
      <c r="E1836" s="8">
        <f t="shared" si="39"/>
        <v>3486243</v>
      </c>
      <c r="F1836" s="80" t="s">
        <v>107</v>
      </c>
      <c r="G1836" s="14" t="s">
        <v>666</v>
      </c>
      <c r="H1836" s="14" t="s">
        <v>140</v>
      </c>
    </row>
    <row r="1837" spans="1:9">
      <c r="B1837" s="7" t="s">
        <v>4494</v>
      </c>
      <c r="C1837" s="8">
        <v>125400</v>
      </c>
      <c r="E1837" s="8">
        <f t="shared" si="39"/>
        <v>3360843</v>
      </c>
      <c r="F1837" s="14" t="s">
        <v>248</v>
      </c>
      <c r="G1837" s="14" t="s">
        <v>407</v>
      </c>
      <c r="H1837" s="14"/>
    </row>
    <row r="1838" spans="1:9">
      <c r="B1838" s="7" t="s">
        <v>2080</v>
      </c>
      <c r="C1838" s="54">
        <v>195000</v>
      </c>
      <c r="D1838" s="54"/>
      <c r="E1838" s="54">
        <f t="shared" si="39"/>
        <v>3165843</v>
      </c>
      <c r="F1838" s="14" t="s">
        <v>115</v>
      </c>
      <c r="G1838" s="14" t="s">
        <v>120</v>
      </c>
      <c r="H1838" s="14" t="s">
        <v>560</v>
      </c>
      <c r="I1838" s="14" t="s">
        <v>444</v>
      </c>
    </row>
    <row r="1839" spans="1:9">
      <c r="B1839" s="7" t="s">
        <v>4495</v>
      </c>
      <c r="C1839" s="54">
        <v>138000</v>
      </c>
      <c r="D1839" s="54"/>
      <c r="E1839" s="54">
        <f t="shared" si="39"/>
        <v>3027843</v>
      </c>
      <c r="F1839" s="14" t="s">
        <v>736</v>
      </c>
      <c r="G1839" s="14" t="s">
        <v>455</v>
      </c>
      <c r="H1839" s="14"/>
    </row>
    <row r="1840" spans="1:9">
      <c r="B1840" s="7" t="s">
        <v>4496</v>
      </c>
      <c r="C1840" s="54">
        <v>232435</v>
      </c>
      <c r="D1840" s="54"/>
      <c r="E1840" s="54">
        <f t="shared" si="39"/>
        <v>2795408</v>
      </c>
      <c r="F1840" s="14" t="s">
        <v>736</v>
      </c>
      <c r="G1840" s="14" t="s">
        <v>3994</v>
      </c>
      <c r="H1840" s="14"/>
    </row>
    <row r="1841" spans="1:8">
      <c r="B1841" s="7" t="s">
        <v>4338</v>
      </c>
      <c r="C1841" s="54">
        <v>242259</v>
      </c>
      <c r="D1841" s="54"/>
      <c r="E1841" s="54">
        <f t="shared" si="39"/>
        <v>2553149</v>
      </c>
      <c r="F1841" s="14" t="s">
        <v>319</v>
      </c>
      <c r="G1841" s="14" t="s">
        <v>1045</v>
      </c>
      <c r="H1841" s="14"/>
    </row>
    <row r="1842" spans="1:8">
      <c r="B1842" s="7" t="s">
        <v>4497</v>
      </c>
      <c r="C1842" s="8">
        <v>2205048</v>
      </c>
      <c r="E1842" s="8">
        <f t="shared" si="39"/>
        <v>348101</v>
      </c>
      <c r="F1842" s="14" t="s">
        <v>248</v>
      </c>
      <c r="G1842" s="14" t="s">
        <v>391</v>
      </c>
      <c r="H1842" s="14"/>
    </row>
    <row r="1843" spans="1:8">
      <c r="B1843" s="7" t="s">
        <v>4339</v>
      </c>
      <c r="C1843" s="8">
        <v>268515</v>
      </c>
      <c r="E1843" s="8">
        <f t="shared" si="39"/>
        <v>79586</v>
      </c>
      <c r="F1843" s="14" t="s">
        <v>319</v>
      </c>
      <c r="G1843" s="14" t="s">
        <v>117</v>
      </c>
      <c r="H1843" s="14"/>
    </row>
    <row r="1844" spans="1:8">
      <c r="B1844" s="7" t="s">
        <v>4334</v>
      </c>
      <c r="C1844" s="8">
        <v>26281</v>
      </c>
      <c r="E1844" s="8">
        <f t="shared" si="39"/>
        <v>53305</v>
      </c>
      <c r="F1844" s="14" t="s">
        <v>113</v>
      </c>
      <c r="G1844" s="14" t="s">
        <v>478</v>
      </c>
      <c r="H1844" s="14"/>
    </row>
    <row r="1845" spans="1:8">
      <c r="B1845" s="7" t="s">
        <v>3256</v>
      </c>
      <c r="C1845" s="8">
        <v>53305</v>
      </c>
      <c r="E1845" s="8">
        <f t="shared" si="39"/>
        <v>0</v>
      </c>
      <c r="F1845" s="14" t="s">
        <v>113</v>
      </c>
      <c r="G1845" s="14" t="s">
        <v>478</v>
      </c>
      <c r="H1845" s="14"/>
    </row>
    <row r="1846" spans="1:8">
      <c r="A1846" s="138">
        <v>44505</v>
      </c>
      <c r="B1846" s="49" t="s">
        <v>2696</v>
      </c>
      <c r="C1846" s="53">
        <v>0</v>
      </c>
      <c r="D1846" s="53">
        <v>126860622</v>
      </c>
      <c r="E1846" s="8">
        <f t="shared" si="39"/>
        <v>126860622</v>
      </c>
      <c r="F1846" s="80" t="s">
        <v>107</v>
      </c>
      <c r="G1846" s="14" t="s">
        <v>666</v>
      </c>
      <c r="H1846" s="14" t="s">
        <v>142</v>
      </c>
    </row>
    <row r="1847" spans="1:8">
      <c r="A1847" s="138"/>
      <c r="B1847" s="49" t="s">
        <v>4340</v>
      </c>
      <c r="C1847" s="53">
        <v>0</v>
      </c>
      <c r="D1847" s="53">
        <v>200000</v>
      </c>
      <c r="E1847" s="8">
        <f t="shared" si="39"/>
        <v>127060622</v>
      </c>
      <c r="F1847" s="80" t="s">
        <v>252</v>
      </c>
      <c r="G1847" s="14" t="s">
        <v>664</v>
      </c>
      <c r="H1847" s="14"/>
    </row>
    <row r="1848" spans="1:8">
      <c r="A1848" s="138"/>
      <c r="B1848" s="49" t="s">
        <v>4341</v>
      </c>
      <c r="C1848" s="53">
        <v>218580</v>
      </c>
      <c r="D1848" s="53"/>
      <c r="E1848" s="8">
        <f t="shared" si="39"/>
        <v>126842042</v>
      </c>
      <c r="F1848" s="14" t="s">
        <v>319</v>
      </c>
      <c r="G1848" s="14" t="s">
        <v>117</v>
      </c>
      <c r="H1848" s="14"/>
    </row>
    <row r="1849" spans="1:8">
      <c r="A1849" s="138"/>
      <c r="B1849" s="49" t="s">
        <v>4342</v>
      </c>
      <c r="C1849" s="53">
        <v>153000</v>
      </c>
      <c r="D1849" s="53"/>
      <c r="E1849" s="54">
        <f t="shared" si="39"/>
        <v>126689042</v>
      </c>
      <c r="F1849" s="14" t="s">
        <v>137</v>
      </c>
      <c r="G1849" s="14" t="s">
        <v>138</v>
      </c>
      <c r="H1849" s="14" t="s">
        <v>3038</v>
      </c>
    </row>
    <row r="1850" spans="1:8">
      <c r="A1850" s="138"/>
      <c r="B1850" s="49" t="s">
        <v>4343</v>
      </c>
      <c r="C1850" s="53">
        <v>91000</v>
      </c>
      <c r="D1850" s="53"/>
      <c r="E1850" s="8">
        <f t="shared" si="39"/>
        <v>126598042</v>
      </c>
      <c r="F1850" s="14" t="s">
        <v>137</v>
      </c>
      <c r="G1850" s="14" t="s">
        <v>138</v>
      </c>
      <c r="H1850" s="14" t="s">
        <v>3038</v>
      </c>
    </row>
    <row r="1851" spans="1:8">
      <c r="A1851" s="138"/>
      <c r="B1851" s="49" t="s">
        <v>4362</v>
      </c>
      <c r="C1851" s="53">
        <v>400785</v>
      </c>
      <c r="D1851" s="53"/>
      <c r="E1851" s="8">
        <f t="shared" si="39"/>
        <v>126197257</v>
      </c>
      <c r="F1851" s="80" t="s">
        <v>736</v>
      </c>
      <c r="G1851" s="14" t="s">
        <v>455</v>
      </c>
      <c r="H1851" s="14" t="s">
        <v>64</v>
      </c>
    </row>
    <row r="1852" spans="1:8">
      <c r="A1852" s="138"/>
      <c r="B1852" s="49" t="s">
        <v>4363</v>
      </c>
      <c r="C1852" s="53">
        <v>1877126</v>
      </c>
      <c r="D1852" s="53"/>
      <c r="E1852" s="8">
        <f t="shared" si="39"/>
        <v>124320131</v>
      </c>
      <c r="F1852" s="80" t="s">
        <v>319</v>
      </c>
      <c r="G1852" s="49" t="s">
        <v>647</v>
      </c>
      <c r="H1852" s="14" t="s">
        <v>64</v>
      </c>
    </row>
    <row r="1853" spans="1:8">
      <c r="A1853" s="138"/>
      <c r="B1853" s="49" t="s">
        <v>4344</v>
      </c>
      <c r="C1853" s="53">
        <v>791000</v>
      </c>
      <c r="D1853" s="53"/>
      <c r="E1853" s="8">
        <f t="shared" si="39"/>
        <v>123529131</v>
      </c>
      <c r="F1853" s="14" t="s">
        <v>137</v>
      </c>
      <c r="G1853" s="14" t="s">
        <v>138</v>
      </c>
      <c r="H1853" s="168" t="s">
        <v>3039</v>
      </c>
    </row>
    <row r="1854" spans="1:8">
      <c r="A1854" s="138"/>
      <c r="B1854" s="49" t="s">
        <v>4332</v>
      </c>
      <c r="C1854" s="53">
        <v>234600</v>
      </c>
      <c r="D1854" s="53"/>
      <c r="E1854" s="8">
        <f t="shared" si="39"/>
        <v>123294531</v>
      </c>
      <c r="F1854" s="14" t="s">
        <v>137</v>
      </c>
      <c r="G1854" s="14" t="s">
        <v>138</v>
      </c>
      <c r="H1854" s="168" t="s">
        <v>3039</v>
      </c>
    </row>
    <row r="1855" spans="1:8">
      <c r="A1855" s="138"/>
      <c r="B1855" s="49" t="s">
        <v>4345</v>
      </c>
      <c r="C1855" s="53">
        <v>213000</v>
      </c>
      <c r="D1855" s="53"/>
      <c r="E1855" s="8">
        <f t="shared" si="39"/>
        <v>123081531</v>
      </c>
      <c r="F1855" s="14" t="s">
        <v>137</v>
      </c>
      <c r="G1855" s="14" t="s">
        <v>138</v>
      </c>
      <c r="H1855" s="168" t="s">
        <v>3039</v>
      </c>
    </row>
    <row r="1856" spans="1:8">
      <c r="A1856" s="138"/>
      <c r="B1856" s="49" t="s">
        <v>4341</v>
      </c>
      <c r="C1856" s="53">
        <v>253770</v>
      </c>
      <c r="D1856" s="53"/>
      <c r="E1856" s="8">
        <f t="shared" si="39"/>
        <v>122827761</v>
      </c>
      <c r="F1856" s="14" t="s">
        <v>319</v>
      </c>
      <c r="G1856" s="14" t="s">
        <v>117</v>
      </c>
      <c r="H1856" s="14"/>
    </row>
    <row r="1857" spans="1:8">
      <c r="A1857" s="138"/>
      <c r="B1857" s="49" t="s">
        <v>4346</v>
      </c>
      <c r="C1857" s="53">
        <v>476000</v>
      </c>
      <c r="D1857" s="53"/>
      <c r="E1857" s="8">
        <f t="shared" ref="E1857:E1922" si="40">E1856-C1857+D1857</f>
        <v>122351761</v>
      </c>
      <c r="F1857" s="14" t="s">
        <v>137</v>
      </c>
      <c r="G1857" s="14" t="s">
        <v>138</v>
      </c>
      <c r="H1857" s="168" t="s">
        <v>3039</v>
      </c>
    </row>
    <row r="1858" spans="1:8">
      <c r="A1858" s="138"/>
      <c r="B1858" s="49" t="s">
        <v>4345</v>
      </c>
      <c r="C1858" s="53">
        <v>172000</v>
      </c>
      <c r="D1858" s="53"/>
      <c r="E1858" s="8">
        <f t="shared" si="40"/>
        <v>122179761</v>
      </c>
      <c r="F1858" s="14" t="s">
        <v>137</v>
      </c>
      <c r="G1858" s="14" t="s">
        <v>138</v>
      </c>
      <c r="H1858" s="168" t="s">
        <v>3039</v>
      </c>
    </row>
    <row r="1859" spans="1:8">
      <c r="A1859" s="138"/>
      <c r="B1859" s="49" t="s">
        <v>4364</v>
      </c>
      <c r="C1859" s="53">
        <v>84700</v>
      </c>
      <c r="D1859" s="53"/>
      <c r="E1859" s="8">
        <f t="shared" si="40"/>
        <v>122095061</v>
      </c>
      <c r="F1859" s="80" t="s">
        <v>736</v>
      </c>
      <c r="G1859" s="14" t="s">
        <v>455</v>
      </c>
      <c r="H1859" s="14" t="s">
        <v>64</v>
      </c>
    </row>
    <row r="1860" spans="1:8">
      <c r="A1860" s="138"/>
      <c r="B1860" s="49" t="s">
        <v>4347</v>
      </c>
      <c r="C1860" s="53">
        <v>487410</v>
      </c>
      <c r="D1860" s="53"/>
      <c r="E1860" s="8">
        <f t="shared" si="40"/>
        <v>121607651</v>
      </c>
      <c r="F1860" s="14" t="s">
        <v>137</v>
      </c>
      <c r="G1860" s="14" t="s">
        <v>138</v>
      </c>
      <c r="H1860" s="14" t="s">
        <v>2984</v>
      </c>
    </row>
    <row r="1861" spans="1:8">
      <c r="A1861" s="138"/>
      <c r="B1861" s="49" t="s">
        <v>4348</v>
      </c>
      <c r="C1861" s="53">
        <v>3000000</v>
      </c>
      <c r="D1861" s="53"/>
      <c r="E1861" s="8">
        <f t="shared" si="40"/>
        <v>118607651</v>
      </c>
      <c r="F1861" s="14" t="s">
        <v>137</v>
      </c>
      <c r="G1861" s="14" t="s">
        <v>138</v>
      </c>
      <c r="H1861" s="14" t="s">
        <v>2984</v>
      </c>
    </row>
    <row r="1862" spans="1:8">
      <c r="A1862" s="138"/>
      <c r="B1862" s="49" t="s">
        <v>4349</v>
      </c>
      <c r="C1862" s="53">
        <v>174300</v>
      </c>
      <c r="D1862" s="53"/>
      <c r="E1862" s="8">
        <f t="shared" si="40"/>
        <v>118433351</v>
      </c>
      <c r="F1862" s="14" t="s">
        <v>137</v>
      </c>
      <c r="G1862" s="14" t="s">
        <v>138</v>
      </c>
      <c r="H1862" s="14" t="s">
        <v>2982</v>
      </c>
    </row>
    <row r="1863" spans="1:8">
      <c r="A1863" s="138"/>
      <c r="B1863" s="49" t="s">
        <v>4350</v>
      </c>
      <c r="C1863" s="53">
        <v>116700</v>
      </c>
      <c r="D1863" s="53"/>
      <c r="E1863" s="8">
        <f t="shared" si="40"/>
        <v>118316651</v>
      </c>
      <c r="F1863" s="14" t="s">
        <v>137</v>
      </c>
      <c r="G1863" s="14" t="s">
        <v>138</v>
      </c>
      <c r="H1863" s="14" t="s">
        <v>2982</v>
      </c>
    </row>
    <row r="1864" spans="1:8">
      <c r="A1864" s="138"/>
      <c r="B1864" s="49" t="s">
        <v>4351</v>
      </c>
      <c r="C1864" s="53">
        <v>646008</v>
      </c>
      <c r="D1864" s="53"/>
      <c r="E1864" s="8">
        <f t="shared" si="40"/>
        <v>117670643</v>
      </c>
      <c r="F1864" s="14" t="s">
        <v>137</v>
      </c>
      <c r="G1864" s="14" t="s">
        <v>138</v>
      </c>
      <c r="H1864" s="14" t="s">
        <v>2984</v>
      </c>
    </row>
    <row r="1865" spans="1:8">
      <c r="A1865" s="138"/>
      <c r="B1865" s="49" t="s">
        <v>4352</v>
      </c>
      <c r="C1865" s="53">
        <v>125664</v>
      </c>
      <c r="D1865" s="53"/>
      <c r="E1865" s="8">
        <f t="shared" si="40"/>
        <v>117544979</v>
      </c>
      <c r="F1865" s="14" t="s">
        <v>137</v>
      </c>
      <c r="G1865" s="14" t="s">
        <v>138</v>
      </c>
      <c r="H1865" s="14" t="s">
        <v>2984</v>
      </c>
    </row>
    <row r="1866" spans="1:8">
      <c r="A1866" s="138"/>
      <c r="B1866" s="49" t="s">
        <v>4353</v>
      </c>
      <c r="C1866" s="53">
        <v>6028000</v>
      </c>
      <c r="D1866" s="53"/>
      <c r="E1866" s="8">
        <f t="shared" si="40"/>
        <v>111516979</v>
      </c>
      <c r="F1866" s="14" t="s">
        <v>137</v>
      </c>
      <c r="G1866" s="14" t="s">
        <v>138</v>
      </c>
      <c r="H1866" s="168" t="s">
        <v>4862</v>
      </c>
    </row>
    <row r="1867" spans="1:8">
      <c r="A1867" s="138"/>
      <c r="B1867" s="49" t="s">
        <v>4354</v>
      </c>
      <c r="C1867" s="53">
        <v>85800000</v>
      </c>
      <c r="D1867" s="53"/>
      <c r="E1867" s="8">
        <f t="shared" si="40"/>
        <v>25716979</v>
      </c>
      <c r="F1867" s="14" t="s">
        <v>137</v>
      </c>
      <c r="G1867" s="14" t="s">
        <v>138</v>
      </c>
      <c r="H1867" s="14" t="s">
        <v>2278</v>
      </c>
    </row>
    <row r="1868" spans="1:8">
      <c r="A1868" s="138"/>
      <c r="B1868" s="49" t="s">
        <v>4355</v>
      </c>
      <c r="C1868" s="53">
        <v>392585</v>
      </c>
      <c r="D1868" s="53"/>
      <c r="E1868" s="8">
        <f t="shared" si="40"/>
        <v>25324394</v>
      </c>
      <c r="F1868" s="14" t="s">
        <v>137</v>
      </c>
      <c r="G1868" s="14" t="s">
        <v>138</v>
      </c>
      <c r="H1868" s="14" t="s">
        <v>2278</v>
      </c>
    </row>
    <row r="1869" spans="1:8">
      <c r="A1869" s="138"/>
      <c r="B1869" s="49" t="s">
        <v>4356</v>
      </c>
      <c r="C1869" s="53">
        <v>890000</v>
      </c>
      <c r="D1869" s="53"/>
      <c r="E1869" s="8">
        <f t="shared" si="40"/>
        <v>24434394</v>
      </c>
      <c r="F1869" s="14" t="s">
        <v>137</v>
      </c>
      <c r="G1869" s="14" t="s">
        <v>138</v>
      </c>
      <c r="H1869" s="14" t="s">
        <v>2976</v>
      </c>
    </row>
    <row r="1870" spans="1:8">
      <c r="A1870" s="138"/>
      <c r="B1870" s="49" t="s">
        <v>4356</v>
      </c>
      <c r="C1870" s="53">
        <v>2558000</v>
      </c>
      <c r="D1870" s="53"/>
      <c r="E1870" s="8">
        <f t="shared" si="40"/>
        <v>21876394</v>
      </c>
      <c r="F1870" s="14" t="s">
        <v>137</v>
      </c>
      <c r="G1870" s="14" t="s">
        <v>138</v>
      </c>
      <c r="H1870" s="14" t="s">
        <v>2976</v>
      </c>
    </row>
    <row r="1871" spans="1:8">
      <c r="A1871" s="138"/>
      <c r="B1871" s="49" t="s">
        <v>4357</v>
      </c>
      <c r="C1871" s="53">
        <v>7775460</v>
      </c>
      <c r="D1871" s="53"/>
      <c r="E1871" s="8">
        <f t="shared" si="40"/>
        <v>14100934</v>
      </c>
      <c r="F1871" s="14" t="s">
        <v>137</v>
      </c>
      <c r="G1871" s="14" t="s">
        <v>138</v>
      </c>
      <c r="H1871" s="14" t="s">
        <v>2278</v>
      </c>
    </row>
    <row r="1872" spans="1:8">
      <c r="A1872" s="138"/>
      <c r="B1872" s="49" t="s">
        <v>4353</v>
      </c>
      <c r="C1872" s="53">
        <v>437800</v>
      </c>
      <c r="D1872" s="53"/>
      <c r="E1872" s="8">
        <f t="shared" si="40"/>
        <v>13663134</v>
      </c>
      <c r="F1872" s="14" t="s">
        <v>137</v>
      </c>
      <c r="G1872" s="14" t="s">
        <v>138</v>
      </c>
      <c r="H1872" s="14" t="s">
        <v>2976</v>
      </c>
    </row>
    <row r="1873" spans="1:9">
      <c r="A1873" s="138"/>
      <c r="B1873" s="49" t="s">
        <v>4358</v>
      </c>
      <c r="C1873" s="53">
        <v>525000</v>
      </c>
      <c r="D1873" s="53"/>
      <c r="E1873" s="8">
        <f t="shared" si="40"/>
        <v>13138134</v>
      </c>
      <c r="F1873" s="14" t="s">
        <v>137</v>
      </c>
      <c r="G1873" s="14" t="s">
        <v>138</v>
      </c>
      <c r="H1873" s="14" t="s">
        <v>2278</v>
      </c>
    </row>
    <row r="1874" spans="1:9">
      <c r="A1874" s="138"/>
      <c r="B1874" s="49" t="s">
        <v>4359</v>
      </c>
      <c r="C1874" s="53">
        <v>9962550</v>
      </c>
      <c r="D1874" s="53"/>
      <c r="E1874" s="8">
        <f t="shared" si="40"/>
        <v>3175584</v>
      </c>
      <c r="F1874" s="14" t="s">
        <v>137</v>
      </c>
      <c r="G1874" s="14" t="s">
        <v>138</v>
      </c>
      <c r="H1874" s="14" t="s">
        <v>3018</v>
      </c>
    </row>
    <row r="1875" spans="1:9">
      <c r="A1875" s="138"/>
      <c r="B1875" s="49" t="s">
        <v>1031</v>
      </c>
      <c r="C1875" s="53">
        <v>10000</v>
      </c>
      <c r="D1875" s="53"/>
      <c r="E1875" s="8">
        <f t="shared" si="40"/>
        <v>3165584</v>
      </c>
      <c r="F1875" s="80" t="s">
        <v>113</v>
      </c>
      <c r="G1875" s="14" t="s">
        <v>114</v>
      </c>
      <c r="H1875" s="14" t="s">
        <v>64</v>
      </c>
    </row>
    <row r="1876" spans="1:9">
      <c r="A1876" s="138"/>
      <c r="B1876" s="49" t="s">
        <v>4360</v>
      </c>
      <c r="C1876" s="53">
        <v>1707333</v>
      </c>
      <c r="D1876" s="53"/>
      <c r="E1876" s="54">
        <f t="shared" si="40"/>
        <v>1458251</v>
      </c>
      <c r="F1876" s="80" t="s">
        <v>115</v>
      </c>
      <c r="G1876" s="14" t="s">
        <v>440</v>
      </c>
      <c r="H1876" s="14" t="s">
        <v>4001</v>
      </c>
    </row>
    <row r="1877" spans="1:9">
      <c r="A1877" s="138"/>
      <c r="B1877" s="49" t="s">
        <v>4361</v>
      </c>
      <c r="C1877" s="53">
        <v>1458250</v>
      </c>
      <c r="D1877" s="53"/>
      <c r="E1877" s="54">
        <f t="shared" si="40"/>
        <v>1</v>
      </c>
      <c r="F1877" s="80" t="s">
        <v>115</v>
      </c>
      <c r="G1877" s="14" t="s">
        <v>440</v>
      </c>
      <c r="H1877" s="14" t="s">
        <v>4002</v>
      </c>
    </row>
    <row r="1878" spans="1:9">
      <c r="A1878" s="138"/>
      <c r="B1878" s="49" t="s">
        <v>419</v>
      </c>
      <c r="C1878" s="53">
        <v>1</v>
      </c>
      <c r="D1878" s="53"/>
      <c r="E1878" s="8">
        <f t="shared" si="40"/>
        <v>0</v>
      </c>
      <c r="F1878" s="14" t="s">
        <v>252</v>
      </c>
      <c r="G1878" s="14" t="s">
        <v>665</v>
      </c>
      <c r="H1878" s="14"/>
    </row>
    <row r="1879" spans="1:9">
      <c r="A1879" s="3">
        <v>44509</v>
      </c>
      <c r="B1879" s="7" t="s">
        <v>2699</v>
      </c>
      <c r="C1879" s="8">
        <v>0</v>
      </c>
      <c r="D1879" s="8">
        <v>23000000</v>
      </c>
      <c r="E1879" s="8">
        <f t="shared" si="40"/>
        <v>23000000</v>
      </c>
      <c r="F1879" s="83" t="s">
        <v>107</v>
      </c>
      <c r="G1879" s="14" t="s">
        <v>666</v>
      </c>
      <c r="H1879" s="14" t="s">
        <v>3405</v>
      </c>
      <c r="I1879" t="s">
        <v>3902</v>
      </c>
    </row>
    <row r="1880" spans="1:9">
      <c r="B1880" s="7" t="s">
        <v>4453</v>
      </c>
      <c r="C1880" s="54">
        <v>10000000</v>
      </c>
      <c r="D1880" s="54">
        <v>0</v>
      </c>
      <c r="E1880" s="54">
        <f t="shared" si="40"/>
        <v>13000000</v>
      </c>
      <c r="F1880" s="80" t="s">
        <v>137</v>
      </c>
      <c r="G1880" s="14" t="s">
        <v>138</v>
      </c>
      <c r="H1880" s="14" t="s">
        <v>2998</v>
      </c>
    </row>
    <row r="1881" spans="1:9">
      <c r="B1881" s="7" t="s">
        <v>4454</v>
      </c>
      <c r="C1881" s="54">
        <v>5740000</v>
      </c>
      <c r="D1881" s="54">
        <v>0</v>
      </c>
      <c r="E1881" s="54">
        <f t="shared" si="40"/>
        <v>7260000</v>
      </c>
      <c r="F1881" s="80" t="s">
        <v>137</v>
      </c>
      <c r="G1881" s="14" t="s">
        <v>138</v>
      </c>
      <c r="H1881" s="14" t="s">
        <v>2998</v>
      </c>
    </row>
    <row r="1882" spans="1:9">
      <c r="B1882" s="7" t="s">
        <v>4065</v>
      </c>
      <c r="C1882" s="54">
        <v>7260000</v>
      </c>
      <c r="D1882" s="54">
        <v>0</v>
      </c>
      <c r="E1882" s="8">
        <f t="shared" si="40"/>
        <v>0</v>
      </c>
      <c r="F1882" s="80" t="s">
        <v>107</v>
      </c>
      <c r="G1882" s="14" t="s">
        <v>668</v>
      </c>
      <c r="H1882" s="14" t="s">
        <v>4455</v>
      </c>
    </row>
    <row r="1883" spans="1:9">
      <c r="A1883" s="3">
        <v>44509</v>
      </c>
      <c r="B1883" s="7" t="s">
        <v>2724</v>
      </c>
      <c r="C1883" s="8">
        <v>0</v>
      </c>
      <c r="D1883" s="8">
        <v>4000000</v>
      </c>
      <c r="E1883" s="8">
        <f t="shared" si="40"/>
        <v>4000000</v>
      </c>
      <c r="F1883" s="83" t="s">
        <v>107</v>
      </c>
      <c r="G1883" s="14" t="s">
        <v>666</v>
      </c>
      <c r="H1883" s="14" t="s">
        <v>3405</v>
      </c>
      <c r="I1883" t="s">
        <v>3903</v>
      </c>
    </row>
    <row r="1884" spans="1:9">
      <c r="B1884" s="7" t="s">
        <v>3904</v>
      </c>
      <c r="C1884" s="54">
        <v>4000000</v>
      </c>
      <c r="D1884" s="54">
        <v>0</v>
      </c>
      <c r="E1884" s="54">
        <f t="shared" si="40"/>
        <v>0</v>
      </c>
      <c r="F1884" s="80" t="s">
        <v>137</v>
      </c>
      <c r="G1884" s="14" t="s">
        <v>138</v>
      </c>
      <c r="H1884" s="14" t="s">
        <v>3021</v>
      </c>
    </row>
    <row r="1885" spans="1:9" s="14" customFormat="1">
      <c r="A1885" s="138">
        <v>44509</v>
      </c>
      <c r="B1885" s="14" t="s">
        <v>4205</v>
      </c>
      <c r="C1885" s="53">
        <v>0</v>
      </c>
      <c r="D1885" s="53">
        <v>136052371</v>
      </c>
      <c r="E1885" s="8">
        <f t="shared" si="40"/>
        <v>136052371</v>
      </c>
      <c r="F1885" s="14" t="s">
        <v>107</v>
      </c>
      <c r="G1885" s="14" t="s">
        <v>274</v>
      </c>
      <c r="H1885" s="14" t="s">
        <v>143</v>
      </c>
    </row>
    <row r="1886" spans="1:9" s="14" customFormat="1">
      <c r="A1886" s="138"/>
      <c r="B1886" s="14" t="s">
        <v>4206</v>
      </c>
      <c r="C1886" s="53">
        <v>3796000</v>
      </c>
      <c r="D1886" s="53"/>
      <c r="E1886" s="54">
        <f t="shared" si="40"/>
        <v>132256371</v>
      </c>
      <c r="F1886" s="14" t="s">
        <v>137</v>
      </c>
      <c r="G1886" s="14" t="s">
        <v>138</v>
      </c>
      <c r="H1886" s="14" t="s">
        <v>2976</v>
      </c>
    </row>
    <row r="1887" spans="1:9" s="14" customFormat="1">
      <c r="A1887" s="138"/>
      <c r="B1887" s="14" t="s">
        <v>4206</v>
      </c>
      <c r="C1887" s="53">
        <v>80117100</v>
      </c>
      <c r="D1887" s="53"/>
      <c r="E1887" s="8">
        <f t="shared" si="40"/>
        <v>52139271</v>
      </c>
      <c r="F1887" s="14" t="s">
        <v>137</v>
      </c>
      <c r="G1887" s="14" t="s">
        <v>138</v>
      </c>
      <c r="H1887" s="14" t="s">
        <v>2976</v>
      </c>
    </row>
    <row r="1888" spans="1:9" s="14" customFormat="1">
      <c r="A1888" s="138"/>
      <c r="B1888" s="14" t="s">
        <v>1052</v>
      </c>
      <c r="C1888" s="53">
        <v>5000</v>
      </c>
      <c r="D1888" s="53"/>
      <c r="E1888" s="8">
        <f t="shared" si="40"/>
        <v>52134271</v>
      </c>
      <c r="F1888" s="14" t="s">
        <v>113</v>
      </c>
      <c r="G1888" s="14" t="s">
        <v>114</v>
      </c>
      <c r="H1888" s="14" t="s">
        <v>64</v>
      </c>
    </row>
    <row r="1889" spans="1:9" s="14" customFormat="1">
      <c r="A1889" s="138"/>
      <c r="B1889" s="14" t="s">
        <v>902</v>
      </c>
      <c r="C1889" s="53">
        <v>1882136</v>
      </c>
      <c r="D1889" s="53"/>
      <c r="E1889" s="8">
        <f t="shared" si="40"/>
        <v>50252135</v>
      </c>
      <c r="F1889" s="14" t="s">
        <v>107</v>
      </c>
      <c r="G1889" s="14" t="s">
        <v>3102</v>
      </c>
    </row>
    <row r="1890" spans="1:9" s="14" customFormat="1">
      <c r="A1890" s="138"/>
      <c r="B1890" s="14" t="s">
        <v>3216</v>
      </c>
      <c r="C1890" s="53">
        <v>76000</v>
      </c>
      <c r="D1890" s="53"/>
      <c r="E1890" s="8">
        <f t="shared" si="40"/>
        <v>50176135</v>
      </c>
      <c r="F1890" s="14" t="s">
        <v>137</v>
      </c>
      <c r="G1890" s="14" t="s">
        <v>138</v>
      </c>
      <c r="H1890" s="168" t="s">
        <v>3030</v>
      </c>
    </row>
    <row r="1891" spans="1:9" s="14" customFormat="1">
      <c r="A1891" s="138"/>
      <c r="B1891" s="14" t="s">
        <v>902</v>
      </c>
      <c r="C1891" s="53">
        <v>0</v>
      </c>
      <c r="D1891" s="53">
        <v>1882136</v>
      </c>
      <c r="E1891" s="8">
        <f t="shared" si="40"/>
        <v>52058271</v>
      </c>
      <c r="F1891" s="14" t="s">
        <v>107</v>
      </c>
      <c r="G1891" s="14" t="s">
        <v>3102</v>
      </c>
    </row>
    <row r="1892" spans="1:9" s="14" customFormat="1">
      <c r="A1892" s="138"/>
      <c r="B1892" s="14" t="s">
        <v>4218</v>
      </c>
      <c r="C1892" s="53">
        <v>63000</v>
      </c>
      <c r="D1892" s="53"/>
      <c r="E1892" s="8">
        <f t="shared" si="40"/>
        <v>51995271</v>
      </c>
      <c r="F1892" s="14" t="s">
        <v>319</v>
      </c>
      <c r="G1892" s="14" t="s">
        <v>117</v>
      </c>
      <c r="H1892" s="14" t="s">
        <v>64</v>
      </c>
    </row>
    <row r="1893" spans="1:9" s="14" customFormat="1">
      <c r="A1893" s="138"/>
      <c r="B1893" s="14" t="s">
        <v>3218</v>
      </c>
      <c r="C1893" s="53">
        <v>2800875</v>
      </c>
      <c r="D1893" s="53"/>
      <c r="E1893" s="8">
        <f t="shared" si="40"/>
        <v>49194396</v>
      </c>
      <c r="F1893" s="14" t="s">
        <v>137</v>
      </c>
      <c r="G1893" s="14" t="s">
        <v>138</v>
      </c>
      <c r="H1893" s="168" t="s">
        <v>3030</v>
      </c>
    </row>
    <row r="1894" spans="1:9" s="14" customFormat="1">
      <c r="A1894" s="138"/>
      <c r="B1894" s="14" t="s">
        <v>4207</v>
      </c>
      <c r="C1894" s="53">
        <v>139800</v>
      </c>
      <c r="D1894" s="53"/>
      <c r="E1894" s="8">
        <f t="shared" si="40"/>
        <v>49054596</v>
      </c>
      <c r="F1894" s="14" t="s">
        <v>137</v>
      </c>
      <c r="G1894" s="14" t="s">
        <v>138</v>
      </c>
      <c r="H1894" s="14" t="s">
        <v>2976</v>
      </c>
    </row>
    <row r="1895" spans="1:9" s="14" customFormat="1">
      <c r="A1895" s="138"/>
      <c r="B1895" s="14" t="s">
        <v>2080</v>
      </c>
      <c r="C1895" s="53">
        <v>330000</v>
      </c>
      <c r="D1895" s="53"/>
      <c r="E1895" s="8">
        <f t="shared" si="40"/>
        <v>48724596</v>
      </c>
      <c r="F1895" s="14" t="s">
        <v>137</v>
      </c>
      <c r="G1895" s="14" t="s">
        <v>138</v>
      </c>
      <c r="H1895" s="14" t="s">
        <v>2976</v>
      </c>
    </row>
    <row r="1896" spans="1:9" s="14" customFormat="1">
      <c r="A1896" s="138"/>
      <c r="B1896" s="14" t="s">
        <v>4207</v>
      </c>
      <c r="C1896" s="53">
        <v>9226600</v>
      </c>
      <c r="D1896" s="53"/>
      <c r="E1896" s="8">
        <f t="shared" si="40"/>
        <v>39497996</v>
      </c>
      <c r="F1896" s="14" t="s">
        <v>137</v>
      </c>
      <c r="G1896" s="14" t="s">
        <v>138</v>
      </c>
      <c r="H1896" s="14" t="s">
        <v>2976</v>
      </c>
    </row>
    <row r="1897" spans="1:9" s="14" customFormat="1">
      <c r="A1897" s="138"/>
      <c r="B1897" s="14" t="s">
        <v>4208</v>
      </c>
      <c r="C1897" s="53">
        <v>990000</v>
      </c>
      <c r="D1897" s="53"/>
      <c r="E1897" s="8">
        <f t="shared" si="40"/>
        <v>38507996</v>
      </c>
      <c r="F1897" s="14" t="s">
        <v>137</v>
      </c>
      <c r="G1897" s="14" t="s">
        <v>138</v>
      </c>
      <c r="H1897" s="14" t="s">
        <v>2976</v>
      </c>
    </row>
    <row r="1898" spans="1:9" s="14" customFormat="1">
      <c r="A1898" s="138"/>
      <c r="B1898" s="14" t="s">
        <v>4208</v>
      </c>
      <c r="C1898" s="53">
        <v>174000</v>
      </c>
      <c r="D1898" s="53"/>
      <c r="E1898" s="8">
        <f t="shared" si="40"/>
        <v>38333996</v>
      </c>
      <c r="F1898" s="14" t="s">
        <v>137</v>
      </c>
      <c r="G1898" s="14" t="s">
        <v>138</v>
      </c>
      <c r="H1898" s="14" t="s">
        <v>2976</v>
      </c>
    </row>
    <row r="1899" spans="1:9" s="14" customFormat="1">
      <c r="A1899" s="138"/>
      <c r="B1899" s="14" t="s">
        <v>3294</v>
      </c>
      <c r="C1899" s="53">
        <v>360000</v>
      </c>
      <c r="D1899" s="53"/>
      <c r="E1899" s="54">
        <f t="shared" si="40"/>
        <v>37973996</v>
      </c>
      <c r="F1899" s="14" t="s">
        <v>115</v>
      </c>
      <c r="G1899" s="14" t="s">
        <v>120</v>
      </c>
      <c r="H1899" s="14" t="s">
        <v>127</v>
      </c>
      <c r="I1899" s="14" t="s">
        <v>444</v>
      </c>
    </row>
    <row r="1900" spans="1:9" s="14" customFormat="1">
      <c r="A1900" s="138"/>
      <c r="B1900" s="14" t="s">
        <v>4209</v>
      </c>
      <c r="C1900" s="53">
        <v>88000</v>
      </c>
      <c r="D1900" s="53"/>
      <c r="E1900" s="8">
        <f t="shared" si="40"/>
        <v>37885996</v>
      </c>
      <c r="F1900" s="14" t="s">
        <v>137</v>
      </c>
      <c r="G1900" s="14" t="s">
        <v>138</v>
      </c>
      <c r="H1900" s="14" t="s">
        <v>2976</v>
      </c>
    </row>
    <row r="1901" spans="1:9" s="14" customFormat="1">
      <c r="A1901" s="138"/>
      <c r="B1901" s="14" t="s">
        <v>4209</v>
      </c>
      <c r="C1901" s="53">
        <v>118000</v>
      </c>
      <c r="D1901" s="53"/>
      <c r="E1901" s="8">
        <f t="shared" si="40"/>
        <v>37767996</v>
      </c>
      <c r="F1901" s="14" t="s">
        <v>137</v>
      </c>
      <c r="G1901" s="14" t="s">
        <v>138</v>
      </c>
      <c r="H1901" s="14" t="s">
        <v>2976</v>
      </c>
    </row>
    <row r="1902" spans="1:9" s="14" customFormat="1">
      <c r="A1902" s="138"/>
      <c r="B1902" s="14" t="s">
        <v>4209</v>
      </c>
      <c r="C1902" s="53">
        <v>174000</v>
      </c>
      <c r="D1902" s="53"/>
      <c r="E1902" s="8">
        <f t="shared" si="40"/>
        <v>37593996</v>
      </c>
      <c r="F1902" s="14" t="s">
        <v>137</v>
      </c>
      <c r="G1902" s="14" t="s">
        <v>138</v>
      </c>
      <c r="H1902" s="14" t="s">
        <v>2976</v>
      </c>
    </row>
    <row r="1903" spans="1:9" s="14" customFormat="1">
      <c r="A1903" s="138"/>
      <c r="B1903" s="14" t="s">
        <v>902</v>
      </c>
      <c r="C1903" s="53">
        <v>21340000</v>
      </c>
      <c r="D1903" s="53"/>
      <c r="E1903" s="8">
        <f t="shared" si="40"/>
        <v>16253996</v>
      </c>
      <c r="F1903" s="14" t="s">
        <v>137</v>
      </c>
      <c r="G1903" s="14" t="s">
        <v>138</v>
      </c>
      <c r="H1903" s="14" t="s">
        <v>2976</v>
      </c>
    </row>
    <row r="1904" spans="1:9" s="14" customFormat="1">
      <c r="A1904" s="138"/>
      <c r="B1904" s="14" t="s">
        <v>902</v>
      </c>
      <c r="C1904" s="53">
        <v>2940000</v>
      </c>
      <c r="D1904" s="53"/>
      <c r="E1904" s="8">
        <f t="shared" si="40"/>
        <v>13313996</v>
      </c>
      <c r="F1904" s="14" t="s">
        <v>137</v>
      </c>
      <c r="G1904" s="14" t="s">
        <v>138</v>
      </c>
      <c r="H1904" s="14" t="s">
        <v>2976</v>
      </c>
    </row>
    <row r="1905" spans="1:8" s="14" customFormat="1">
      <c r="A1905" s="138"/>
      <c r="B1905" s="14" t="s">
        <v>897</v>
      </c>
      <c r="C1905" s="53">
        <v>244650</v>
      </c>
      <c r="D1905" s="53"/>
      <c r="E1905" s="8">
        <f t="shared" si="40"/>
        <v>13069346</v>
      </c>
      <c r="F1905" s="14" t="s">
        <v>319</v>
      </c>
      <c r="G1905" s="14" t="s">
        <v>117</v>
      </c>
      <c r="H1905" s="14" t="s">
        <v>64</v>
      </c>
    </row>
    <row r="1906" spans="1:8" s="14" customFormat="1">
      <c r="A1906" s="138"/>
      <c r="B1906" s="14" t="s">
        <v>2080</v>
      </c>
      <c r="C1906" s="53">
        <v>1000000</v>
      </c>
      <c r="D1906" s="53"/>
      <c r="E1906" s="8">
        <f t="shared" si="40"/>
        <v>12069346</v>
      </c>
      <c r="F1906" s="14" t="s">
        <v>137</v>
      </c>
      <c r="G1906" s="14" t="s">
        <v>138</v>
      </c>
      <c r="H1906" s="168" t="s">
        <v>4862</v>
      </c>
    </row>
    <row r="1907" spans="1:8" s="14" customFormat="1">
      <c r="A1907" s="138"/>
      <c r="B1907" s="14" t="s">
        <v>2080</v>
      </c>
      <c r="C1907" s="53">
        <v>980000</v>
      </c>
      <c r="D1907" s="53"/>
      <c r="E1907" s="8">
        <f t="shared" si="40"/>
        <v>11089346</v>
      </c>
      <c r="F1907" s="14" t="s">
        <v>137</v>
      </c>
      <c r="G1907" s="14" t="s">
        <v>138</v>
      </c>
      <c r="H1907" s="168" t="s">
        <v>4862</v>
      </c>
    </row>
    <row r="1908" spans="1:8" s="14" customFormat="1">
      <c r="A1908" s="138"/>
      <c r="B1908" s="14" t="s">
        <v>4207</v>
      </c>
      <c r="C1908" s="53">
        <v>538900</v>
      </c>
      <c r="D1908" s="53"/>
      <c r="E1908" s="8">
        <f t="shared" si="40"/>
        <v>10550446</v>
      </c>
      <c r="F1908" s="14" t="s">
        <v>137</v>
      </c>
      <c r="G1908" s="14" t="s">
        <v>138</v>
      </c>
      <c r="H1908" s="14" t="s">
        <v>2976</v>
      </c>
    </row>
    <row r="1909" spans="1:8" s="14" customFormat="1">
      <c r="A1909" s="138"/>
      <c r="B1909" s="14" t="s">
        <v>897</v>
      </c>
      <c r="C1909" s="53">
        <v>228429</v>
      </c>
      <c r="D1909" s="53"/>
      <c r="E1909" s="8">
        <f t="shared" si="40"/>
        <v>10322017</v>
      </c>
      <c r="F1909" s="14" t="s">
        <v>319</v>
      </c>
      <c r="G1909" s="14" t="s">
        <v>117</v>
      </c>
      <c r="H1909" s="14" t="s">
        <v>64</v>
      </c>
    </row>
    <row r="1910" spans="1:8" s="14" customFormat="1">
      <c r="A1910" s="138"/>
      <c r="B1910" s="14" t="s">
        <v>4219</v>
      </c>
      <c r="C1910" s="53">
        <v>4815999</v>
      </c>
      <c r="D1910" s="53"/>
      <c r="E1910" s="8">
        <f t="shared" si="40"/>
        <v>5506018</v>
      </c>
      <c r="F1910" s="14" t="s">
        <v>319</v>
      </c>
      <c r="G1910" s="14" t="s">
        <v>647</v>
      </c>
      <c r="H1910" s="14" t="s">
        <v>64</v>
      </c>
    </row>
    <row r="1911" spans="1:8" s="14" customFormat="1">
      <c r="A1911" s="138"/>
      <c r="B1911" s="14" t="s">
        <v>4210</v>
      </c>
      <c r="C1911" s="53">
        <v>100000</v>
      </c>
      <c r="D1911" s="53"/>
      <c r="E1911" s="8">
        <f t="shared" si="40"/>
        <v>5406018</v>
      </c>
      <c r="F1911" s="14" t="s">
        <v>319</v>
      </c>
      <c r="G1911" s="14" t="s">
        <v>117</v>
      </c>
      <c r="H1911" s="14" t="s">
        <v>64</v>
      </c>
    </row>
    <row r="1912" spans="1:8" s="14" customFormat="1">
      <c r="A1912" s="138"/>
      <c r="B1912" s="14" t="s">
        <v>897</v>
      </c>
      <c r="C1912" s="53">
        <v>252297</v>
      </c>
      <c r="D1912" s="53"/>
      <c r="E1912" s="8">
        <f t="shared" si="40"/>
        <v>5153721</v>
      </c>
      <c r="F1912" s="14" t="s">
        <v>319</v>
      </c>
      <c r="G1912" s="14" t="s">
        <v>117</v>
      </c>
      <c r="H1912" s="14" t="s">
        <v>64</v>
      </c>
    </row>
    <row r="1913" spans="1:8" s="14" customFormat="1">
      <c r="A1913" s="138"/>
      <c r="B1913" s="14" t="s">
        <v>4211</v>
      </c>
      <c r="C1913" s="53">
        <v>1749750</v>
      </c>
      <c r="D1913" s="53"/>
      <c r="E1913" s="54">
        <f t="shared" si="40"/>
        <v>3403971</v>
      </c>
      <c r="F1913" s="14" t="s">
        <v>115</v>
      </c>
      <c r="G1913" s="14" t="s">
        <v>440</v>
      </c>
      <c r="H1913" s="168" t="s">
        <v>4490</v>
      </c>
    </row>
    <row r="1914" spans="1:8" s="14" customFormat="1">
      <c r="A1914" s="138"/>
      <c r="B1914" s="14" t="s">
        <v>4220</v>
      </c>
      <c r="C1914" s="53">
        <v>125400</v>
      </c>
      <c r="D1914" s="53"/>
      <c r="E1914" s="8">
        <f t="shared" si="40"/>
        <v>3278571</v>
      </c>
      <c r="F1914" s="14" t="s">
        <v>248</v>
      </c>
      <c r="G1914" s="14" t="s">
        <v>407</v>
      </c>
      <c r="H1914" s="14" t="s">
        <v>64</v>
      </c>
    </row>
    <row r="1915" spans="1:8" s="14" customFormat="1">
      <c r="A1915" s="138"/>
      <c r="B1915" s="14" t="s">
        <v>4212</v>
      </c>
      <c r="C1915" s="53">
        <v>100000</v>
      </c>
      <c r="D1915" s="53"/>
      <c r="E1915" s="8">
        <f t="shared" si="40"/>
        <v>3178571</v>
      </c>
      <c r="F1915" s="14" t="s">
        <v>113</v>
      </c>
      <c r="G1915" s="14" t="s">
        <v>478</v>
      </c>
      <c r="H1915" s="14" t="s">
        <v>64</v>
      </c>
    </row>
    <row r="1916" spans="1:8" s="14" customFormat="1">
      <c r="A1916" s="138"/>
      <c r="B1916" s="14" t="s">
        <v>3210</v>
      </c>
      <c r="C1916" s="53">
        <v>661692</v>
      </c>
      <c r="D1916" s="53"/>
      <c r="E1916" s="8">
        <f t="shared" si="40"/>
        <v>2516879</v>
      </c>
      <c r="F1916" s="14" t="s">
        <v>113</v>
      </c>
      <c r="G1916" s="14" t="s">
        <v>478</v>
      </c>
      <c r="H1916" s="14" t="s">
        <v>64</v>
      </c>
    </row>
    <row r="1917" spans="1:8" s="14" customFormat="1">
      <c r="A1917" s="138"/>
      <c r="B1917" s="14" t="s">
        <v>4213</v>
      </c>
      <c r="C1917" s="53">
        <v>10000</v>
      </c>
      <c r="D1917" s="53"/>
      <c r="E1917" s="8">
        <f t="shared" si="40"/>
        <v>2506879</v>
      </c>
      <c r="F1917" s="14" t="s">
        <v>113</v>
      </c>
      <c r="G1917" s="14" t="s">
        <v>114</v>
      </c>
      <c r="H1917" s="14" t="s">
        <v>64</v>
      </c>
    </row>
    <row r="1918" spans="1:8" s="14" customFormat="1">
      <c r="A1918" s="138"/>
      <c r="B1918" s="14" t="s">
        <v>4221</v>
      </c>
      <c r="C1918" s="53">
        <v>435160</v>
      </c>
      <c r="D1918" s="53"/>
      <c r="E1918" s="8">
        <f t="shared" si="40"/>
        <v>2071719</v>
      </c>
      <c r="F1918" s="14" t="s">
        <v>248</v>
      </c>
      <c r="G1918" s="14" t="s">
        <v>407</v>
      </c>
      <c r="H1918" s="14" t="s">
        <v>64</v>
      </c>
    </row>
    <row r="1919" spans="1:8" s="14" customFormat="1">
      <c r="A1919" s="138"/>
      <c r="B1919" s="14" t="s">
        <v>897</v>
      </c>
      <c r="C1919" s="53">
        <v>552520</v>
      </c>
      <c r="D1919" s="53"/>
      <c r="E1919" s="8">
        <f t="shared" si="40"/>
        <v>1519199</v>
      </c>
      <c r="F1919" s="14" t="s">
        <v>319</v>
      </c>
      <c r="G1919" s="14" t="s">
        <v>117</v>
      </c>
      <c r="H1919" s="14" t="s">
        <v>64</v>
      </c>
    </row>
    <row r="1920" spans="1:8" s="14" customFormat="1">
      <c r="A1920" s="138"/>
      <c r="B1920" s="14" t="s">
        <v>897</v>
      </c>
      <c r="C1920" s="53">
        <v>579360</v>
      </c>
      <c r="D1920" s="53"/>
      <c r="E1920" s="8">
        <f t="shared" si="40"/>
        <v>939839</v>
      </c>
      <c r="F1920" s="14" t="s">
        <v>319</v>
      </c>
      <c r="G1920" s="14" t="s">
        <v>117</v>
      </c>
      <c r="H1920" s="14" t="s">
        <v>64</v>
      </c>
    </row>
    <row r="1921" spans="1:9" s="14" customFormat="1">
      <c r="A1921" s="138"/>
      <c r="B1921" s="14" t="s">
        <v>897</v>
      </c>
      <c r="C1921" s="53">
        <v>646160</v>
      </c>
      <c r="D1921" s="53"/>
      <c r="E1921" s="8">
        <f t="shared" si="40"/>
        <v>293679</v>
      </c>
      <c r="F1921" s="14" t="s">
        <v>319</v>
      </c>
      <c r="G1921" s="14" t="s">
        <v>117</v>
      </c>
      <c r="H1921" s="14" t="s">
        <v>64</v>
      </c>
    </row>
    <row r="1922" spans="1:9" s="14" customFormat="1">
      <c r="A1922" s="138"/>
      <c r="B1922" s="14" t="s">
        <v>4214</v>
      </c>
      <c r="C1922" s="53">
        <v>142400</v>
      </c>
      <c r="D1922" s="53"/>
      <c r="E1922" s="8">
        <f t="shared" si="40"/>
        <v>151279</v>
      </c>
      <c r="F1922" s="14" t="s">
        <v>137</v>
      </c>
      <c r="G1922" s="14" t="s">
        <v>138</v>
      </c>
      <c r="H1922" s="14" t="s">
        <v>2279</v>
      </c>
    </row>
    <row r="1923" spans="1:9" s="14" customFormat="1">
      <c r="A1923" s="138"/>
      <c r="B1923" s="14" t="s">
        <v>3210</v>
      </c>
      <c r="C1923" s="53">
        <v>151279</v>
      </c>
      <c r="D1923" s="53"/>
      <c r="E1923" s="8">
        <f t="shared" ref="E1923:E1932" si="41">E1922-C1923+D1923</f>
        <v>0</v>
      </c>
      <c r="F1923" s="14" t="s">
        <v>113</v>
      </c>
      <c r="G1923" s="14" t="s">
        <v>478</v>
      </c>
      <c r="H1923" s="14" t="s">
        <v>64</v>
      </c>
    </row>
    <row r="1924" spans="1:9" s="14" customFormat="1">
      <c r="A1924" s="3">
        <v>44509</v>
      </c>
      <c r="B1924" t="s">
        <v>2880</v>
      </c>
      <c r="C1924" s="8">
        <v>0</v>
      </c>
      <c r="D1924" s="8">
        <v>0.45</v>
      </c>
      <c r="E1924" s="8">
        <f t="shared" si="41"/>
        <v>0.45</v>
      </c>
      <c r="F1924" s="10" t="s">
        <v>581</v>
      </c>
      <c r="G1924" s="10" t="s">
        <v>582</v>
      </c>
      <c r="H1924" s="14" t="s">
        <v>2994</v>
      </c>
      <c r="I1924">
        <v>97</v>
      </c>
    </row>
    <row r="1925" spans="1:9" s="14" customFormat="1">
      <c r="A1925" s="138"/>
      <c r="B1925" t="s">
        <v>2880</v>
      </c>
      <c r="C1925" s="53">
        <v>0.45</v>
      </c>
      <c r="D1925" s="53"/>
      <c r="E1925" s="8">
        <f t="shared" si="41"/>
        <v>0</v>
      </c>
      <c r="F1925" s="14" t="s">
        <v>252</v>
      </c>
      <c r="G1925" s="14" t="s">
        <v>665</v>
      </c>
    </row>
    <row r="1926" spans="1:9" s="14" customFormat="1">
      <c r="A1926" s="3">
        <v>44509</v>
      </c>
      <c r="B1926" t="s">
        <v>3067</v>
      </c>
      <c r="C1926" s="54">
        <v>0</v>
      </c>
      <c r="D1926" s="54">
        <v>17582410.824000001</v>
      </c>
      <c r="E1926" s="8">
        <f t="shared" si="41"/>
        <v>17582410.824000001</v>
      </c>
      <c r="F1926" t="s">
        <v>581</v>
      </c>
      <c r="G1926" t="s">
        <v>582</v>
      </c>
      <c r="H1926" s="14" t="s">
        <v>3036</v>
      </c>
      <c r="I1926">
        <v>70</v>
      </c>
    </row>
    <row r="1927" spans="1:9" s="14" customFormat="1">
      <c r="A1927" s="138"/>
      <c r="B1927" t="s">
        <v>3067</v>
      </c>
      <c r="C1927" s="53">
        <v>14652009.02</v>
      </c>
      <c r="D1927" s="53"/>
      <c r="E1927" s="8">
        <f t="shared" si="41"/>
        <v>2930401.8040000014</v>
      </c>
      <c r="F1927" s="14" t="s">
        <v>568</v>
      </c>
      <c r="G1927" s="14" t="s">
        <v>4395</v>
      </c>
      <c r="H1927" s="14" t="s">
        <v>3036</v>
      </c>
      <c r="I1927">
        <v>70</v>
      </c>
    </row>
    <row r="1928" spans="1:9" s="14" customFormat="1">
      <c r="A1928" s="138"/>
      <c r="B1928" t="s">
        <v>3067</v>
      </c>
      <c r="C1928" s="53">
        <v>2930401.8040000014</v>
      </c>
      <c r="D1928" s="53"/>
      <c r="E1928" s="8">
        <f t="shared" si="41"/>
        <v>0</v>
      </c>
      <c r="F1928" t="s">
        <v>714</v>
      </c>
      <c r="G1928" t="s">
        <v>715</v>
      </c>
      <c r="H1928" s="14" t="s">
        <v>3036</v>
      </c>
      <c r="I1928">
        <v>70</v>
      </c>
    </row>
    <row r="1929" spans="1:9">
      <c r="A1929" s="3">
        <v>44512</v>
      </c>
      <c r="B1929" s="7" t="s">
        <v>2728</v>
      </c>
      <c r="C1929" s="8">
        <v>0</v>
      </c>
      <c r="D1929" s="8">
        <v>1000000</v>
      </c>
      <c r="E1929" s="8">
        <f t="shared" si="41"/>
        <v>1000000</v>
      </c>
      <c r="F1929" s="83" t="s">
        <v>107</v>
      </c>
      <c r="G1929" s="14" t="s">
        <v>666</v>
      </c>
      <c r="H1929" s="14" t="s">
        <v>3405</v>
      </c>
      <c r="I1929" t="s">
        <v>3905</v>
      </c>
    </row>
    <row r="1930" spans="1:9">
      <c r="B1930" s="7" t="s">
        <v>3906</v>
      </c>
      <c r="C1930" s="54">
        <v>50000</v>
      </c>
      <c r="D1930" s="54"/>
      <c r="E1930" s="54">
        <f t="shared" si="41"/>
        <v>950000</v>
      </c>
      <c r="F1930" s="80" t="s">
        <v>137</v>
      </c>
      <c r="G1930" s="14" t="s">
        <v>138</v>
      </c>
      <c r="H1930" s="168" t="s">
        <v>3001</v>
      </c>
    </row>
    <row r="1931" spans="1:9">
      <c r="B1931" s="7" t="s">
        <v>3907</v>
      </c>
      <c r="C1931" s="54">
        <v>100000</v>
      </c>
      <c r="D1931" s="54"/>
      <c r="E1931" s="54">
        <f t="shared" si="41"/>
        <v>850000</v>
      </c>
      <c r="F1931" s="80" t="s">
        <v>137</v>
      </c>
      <c r="G1931" s="14" t="s">
        <v>138</v>
      </c>
      <c r="H1931" s="168" t="s">
        <v>3001</v>
      </c>
    </row>
    <row r="1932" spans="1:9">
      <c r="B1932" s="7" t="s">
        <v>3908</v>
      </c>
      <c r="C1932" s="54">
        <v>76000</v>
      </c>
      <c r="D1932" s="54"/>
      <c r="E1932" s="54">
        <f t="shared" si="41"/>
        <v>774000</v>
      </c>
      <c r="F1932" s="80" t="s">
        <v>137</v>
      </c>
      <c r="G1932" s="14" t="s">
        <v>138</v>
      </c>
      <c r="H1932" s="14" t="s">
        <v>2976</v>
      </c>
    </row>
    <row r="1933" spans="1:9">
      <c r="B1933" s="7" t="s">
        <v>3909</v>
      </c>
      <c r="C1933" s="54">
        <v>715000</v>
      </c>
      <c r="D1933" s="54"/>
      <c r="E1933" s="54">
        <f t="shared" ref="E1933:E2045" si="42">E1932-C1933+D1933</f>
        <v>59000</v>
      </c>
      <c r="F1933" s="80" t="s">
        <v>137</v>
      </c>
      <c r="G1933" s="14" t="s">
        <v>138</v>
      </c>
      <c r="H1933" s="14" t="s">
        <v>2976</v>
      </c>
    </row>
    <row r="1934" spans="1:9">
      <c r="B1934" s="7" t="s">
        <v>3910</v>
      </c>
      <c r="C1934" s="54">
        <v>13500</v>
      </c>
      <c r="D1934" s="54"/>
      <c r="E1934" s="54">
        <f t="shared" si="42"/>
        <v>45500</v>
      </c>
      <c r="F1934" s="80" t="s">
        <v>137</v>
      </c>
      <c r="G1934" s="14" t="s">
        <v>138</v>
      </c>
      <c r="H1934" s="14" t="s">
        <v>2976</v>
      </c>
    </row>
    <row r="1935" spans="1:9">
      <c r="B1935" s="7" t="s">
        <v>2766</v>
      </c>
      <c r="C1935" s="8">
        <v>45500</v>
      </c>
      <c r="D1935" s="8">
        <v>0</v>
      </c>
      <c r="E1935" s="8">
        <f t="shared" si="42"/>
        <v>0</v>
      </c>
      <c r="F1935" s="83" t="s">
        <v>107</v>
      </c>
      <c r="G1935" s="14" t="s">
        <v>668</v>
      </c>
      <c r="H1935" s="14" t="s">
        <v>3405</v>
      </c>
      <c r="I1935" t="s">
        <v>3905</v>
      </c>
    </row>
    <row r="1936" spans="1:9">
      <c r="A1936" s="3">
        <v>44512</v>
      </c>
      <c r="B1936" t="s">
        <v>1790</v>
      </c>
      <c r="C1936" s="8">
        <v>0</v>
      </c>
      <c r="D1936" s="8">
        <v>32076000</v>
      </c>
      <c r="E1936" s="8">
        <f t="shared" si="42"/>
        <v>32076000</v>
      </c>
      <c r="F1936" t="s">
        <v>581</v>
      </c>
      <c r="G1936" t="s">
        <v>582</v>
      </c>
      <c r="H1936" s="14" t="s">
        <v>2974</v>
      </c>
      <c r="I1936">
        <v>65</v>
      </c>
    </row>
    <row r="1937" spans="1:9">
      <c r="B1937" t="s">
        <v>1790</v>
      </c>
      <c r="C1937" s="8">
        <v>26730000</v>
      </c>
      <c r="E1937" s="8">
        <f t="shared" si="42"/>
        <v>5346000</v>
      </c>
      <c r="F1937" s="14" t="s">
        <v>568</v>
      </c>
      <c r="G1937" s="14" t="s">
        <v>4395</v>
      </c>
      <c r="H1937" s="14" t="s">
        <v>2974</v>
      </c>
      <c r="I1937">
        <v>65</v>
      </c>
    </row>
    <row r="1938" spans="1:9">
      <c r="B1938" t="s">
        <v>1790</v>
      </c>
      <c r="C1938" s="8">
        <v>5346000</v>
      </c>
      <c r="E1938" s="8">
        <f t="shared" si="42"/>
        <v>0</v>
      </c>
      <c r="F1938" t="s">
        <v>714</v>
      </c>
      <c r="G1938" t="s">
        <v>715</v>
      </c>
      <c r="H1938" s="14" t="s">
        <v>2974</v>
      </c>
      <c r="I1938">
        <v>65</v>
      </c>
    </row>
    <row r="1939" spans="1:9">
      <c r="A1939" s="3">
        <v>44515</v>
      </c>
      <c r="B1939" s="7" t="s">
        <v>2730</v>
      </c>
      <c r="C1939" s="8">
        <v>0</v>
      </c>
      <c r="D1939" s="8">
        <v>15000000</v>
      </c>
      <c r="E1939" s="8">
        <f t="shared" si="42"/>
        <v>15000000</v>
      </c>
      <c r="F1939" s="83" t="s">
        <v>107</v>
      </c>
      <c r="G1939" s="14" t="s">
        <v>666</v>
      </c>
      <c r="H1939" t="s">
        <v>3915</v>
      </c>
    </row>
    <row r="1940" spans="1:9">
      <c r="B1940" s="7" t="s">
        <v>4597</v>
      </c>
      <c r="C1940" s="54">
        <v>1563500</v>
      </c>
      <c r="D1940" s="54"/>
      <c r="E1940" s="54">
        <f t="shared" si="42"/>
        <v>13436500</v>
      </c>
      <c r="F1940" s="80" t="s">
        <v>137</v>
      </c>
      <c r="G1940" s="14" t="s">
        <v>138</v>
      </c>
      <c r="H1940" s="168" t="s">
        <v>2976</v>
      </c>
    </row>
    <row r="1941" spans="1:9">
      <c r="B1941" s="7" t="s">
        <v>4598</v>
      </c>
      <c r="C1941" s="54">
        <v>7665400</v>
      </c>
      <c r="D1941" s="54"/>
      <c r="E1941" s="54">
        <f t="shared" si="42"/>
        <v>5771100</v>
      </c>
      <c r="F1941" s="80" t="s">
        <v>137</v>
      </c>
      <c r="G1941" s="14" t="s">
        <v>138</v>
      </c>
      <c r="H1941" s="168" t="s">
        <v>2991</v>
      </c>
    </row>
    <row r="1942" spans="1:9">
      <c r="B1942" s="7" t="s">
        <v>4599</v>
      </c>
      <c r="C1942" s="54">
        <v>245000</v>
      </c>
      <c r="D1942" s="54"/>
      <c r="E1942" s="54">
        <f t="shared" si="42"/>
        <v>5526100</v>
      </c>
      <c r="F1942" s="80" t="s">
        <v>137</v>
      </c>
      <c r="G1942" s="14" t="s">
        <v>138</v>
      </c>
      <c r="H1942" s="168" t="s">
        <v>2976</v>
      </c>
    </row>
    <row r="1943" spans="1:9">
      <c r="B1943" s="7" t="s">
        <v>4600</v>
      </c>
      <c r="C1943" s="54">
        <v>500000</v>
      </c>
      <c r="D1943" s="54"/>
      <c r="E1943" s="54">
        <f t="shared" si="42"/>
        <v>5026100</v>
      </c>
      <c r="F1943" s="80" t="s">
        <v>137</v>
      </c>
      <c r="G1943" s="14" t="s">
        <v>138</v>
      </c>
      <c r="H1943" s="168" t="s">
        <v>2976</v>
      </c>
    </row>
    <row r="1944" spans="1:9">
      <c r="B1944" s="7" t="s">
        <v>4601</v>
      </c>
      <c r="C1944" s="54">
        <v>4000</v>
      </c>
      <c r="D1944" s="54"/>
      <c r="E1944" s="54">
        <f t="shared" si="42"/>
        <v>5022100</v>
      </c>
      <c r="F1944" s="80" t="s">
        <v>137</v>
      </c>
      <c r="G1944" s="14" t="s">
        <v>138</v>
      </c>
      <c r="H1944" s="168" t="s">
        <v>2976</v>
      </c>
    </row>
    <row r="1945" spans="1:9">
      <c r="B1945" s="7" t="s">
        <v>4602</v>
      </c>
      <c r="C1945" s="54">
        <v>6000</v>
      </c>
      <c r="D1945" s="54"/>
      <c r="E1945" s="54">
        <f t="shared" si="42"/>
        <v>5016100</v>
      </c>
      <c r="F1945" s="80" t="s">
        <v>137</v>
      </c>
      <c r="G1945" s="14" t="s">
        <v>138</v>
      </c>
      <c r="H1945" s="168" t="s">
        <v>2976</v>
      </c>
    </row>
    <row r="1946" spans="1:9">
      <c r="B1946" s="7" t="s">
        <v>4603</v>
      </c>
      <c r="C1946" s="54">
        <v>2265000</v>
      </c>
      <c r="D1946" s="54"/>
      <c r="E1946" s="54">
        <f t="shared" si="42"/>
        <v>2751100</v>
      </c>
      <c r="F1946" s="80" t="s">
        <v>137</v>
      </c>
      <c r="G1946" s="14" t="s">
        <v>138</v>
      </c>
      <c r="H1946" s="168" t="s">
        <v>4143</v>
      </c>
    </row>
    <row r="1947" spans="1:9">
      <c r="B1947" s="7" t="s">
        <v>4604</v>
      </c>
      <c r="C1947" s="54">
        <v>501000</v>
      </c>
      <c r="D1947" s="54"/>
      <c r="E1947" s="54">
        <f t="shared" si="42"/>
        <v>2250100</v>
      </c>
      <c r="F1947" s="80" t="s">
        <v>137</v>
      </c>
      <c r="G1947" s="14" t="s">
        <v>138</v>
      </c>
      <c r="H1947" s="168" t="s">
        <v>2991</v>
      </c>
    </row>
    <row r="1948" spans="1:9" s="14" customFormat="1">
      <c r="A1948" s="138"/>
      <c r="B1948" s="49" t="s">
        <v>4605</v>
      </c>
      <c r="C1948" s="53">
        <v>22000</v>
      </c>
      <c r="D1948" s="53"/>
      <c r="E1948" s="53">
        <f t="shared" si="42"/>
        <v>2228100</v>
      </c>
      <c r="F1948" s="80" t="s">
        <v>115</v>
      </c>
      <c r="G1948" s="14" t="s">
        <v>120</v>
      </c>
      <c r="H1948" s="14" t="s">
        <v>127</v>
      </c>
      <c r="I1948" s="14" t="s">
        <v>444</v>
      </c>
    </row>
    <row r="1949" spans="1:9">
      <c r="B1949" s="7" t="s">
        <v>4606</v>
      </c>
      <c r="C1949" s="54">
        <v>98033</v>
      </c>
      <c r="D1949" s="54"/>
      <c r="E1949" s="54">
        <f t="shared" si="42"/>
        <v>2130067</v>
      </c>
      <c r="F1949" s="80" t="s">
        <v>137</v>
      </c>
      <c r="G1949" s="14" t="s">
        <v>138</v>
      </c>
      <c r="H1949" s="168" t="s">
        <v>3030</v>
      </c>
    </row>
    <row r="1950" spans="1:9">
      <c r="B1950" s="7" t="s">
        <v>4607</v>
      </c>
      <c r="C1950" s="54">
        <v>5000</v>
      </c>
      <c r="D1950" s="54"/>
      <c r="E1950" s="54">
        <f t="shared" si="42"/>
        <v>2125067</v>
      </c>
      <c r="F1950" s="80" t="s">
        <v>137</v>
      </c>
      <c r="G1950" s="14" t="s">
        <v>138</v>
      </c>
      <c r="H1950" s="168" t="s">
        <v>4137</v>
      </c>
    </row>
    <row r="1951" spans="1:9">
      <c r="B1951" s="7" t="s">
        <v>4608</v>
      </c>
      <c r="C1951" s="54">
        <v>501000</v>
      </c>
      <c r="D1951" s="54"/>
      <c r="E1951" s="54">
        <f t="shared" si="42"/>
        <v>1624067</v>
      </c>
      <c r="F1951" s="80" t="s">
        <v>137</v>
      </c>
      <c r="G1951" s="14" t="s">
        <v>138</v>
      </c>
      <c r="H1951" s="168" t="s">
        <v>2991</v>
      </c>
    </row>
    <row r="1952" spans="1:9">
      <c r="B1952" s="7" t="s">
        <v>4609</v>
      </c>
      <c r="C1952" s="54">
        <v>501000</v>
      </c>
      <c r="D1952" s="54"/>
      <c r="E1952" s="54">
        <f t="shared" si="42"/>
        <v>1123067</v>
      </c>
      <c r="F1952" s="80" t="s">
        <v>137</v>
      </c>
      <c r="G1952" s="14" t="s">
        <v>138</v>
      </c>
      <c r="H1952" s="168" t="s">
        <v>2991</v>
      </c>
    </row>
    <row r="1953" spans="1:9">
      <c r="B1953" s="7" t="s">
        <v>4610</v>
      </c>
      <c r="C1953" s="54">
        <v>500000</v>
      </c>
      <c r="D1953" s="54"/>
      <c r="E1953" s="54">
        <f t="shared" si="42"/>
        <v>623067</v>
      </c>
      <c r="F1953" s="80" t="s">
        <v>137</v>
      </c>
      <c r="G1953" s="14" t="s">
        <v>138</v>
      </c>
      <c r="H1953" s="168" t="s">
        <v>3030</v>
      </c>
    </row>
    <row r="1954" spans="1:9">
      <c r="B1954" s="7" t="s">
        <v>4611</v>
      </c>
      <c r="C1954" s="54">
        <v>16000</v>
      </c>
      <c r="D1954" s="54"/>
      <c r="E1954" s="54">
        <f t="shared" si="42"/>
        <v>607067</v>
      </c>
      <c r="F1954" s="80" t="s">
        <v>137</v>
      </c>
      <c r="G1954" s="14" t="s">
        <v>138</v>
      </c>
      <c r="H1954" s="168" t="s">
        <v>4137</v>
      </c>
    </row>
    <row r="1955" spans="1:9">
      <c r="B1955" s="7" t="s">
        <v>4612</v>
      </c>
      <c r="C1955" s="54">
        <v>5000</v>
      </c>
      <c r="D1955" s="54"/>
      <c r="E1955" s="54">
        <f t="shared" si="42"/>
        <v>602067</v>
      </c>
      <c r="F1955" s="80" t="s">
        <v>137</v>
      </c>
      <c r="G1955" s="14" t="s">
        <v>138</v>
      </c>
      <c r="H1955" s="168" t="s">
        <v>4137</v>
      </c>
    </row>
    <row r="1956" spans="1:9">
      <c r="B1956" s="7" t="s">
        <v>4613</v>
      </c>
      <c r="C1956" s="54">
        <v>114000</v>
      </c>
      <c r="D1956" s="54"/>
      <c r="E1956" s="54">
        <f t="shared" si="42"/>
        <v>488067</v>
      </c>
      <c r="F1956" s="80" t="s">
        <v>137</v>
      </c>
      <c r="G1956" s="14" t="s">
        <v>138</v>
      </c>
      <c r="H1956" s="168" t="s">
        <v>4137</v>
      </c>
    </row>
    <row r="1957" spans="1:9">
      <c r="B1957" s="7" t="s">
        <v>4614</v>
      </c>
      <c r="C1957" s="54">
        <v>20000</v>
      </c>
      <c r="D1957" s="54"/>
      <c r="E1957" s="54">
        <f t="shared" si="42"/>
        <v>468067</v>
      </c>
      <c r="F1957" s="80" t="s">
        <v>137</v>
      </c>
      <c r="G1957" s="14" t="s">
        <v>138</v>
      </c>
      <c r="H1957" s="168" t="s">
        <v>4137</v>
      </c>
    </row>
    <row r="1958" spans="1:9">
      <c r="B1958" s="7" t="s">
        <v>4615</v>
      </c>
      <c r="C1958" s="54">
        <v>2000</v>
      </c>
      <c r="D1958" s="54"/>
      <c r="E1958" s="54">
        <f t="shared" si="42"/>
        <v>466067</v>
      </c>
      <c r="F1958" s="80" t="s">
        <v>137</v>
      </c>
      <c r="G1958" s="14" t="s">
        <v>138</v>
      </c>
      <c r="H1958" s="168" t="s">
        <v>3030</v>
      </c>
    </row>
    <row r="1959" spans="1:9">
      <c r="B1959" s="7" t="s">
        <v>4616</v>
      </c>
      <c r="C1959" s="54">
        <v>2000</v>
      </c>
      <c r="D1959" s="54"/>
      <c r="E1959" s="54">
        <f t="shared" si="42"/>
        <v>464067</v>
      </c>
      <c r="F1959" s="80" t="s">
        <v>137</v>
      </c>
      <c r="G1959" s="14" t="s">
        <v>138</v>
      </c>
      <c r="H1959" s="168" t="s">
        <v>3030</v>
      </c>
    </row>
    <row r="1960" spans="1:9">
      <c r="B1960" s="7" t="s">
        <v>4617</v>
      </c>
      <c r="C1960" s="54">
        <v>5000</v>
      </c>
      <c r="D1960" s="54"/>
      <c r="E1960" s="54">
        <f t="shared" si="42"/>
        <v>459067</v>
      </c>
      <c r="F1960" s="80" t="s">
        <v>137</v>
      </c>
      <c r="G1960" s="14" t="s">
        <v>138</v>
      </c>
      <c r="H1960" s="168" t="s">
        <v>4137</v>
      </c>
    </row>
    <row r="1961" spans="1:9">
      <c r="B1961" s="7" t="s">
        <v>4618</v>
      </c>
      <c r="C1961" s="54">
        <v>50000</v>
      </c>
      <c r="D1961" s="54"/>
      <c r="E1961" s="54">
        <f t="shared" si="42"/>
        <v>409067</v>
      </c>
      <c r="F1961" s="80" t="s">
        <v>137</v>
      </c>
      <c r="G1961" s="14" t="s">
        <v>138</v>
      </c>
      <c r="H1961" s="168" t="s">
        <v>3030</v>
      </c>
    </row>
    <row r="1962" spans="1:9">
      <c r="B1962" s="7" t="s">
        <v>4619</v>
      </c>
      <c r="C1962" s="54">
        <v>30500</v>
      </c>
      <c r="D1962" s="54"/>
      <c r="E1962" s="54">
        <f t="shared" si="42"/>
        <v>378567</v>
      </c>
      <c r="F1962" s="80" t="s">
        <v>137</v>
      </c>
      <c r="G1962" s="14" t="s">
        <v>138</v>
      </c>
      <c r="H1962" s="168" t="s">
        <v>3030</v>
      </c>
    </row>
    <row r="1963" spans="1:9">
      <c r="B1963" s="7" t="s">
        <v>4008</v>
      </c>
      <c r="C1963" s="8">
        <v>378567</v>
      </c>
      <c r="D1963" s="8">
        <v>0</v>
      </c>
      <c r="E1963" s="8">
        <f t="shared" si="42"/>
        <v>0</v>
      </c>
      <c r="F1963" s="83" t="s">
        <v>107</v>
      </c>
      <c r="G1963" s="14" t="s">
        <v>668</v>
      </c>
      <c r="H1963" s="14" t="s">
        <v>4073</v>
      </c>
    </row>
    <row r="1964" spans="1:9">
      <c r="A1964" s="3">
        <v>44515</v>
      </c>
      <c r="B1964" t="s">
        <v>3068</v>
      </c>
      <c r="C1964" s="54">
        <v>0</v>
      </c>
      <c r="D1964" s="54">
        <v>36189384</v>
      </c>
      <c r="E1964" s="8">
        <f t="shared" si="42"/>
        <v>36189384</v>
      </c>
      <c r="F1964" t="s">
        <v>581</v>
      </c>
      <c r="G1964" t="s">
        <v>582</v>
      </c>
      <c r="H1964" s="14" t="s">
        <v>2982</v>
      </c>
      <c r="I1964">
        <v>78</v>
      </c>
    </row>
    <row r="1965" spans="1:9">
      <c r="B1965" t="s">
        <v>3068</v>
      </c>
      <c r="C1965" s="8">
        <v>30157820</v>
      </c>
      <c r="E1965" s="8">
        <f t="shared" si="42"/>
        <v>6031564</v>
      </c>
      <c r="F1965" s="14" t="s">
        <v>568</v>
      </c>
      <c r="G1965" s="14" t="s">
        <v>4395</v>
      </c>
      <c r="H1965" s="14" t="s">
        <v>2982</v>
      </c>
      <c r="I1965">
        <v>78</v>
      </c>
    </row>
    <row r="1966" spans="1:9">
      <c r="B1966" t="s">
        <v>3068</v>
      </c>
      <c r="C1966" s="8">
        <v>6031564</v>
      </c>
      <c r="E1966" s="8">
        <f t="shared" si="42"/>
        <v>0</v>
      </c>
      <c r="F1966" t="s">
        <v>714</v>
      </c>
      <c r="G1966" t="s">
        <v>715</v>
      </c>
      <c r="H1966" s="14" t="s">
        <v>2982</v>
      </c>
      <c r="I1966">
        <v>78</v>
      </c>
    </row>
    <row r="1967" spans="1:9">
      <c r="A1967" s="3">
        <v>44518</v>
      </c>
      <c r="B1967" s="7" t="s">
        <v>2127</v>
      </c>
      <c r="C1967" s="8">
        <v>0</v>
      </c>
      <c r="D1967" s="8">
        <v>30362900</v>
      </c>
      <c r="E1967" s="8">
        <f t="shared" si="42"/>
        <v>30362900</v>
      </c>
      <c r="F1967" s="83" t="s">
        <v>581</v>
      </c>
      <c r="G1967" s="14" t="s">
        <v>582</v>
      </c>
      <c r="H1967" s="14" t="s">
        <v>3039</v>
      </c>
      <c r="I1967">
        <v>79</v>
      </c>
    </row>
    <row r="1968" spans="1:9">
      <c r="B1968" s="7" t="s">
        <v>2127</v>
      </c>
      <c r="C1968" s="8">
        <v>25300000</v>
      </c>
      <c r="E1968" s="8">
        <f t="shared" si="42"/>
        <v>5062900</v>
      </c>
      <c r="F1968" s="14" t="s">
        <v>568</v>
      </c>
      <c r="G1968" s="14" t="s">
        <v>4395</v>
      </c>
      <c r="H1968" s="14" t="s">
        <v>3039</v>
      </c>
      <c r="I1968">
        <v>79</v>
      </c>
    </row>
    <row r="1969" spans="1:9">
      <c r="B1969" s="7" t="s">
        <v>2127</v>
      </c>
      <c r="C1969" s="8">
        <v>5060000</v>
      </c>
      <c r="E1969" s="8">
        <f t="shared" si="42"/>
        <v>2900</v>
      </c>
      <c r="F1969" t="s">
        <v>714</v>
      </c>
      <c r="G1969" t="s">
        <v>715</v>
      </c>
      <c r="H1969" s="14" t="s">
        <v>3039</v>
      </c>
      <c r="I1969">
        <v>79</v>
      </c>
    </row>
    <row r="1970" spans="1:9">
      <c r="B1970" s="7" t="s">
        <v>2127</v>
      </c>
      <c r="C1970" s="8">
        <v>2900</v>
      </c>
      <c r="E1970" s="8">
        <f t="shared" si="42"/>
        <v>0</v>
      </c>
      <c r="F1970" s="83" t="s">
        <v>113</v>
      </c>
      <c r="G1970" s="14" t="s">
        <v>114</v>
      </c>
      <c r="H1970" s="14"/>
    </row>
    <row r="1971" spans="1:9">
      <c r="A1971" s="3">
        <v>44522</v>
      </c>
      <c r="B1971" s="7" t="s">
        <v>3911</v>
      </c>
      <c r="C1971" s="8">
        <v>0</v>
      </c>
      <c r="D1971" s="8">
        <v>19000000</v>
      </c>
      <c r="E1971" s="8">
        <f t="shared" si="42"/>
        <v>19000000</v>
      </c>
      <c r="F1971" s="81" t="s">
        <v>107</v>
      </c>
      <c r="G1971" s="14" t="s">
        <v>666</v>
      </c>
      <c r="H1971" s="14" t="s">
        <v>3405</v>
      </c>
      <c r="I1971" t="s">
        <v>3912</v>
      </c>
    </row>
    <row r="1972" spans="1:9">
      <c r="B1972" s="7" t="s">
        <v>3913</v>
      </c>
      <c r="C1972" s="54">
        <v>18799000</v>
      </c>
      <c r="D1972" s="54">
        <v>0</v>
      </c>
      <c r="E1972" s="54">
        <f t="shared" si="42"/>
        <v>201000</v>
      </c>
      <c r="F1972" s="80" t="s">
        <v>137</v>
      </c>
      <c r="G1972" s="14" t="s">
        <v>138</v>
      </c>
      <c r="H1972" s="14" t="s">
        <v>2986</v>
      </c>
    </row>
    <row r="1973" spans="1:9">
      <c r="B1973" s="7" t="s">
        <v>3914</v>
      </c>
      <c r="C1973" s="54">
        <v>2500</v>
      </c>
      <c r="D1973" s="54">
        <v>0</v>
      </c>
      <c r="E1973" s="54">
        <f t="shared" si="42"/>
        <v>198500</v>
      </c>
      <c r="F1973" s="80" t="s">
        <v>137</v>
      </c>
      <c r="G1973" s="14" t="s">
        <v>138</v>
      </c>
      <c r="H1973" s="14" t="s">
        <v>2986</v>
      </c>
    </row>
    <row r="1974" spans="1:9">
      <c r="B1974" s="7" t="s">
        <v>2893</v>
      </c>
      <c r="C1974" s="8">
        <v>198500</v>
      </c>
      <c r="D1974" s="8">
        <v>0</v>
      </c>
      <c r="E1974" s="8">
        <f t="shared" si="42"/>
        <v>0</v>
      </c>
      <c r="F1974" s="83" t="s">
        <v>107</v>
      </c>
      <c r="G1974" s="14" t="s">
        <v>668</v>
      </c>
      <c r="H1974" s="14" t="s">
        <v>3405</v>
      </c>
      <c r="I1974" t="s">
        <v>3912</v>
      </c>
    </row>
    <row r="1975" spans="1:9">
      <c r="A1975" s="3">
        <v>44522</v>
      </c>
      <c r="B1975" t="s">
        <v>2122</v>
      </c>
      <c r="C1975" s="8">
        <v>0</v>
      </c>
      <c r="D1975" s="8">
        <v>3545463</v>
      </c>
      <c r="E1975" s="8">
        <f t="shared" si="42"/>
        <v>3545463</v>
      </c>
      <c r="F1975" t="s">
        <v>581</v>
      </c>
      <c r="G1975" t="s">
        <v>582</v>
      </c>
      <c r="H1975" s="14" t="s">
        <v>3038</v>
      </c>
      <c r="I1975">
        <v>75</v>
      </c>
    </row>
    <row r="1976" spans="1:9">
      <c r="B1976" t="s">
        <v>2122</v>
      </c>
      <c r="C1976" s="8">
        <v>3545463</v>
      </c>
      <c r="E1976" s="8">
        <f t="shared" si="42"/>
        <v>0</v>
      </c>
      <c r="F1976" t="s">
        <v>714</v>
      </c>
      <c r="G1976" t="s">
        <v>715</v>
      </c>
      <c r="H1976" s="14" t="s">
        <v>3038</v>
      </c>
      <c r="I1976">
        <v>75</v>
      </c>
    </row>
    <row r="1977" spans="1:9" s="14" customFormat="1">
      <c r="A1977" s="138">
        <v>44529</v>
      </c>
      <c r="B1977" s="14" t="s">
        <v>2940</v>
      </c>
      <c r="C1977" s="53">
        <v>0</v>
      </c>
      <c r="D1977" s="53">
        <v>2175773</v>
      </c>
      <c r="E1977" s="8">
        <f t="shared" si="42"/>
        <v>2175773</v>
      </c>
      <c r="F1977" s="14" t="s">
        <v>107</v>
      </c>
      <c r="G1977" s="14" t="s">
        <v>274</v>
      </c>
      <c r="H1977" s="14" t="s">
        <v>3099</v>
      </c>
    </row>
    <row r="1978" spans="1:9" s="14" customFormat="1">
      <c r="A1978" s="138"/>
      <c r="B1978" s="14" t="s">
        <v>4222</v>
      </c>
      <c r="C1978" s="53">
        <v>64000</v>
      </c>
      <c r="D1978" s="53">
        <v>0</v>
      </c>
      <c r="E1978" s="8">
        <f t="shared" si="42"/>
        <v>2111773</v>
      </c>
      <c r="F1978" s="14" t="s">
        <v>248</v>
      </c>
      <c r="G1978" s="14" t="s">
        <v>407</v>
      </c>
      <c r="H1978" s="14" t="s">
        <v>64</v>
      </c>
    </row>
    <row r="1979" spans="1:9" s="14" customFormat="1">
      <c r="A1979" s="138"/>
      <c r="B1979" s="14" t="s">
        <v>4215</v>
      </c>
      <c r="C1979" s="53">
        <v>242123</v>
      </c>
      <c r="D1979" s="53">
        <v>0</v>
      </c>
      <c r="E1979" s="8">
        <f t="shared" si="42"/>
        <v>1869650</v>
      </c>
      <c r="F1979" s="14" t="s">
        <v>319</v>
      </c>
      <c r="G1979" s="14" t="s">
        <v>117</v>
      </c>
      <c r="H1979" s="14" t="s">
        <v>64</v>
      </c>
    </row>
    <row r="1980" spans="1:9" s="14" customFormat="1">
      <c r="A1980" s="138"/>
      <c r="B1980" s="14" t="s">
        <v>4216</v>
      </c>
      <c r="C1980" s="53">
        <v>209900</v>
      </c>
      <c r="D1980" s="53">
        <v>0</v>
      </c>
      <c r="E1980" s="8">
        <f t="shared" si="42"/>
        <v>1659750</v>
      </c>
      <c r="F1980" s="14" t="s">
        <v>137</v>
      </c>
      <c r="G1980" s="14" t="s">
        <v>138</v>
      </c>
      <c r="H1980" s="14" t="s">
        <v>3021</v>
      </c>
    </row>
    <row r="1981" spans="1:9" s="14" customFormat="1">
      <c r="A1981" s="138"/>
      <c r="B1981" s="14" t="s">
        <v>4217</v>
      </c>
      <c r="C1981" s="53">
        <v>1659750</v>
      </c>
      <c r="D1981" s="53">
        <v>0</v>
      </c>
      <c r="E1981" s="8">
        <f t="shared" si="42"/>
        <v>0</v>
      </c>
      <c r="F1981" s="14" t="s">
        <v>137</v>
      </c>
      <c r="G1981" s="14" t="s">
        <v>138</v>
      </c>
      <c r="H1981" s="14" t="s">
        <v>3021</v>
      </c>
    </row>
    <row r="1982" spans="1:9" s="14" customFormat="1">
      <c r="A1982" s="3">
        <v>44536</v>
      </c>
      <c r="B1982" s="7" t="s">
        <v>3927</v>
      </c>
      <c r="C1982" s="8">
        <v>0</v>
      </c>
      <c r="D1982" s="8">
        <v>4000000</v>
      </c>
      <c r="E1982" s="8">
        <f t="shared" si="42"/>
        <v>4000000</v>
      </c>
      <c r="F1982" s="83" t="s">
        <v>107</v>
      </c>
      <c r="G1982" s="14" t="s">
        <v>666</v>
      </c>
      <c r="H1982" s="14" t="s">
        <v>3991</v>
      </c>
    </row>
    <row r="1983" spans="1:9" s="14" customFormat="1">
      <c r="A1983" s="138"/>
      <c r="B1983" s="14" t="s">
        <v>4418</v>
      </c>
      <c r="C1983" s="53">
        <v>100000</v>
      </c>
      <c r="D1983" s="53"/>
      <c r="E1983" s="54">
        <f t="shared" si="42"/>
        <v>3900000</v>
      </c>
      <c r="F1983" s="14" t="s">
        <v>137</v>
      </c>
      <c r="G1983" s="14" t="s">
        <v>138</v>
      </c>
      <c r="H1983" s="14" t="s">
        <v>3391</v>
      </c>
    </row>
    <row r="1984" spans="1:9" s="14" customFormat="1">
      <c r="A1984" s="138"/>
      <c r="B1984" s="14" t="s">
        <v>4419</v>
      </c>
      <c r="C1984" s="53">
        <v>187500</v>
      </c>
      <c r="D1984" s="53"/>
      <c r="E1984" s="54">
        <f t="shared" si="42"/>
        <v>3712500</v>
      </c>
      <c r="F1984" s="14" t="s">
        <v>137</v>
      </c>
      <c r="G1984" s="14" t="s">
        <v>138</v>
      </c>
      <c r="H1984" s="14" t="s">
        <v>3391</v>
      </c>
    </row>
    <row r="1985" spans="1:8" s="14" customFormat="1">
      <c r="A1985" s="138"/>
      <c r="B1985" s="14" t="s">
        <v>4420</v>
      </c>
      <c r="C1985" s="53">
        <v>375000</v>
      </c>
      <c r="D1985" s="53"/>
      <c r="E1985" s="54">
        <f t="shared" si="42"/>
        <v>3337500</v>
      </c>
      <c r="F1985" s="14" t="s">
        <v>137</v>
      </c>
      <c r="G1985" s="14" t="s">
        <v>138</v>
      </c>
      <c r="H1985" s="14" t="s">
        <v>3046</v>
      </c>
    </row>
    <row r="1986" spans="1:8" s="14" customFormat="1">
      <c r="A1986" s="138"/>
      <c r="B1986" s="14" t="s">
        <v>4421</v>
      </c>
      <c r="C1986" s="53">
        <v>169600</v>
      </c>
      <c r="D1986" s="53"/>
      <c r="E1986" s="54">
        <f t="shared" si="42"/>
        <v>3167900</v>
      </c>
      <c r="F1986" s="14" t="s">
        <v>137</v>
      </c>
      <c r="G1986" s="14" t="s">
        <v>138</v>
      </c>
      <c r="H1986" s="14" t="s">
        <v>3046</v>
      </c>
    </row>
    <row r="1987" spans="1:8" s="14" customFormat="1">
      <c r="A1987" s="138"/>
      <c r="B1987" s="14" t="s">
        <v>4422</v>
      </c>
      <c r="C1987" s="53">
        <v>225000</v>
      </c>
      <c r="D1987" s="53"/>
      <c r="E1987" s="54">
        <f t="shared" si="42"/>
        <v>2942900</v>
      </c>
      <c r="F1987" s="14" t="s">
        <v>137</v>
      </c>
      <c r="G1987" s="14" t="s">
        <v>138</v>
      </c>
      <c r="H1987" s="14" t="s">
        <v>3046</v>
      </c>
    </row>
    <row r="1988" spans="1:8" s="14" customFormat="1">
      <c r="A1988" s="138"/>
      <c r="B1988" s="14" t="s">
        <v>4423</v>
      </c>
      <c r="C1988" s="53">
        <v>471000</v>
      </c>
      <c r="D1988" s="53"/>
      <c r="E1988" s="54">
        <f t="shared" si="42"/>
        <v>2471900</v>
      </c>
      <c r="F1988" s="14" t="s">
        <v>137</v>
      </c>
      <c r="G1988" s="14" t="s">
        <v>138</v>
      </c>
      <c r="H1988" s="14" t="s">
        <v>3046</v>
      </c>
    </row>
    <row r="1989" spans="1:8" s="14" customFormat="1">
      <c r="A1989" s="138"/>
      <c r="B1989" s="14" t="s">
        <v>4424</v>
      </c>
      <c r="C1989" s="53">
        <v>248000</v>
      </c>
      <c r="D1989" s="53"/>
      <c r="E1989" s="54">
        <f t="shared" si="42"/>
        <v>2223900</v>
      </c>
      <c r="F1989" s="14" t="s">
        <v>137</v>
      </c>
      <c r="G1989" s="14" t="s">
        <v>138</v>
      </c>
      <c r="H1989" s="14" t="s">
        <v>3046</v>
      </c>
    </row>
    <row r="1990" spans="1:8" s="14" customFormat="1">
      <c r="A1990" s="138"/>
      <c r="B1990" s="14" t="s">
        <v>4425</v>
      </c>
      <c r="C1990" s="53">
        <v>1258715</v>
      </c>
      <c r="D1990" s="53"/>
      <c r="E1990" s="54">
        <f t="shared" si="42"/>
        <v>965185</v>
      </c>
      <c r="F1990" s="14" t="s">
        <v>137</v>
      </c>
      <c r="G1990" s="14" t="s">
        <v>138</v>
      </c>
      <c r="H1990" s="14" t="s">
        <v>3046</v>
      </c>
    </row>
    <row r="1991" spans="1:8" s="14" customFormat="1">
      <c r="A1991" s="138"/>
      <c r="B1991" s="14" t="s">
        <v>4426</v>
      </c>
      <c r="C1991" s="53">
        <v>43000</v>
      </c>
      <c r="D1991" s="53"/>
      <c r="E1991" s="54">
        <f t="shared" si="42"/>
        <v>922185</v>
      </c>
      <c r="F1991" s="14" t="s">
        <v>137</v>
      </c>
      <c r="G1991" s="14" t="s">
        <v>138</v>
      </c>
      <c r="H1991" s="14" t="s">
        <v>3046</v>
      </c>
    </row>
    <row r="1992" spans="1:8" s="14" customFormat="1">
      <c r="A1992" s="138"/>
      <c r="B1992" s="14" t="s">
        <v>4427</v>
      </c>
      <c r="C1992" s="53">
        <v>70000</v>
      </c>
      <c r="D1992" s="53"/>
      <c r="E1992" s="54">
        <f t="shared" si="42"/>
        <v>852185</v>
      </c>
      <c r="F1992" s="14" t="s">
        <v>137</v>
      </c>
      <c r="G1992" s="14" t="s">
        <v>138</v>
      </c>
      <c r="H1992" s="14" t="s">
        <v>3046</v>
      </c>
    </row>
    <row r="1993" spans="1:8" s="14" customFormat="1">
      <c r="A1993" s="138"/>
      <c r="B1993" s="14" t="s">
        <v>4428</v>
      </c>
      <c r="C1993" s="53">
        <v>335000</v>
      </c>
      <c r="D1993" s="53"/>
      <c r="E1993" s="54">
        <f t="shared" si="42"/>
        <v>517185</v>
      </c>
      <c r="F1993" s="14" t="s">
        <v>137</v>
      </c>
      <c r="G1993" s="14" t="s">
        <v>138</v>
      </c>
      <c r="H1993" s="14" t="s">
        <v>3046</v>
      </c>
    </row>
    <row r="1994" spans="1:8" s="14" customFormat="1">
      <c r="A1994" s="138"/>
      <c r="B1994" s="14" t="s">
        <v>4429</v>
      </c>
      <c r="C1994" s="53">
        <v>50000</v>
      </c>
      <c r="D1994" s="53"/>
      <c r="E1994" s="54">
        <f t="shared" si="42"/>
        <v>467185</v>
      </c>
      <c r="F1994" s="14" t="s">
        <v>137</v>
      </c>
      <c r="G1994" s="14" t="s">
        <v>138</v>
      </c>
      <c r="H1994" s="14" t="s">
        <v>3046</v>
      </c>
    </row>
    <row r="1995" spans="1:8" s="14" customFormat="1">
      <c r="A1995" s="138"/>
      <c r="B1995" s="7" t="s">
        <v>4017</v>
      </c>
      <c r="C1995" s="8">
        <v>467185</v>
      </c>
      <c r="D1995" s="8">
        <v>0</v>
      </c>
      <c r="E1995" s="8">
        <f t="shared" si="42"/>
        <v>0</v>
      </c>
      <c r="F1995" s="83" t="s">
        <v>107</v>
      </c>
      <c r="G1995" s="14" t="s">
        <v>668</v>
      </c>
      <c r="H1995" s="14" t="s">
        <v>3991</v>
      </c>
    </row>
    <row r="1996" spans="1:8" s="14" customFormat="1">
      <c r="A1996" s="138">
        <v>44536</v>
      </c>
      <c r="B1996" s="14" t="s">
        <v>4396</v>
      </c>
      <c r="C1996" s="53">
        <v>0</v>
      </c>
      <c r="D1996" s="53">
        <v>350000000</v>
      </c>
      <c r="E1996" s="8">
        <f t="shared" si="42"/>
        <v>350000000</v>
      </c>
      <c r="F1996" s="14" t="s">
        <v>252</v>
      </c>
      <c r="G1996" s="14" t="s">
        <v>664</v>
      </c>
    </row>
    <row r="1997" spans="1:8" s="14" customFormat="1">
      <c r="A1997" s="138"/>
      <c r="B1997" s="14" t="s">
        <v>4396</v>
      </c>
      <c r="C1997" s="53">
        <v>350000000</v>
      </c>
      <c r="D1997" s="53">
        <v>0</v>
      </c>
      <c r="E1997" s="8">
        <f t="shared" si="42"/>
        <v>0</v>
      </c>
      <c r="F1997" s="14" t="s">
        <v>110</v>
      </c>
      <c r="G1997" s="14" t="s">
        <v>118</v>
      </c>
      <c r="H1997" s="14" t="s">
        <v>146</v>
      </c>
    </row>
    <row r="1998" spans="1:8" s="14" customFormat="1">
      <c r="A1998" s="138"/>
      <c r="B1998" s="14" t="s">
        <v>4396</v>
      </c>
      <c r="C1998" s="53">
        <v>0</v>
      </c>
      <c r="D1998" s="53">
        <v>160000000</v>
      </c>
      <c r="E1998" s="8">
        <f t="shared" si="42"/>
        <v>160000000</v>
      </c>
      <c r="F1998" s="14" t="s">
        <v>252</v>
      </c>
      <c r="G1998" s="14" t="s">
        <v>664</v>
      </c>
    </row>
    <row r="1999" spans="1:8" s="14" customFormat="1">
      <c r="A1999" s="138"/>
      <c r="B1999" s="14" t="s">
        <v>4396</v>
      </c>
      <c r="C1999" s="53">
        <v>160000000</v>
      </c>
      <c r="D1999" s="53">
        <v>0</v>
      </c>
      <c r="E1999" s="50">
        <f t="shared" si="42"/>
        <v>0</v>
      </c>
      <c r="F1999" s="14" t="s">
        <v>110</v>
      </c>
      <c r="G1999" s="14" t="s">
        <v>118</v>
      </c>
      <c r="H1999" s="14" t="s">
        <v>146</v>
      </c>
    </row>
    <row r="2000" spans="1:8" s="14" customFormat="1">
      <c r="A2000" s="3">
        <v>44537</v>
      </c>
      <c r="B2000" s="7" t="s">
        <v>3929</v>
      </c>
      <c r="C2000" s="8">
        <v>0</v>
      </c>
      <c r="D2000" s="8">
        <v>116390591</v>
      </c>
      <c r="E2000" s="50">
        <f t="shared" si="42"/>
        <v>116390591</v>
      </c>
      <c r="F2000" s="83" t="s">
        <v>107</v>
      </c>
      <c r="G2000" s="14" t="s">
        <v>666</v>
      </c>
      <c r="H2000" s="14" t="s">
        <v>142</v>
      </c>
    </row>
    <row r="2001" spans="1:9" s="14" customFormat="1">
      <c r="A2001" s="138"/>
      <c r="B2001" s="14" t="s">
        <v>4223</v>
      </c>
      <c r="C2001" s="53">
        <v>6299000</v>
      </c>
      <c r="D2001" s="53"/>
      <c r="E2001" s="53">
        <f t="shared" si="42"/>
        <v>110091591</v>
      </c>
      <c r="F2001" s="14" t="s">
        <v>137</v>
      </c>
      <c r="G2001" s="14" t="s">
        <v>138</v>
      </c>
      <c r="H2001" s="14" t="s">
        <v>3018</v>
      </c>
    </row>
    <row r="2002" spans="1:9" s="14" customFormat="1">
      <c r="A2002" s="138"/>
      <c r="B2002" s="14" t="s">
        <v>4224</v>
      </c>
      <c r="C2002" s="53">
        <v>561500</v>
      </c>
      <c r="D2002" s="53"/>
      <c r="E2002" s="50">
        <f t="shared" si="42"/>
        <v>109530091</v>
      </c>
      <c r="F2002" s="14" t="s">
        <v>137</v>
      </c>
      <c r="G2002" s="14" t="s">
        <v>138</v>
      </c>
      <c r="H2002" s="14" t="s">
        <v>2278</v>
      </c>
    </row>
    <row r="2003" spans="1:9" s="14" customFormat="1">
      <c r="A2003" s="138"/>
      <c r="B2003" s="14" t="s">
        <v>4225</v>
      </c>
      <c r="C2003" s="53">
        <v>200000</v>
      </c>
      <c r="D2003" s="53"/>
      <c r="E2003" s="50">
        <f t="shared" si="42"/>
        <v>109330091</v>
      </c>
      <c r="F2003" s="14" t="s">
        <v>137</v>
      </c>
      <c r="G2003" s="14" t="s">
        <v>138</v>
      </c>
      <c r="H2003" s="14" t="s">
        <v>2279</v>
      </c>
    </row>
    <row r="2004" spans="1:9" s="14" customFormat="1">
      <c r="A2004" s="138"/>
      <c r="B2004" s="14" t="s">
        <v>4226</v>
      </c>
      <c r="C2004" s="53">
        <v>3035714</v>
      </c>
      <c r="D2004" s="53"/>
      <c r="E2004" s="54">
        <f t="shared" si="42"/>
        <v>106294377</v>
      </c>
      <c r="F2004" s="14" t="s">
        <v>115</v>
      </c>
      <c r="G2004" s="14" t="s">
        <v>120</v>
      </c>
      <c r="H2004" s="14" t="s">
        <v>560</v>
      </c>
      <c r="I2004" s="14" t="s">
        <v>444</v>
      </c>
    </row>
    <row r="2005" spans="1:9" s="14" customFormat="1">
      <c r="A2005" s="138"/>
      <c r="B2005" s="14" t="s">
        <v>4227</v>
      </c>
      <c r="C2005" s="53">
        <v>59300000</v>
      </c>
      <c r="D2005" s="53"/>
      <c r="E2005" s="8">
        <f t="shared" si="42"/>
        <v>46994377</v>
      </c>
      <c r="F2005" s="14" t="s">
        <v>137</v>
      </c>
      <c r="G2005" s="14" t="s">
        <v>138</v>
      </c>
      <c r="H2005" s="14" t="s">
        <v>2279</v>
      </c>
    </row>
    <row r="2006" spans="1:9" s="14" customFormat="1">
      <c r="A2006" s="138"/>
      <c r="B2006" s="14" t="s">
        <v>4228</v>
      </c>
      <c r="C2006" s="53">
        <v>10568496</v>
      </c>
      <c r="D2006" s="53"/>
      <c r="E2006" s="8">
        <f t="shared" si="42"/>
        <v>36425881</v>
      </c>
      <c r="F2006" s="14" t="s">
        <v>137</v>
      </c>
      <c r="G2006" s="14" t="s">
        <v>138</v>
      </c>
      <c r="H2006" s="168" t="s">
        <v>2996</v>
      </c>
    </row>
    <row r="2007" spans="1:9" s="14" customFormat="1">
      <c r="A2007" s="138"/>
      <c r="B2007" s="14" t="s">
        <v>4229</v>
      </c>
      <c r="C2007" s="53">
        <v>125800</v>
      </c>
      <c r="D2007" s="53"/>
      <c r="E2007" s="8">
        <f t="shared" si="42"/>
        <v>36300081</v>
      </c>
      <c r="F2007" s="14" t="s">
        <v>137</v>
      </c>
      <c r="G2007" s="14" t="s">
        <v>138</v>
      </c>
      <c r="H2007" s="14" t="s">
        <v>3025</v>
      </c>
    </row>
    <row r="2008" spans="1:9" s="14" customFormat="1">
      <c r="A2008" s="138"/>
      <c r="B2008" s="14" t="s">
        <v>4230</v>
      </c>
      <c r="C2008" s="53">
        <v>101000</v>
      </c>
      <c r="D2008" s="53"/>
      <c r="E2008" s="8">
        <f t="shared" si="42"/>
        <v>36199081</v>
      </c>
      <c r="F2008" s="14" t="s">
        <v>137</v>
      </c>
      <c r="G2008" s="14" t="s">
        <v>138</v>
      </c>
      <c r="H2008" s="14" t="s">
        <v>3025</v>
      </c>
    </row>
    <row r="2009" spans="1:9" s="14" customFormat="1">
      <c r="A2009" s="138"/>
      <c r="B2009" s="14" t="s">
        <v>4231</v>
      </c>
      <c r="C2009" s="53">
        <v>744000</v>
      </c>
      <c r="D2009" s="53"/>
      <c r="E2009" s="8">
        <f t="shared" si="42"/>
        <v>35455081</v>
      </c>
      <c r="F2009" s="14" t="s">
        <v>137</v>
      </c>
      <c r="G2009" s="14" t="s">
        <v>138</v>
      </c>
      <c r="H2009" s="14" t="s">
        <v>2990</v>
      </c>
    </row>
    <row r="2010" spans="1:9" s="14" customFormat="1">
      <c r="A2010" s="138"/>
      <c r="B2010" s="14" t="s">
        <v>4232</v>
      </c>
      <c r="C2010" s="53">
        <v>8445000</v>
      </c>
      <c r="D2010" s="53"/>
      <c r="E2010" s="8">
        <f t="shared" si="42"/>
        <v>27010081</v>
      </c>
      <c r="F2010" s="14" t="s">
        <v>137</v>
      </c>
      <c r="G2010" s="14" t="s">
        <v>138</v>
      </c>
      <c r="H2010" s="14" t="s">
        <v>2990</v>
      </c>
    </row>
    <row r="2011" spans="1:9" s="14" customFormat="1">
      <c r="A2011" s="138"/>
      <c r="B2011" s="14" t="s">
        <v>4233</v>
      </c>
      <c r="C2011" s="53">
        <v>250000</v>
      </c>
      <c r="D2011" s="53"/>
      <c r="E2011" s="8">
        <f t="shared" si="42"/>
        <v>26760081</v>
      </c>
      <c r="F2011" s="14" t="s">
        <v>137</v>
      </c>
      <c r="G2011" s="14" t="s">
        <v>138</v>
      </c>
      <c r="H2011" s="14" t="s">
        <v>3025</v>
      </c>
    </row>
    <row r="2012" spans="1:9" s="14" customFormat="1">
      <c r="A2012" s="138"/>
      <c r="B2012" s="14" t="s">
        <v>4257</v>
      </c>
      <c r="C2012" s="53">
        <v>1677870</v>
      </c>
      <c r="D2012" s="53"/>
      <c r="E2012" s="8">
        <f t="shared" si="42"/>
        <v>25082211</v>
      </c>
      <c r="F2012" s="14" t="s">
        <v>319</v>
      </c>
      <c r="G2012" s="14" t="s">
        <v>647</v>
      </c>
      <c r="H2012" s="14" t="s">
        <v>64</v>
      </c>
    </row>
    <row r="2013" spans="1:9" s="14" customFormat="1">
      <c r="A2013" s="138"/>
      <c r="B2013" s="14" t="s">
        <v>4234</v>
      </c>
      <c r="C2013" s="53">
        <v>223200</v>
      </c>
      <c r="D2013" s="53"/>
      <c r="E2013" s="8">
        <f t="shared" si="42"/>
        <v>24859011</v>
      </c>
      <c r="F2013" s="14" t="s">
        <v>137</v>
      </c>
      <c r="G2013" s="14" t="s">
        <v>138</v>
      </c>
      <c r="H2013" s="14" t="s">
        <v>2998</v>
      </c>
    </row>
    <row r="2014" spans="1:9" s="14" customFormat="1">
      <c r="A2014" s="138"/>
      <c r="B2014" s="14" t="s">
        <v>4235</v>
      </c>
      <c r="C2014" s="53">
        <v>137100</v>
      </c>
      <c r="D2014" s="53"/>
      <c r="E2014" s="8">
        <f t="shared" si="42"/>
        <v>24721911</v>
      </c>
      <c r="F2014" s="14" t="s">
        <v>137</v>
      </c>
      <c r="G2014" s="14" t="s">
        <v>138</v>
      </c>
      <c r="H2014" s="14" t="s">
        <v>2998</v>
      </c>
    </row>
    <row r="2015" spans="1:9" s="14" customFormat="1">
      <c r="A2015" s="138"/>
      <c r="B2015" s="14" t="s">
        <v>4236</v>
      </c>
      <c r="C2015" s="53">
        <v>357286</v>
      </c>
      <c r="D2015" s="53"/>
      <c r="E2015" s="8">
        <f t="shared" si="42"/>
        <v>24364625</v>
      </c>
      <c r="F2015" s="14" t="s">
        <v>137</v>
      </c>
      <c r="G2015" s="14" t="s">
        <v>138</v>
      </c>
      <c r="H2015" s="14" t="s">
        <v>2998</v>
      </c>
    </row>
    <row r="2016" spans="1:9" s="14" customFormat="1">
      <c r="A2016" s="138"/>
      <c r="B2016" s="14" t="s">
        <v>1028</v>
      </c>
      <c r="C2016" s="53">
        <v>302000</v>
      </c>
      <c r="D2016" s="53"/>
      <c r="E2016" s="8">
        <f t="shared" si="42"/>
        <v>24062625</v>
      </c>
      <c r="F2016" s="14" t="s">
        <v>137</v>
      </c>
      <c r="G2016" s="14" t="s">
        <v>138</v>
      </c>
      <c r="H2016" s="14" t="s">
        <v>3021</v>
      </c>
    </row>
    <row r="2017" spans="1:8" s="14" customFormat="1">
      <c r="A2017" s="138"/>
      <c r="B2017" s="14" t="s">
        <v>4237</v>
      </c>
      <c r="C2017" s="53">
        <v>478500</v>
      </c>
      <c r="D2017" s="53"/>
      <c r="E2017" s="8">
        <f t="shared" si="42"/>
        <v>23584125</v>
      </c>
      <c r="F2017" s="14" t="s">
        <v>137</v>
      </c>
      <c r="G2017" s="14" t="s">
        <v>138</v>
      </c>
      <c r="H2017" s="14" t="s">
        <v>3021</v>
      </c>
    </row>
    <row r="2018" spans="1:8" s="14" customFormat="1">
      <c r="A2018" s="138"/>
      <c r="B2018" s="14" t="s">
        <v>4238</v>
      </c>
      <c r="C2018" s="53">
        <v>1157888</v>
      </c>
      <c r="D2018" s="53"/>
      <c r="E2018" s="8">
        <f t="shared" si="42"/>
        <v>22426237</v>
      </c>
      <c r="F2018" s="14" t="s">
        <v>137</v>
      </c>
      <c r="G2018" s="14" t="s">
        <v>138</v>
      </c>
      <c r="H2018" s="14" t="s">
        <v>2998</v>
      </c>
    </row>
    <row r="2019" spans="1:8" s="14" customFormat="1">
      <c r="A2019" s="138"/>
      <c r="B2019" s="14" t="s">
        <v>4239</v>
      </c>
      <c r="C2019" s="53">
        <v>180000</v>
      </c>
      <c r="D2019" s="53"/>
      <c r="E2019" s="8">
        <f t="shared" si="42"/>
        <v>22246237</v>
      </c>
      <c r="F2019" s="14" t="s">
        <v>137</v>
      </c>
      <c r="G2019" s="14" t="s">
        <v>138</v>
      </c>
      <c r="H2019" s="14" t="s">
        <v>2998</v>
      </c>
    </row>
    <row r="2020" spans="1:8" s="14" customFormat="1">
      <c r="A2020" s="138"/>
      <c r="B2020" s="14" t="s">
        <v>898</v>
      </c>
      <c r="C2020" s="53">
        <v>422000</v>
      </c>
      <c r="D2020" s="53"/>
      <c r="E2020" s="8">
        <f t="shared" si="42"/>
        <v>21824237</v>
      </c>
      <c r="F2020" s="14" t="s">
        <v>137</v>
      </c>
      <c r="G2020" s="14" t="s">
        <v>138</v>
      </c>
      <c r="H2020" s="14" t="s">
        <v>2998</v>
      </c>
    </row>
    <row r="2021" spans="1:8" s="14" customFormat="1">
      <c r="A2021" s="138"/>
      <c r="B2021" s="14" t="s">
        <v>4240</v>
      </c>
      <c r="C2021" s="53">
        <v>157000</v>
      </c>
      <c r="D2021" s="53"/>
      <c r="E2021" s="8">
        <f t="shared" si="42"/>
        <v>21667237</v>
      </c>
      <c r="F2021" s="14" t="s">
        <v>137</v>
      </c>
      <c r="G2021" s="14" t="s">
        <v>138</v>
      </c>
      <c r="H2021" s="14" t="s">
        <v>2998</v>
      </c>
    </row>
    <row r="2022" spans="1:8" s="14" customFormat="1">
      <c r="A2022" s="138"/>
      <c r="B2022" s="14" t="s">
        <v>4241</v>
      </c>
      <c r="C2022" s="53">
        <v>581612</v>
      </c>
      <c r="D2022" s="53"/>
      <c r="E2022" s="8">
        <f t="shared" si="42"/>
        <v>21085625</v>
      </c>
      <c r="F2022" s="14" t="s">
        <v>137</v>
      </c>
      <c r="G2022" s="14" t="s">
        <v>138</v>
      </c>
      <c r="H2022" s="14" t="s">
        <v>2998</v>
      </c>
    </row>
    <row r="2023" spans="1:8" s="14" customFormat="1">
      <c r="A2023" s="138"/>
      <c r="B2023" s="14" t="s">
        <v>4242</v>
      </c>
      <c r="C2023" s="53">
        <v>388100</v>
      </c>
      <c r="D2023" s="53"/>
      <c r="E2023" s="8">
        <f t="shared" si="42"/>
        <v>20697525</v>
      </c>
      <c r="F2023" s="14" t="s">
        <v>137</v>
      </c>
      <c r="G2023" s="14" t="s">
        <v>138</v>
      </c>
      <c r="H2023" s="14" t="s">
        <v>2998</v>
      </c>
    </row>
    <row r="2024" spans="1:8" s="14" customFormat="1">
      <c r="A2024" s="138"/>
      <c r="B2024" s="14" t="s">
        <v>4243</v>
      </c>
      <c r="C2024" s="53">
        <v>56870</v>
      </c>
      <c r="D2024" s="53"/>
      <c r="E2024" s="8">
        <f t="shared" si="42"/>
        <v>20640655</v>
      </c>
      <c r="F2024" s="14" t="s">
        <v>137</v>
      </c>
      <c r="G2024" s="14" t="s">
        <v>138</v>
      </c>
      <c r="H2024" s="14" t="s">
        <v>2998</v>
      </c>
    </row>
    <row r="2025" spans="1:8" s="14" customFormat="1">
      <c r="A2025" s="138"/>
      <c r="B2025" s="14" t="s">
        <v>4244</v>
      </c>
      <c r="C2025" s="53">
        <v>3210000</v>
      </c>
      <c r="D2025" s="53"/>
      <c r="E2025" s="8">
        <f t="shared" si="42"/>
        <v>17430655</v>
      </c>
      <c r="F2025" s="14" t="s">
        <v>137</v>
      </c>
      <c r="G2025" s="14" t="s">
        <v>138</v>
      </c>
      <c r="H2025" s="14" t="s">
        <v>2998</v>
      </c>
    </row>
    <row r="2026" spans="1:8" s="14" customFormat="1">
      <c r="A2026" s="138"/>
      <c r="B2026" s="14" t="s">
        <v>4245</v>
      </c>
      <c r="C2026" s="53">
        <v>321600</v>
      </c>
      <c r="D2026" s="53"/>
      <c r="E2026" s="8">
        <f t="shared" si="42"/>
        <v>17109055</v>
      </c>
      <c r="F2026" s="14" t="s">
        <v>137</v>
      </c>
      <c r="G2026" s="14" t="s">
        <v>138</v>
      </c>
      <c r="H2026" s="14" t="s">
        <v>2998</v>
      </c>
    </row>
    <row r="2027" spans="1:8" s="14" customFormat="1">
      <c r="A2027" s="138"/>
      <c r="B2027" s="14" t="s">
        <v>4246</v>
      </c>
      <c r="C2027" s="53">
        <v>686000</v>
      </c>
      <c r="D2027" s="53"/>
      <c r="E2027" s="8">
        <f t="shared" si="42"/>
        <v>16423055</v>
      </c>
      <c r="F2027" s="14" t="s">
        <v>137</v>
      </c>
      <c r="G2027" s="14" t="s">
        <v>138</v>
      </c>
      <c r="H2027" s="14" t="s">
        <v>2998</v>
      </c>
    </row>
    <row r="2028" spans="1:8" s="14" customFormat="1">
      <c r="A2028" s="138"/>
      <c r="B2028" s="14" t="s">
        <v>4247</v>
      </c>
      <c r="C2028" s="53">
        <v>880000</v>
      </c>
      <c r="D2028" s="53"/>
      <c r="E2028" s="8">
        <f t="shared" si="42"/>
        <v>15543055</v>
      </c>
      <c r="F2028" s="14" t="s">
        <v>137</v>
      </c>
      <c r="G2028" s="14" t="s">
        <v>138</v>
      </c>
      <c r="H2028" s="14" t="s">
        <v>2998</v>
      </c>
    </row>
    <row r="2029" spans="1:8" s="14" customFormat="1">
      <c r="A2029" s="138"/>
      <c r="B2029" s="14" t="s">
        <v>4248</v>
      </c>
      <c r="C2029" s="53">
        <v>942500</v>
      </c>
      <c r="D2029" s="53"/>
      <c r="E2029" s="8">
        <f t="shared" si="42"/>
        <v>14600555</v>
      </c>
      <c r="F2029" s="14" t="s">
        <v>137</v>
      </c>
      <c r="G2029" s="14" t="s">
        <v>138</v>
      </c>
      <c r="H2029" s="14" t="s">
        <v>2998</v>
      </c>
    </row>
    <row r="2030" spans="1:8" s="14" customFormat="1">
      <c r="A2030" s="138"/>
      <c r="B2030" s="14" t="s">
        <v>4249</v>
      </c>
      <c r="C2030" s="53">
        <v>190000</v>
      </c>
      <c r="D2030" s="53"/>
      <c r="E2030" s="8">
        <f t="shared" si="42"/>
        <v>14410555</v>
      </c>
      <c r="F2030" s="14" t="s">
        <v>137</v>
      </c>
      <c r="G2030" s="14" t="s">
        <v>138</v>
      </c>
      <c r="H2030" s="168" t="s">
        <v>3010</v>
      </c>
    </row>
    <row r="2031" spans="1:8" s="14" customFormat="1">
      <c r="A2031" s="138"/>
      <c r="B2031" s="14" t="s">
        <v>4250</v>
      </c>
      <c r="C2031" s="53">
        <v>125800</v>
      </c>
      <c r="D2031" s="53"/>
      <c r="E2031" s="8">
        <f t="shared" si="42"/>
        <v>14284755</v>
      </c>
      <c r="F2031" s="14" t="s">
        <v>137</v>
      </c>
      <c r="G2031" s="14" t="s">
        <v>138</v>
      </c>
      <c r="H2031" s="168" t="s">
        <v>3010</v>
      </c>
    </row>
    <row r="2032" spans="1:8" s="14" customFormat="1">
      <c r="A2032" s="138"/>
      <c r="B2032" s="14" t="s">
        <v>4251</v>
      </c>
      <c r="C2032" s="53">
        <v>59900</v>
      </c>
      <c r="D2032" s="53"/>
      <c r="E2032" s="8">
        <f t="shared" si="42"/>
        <v>14224855</v>
      </c>
      <c r="F2032" s="14" t="s">
        <v>137</v>
      </c>
      <c r="G2032" s="14" t="s">
        <v>138</v>
      </c>
      <c r="H2032" s="168" t="s">
        <v>3010</v>
      </c>
    </row>
    <row r="2033" spans="1:8" s="14" customFormat="1">
      <c r="A2033" s="138"/>
      <c r="B2033" s="14" t="s">
        <v>4252</v>
      </c>
      <c r="C2033" s="53">
        <v>2267540</v>
      </c>
      <c r="D2033" s="53"/>
      <c r="E2033" s="8">
        <f t="shared" si="42"/>
        <v>11957315</v>
      </c>
      <c r="F2033" s="14" t="s">
        <v>137</v>
      </c>
      <c r="G2033" s="14" t="s">
        <v>138</v>
      </c>
      <c r="H2033" s="168" t="s">
        <v>3010</v>
      </c>
    </row>
    <row r="2034" spans="1:8" s="14" customFormat="1">
      <c r="A2034" s="138"/>
      <c r="B2034" s="14" t="s">
        <v>4252</v>
      </c>
      <c r="C2034" s="53">
        <v>43560</v>
      </c>
      <c r="D2034" s="53"/>
      <c r="E2034" s="8">
        <f t="shared" si="42"/>
        <v>11913755</v>
      </c>
      <c r="F2034" s="14" t="s">
        <v>137</v>
      </c>
      <c r="G2034" s="14" t="s">
        <v>138</v>
      </c>
      <c r="H2034" s="168" t="s">
        <v>3010</v>
      </c>
    </row>
    <row r="2035" spans="1:8" s="14" customFormat="1">
      <c r="A2035" s="138"/>
      <c r="B2035" s="14" t="s">
        <v>4253</v>
      </c>
      <c r="C2035" s="53">
        <v>135000</v>
      </c>
      <c r="D2035" s="53"/>
      <c r="E2035" s="8">
        <f t="shared" si="42"/>
        <v>11778755</v>
      </c>
      <c r="F2035" s="14" t="s">
        <v>137</v>
      </c>
      <c r="G2035" s="14" t="s">
        <v>138</v>
      </c>
      <c r="H2035" s="168" t="s">
        <v>3010</v>
      </c>
    </row>
    <row r="2036" spans="1:8" s="14" customFormat="1">
      <c r="A2036" s="138"/>
      <c r="B2036" s="14" t="s">
        <v>4252</v>
      </c>
      <c r="C2036" s="53">
        <v>516670</v>
      </c>
      <c r="D2036" s="53"/>
      <c r="E2036" s="8">
        <f t="shared" si="42"/>
        <v>11262085</v>
      </c>
      <c r="F2036" s="14" t="s">
        <v>137</v>
      </c>
      <c r="G2036" s="14" t="s">
        <v>138</v>
      </c>
      <c r="H2036" s="168" t="s">
        <v>3010</v>
      </c>
    </row>
    <row r="2037" spans="1:8" s="14" customFormat="1">
      <c r="A2037" s="138"/>
      <c r="B2037" s="14" t="s">
        <v>4252</v>
      </c>
      <c r="C2037" s="53">
        <v>6836500</v>
      </c>
      <c r="D2037" s="53"/>
      <c r="E2037" s="8">
        <f t="shared" si="42"/>
        <v>4425585</v>
      </c>
      <c r="F2037" s="14" t="s">
        <v>137</v>
      </c>
      <c r="G2037" s="14" t="s">
        <v>138</v>
      </c>
      <c r="H2037" s="168" t="s">
        <v>3010</v>
      </c>
    </row>
    <row r="2038" spans="1:8" s="14" customFormat="1">
      <c r="A2038" s="138"/>
      <c r="B2038" s="14" t="s">
        <v>4254</v>
      </c>
      <c r="C2038" s="53">
        <v>250000</v>
      </c>
      <c r="D2038" s="53"/>
      <c r="E2038" s="8">
        <f t="shared" si="42"/>
        <v>4175585</v>
      </c>
      <c r="F2038" s="14" t="s">
        <v>113</v>
      </c>
      <c r="G2038" s="14" t="s">
        <v>478</v>
      </c>
      <c r="H2038" s="14" t="s">
        <v>64</v>
      </c>
    </row>
    <row r="2039" spans="1:8" s="14" customFormat="1">
      <c r="A2039" s="138"/>
      <c r="B2039" s="14" t="s">
        <v>1031</v>
      </c>
      <c r="C2039" s="53">
        <v>10000</v>
      </c>
      <c r="D2039" s="53"/>
      <c r="E2039" s="8">
        <f t="shared" si="42"/>
        <v>4165585</v>
      </c>
      <c r="F2039" s="14" t="s">
        <v>113</v>
      </c>
      <c r="G2039" s="14" t="s">
        <v>114</v>
      </c>
      <c r="H2039" s="14" t="s">
        <v>64</v>
      </c>
    </row>
    <row r="2040" spans="1:8" s="14" customFormat="1">
      <c r="A2040" s="138"/>
      <c r="B2040" s="14" t="s">
        <v>3132</v>
      </c>
      <c r="C2040" s="53">
        <v>1000000</v>
      </c>
      <c r="D2040" s="53"/>
      <c r="E2040" s="8">
        <f t="shared" si="42"/>
        <v>3165585</v>
      </c>
      <c r="F2040" s="14" t="s">
        <v>319</v>
      </c>
      <c r="G2040" s="14" t="s">
        <v>392</v>
      </c>
      <c r="H2040" s="14" t="s">
        <v>64</v>
      </c>
    </row>
    <row r="2041" spans="1:8" s="14" customFormat="1">
      <c r="A2041" s="138"/>
      <c r="B2041" s="14" t="s">
        <v>4255</v>
      </c>
      <c r="C2041" s="53">
        <v>1707333</v>
      </c>
      <c r="D2041" s="53"/>
      <c r="E2041" s="54">
        <f t="shared" si="42"/>
        <v>1458252</v>
      </c>
      <c r="F2041" s="14" t="s">
        <v>115</v>
      </c>
      <c r="G2041" s="14" t="s">
        <v>440</v>
      </c>
      <c r="H2041" s="14" t="s">
        <v>4001</v>
      </c>
    </row>
    <row r="2042" spans="1:8" s="14" customFormat="1">
      <c r="A2042" s="138"/>
      <c r="B2042" s="14" t="s">
        <v>4256</v>
      </c>
      <c r="C2042" s="53">
        <v>1458250</v>
      </c>
      <c r="D2042" s="53"/>
      <c r="E2042" s="54">
        <f t="shared" si="42"/>
        <v>2</v>
      </c>
      <c r="F2042" s="14" t="s">
        <v>115</v>
      </c>
      <c r="G2042" s="14" t="s">
        <v>440</v>
      </c>
      <c r="H2042" s="14" t="s">
        <v>4002</v>
      </c>
    </row>
    <row r="2043" spans="1:8" s="14" customFormat="1">
      <c r="A2043" s="138"/>
      <c r="B2043" s="14" t="s">
        <v>419</v>
      </c>
      <c r="C2043" s="53">
        <v>2</v>
      </c>
      <c r="D2043" s="53"/>
      <c r="E2043" s="8">
        <f t="shared" si="42"/>
        <v>0</v>
      </c>
      <c r="F2043" s="14" t="s">
        <v>252</v>
      </c>
      <c r="G2043" s="14" t="s">
        <v>665</v>
      </c>
    </row>
    <row r="2044" spans="1:8" s="14" customFormat="1">
      <c r="A2044" s="3">
        <v>44537</v>
      </c>
      <c r="B2044" s="7" t="s">
        <v>3930</v>
      </c>
      <c r="C2044" s="8">
        <v>0</v>
      </c>
      <c r="D2044" s="8">
        <v>11936676</v>
      </c>
      <c r="E2044" s="8">
        <f t="shared" si="42"/>
        <v>11936676</v>
      </c>
      <c r="F2044" s="83" t="s">
        <v>107</v>
      </c>
      <c r="G2044" s="14" t="s">
        <v>666</v>
      </c>
      <c r="H2044" s="14" t="s">
        <v>141</v>
      </c>
    </row>
    <row r="2045" spans="1:8" s="14" customFormat="1">
      <c r="A2045" s="3"/>
      <c r="B2045" s="7" t="s">
        <v>4258</v>
      </c>
      <c r="C2045" s="8">
        <v>5947800</v>
      </c>
      <c r="D2045" s="8"/>
      <c r="E2045" s="8">
        <f t="shared" si="42"/>
        <v>5988876</v>
      </c>
      <c r="F2045" s="14" t="s">
        <v>137</v>
      </c>
      <c r="G2045" s="14" t="s">
        <v>138</v>
      </c>
      <c r="H2045" s="14" t="s">
        <v>2279</v>
      </c>
    </row>
    <row r="2046" spans="1:8" s="14" customFormat="1">
      <c r="A2046" s="3"/>
      <c r="B2046" s="7" t="s">
        <v>4259</v>
      </c>
      <c r="C2046" s="8">
        <v>344190</v>
      </c>
      <c r="D2046" s="8"/>
      <c r="E2046" s="8">
        <f t="shared" ref="E2046:E2156" si="43">E2045-C2046+D2046</f>
        <v>5644686</v>
      </c>
      <c r="F2046" s="14" t="s">
        <v>137</v>
      </c>
      <c r="G2046" s="14" t="s">
        <v>138</v>
      </c>
      <c r="H2046" s="14" t="s">
        <v>2279</v>
      </c>
    </row>
    <row r="2047" spans="1:8" s="14" customFormat="1">
      <c r="A2047" s="3"/>
      <c r="B2047" s="7" t="s">
        <v>4260</v>
      </c>
      <c r="C2047" s="8">
        <v>720000</v>
      </c>
      <c r="D2047" s="8"/>
      <c r="E2047" s="8">
        <f t="shared" si="43"/>
        <v>4924686</v>
      </c>
      <c r="F2047" s="14" t="s">
        <v>137</v>
      </c>
      <c r="G2047" s="14" t="s">
        <v>138</v>
      </c>
      <c r="H2047" s="14" t="s">
        <v>2279</v>
      </c>
    </row>
    <row r="2048" spans="1:8" s="14" customFormat="1">
      <c r="A2048" s="3"/>
      <c r="B2048" s="7" t="s">
        <v>1042</v>
      </c>
      <c r="C2048" s="8">
        <v>246582</v>
      </c>
      <c r="D2048" s="8"/>
      <c r="E2048" s="8">
        <f t="shared" si="43"/>
        <v>4678104</v>
      </c>
      <c r="F2048" s="14" t="s">
        <v>319</v>
      </c>
      <c r="G2048" s="14" t="s">
        <v>117</v>
      </c>
      <c r="H2048" s="14" t="s">
        <v>64</v>
      </c>
    </row>
    <row r="2049" spans="1:8" s="14" customFormat="1">
      <c r="A2049" s="3"/>
      <c r="B2049" s="7" t="s">
        <v>4261</v>
      </c>
      <c r="C2049" s="8">
        <v>1000000</v>
      </c>
      <c r="D2049" s="8"/>
      <c r="E2049" s="8">
        <f t="shared" si="43"/>
        <v>3678104</v>
      </c>
      <c r="F2049" s="14" t="s">
        <v>137</v>
      </c>
      <c r="G2049" s="14" t="s">
        <v>138</v>
      </c>
      <c r="H2049" s="14" t="s">
        <v>2279</v>
      </c>
    </row>
    <row r="2050" spans="1:8" s="14" customFormat="1">
      <c r="A2050" s="3"/>
      <c r="B2050" s="7" t="s">
        <v>1042</v>
      </c>
      <c r="C2050" s="8">
        <v>271292</v>
      </c>
      <c r="D2050" s="8"/>
      <c r="E2050" s="8">
        <f t="shared" si="43"/>
        <v>3406812</v>
      </c>
      <c r="F2050" s="14" t="s">
        <v>319</v>
      </c>
      <c r="G2050" s="14" t="s">
        <v>117</v>
      </c>
      <c r="H2050" s="14" t="s">
        <v>64</v>
      </c>
    </row>
    <row r="2051" spans="1:8" s="14" customFormat="1">
      <c r="A2051" s="3"/>
      <c r="B2051" s="7" t="s">
        <v>4262</v>
      </c>
      <c r="C2051" s="8">
        <v>5000</v>
      </c>
      <c r="D2051" s="8"/>
      <c r="E2051" s="8">
        <f t="shared" si="43"/>
        <v>3401812</v>
      </c>
      <c r="F2051" s="14" t="s">
        <v>113</v>
      </c>
      <c r="G2051" s="14" t="s">
        <v>114</v>
      </c>
      <c r="H2051" s="14" t="s">
        <v>64</v>
      </c>
    </row>
    <row r="2052" spans="1:8" s="14" customFormat="1">
      <c r="A2052" s="3"/>
      <c r="B2052" s="7" t="s">
        <v>1042</v>
      </c>
      <c r="C2052" s="8">
        <v>251907</v>
      </c>
      <c r="D2052" s="8"/>
      <c r="E2052" s="8">
        <f t="shared" si="43"/>
        <v>3149905</v>
      </c>
      <c r="F2052" s="14" t="s">
        <v>319</v>
      </c>
      <c r="G2052" s="14" t="s">
        <v>117</v>
      </c>
      <c r="H2052" s="14" t="s">
        <v>64</v>
      </c>
    </row>
    <row r="2053" spans="1:8" s="14" customFormat="1">
      <c r="A2053" s="3"/>
      <c r="B2053" s="7" t="s">
        <v>4263</v>
      </c>
      <c r="C2053" s="8">
        <v>247170</v>
      </c>
      <c r="D2053" s="8"/>
      <c r="E2053" s="8">
        <f t="shared" si="43"/>
        <v>2902735</v>
      </c>
      <c r="F2053" s="14" t="s">
        <v>248</v>
      </c>
      <c r="G2053" s="14" t="s">
        <v>407</v>
      </c>
      <c r="H2053" s="14" t="s">
        <v>64</v>
      </c>
    </row>
    <row r="2054" spans="1:8" s="14" customFormat="1">
      <c r="A2054" s="3"/>
      <c r="B2054" s="7" t="s">
        <v>3163</v>
      </c>
      <c r="C2054" s="8">
        <v>239047</v>
      </c>
      <c r="D2054" s="8"/>
      <c r="E2054" s="8">
        <f t="shared" si="43"/>
        <v>2663688</v>
      </c>
      <c r="F2054" s="14" t="s">
        <v>319</v>
      </c>
      <c r="G2054" s="14" t="s">
        <v>117</v>
      </c>
      <c r="H2054" s="14" t="s">
        <v>64</v>
      </c>
    </row>
    <row r="2055" spans="1:8" s="14" customFormat="1">
      <c r="A2055" s="3"/>
      <c r="B2055" s="7" t="s">
        <v>4264</v>
      </c>
      <c r="C2055" s="8">
        <v>261630</v>
      </c>
      <c r="D2055" s="8"/>
      <c r="E2055" s="8">
        <f t="shared" si="43"/>
        <v>2402058</v>
      </c>
      <c r="F2055" s="14" t="s">
        <v>319</v>
      </c>
      <c r="G2055" s="14" t="s">
        <v>117</v>
      </c>
      <c r="H2055" s="14" t="s">
        <v>64</v>
      </c>
    </row>
    <row r="2056" spans="1:8" s="14" customFormat="1">
      <c r="A2056" s="3"/>
      <c r="B2056" s="7" t="s">
        <v>1042</v>
      </c>
      <c r="C2056" s="8">
        <v>260199</v>
      </c>
      <c r="D2056" s="8"/>
      <c r="E2056" s="8">
        <f t="shared" si="43"/>
        <v>2141859</v>
      </c>
      <c r="F2056" s="14" t="s">
        <v>319</v>
      </c>
      <c r="G2056" s="14" t="s">
        <v>117</v>
      </c>
      <c r="H2056" s="14" t="s">
        <v>64</v>
      </c>
    </row>
    <row r="2057" spans="1:8" s="14" customFormat="1">
      <c r="A2057" s="3"/>
      <c r="B2057" s="7" t="s">
        <v>4265</v>
      </c>
      <c r="C2057" s="8">
        <v>237600</v>
      </c>
      <c r="D2057" s="8"/>
      <c r="E2057" s="8">
        <f t="shared" si="43"/>
        <v>1904259</v>
      </c>
      <c r="F2057" s="14" t="s">
        <v>137</v>
      </c>
      <c r="G2057" s="14" t="s">
        <v>138</v>
      </c>
      <c r="H2057" s="14" t="s">
        <v>3021</v>
      </c>
    </row>
    <row r="2058" spans="1:8" s="14" customFormat="1">
      <c r="A2058" s="3"/>
      <c r="B2058" s="7" t="s">
        <v>4266</v>
      </c>
      <c r="C2058" s="8">
        <v>579000</v>
      </c>
      <c r="D2058" s="8"/>
      <c r="E2058" s="8">
        <f t="shared" si="43"/>
        <v>1325259</v>
      </c>
      <c r="F2058" s="14" t="s">
        <v>137</v>
      </c>
      <c r="G2058" s="14" t="s">
        <v>138</v>
      </c>
      <c r="H2058" s="14" t="s">
        <v>3021</v>
      </c>
    </row>
    <row r="2059" spans="1:8" s="14" customFormat="1">
      <c r="A2059" s="3"/>
      <c r="B2059" s="7" t="s">
        <v>4267</v>
      </c>
      <c r="C2059" s="8">
        <v>100000</v>
      </c>
      <c r="D2059" s="8"/>
      <c r="E2059" s="8">
        <f t="shared" si="43"/>
        <v>1225259</v>
      </c>
      <c r="F2059" s="14" t="s">
        <v>137</v>
      </c>
      <c r="G2059" s="14" t="s">
        <v>138</v>
      </c>
      <c r="H2059" s="14" t="s">
        <v>3021</v>
      </c>
    </row>
    <row r="2060" spans="1:8" s="14" customFormat="1">
      <c r="A2060" s="3"/>
      <c r="B2060" s="7" t="s">
        <v>4268</v>
      </c>
      <c r="C2060" s="8">
        <v>179200</v>
      </c>
      <c r="D2060" s="8"/>
      <c r="E2060" s="8">
        <f t="shared" si="43"/>
        <v>1046059</v>
      </c>
      <c r="F2060" s="14" t="s">
        <v>137</v>
      </c>
      <c r="G2060" s="14" t="s">
        <v>138</v>
      </c>
      <c r="H2060" s="14" t="s">
        <v>3021</v>
      </c>
    </row>
    <row r="2061" spans="1:8" s="14" customFormat="1">
      <c r="A2061" s="3"/>
      <c r="B2061" s="7" t="s">
        <v>4264</v>
      </c>
      <c r="C2061" s="8">
        <v>236810</v>
      </c>
      <c r="D2061" s="8"/>
      <c r="E2061" s="8">
        <f t="shared" si="43"/>
        <v>809249</v>
      </c>
      <c r="F2061" s="14" t="s">
        <v>319</v>
      </c>
      <c r="G2061" s="14" t="s">
        <v>117</v>
      </c>
      <c r="H2061" s="14" t="s">
        <v>64</v>
      </c>
    </row>
    <row r="2062" spans="1:8" s="14" customFormat="1">
      <c r="A2062" s="3"/>
      <c r="B2062" s="7" t="s">
        <v>4269</v>
      </c>
      <c r="C2062" s="8">
        <v>277465</v>
      </c>
      <c r="D2062" s="8"/>
      <c r="E2062" s="8">
        <f t="shared" si="43"/>
        <v>531784</v>
      </c>
      <c r="F2062" s="14" t="s">
        <v>319</v>
      </c>
      <c r="G2062" s="14" t="s">
        <v>117</v>
      </c>
      <c r="H2062" s="14" t="s">
        <v>64</v>
      </c>
    </row>
    <row r="2063" spans="1:8" s="14" customFormat="1">
      <c r="A2063" s="3"/>
      <c r="B2063" s="7" t="s">
        <v>4264</v>
      </c>
      <c r="C2063" s="8">
        <v>273641</v>
      </c>
      <c r="D2063" s="8"/>
      <c r="E2063" s="8">
        <f t="shared" si="43"/>
        <v>258143</v>
      </c>
      <c r="F2063" s="14" t="s">
        <v>319</v>
      </c>
      <c r="G2063" s="14" t="s">
        <v>117</v>
      </c>
      <c r="H2063" s="14" t="s">
        <v>64</v>
      </c>
    </row>
    <row r="2064" spans="1:8" s="14" customFormat="1">
      <c r="A2064" s="3"/>
      <c r="B2064" s="7" t="s">
        <v>1042</v>
      </c>
      <c r="C2064" s="8">
        <v>248143</v>
      </c>
      <c r="D2064" s="8"/>
      <c r="E2064" s="8">
        <f t="shared" si="43"/>
        <v>10000</v>
      </c>
      <c r="F2064" s="14" t="s">
        <v>319</v>
      </c>
      <c r="G2064" s="14" t="s">
        <v>117</v>
      </c>
      <c r="H2064" s="14" t="s">
        <v>64</v>
      </c>
    </row>
    <row r="2065" spans="1:9" s="14" customFormat="1">
      <c r="A2065" s="3"/>
      <c r="B2065" s="7" t="s">
        <v>389</v>
      </c>
      <c r="C2065" s="8">
        <v>10000</v>
      </c>
      <c r="D2065" s="8"/>
      <c r="E2065" s="8">
        <f t="shared" si="43"/>
        <v>0</v>
      </c>
      <c r="F2065" s="14" t="s">
        <v>113</v>
      </c>
      <c r="G2065" s="14" t="s">
        <v>114</v>
      </c>
      <c r="H2065" s="14" t="s">
        <v>64</v>
      </c>
    </row>
    <row r="2066" spans="1:9" s="14" customFormat="1">
      <c r="A2066" s="3">
        <v>44537</v>
      </c>
      <c r="B2066" s="7" t="s">
        <v>3931</v>
      </c>
      <c r="C2066" s="8">
        <v>0</v>
      </c>
      <c r="D2066" s="8">
        <v>2497072</v>
      </c>
      <c r="E2066" s="8">
        <f t="shared" si="43"/>
        <v>2497072</v>
      </c>
      <c r="F2066" s="83" t="s">
        <v>107</v>
      </c>
      <c r="G2066" s="14" t="s">
        <v>666</v>
      </c>
      <c r="H2066" s="14" t="s">
        <v>140</v>
      </c>
      <c r="I2066"/>
    </row>
    <row r="2067" spans="1:9" s="14" customFormat="1">
      <c r="A2067" s="3"/>
      <c r="B2067" s="7" t="s">
        <v>4270</v>
      </c>
      <c r="C2067" s="8">
        <v>5000</v>
      </c>
      <c r="D2067" s="8"/>
      <c r="E2067" s="8">
        <f t="shared" si="43"/>
        <v>2492072</v>
      </c>
      <c r="F2067" s="14" t="s">
        <v>113</v>
      </c>
      <c r="G2067" s="14" t="s">
        <v>114</v>
      </c>
      <c r="H2067" s="14" t="s">
        <v>64</v>
      </c>
      <c r="I2067"/>
    </row>
    <row r="2068" spans="1:9" s="14" customFormat="1">
      <c r="A2068" s="3"/>
      <c r="B2068" s="7" t="s">
        <v>4271</v>
      </c>
      <c r="C2068" s="8">
        <v>239572</v>
      </c>
      <c r="D2068" s="8"/>
      <c r="E2068" s="8">
        <f t="shared" si="43"/>
        <v>2252500</v>
      </c>
      <c r="F2068" s="14" t="s">
        <v>319</v>
      </c>
      <c r="G2068" s="14" t="s">
        <v>1045</v>
      </c>
      <c r="H2068" s="14" t="s">
        <v>64</v>
      </c>
      <c r="I2068"/>
    </row>
    <row r="2069" spans="1:9" s="14" customFormat="1">
      <c r="A2069" s="3"/>
      <c r="B2069" s="7" t="s">
        <v>4272</v>
      </c>
      <c r="C2069" s="54">
        <v>114000</v>
      </c>
      <c r="D2069" s="54"/>
      <c r="E2069" s="54">
        <f t="shared" si="43"/>
        <v>2138500</v>
      </c>
      <c r="F2069" s="14" t="s">
        <v>137</v>
      </c>
      <c r="G2069" s="14" t="s">
        <v>138</v>
      </c>
      <c r="H2069" s="14" t="s">
        <v>2976</v>
      </c>
      <c r="I2069"/>
    </row>
    <row r="2070" spans="1:9" s="14" customFormat="1">
      <c r="A2070" s="3"/>
      <c r="B2070" s="7" t="s">
        <v>4273</v>
      </c>
      <c r="C2070" s="8">
        <v>50000</v>
      </c>
      <c r="D2070" s="8"/>
      <c r="E2070" s="8">
        <f t="shared" si="43"/>
        <v>2088500</v>
      </c>
      <c r="F2070" s="14" t="s">
        <v>113</v>
      </c>
      <c r="G2070" s="14" t="s">
        <v>114</v>
      </c>
      <c r="H2070" s="14" t="s">
        <v>64</v>
      </c>
      <c r="I2070"/>
    </row>
    <row r="2071" spans="1:9" s="14" customFormat="1">
      <c r="A2071" s="3"/>
      <c r="B2071" s="7" t="s">
        <v>4272</v>
      </c>
      <c r="C2071" s="8">
        <v>65500</v>
      </c>
      <c r="D2071" s="8"/>
      <c r="E2071" s="8">
        <f t="shared" si="43"/>
        <v>2023000</v>
      </c>
      <c r="F2071" s="14" t="s">
        <v>137</v>
      </c>
      <c r="G2071" s="14" t="s">
        <v>138</v>
      </c>
      <c r="H2071" s="14" t="s">
        <v>2976</v>
      </c>
      <c r="I2071"/>
    </row>
    <row r="2072" spans="1:9" s="14" customFormat="1">
      <c r="A2072" s="3"/>
      <c r="B2072" s="7" t="s">
        <v>4272</v>
      </c>
      <c r="C2072" s="8">
        <v>104500</v>
      </c>
      <c r="D2072" s="8"/>
      <c r="E2072" s="8">
        <f t="shared" si="43"/>
        <v>1918500</v>
      </c>
      <c r="F2072" s="14" t="s">
        <v>137</v>
      </c>
      <c r="G2072" s="14" t="s">
        <v>138</v>
      </c>
      <c r="H2072" s="14" t="s">
        <v>2976</v>
      </c>
      <c r="I2072"/>
    </row>
    <row r="2073" spans="1:9" s="14" customFormat="1">
      <c r="A2073" s="3"/>
      <c r="B2073" s="7" t="s">
        <v>4272</v>
      </c>
      <c r="C2073" s="8">
        <v>104500</v>
      </c>
      <c r="D2073" s="8"/>
      <c r="E2073" s="8">
        <f t="shared" si="43"/>
        <v>1814000</v>
      </c>
      <c r="F2073" s="14" t="s">
        <v>137</v>
      </c>
      <c r="G2073" s="14" t="s">
        <v>138</v>
      </c>
      <c r="H2073" s="14" t="s">
        <v>2976</v>
      </c>
      <c r="I2073"/>
    </row>
    <row r="2074" spans="1:9" s="14" customFormat="1">
      <c r="A2074" s="3"/>
      <c r="B2074" s="7" t="s">
        <v>4272</v>
      </c>
      <c r="C2074" s="8">
        <v>106500</v>
      </c>
      <c r="D2074" s="8"/>
      <c r="E2074" s="8">
        <f t="shared" si="43"/>
        <v>1707500</v>
      </c>
      <c r="F2074" s="14" t="s">
        <v>137</v>
      </c>
      <c r="G2074" s="14" t="s">
        <v>138</v>
      </c>
      <c r="H2074" s="14" t="s">
        <v>2976</v>
      </c>
      <c r="I2074"/>
    </row>
    <row r="2075" spans="1:9" s="14" customFormat="1">
      <c r="A2075" s="3"/>
      <c r="B2075" s="7" t="s">
        <v>4272</v>
      </c>
      <c r="C2075" s="8">
        <v>106500</v>
      </c>
      <c r="D2075" s="8"/>
      <c r="E2075" s="8">
        <f t="shared" si="43"/>
        <v>1601000</v>
      </c>
      <c r="F2075" s="14" t="s">
        <v>137</v>
      </c>
      <c r="G2075" s="14" t="s">
        <v>138</v>
      </c>
      <c r="H2075" s="14" t="s">
        <v>2976</v>
      </c>
      <c r="I2075"/>
    </row>
    <row r="2076" spans="1:9" s="14" customFormat="1">
      <c r="A2076" s="3"/>
      <c r="B2076" s="7" t="s">
        <v>4272</v>
      </c>
      <c r="C2076" s="8">
        <v>112500</v>
      </c>
      <c r="D2076" s="8"/>
      <c r="E2076" s="8">
        <f t="shared" si="43"/>
        <v>1488500</v>
      </c>
      <c r="F2076" s="14" t="s">
        <v>137</v>
      </c>
      <c r="G2076" s="14" t="s">
        <v>138</v>
      </c>
      <c r="H2076" s="14" t="s">
        <v>2976</v>
      </c>
      <c r="I2076"/>
    </row>
    <row r="2077" spans="1:9" s="14" customFormat="1">
      <c r="A2077" s="3"/>
      <c r="B2077" s="7" t="s">
        <v>4272</v>
      </c>
      <c r="C2077" s="8">
        <v>113500</v>
      </c>
      <c r="D2077" s="8"/>
      <c r="E2077" s="8">
        <f t="shared" si="43"/>
        <v>1375000</v>
      </c>
      <c r="F2077" s="14" t="s">
        <v>137</v>
      </c>
      <c r="G2077" s="14" t="s">
        <v>138</v>
      </c>
      <c r="H2077" s="14" t="s">
        <v>2976</v>
      </c>
      <c r="I2077"/>
    </row>
    <row r="2078" spans="1:9" s="14" customFormat="1">
      <c r="A2078" s="3"/>
      <c r="B2078" s="7" t="s">
        <v>4272</v>
      </c>
      <c r="C2078" s="8">
        <v>114500</v>
      </c>
      <c r="D2078" s="8"/>
      <c r="E2078" s="8">
        <f t="shared" si="43"/>
        <v>1260500</v>
      </c>
      <c r="F2078" s="14" t="s">
        <v>137</v>
      </c>
      <c r="G2078" s="14" t="s">
        <v>138</v>
      </c>
      <c r="H2078" s="14" t="s">
        <v>2976</v>
      </c>
      <c r="I2078"/>
    </row>
    <row r="2079" spans="1:9" s="14" customFormat="1">
      <c r="A2079" s="3"/>
      <c r="B2079" s="7" t="s">
        <v>4272</v>
      </c>
      <c r="C2079" s="8">
        <v>114500</v>
      </c>
      <c r="D2079" s="8"/>
      <c r="E2079" s="8">
        <f t="shared" si="43"/>
        <v>1146000</v>
      </c>
      <c r="F2079" s="14" t="s">
        <v>137</v>
      </c>
      <c r="G2079" s="14" t="s">
        <v>138</v>
      </c>
      <c r="H2079" s="14" t="s">
        <v>2976</v>
      </c>
      <c r="I2079"/>
    </row>
    <row r="2080" spans="1:9" s="14" customFormat="1">
      <c r="A2080" s="3"/>
      <c r="B2080" s="7" t="s">
        <v>4272</v>
      </c>
      <c r="C2080" s="8">
        <v>117500</v>
      </c>
      <c r="D2080" s="8"/>
      <c r="E2080" s="8">
        <f t="shared" si="43"/>
        <v>1028500</v>
      </c>
      <c r="F2080" s="14" t="s">
        <v>137</v>
      </c>
      <c r="G2080" s="14" t="s">
        <v>138</v>
      </c>
      <c r="H2080" s="14" t="s">
        <v>2976</v>
      </c>
      <c r="I2080"/>
    </row>
    <row r="2081" spans="1:9" s="14" customFormat="1">
      <c r="A2081" s="3"/>
      <c r="B2081" s="7" t="s">
        <v>4272</v>
      </c>
      <c r="C2081" s="8">
        <v>140000</v>
      </c>
      <c r="D2081" s="8"/>
      <c r="E2081" s="8">
        <f t="shared" si="43"/>
        <v>888500</v>
      </c>
      <c r="F2081" s="14" t="s">
        <v>137</v>
      </c>
      <c r="G2081" s="14" t="s">
        <v>138</v>
      </c>
      <c r="H2081" s="14" t="s">
        <v>2976</v>
      </c>
      <c r="I2081"/>
    </row>
    <row r="2082" spans="1:9" s="14" customFormat="1">
      <c r="A2082" s="3"/>
      <c r="B2082" s="7" t="s">
        <v>4272</v>
      </c>
      <c r="C2082" s="8">
        <v>148500</v>
      </c>
      <c r="D2082" s="8"/>
      <c r="E2082" s="8">
        <f t="shared" si="43"/>
        <v>740000</v>
      </c>
      <c r="F2082" s="14" t="s">
        <v>137</v>
      </c>
      <c r="G2082" s="14" t="s">
        <v>138</v>
      </c>
      <c r="H2082" s="14" t="s">
        <v>2976</v>
      </c>
      <c r="I2082"/>
    </row>
    <row r="2083" spans="1:9" s="14" customFormat="1">
      <c r="A2083" s="3"/>
      <c r="B2083" s="7" t="s">
        <v>4272</v>
      </c>
      <c r="C2083" s="8">
        <v>105500</v>
      </c>
      <c r="D2083" s="8"/>
      <c r="E2083" s="8">
        <f t="shared" si="43"/>
        <v>634500</v>
      </c>
      <c r="F2083" s="14" t="s">
        <v>137</v>
      </c>
      <c r="G2083" s="14" t="s">
        <v>138</v>
      </c>
      <c r="H2083" s="14" t="s">
        <v>2976</v>
      </c>
      <c r="I2083"/>
    </row>
    <row r="2084" spans="1:9" s="14" customFormat="1">
      <c r="A2084" s="3"/>
      <c r="B2084" s="7" t="s">
        <v>4272</v>
      </c>
      <c r="C2084" s="8">
        <v>104500</v>
      </c>
      <c r="D2084" s="8"/>
      <c r="E2084" s="8">
        <f t="shared" si="43"/>
        <v>530000</v>
      </c>
      <c r="F2084" s="14" t="s">
        <v>137</v>
      </c>
      <c r="G2084" s="14" t="s">
        <v>138</v>
      </c>
      <c r="H2084" s="14" t="s">
        <v>2976</v>
      </c>
      <c r="I2084"/>
    </row>
    <row r="2085" spans="1:9" s="14" customFormat="1">
      <c r="A2085" s="3"/>
      <c r="B2085" s="7" t="s">
        <v>4272</v>
      </c>
      <c r="C2085" s="8">
        <v>107500</v>
      </c>
      <c r="D2085" s="8"/>
      <c r="E2085" s="8">
        <f t="shared" si="43"/>
        <v>422500</v>
      </c>
      <c r="F2085" s="14" t="s">
        <v>137</v>
      </c>
      <c r="G2085" s="14" t="s">
        <v>138</v>
      </c>
      <c r="H2085" s="14" t="s">
        <v>2976</v>
      </c>
      <c r="I2085"/>
    </row>
    <row r="2086" spans="1:9" s="14" customFormat="1">
      <c r="A2086" s="3"/>
      <c r="B2086" s="7" t="s">
        <v>4272</v>
      </c>
      <c r="C2086" s="8">
        <v>114500</v>
      </c>
      <c r="D2086" s="8"/>
      <c r="E2086" s="8">
        <f t="shared" si="43"/>
        <v>308000</v>
      </c>
      <c r="F2086" s="14" t="s">
        <v>137</v>
      </c>
      <c r="G2086" s="14" t="s">
        <v>138</v>
      </c>
      <c r="H2086" s="14" t="s">
        <v>2976</v>
      </c>
      <c r="I2086"/>
    </row>
    <row r="2087" spans="1:9" s="14" customFormat="1">
      <c r="A2087" s="3"/>
      <c r="B2087" s="7" t="s">
        <v>4272</v>
      </c>
      <c r="C2087" s="8">
        <v>104500</v>
      </c>
      <c r="D2087" s="8"/>
      <c r="E2087" s="8">
        <f t="shared" si="43"/>
        <v>203500</v>
      </c>
      <c r="F2087" s="14" t="s">
        <v>137</v>
      </c>
      <c r="G2087" s="14" t="s">
        <v>138</v>
      </c>
      <c r="H2087" s="14" t="s">
        <v>2976</v>
      </c>
    </row>
    <row r="2088" spans="1:9" s="14" customFormat="1">
      <c r="A2088" s="3"/>
      <c r="B2088" s="7" t="s">
        <v>4272</v>
      </c>
      <c r="C2088" s="8">
        <v>105500</v>
      </c>
      <c r="D2088" s="8"/>
      <c r="E2088" s="8">
        <f t="shared" si="43"/>
        <v>98000</v>
      </c>
      <c r="F2088" s="14" t="s">
        <v>137</v>
      </c>
      <c r="G2088" s="14" t="s">
        <v>138</v>
      </c>
      <c r="H2088" s="14" t="s">
        <v>2976</v>
      </c>
    </row>
    <row r="2089" spans="1:9" s="14" customFormat="1">
      <c r="A2089" s="3"/>
      <c r="B2089" s="7" t="s">
        <v>4272</v>
      </c>
      <c r="C2089" s="8">
        <v>98000</v>
      </c>
      <c r="D2089" s="8"/>
      <c r="E2089" s="8">
        <f t="shared" si="43"/>
        <v>0</v>
      </c>
      <c r="F2089" s="14" t="s">
        <v>137</v>
      </c>
      <c r="G2089" s="14" t="s">
        <v>138</v>
      </c>
      <c r="H2089" s="14" t="s">
        <v>2976</v>
      </c>
    </row>
    <row r="2090" spans="1:9" s="14" customFormat="1">
      <c r="A2090" s="3">
        <v>44537</v>
      </c>
      <c r="B2090" s="7" t="s">
        <v>3933</v>
      </c>
      <c r="C2090" s="8">
        <v>0</v>
      </c>
      <c r="D2090" s="8">
        <v>4700000</v>
      </c>
      <c r="E2090" s="8">
        <f t="shared" si="43"/>
        <v>4700000</v>
      </c>
      <c r="F2090" s="83" t="s">
        <v>107</v>
      </c>
      <c r="G2090" s="14" t="s">
        <v>666</v>
      </c>
      <c r="H2090" s="14" t="s">
        <v>3992</v>
      </c>
    </row>
    <row r="2091" spans="1:9" s="14" customFormat="1">
      <c r="A2091" s="3"/>
      <c r="B2091" s="7" t="s">
        <v>4430</v>
      </c>
      <c r="C2091" s="54">
        <v>2623500</v>
      </c>
      <c r="D2091" s="54"/>
      <c r="E2091" s="54">
        <f t="shared" si="43"/>
        <v>2076500</v>
      </c>
      <c r="F2091" s="14" t="s">
        <v>137</v>
      </c>
      <c r="G2091" s="14" t="s">
        <v>138</v>
      </c>
      <c r="H2091" s="14" t="s">
        <v>3046</v>
      </c>
    </row>
    <row r="2092" spans="1:9" s="14" customFormat="1">
      <c r="A2092" s="3"/>
      <c r="B2092" s="7" t="s">
        <v>4431</v>
      </c>
      <c r="C2092" s="54">
        <v>750000</v>
      </c>
      <c r="D2092" s="54"/>
      <c r="E2092" s="54">
        <f t="shared" si="43"/>
        <v>1326500</v>
      </c>
      <c r="F2092" s="14" t="s">
        <v>137</v>
      </c>
      <c r="G2092" s="14" t="s">
        <v>138</v>
      </c>
      <c r="H2092" s="14" t="s">
        <v>3046</v>
      </c>
    </row>
    <row r="2093" spans="1:9" s="14" customFormat="1">
      <c r="A2093" s="3"/>
      <c r="B2093" s="7" t="s">
        <v>4018</v>
      </c>
      <c r="C2093" s="8">
        <v>1326500</v>
      </c>
      <c r="D2093" s="8">
        <v>0</v>
      </c>
      <c r="E2093" s="8">
        <f t="shared" si="43"/>
        <v>0</v>
      </c>
      <c r="F2093" s="83" t="s">
        <v>107</v>
      </c>
      <c r="G2093" s="14" t="s">
        <v>668</v>
      </c>
      <c r="H2093" s="14" t="s">
        <v>3992</v>
      </c>
    </row>
    <row r="2094" spans="1:9" s="14" customFormat="1">
      <c r="A2094" s="138">
        <v>44537</v>
      </c>
      <c r="B2094" s="14" t="s">
        <v>4383</v>
      </c>
      <c r="C2094" s="53">
        <v>0</v>
      </c>
      <c r="D2094" s="53">
        <v>5511741</v>
      </c>
      <c r="E2094" s="54">
        <f t="shared" si="43"/>
        <v>5511741</v>
      </c>
      <c r="F2094" s="14" t="s">
        <v>107</v>
      </c>
      <c r="G2094" s="14" t="s">
        <v>274</v>
      </c>
      <c r="H2094" s="14" t="s">
        <v>64</v>
      </c>
    </row>
    <row r="2095" spans="1:9" s="14" customFormat="1">
      <c r="A2095" s="138"/>
      <c r="B2095" s="14" t="s">
        <v>4680</v>
      </c>
      <c r="C2095" s="53">
        <v>1921185</v>
      </c>
      <c r="D2095" s="53">
        <v>0</v>
      </c>
      <c r="E2095" s="54">
        <f t="shared" si="43"/>
        <v>3590556</v>
      </c>
      <c r="F2095" s="14" t="s">
        <v>568</v>
      </c>
      <c r="G2095" s="14" t="s">
        <v>4679</v>
      </c>
      <c r="H2095" s="168" t="s">
        <v>4862</v>
      </c>
      <c r="I2095" s="14">
        <v>38</v>
      </c>
    </row>
    <row r="2096" spans="1:9" s="14" customFormat="1">
      <c r="A2096" s="138"/>
      <c r="B2096" s="14" t="s">
        <v>4681</v>
      </c>
      <c r="C2096" s="53">
        <v>0</v>
      </c>
      <c r="D2096" s="53">
        <v>350000</v>
      </c>
      <c r="E2096" s="54">
        <f t="shared" si="43"/>
        <v>3940556</v>
      </c>
      <c r="F2096" s="14" t="s">
        <v>110</v>
      </c>
      <c r="G2096" s="14" t="s">
        <v>616</v>
      </c>
      <c r="H2096" s="14" t="s">
        <v>4621</v>
      </c>
    </row>
    <row r="2097" spans="1:9" s="14" customFormat="1">
      <c r="A2097" s="138"/>
      <c r="B2097" s="14" t="s">
        <v>4682</v>
      </c>
      <c r="C2097" s="53">
        <v>0</v>
      </c>
      <c r="D2097" s="53">
        <v>1000000</v>
      </c>
      <c r="E2097" s="54">
        <f t="shared" si="43"/>
        <v>4940556</v>
      </c>
      <c r="F2097" s="14" t="s">
        <v>110</v>
      </c>
      <c r="G2097" s="14" t="s">
        <v>616</v>
      </c>
      <c r="H2097" s="14" t="s">
        <v>4621</v>
      </c>
    </row>
    <row r="2098" spans="1:9" s="14" customFormat="1">
      <c r="A2098" s="138"/>
      <c r="B2098" s="52" t="s">
        <v>4683</v>
      </c>
      <c r="C2098" s="53">
        <v>0</v>
      </c>
      <c r="D2098" s="53">
        <v>7000000</v>
      </c>
      <c r="E2098" s="54">
        <f t="shared" si="43"/>
        <v>11940556</v>
      </c>
      <c r="F2098" s="14" t="s">
        <v>110</v>
      </c>
      <c r="G2098" s="14" t="s">
        <v>616</v>
      </c>
      <c r="H2098" s="14" t="s">
        <v>4621</v>
      </c>
    </row>
    <row r="2099" spans="1:9" s="14" customFormat="1">
      <c r="A2099" s="138"/>
      <c r="B2099" s="14" t="s">
        <v>4684</v>
      </c>
      <c r="C2099" s="53">
        <v>0</v>
      </c>
      <c r="D2099" s="53">
        <v>350000</v>
      </c>
      <c r="E2099" s="54">
        <f t="shared" si="43"/>
        <v>12290556</v>
      </c>
      <c r="F2099" s="14" t="s">
        <v>110</v>
      </c>
      <c r="G2099" s="14" t="s">
        <v>616</v>
      </c>
      <c r="H2099" s="14" t="s">
        <v>4621</v>
      </c>
    </row>
    <row r="2100" spans="1:9" s="14" customFormat="1">
      <c r="A2100" s="138"/>
      <c r="B2100" s="14" t="s">
        <v>4685</v>
      </c>
      <c r="C2100" s="53">
        <v>0</v>
      </c>
      <c r="D2100" s="53">
        <v>350000</v>
      </c>
      <c r="E2100" s="54">
        <f t="shared" si="43"/>
        <v>12640556</v>
      </c>
      <c r="F2100" s="14" t="s">
        <v>110</v>
      </c>
      <c r="G2100" s="14" t="s">
        <v>616</v>
      </c>
      <c r="H2100" s="14" t="s">
        <v>4621</v>
      </c>
    </row>
    <row r="2101" spans="1:9" s="14" customFormat="1">
      <c r="A2101" s="138"/>
      <c r="B2101" s="14" t="s">
        <v>4686</v>
      </c>
      <c r="C2101" s="53">
        <v>734250</v>
      </c>
      <c r="D2101" s="53">
        <v>0</v>
      </c>
      <c r="E2101" s="54">
        <f t="shared" si="43"/>
        <v>11906306</v>
      </c>
      <c r="F2101" s="14" t="s">
        <v>568</v>
      </c>
      <c r="G2101" s="14" t="s">
        <v>4679</v>
      </c>
      <c r="H2101" s="168" t="s">
        <v>1131</v>
      </c>
      <c r="I2101" s="14">
        <v>20</v>
      </c>
    </row>
    <row r="2102" spans="1:9" s="14" customFormat="1">
      <c r="A2102" s="138"/>
      <c r="B2102" s="14" t="s">
        <v>4687</v>
      </c>
      <c r="C2102" s="53">
        <v>0</v>
      </c>
      <c r="D2102" s="53">
        <v>350000</v>
      </c>
      <c r="E2102" s="54">
        <f t="shared" si="43"/>
        <v>12256306</v>
      </c>
      <c r="F2102" s="14" t="s">
        <v>110</v>
      </c>
      <c r="G2102" s="14" t="s">
        <v>616</v>
      </c>
      <c r="H2102" s="14" t="s">
        <v>4621</v>
      </c>
    </row>
    <row r="2103" spans="1:9" s="14" customFormat="1">
      <c r="A2103" s="138"/>
      <c r="B2103" s="14" t="s">
        <v>4688</v>
      </c>
      <c r="C2103" s="53">
        <v>0</v>
      </c>
      <c r="D2103" s="53">
        <v>1800000</v>
      </c>
      <c r="E2103" s="54">
        <f t="shared" si="43"/>
        <v>14056306</v>
      </c>
      <c r="F2103" s="14" t="s">
        <v>110</v>
      </c>
      <c r="G2103" s="14" t="s">
        <v>616</v>
      </c>
      <c r="H2103" s="14" t="s">
        <v>4621</v>
      </c>
    </row>
    <row r="2104" spans="1:9" s="14" customFormat="1">
      <c r="A2104" s="138"/>
      <c r="B2104" s="52" t="s">
        <v>4689</v>
      </c>
      <c r="C2104" s="53">
        <v>610900</v>
      </c>
      <c r="D2104" s="53">
        <v>0</v>
      </c>
      <c r="E2104" s="54">
        <f t="shared" si="43"/>
        <v>13445406</v>
      </c>
      <c r="F2104" s="14" t="s">
        <v>568</v>
      </c>
      <c r="G2104" s="14" t="s">
        <v>4679</v>
      </c>
      <c r="H2104" s="168" t="s">
        <v>4141</v>
      </c>
      <c r="I2104" s="14">
        <v>47</v>
      </c>
    </row>
    <row r="2105" spans="1:9" s="14" customFormat="1">
      <c r="A2105" s="3"/>
      <c r="B2105" s="14" t="s">
        <v>4690</v>
      </c>
      <c r="C2105" s="53">
        <v>0</v>
      </c>
      <c r="D2105" s="53">
        <v>350000</v>
      </c>
      <c r="E2105" s="54">
        <f t="shared" si="43"/>
        <v>13795406</v>
      </c>
      <c r="F2105" s="14" t="s">
        <v>110</v>
      </c>
      <c r="G2105" s="14" t="s">
        <v>616</v>
      </c>
      <c r="H2105" s="14" t="s">
        <v>4621</v>
      </c>
    </row>
    <row r="2106" spans="1:9" s="14" customFormat="1">
      <c r="A2106" s="3"/>
      <c r="B2106" s="14" t="s">
        <v>4691</v>
      </c>
      <c r="C2106" s="53">
        <v>0</v>
      </c>
      <c r="D2106" s="53">
        <v>350000</v>
      </c>
      <c r="E2106" s="54">
        <f t="shared" si="43"/>
        <v>14145406</v>
      </c>
      <c r="F2106" s="14" t="s">
        <v>110</v>
      </c>
      <c r="G2106" s="14" t="s">
        <v>616</v>
      </c>
      <c r="H2106" s="14" t="s">
        <v>4621</v>
      </c>
    </row>
    <row r="2107" spans="1:9" s="14" customFormat="1">
      <c r="A2107" s="3"/>
      <c r="B2107" s="14" t="s">
        <v>4692</v>
      </c>
      <c r="C2107" s="53">
        <v>0</v>
      </c>
      <c r="D2107" s="53">
        <v>350000</v>
      </c>
      <c r="E2107" s="54">
        <f t="shared" si="43"/>
        <v>14495406</v>
      </c>
      <c r="F2107" s="14" t="s">
        <v>110</v>
      </c>
      <c r="G2107" s="14" t="s">
        <v>616</v>
      </c>
      <c r="H2107" s="14" t="s">
        <v>4621</v>
      </c>
    </row>
    <row r="2108" spans="1:9" s="14" customFormat="1">
      <c r="A2108" s="3"/>
      <c r="B2108" s="14" t="s">
        <v>4693</v>
      </c>
      <c r="C2108" s="53">
        <v>754455</v>
      </c>
      <c r="D2108" s="54"/>
      <c r="E2108" s="54">
        <f t="shared" si="43"/>
        <v>13740951</v>
      </c>
      <c r="F2108" s="14" t="s">
        <v>568</v>
      </c>
      <c r="G2108" s="14" t="s">
        <v>4679</v>
      </c>
      <c r="H2108" s="14" t="s">
        <v>2994</v>
      </c>
      <c r="I2108" s="14">
        <v>97</v>
      </c>
    </row>
    <row r="2109" spans="1:9" s="14" customFormat="1">
      <c r="A2109" s="3"/>
      <c r="B2109" s="14" t="s">
        <v>4694</v>
      </c>
      <c r="C2109" s="53">
        <v>17727314</v>
      </c>
      <c r="D2109" s="54"/>
      <c r="E2109" s="54">
        <f t="shared" si="43"/>
        <v>-3986363</v>
      </c>
      <c r="F2109" s="14" t="s">
        <v>568</v>
      </c>
      <c r="G2109" s="14" t="s">
        <v>4679</v>
      </c>
      <c r="H2109" s="168" t="s">
        <v>3038</v>
      </c>
      <c r="I2109" s="14">
        <v>75</v>
      </c>
    </row>
    <row r="2110" spans="1:9" s="14" customFormat="1">
      <c r="A2110" s="3"/>
      <c r="B2110" s="14" t="s">
        <v>4695</v>
      </c>
      <c r="C2110" s="53"/>
      <c r="D2110" s="54">
        <v>350000</v>
      </c>
      <c r="E2110" s="54">
        <f t="shared" si="43"/>
        <v>-3636363</v>
      </c>
      <c r="F2110" s="14" t="s">
        <v>110</v>
      </c>
      <c r="G2110" s="14" t="s">
        <v>616</v>
      </c>
      <c r="H2110" s="14" t="s">
        <v>4621</v>
      </c>
    </row>
    <row r="2111" spans="1:9" s="14" customFormat="1">
      <c r="A2111" s="3"/>
      <c r="B2111" s="14" t="s">
        <v>4696</v>
      </c>
      <c r="C2111" s="53"/>
      <c r="D2111" s="54">
        <v>3636363</v>
      </c>
      <c r="E2111" s="54">
        <f t="shared" si="43"/>
        <v>0</v>
      </c>
      <c r="F2111" s="14" t="s">
        <v>110</v>
      </c>
      <c r="G2111" s="14" t="s">
        <v>616</v>
      </c>
      <c r="H2111" s="14" t="s">
        <v>4621</v>
      </c>
    </row>
    <row r="2112" spans="1:9" s="14" customFormat="1">
      <c r="A2112" s="3">
        <v>44537</v>
      </c>
      <c r="B2112" s="7" t="s">
        <v>5028</v>
      </c>
      <c r="C2112" s="8">
        <v>0</v>
      </c>
      <c r="D2112" s="8">
        <v>10000000</v>
      </c>
      <c r="E2112" s="54">
        <f t="shared" si="43"/>
        <v>10000000</v>
      </c>
      <c r="F2112" s="83" t="s">
        <v>107</v>
      </c>
      <c r="G2112" s="14" t="s">
        <v>666</v>
      </c>
      <c r="H2112" s="14" t="s">
        <v>3405</v>
      </c>
      <c r="I2112" t="s">
        <v>5029</v>
      </c>
    </row>
    <row r="2113" spans="1:9" s="14" customFormat="1">
      <c r="A2113" s="3"/>
      <c r="B2113" s="14" t="s">
        <v>5030</v>
      </c>
      <c r="C2113" s="53">
        <v>7830000</v>
      </c>
      <c r="D2113" s="54"/>
      <c r="E2113" s="54">
        <f t="shared" si="43"/>
        <v>2170000</v>
      </c>
      <c r="F2113" s="14" t="s">
        <v>110</v>
      </c>
      <c r="G2113" s="14" t="s">
        <v>321</v>
      </c>
      <c r="H2113" s="14" t="s">
        <v>2987</v>
      </c>
    </row>
    <row r="2114" spans="1:9" s="14" customFormat="1">
      <c r="A2114" s="3"/>
      <c r="B2114" s="14" t="s">
        <v>5031</v>
      </c>
      <c r="C2114" s="53">
        <v>131900</v>
      </c>
      <c r="D2114" s="54"/>
      <c r="E2114" s="54">
        <f t="shared" si="43"/>
        <v>2038100</v>
      </c>
      <c r="F2114" s="14" t="s">
        <v>137</v>
      </c>
      <c r="G2114" s="14" t="s">
        <v>138</v>
      </c>
      <c r="H2114" s="14" t="s">
        <v>4137</v>
      </c>
    </row>
    <row r="2115" spans="1:9" s="14" customFormat="1">
      <c r="A2115" s="3"/>
      <c r="B2115" s="14" t="s">
        <v>5032</v>
      </c>
      <c r="C2115" s="53">
        <v>127592</v>
      </c>
      <c r="D2115" s="54"/>
      <c r="E2115" s="54">
        <f t="shared" si="43"/>
        <v>1910508</v>
      </c>
      <c r="F2115" s="14" t="s">
        <v>137</v>
      </c>
      <c r="G2115" s="14" t="s">
        <v>138</v>
      </c>
      <c r="H2115" s="14" t="s">
        <v>4137</v>
      </c>
    </row>
    <row r="2116" spans="1:9" s="14" customFormat="1">
      <c r="A2116" s="3"/>
      <c r="B2116" s="14" t="s">
        <v>5033</v>
      </c>
      <c r="C2116" s="53">
        <v>1563000</v>
      </c>
      <c r="D2116" s="54"/>
      <c r="E2116" s="54">
        <f t="shared" si="43"/>
        <v>347508</v>
      </c>
      <c r="F2116" s="14" t="s">
        <v>137</v>
      </c>
      <c r="G2116" s="14" t="s">
        <v>138</v>
      </c>
      <c r="H2116" s="14" t="s">
        <v>4137</v>
      </c>
    </row>
    <row r="2117" spans="1:9" s="14" customFormat="1">
      <c r="A2117" s="3"/>
      <c r="B2117" s="14" t="s">
        <v>5034</v>
      </c>
      <c r="C2117" s="53">
        <v>300000</v>
      </c>
      <c r="D2117" s="54"/>
      <c r="E2117" s="54">
        <f t="shared" si="43"/>
        <v>47508</v>
      </c>
      <c r="F2117" s="14" t="s">
        <v>115</v>
      </c>
      <c r="G2117" s="14" t="s">
        <v>120</v>
      </c>
      <c r="H2117" s="14" t="s">
        <v>127</v>
      </c>
      <c r="I2117" s="14" t="s">
        <v>444</v>
      </c>
    </row>
    <row r="2118" spans="1:9" s="14" customFormat="1">
      <c r="A2118" s="3"/>
      <c r="B2118" s="14" t="s">
        <v>5035</v>
      </c>
      <c r="C2118" s="53">
        <v>22000</v>
      </c>
      <c r="D2118" s="54"/>
      <c r="E2118" s="54">
        <f t="shared" si="43"/>
        <v>25508</v>
      </c>
      <c r="F2118" s="14" t="s">
        <v>137</v>
      </c>
      <c r="G2118" s="14" t="s">
        <v>138</v>
      </c>
      <c r="H2118" s="14" t="s">
        <v>4137</v>
      </c>
    </row>
    <row r="2119" spans="1:9" s="14" customFormat="1">
      <c r="A2119" s="3"/>
      <c r="B2119" s="7" t="s">
        <v>5036</v>
      </c>
      <c r="C2119" s="54">
        <v>25508</v>
      </c>
      <c r="D2119" s="54"/>
      <c r="E2119" s="54">
        <f t="shared" si="43"/>
        <v>0</v>
      </c>
      <c r="F2119" s="14" t="s">
        <v>110</v>
      </c>
      <c r="G2119" s="14" t="s">
        <v>118</v>
      </c>
      <c r="H2119" s="14" t="s">
        <v>128</v>
      </c>
    </row>
    <row r="2120" spans="1:9" s="14" customFormat="1">
      <c r="A2120" s="3">
        <v>44538</v>
      </c>
      <c r="B2120" t="s">
        <v>4112</v>
      </c>
      <c r="C2120" s="8">
        <v>0</v>
      </c>
      <c r="D2120" s="8">
        <v>38180050</v>
      </c>
      <c r="E2120" s="54">
        <f t="shared" si="43"/>
        <v>38180050</v>
      </c>
      <c r="F2120" t="s">
        <v>581</v>
      </c>
      <c r="G2120" t="s">
        <v>582</v>
      </c>
      <c r="H2120" s="14" t="s">
        <v>3021</v>
      </c>
      <c r="I2120">
        <v>100</v>
      </c>
    </row>
    <row r="2121" spans="1:9" s="14" customFormat="1">
      <c r="A2121" s="3"/>
      <c r="B2121" t="s">
        <v>4112</v>
      </c>
      <c r="C2121" s="53">
        <v>31816708</v>
      </c>
      <c r="D2121" s="8"/>
      <c r="E2121" s="54">
        <f t="shared" si="43"/>
        <v>6363342</v>
      </c>
      <c r="F2121" s="14" t="s">
        <v>568</v>
      </c>
      <c r="G2121" s="14" t="s">
        <v>4395</v>
      </c>
      <c r="H2121" s="14" t="s">
        <v>3021</v>
      </c>
      <c r="I2121">
        <v>100</v>
      </c>
    </row>
    <row r="2122" spans="1:9" s="14" customFormat="1">
      <c r="A2122" s="3"/>
      <c r="B2122" t="s">
        <v>4112</v>
      </c>
      <c r="C2122" s="53">
        <v>6363342</v>
      </c>
      <c r="D2122" s="8"/>
      <c r="E2122" s="54">
        <f t="shared" si="43"/>
        <v>0</v>
      </c>
      <c r="F2122" t="s">
        <v>714</v>
      </c>
      <c r="G2122" t="s">
        <v>715</v>
      </c>
      <c r="H2122" s="14" t="s">
        <v>3021</v>
      </c>
      <c r="I2122">
        <v>100</v>
      </c>
    </row>
    <row r="2123" spans="1:9" s="14" customFormat="1">
      <c r="A2123" s="3">
        <v>44539</v>
      </c>
      <c r="B2123" t="s">
        <v>4113</v>
      </c>
      <c r="C2123" s="8">
        <v>0</v>
      </c>
      <c r="D2123" s="8">
        <v>4955940</v>
      </c>
      <c r="E2123" s="54">
        <f t="shared" si="43"/>
        <v>4955940</v>
      </c>
      <c r="F2123" t="s">
        <v>581</v>
      </c>
      <c r="G2123" t="s">
        <v>582</v>
      </c>
      <c r="H2123" s="14" t="s">
        <v>2990</v>
      </c>
      <c r="I2123">
        <v>92</v>
      </c>
    </row>
    <row r="2124" spans="1:9" s="14" customFormat="1">
      <c r="A2124" s="3"/>
      <c r="B2124" t="s">
        <v>4113</v>
      </c>
      <c r="C2124" s="53">
        <v>4129950</v>
      </c>
      <c r="D2124" s="8"/>
      <c r="E2124" s="54">
        <f t="shared" si="43"/>
        <v>825990</v>
      </c>
      <c r="F2124" s="14" t="s">
        <v>568</v>
      </c>
      <c r="G2124" s="14" t="s">
        <v>4395</v>
      </c>
      <c r="H2124" s="14" t="s">
        <v>2990</v>
      </c>
      <c r="I2124">
        <v>92</v>
      </c>
    </row>
    <row r="2125" spans="1:9" s="14" customFormat="1">
      <c r="A2125" s="3"/>
      <c r="B2125" t="s">
        <v>4113</v>
      </c>
      <c r="C2125" s="53">
        <v>825990</v>
      </c>
      <c r="D2125" s="8"/>
      <c r="E2125" s="54">
        <f t="shared" si="43"/>
        <v>0</v>
      </c>
      <c r="F2125" t="s">
        <v>714</v>
      </c>
      <c r="G2125" t="s">
        <v>715</v>
      </c>
      <c r="H2125" s="14" t="s">
        <v>2990</v>
      </c>
      <c r="I2125">
        <v>92</v>
      </c>
    </row>
    <row r="2126" spans="1:9" s="14" customFormat="1">
      <c r="A2126" s="3">
        <v>44539</v>
      </c>
      <c r="B2126" t="s">
        <v>4079</v>
      </c>
      <c r="C2126" s="54">
        <v>0</v>
      </c>
      <c r="D2126" s="54">
        <v>107716</v>
      </c>
      <c r="E2126" s="54">
        <f t="shared" si="43"/>
        <v>107716</v>
      </c>
      <c r="F2126" s="10" t="s">
        <v>581</v>
      </c>
      <c r="G2126" s="10" t="s">
        <v>582</v>
      </c>
      <c r="H2126" s="14" t="s">
        <v>2992</v>
      </c>
      <c r="I2126">
        <v>113</v>
      </c>
    </row>
    <row r="2127" spans="1:9" s="14" customFormat="1">
      <c r="A2127" s="3"/>
      <c r="B2127" t="s">
        <v>4079</v>
      </c>
      <c r="C2127" s="54">
        <v>107716</v>
      </c>
      <c r="D2127" s="8">
        <v>0</v>
      </c>
      <c r="E2127" s="54">
        <f t="shared" si="43"/>
        <v>0</v>
      </c>
      <c r="F2127" t="s">
        <v>714</v>
      </c>
      <c r="G2127" t="s">
        <v>715</v>
      </c>
      <c r="H2127" s="14" t="s">
        <v>2992</v>
      </c>
      <c r="I2127">
        <v>113</v>
      </c>
    </row>
    <row r="2128" spans="1:9" s="14" customFormat="1">
      <c r="A2128" s="3">
        <v>44539</v>
      </c>
      <c r="B2128" t="s">
        <v>4081</v>
      </c>
      <c r="C2128" s="8">
        <v>0</v>
      </c>
      <c r="D2128" s="8">
        <v>0.45</v>
      </c>
      <c r="E2128" s="54">
        <f t="shared" si="43"/>
        <v>0.45</v>
      </c>
      <c r="F2128" s="10" t="s">
        <v>581</v>
      </c>
      <c r="G2128" s="10" t="s">
        <v>582</v>
      </c>
      <c r="H2128" t="s">
        <v>2994</v>
      </c>
      <c r="I2128">
        <v>99</v>
      </c>
    </row>
    <row r="2129" spans="1:9" s="14" customFormat="1">
      <c r="A2129" s="3"/>
      <c r="B2129" t="s">
        <v>4081</v>
      </c>
      <c r="C2129" s="8">
        <v>0.45</v>
      </c>
      <c r="D2129" s="8"/>
      <c r="E2129" s="54">
        <f t="shared" si="43"/>
        <v>0</v>
      </c>
      <c r="F2129" t="s">
        <v>252</v>
      </c>
      <c r="G2129" t="s">
        <v>665</v>
      </c>
      <c r="I2129"/>
    </row>
    <row r="2130" spans="1:9" s="14" customFormat="1">
      <c r="A2130" s="3">
        <v>44540</v>
      </c>
      <c r="B2130" t="s">
        <v>4082</v>
      </c>
      <c r="C2130" s="8">
        <v>0</v>
      </c>
      <c r="D2130" s="8">
        <v>2126985</v>
      </c>
      <c r="E2130" s="54">
        <f t="shared" si="43"/>
        <v>2126985</v>
      </c>
      <c r="F2130" s="10" t="s">
        <v>581</v>
      </c>
      <c r="G2130" s="10" t="s">
        <v>582</v>
      </c>
      <c r="H2130" s="14" t="s">
        <v>3046</v>
      </c>
      <c r="I2130">
        <v>105</v>
      </c>
    </row>
    <row r="2131" spans="1:9" s="14" customFormat="1">
      <c r="A2131" s="3"/>
      <c r="B2131" t="s">
        <v>4082</v>
      </c>
      <c r="C2131" s="8">
        <v>2126985</v>
      </c>
      <c r="D2131" s="8"/>
      <c r="E2131" s="54">
        <f t="shared" si="43"/>
        <v>0</v>
      </c>
      <c r="F2131" t="s">
        <v>714</v>
      </c>
      <c r="G2131" t="s">
        <v>715</v>
      </c>
      <c r="H2131" s="14" t="s">
        <v>3046</v>
      </c>
      <c r="I2131">
        <v>105</v>
      </c>
    </row>
    <row r="2132" spans="1:9" s="14" customFormat="1">
      <c r="A2132" s="3">
        <v>44540</v>
      </c>
      <c r="B2132" t="s">
        <v>5082</v>
      </c>
      <c r="C2132" s="8">
        <v>0</v>
      </c>
      <c r="D2132" s="8">
        <v>24390600</v>
      </c>
      <c r="E2132" s="54">
        <f t="shared" si="43"/>
        <v>24390600</v>
      </c>
      <c r="F2132" t="s">
        <v>581</v>
      </c>
      <c r="G2132" t="s">
        <v>582</v>
      </c>
      <c r="H2132" s="168" t="s">
        <v>3013</v>
      </c>
      <c r="I2132">
        <v>44</v>
      </c>
    </row>
    <row r="2133" spans="1:9" s="14" customFormat="1">
      <c r="A2133" s="3"/>
      <c r="B2133" t="s">
        <v>5082</v>
      </c>
      <c r="C2133" s="8">
        <v>24390600</v>
      </c>
      <c r="D2133" s="8">
        <v>0</v>
      </c>
      <c r="E2133" s="54">
        <f t="shared" si="43"/>
        <v>0</v>
      </c>
      <c r="F2133" t="s">
        <v>568</v>
      </c>
      <c r="G2133" t="s">
        <v>4395</v>
      </c>
      <c r="H2133" s="168" t="s">
        <v>3013</v>
      </c>
      <c r="I2133">
        <v>44</v>
      </c>
    </row>
    <row r="2134" spans="1:9" s="14" customFormat="1">
      <c r="A2134" s="3">
        <v>44543</v>
      </c>
      <c r="B2134" t="s">
        <v>4088</v>
      </c>
      <c r="C2134" s="8">
        <v>0</v>
      </c>
      <c r="D2134" s="8">
        <v>84001500</v>
      </c>
      <c r="E2134" s="54">
        <f t="shared" si="43"/>
        <v>84001500</v>
      </c>
      <c r="F2134" s="10" t="s">
        <v>581</v>
      </c>
      <c r="G2134" s="10" t="s">
        <v>582</v>
      </c>
      <c r="H2134" s="14" t="s">
        <v>2985</v>
      </c>
      <c r="I2134">
        <v>83</v>
      </c>
    </row>
    <row r="2135" spans="1:9" s="14" customFormat="1">
      <c r="A2135" s="3"/>
      <c r="B2135" t="s">
        <v>4088</v>
      </c>
      <c r="C2135" s="8">
        <v>70001250</v>
      </c>
      <c r="D2135" s="8"/>
      <c r="E2135" s="54">
        <f t="shared" si="43"/>
        <v>14000250</v>
      </c>
      <c r="F2135" s="14" t="s">
        <v>568</v>
      </c>
      <c r="G2135" s="14" t="s">
        <v>4395</v>
      </c>
      <c r="H2135" s="14" t="s">
        <v>2985</v>
      </c>
      <c r="I2135">
        <v>83</v>
      </c>
    </row>
    <row r="2136" spans="1:9" s="14" customFormat="1">
      <c r="A2136" s="3"/>
      <c r="B2136" t="s">
        <v>4088</v>
      </c>
      <c r="C2136" s="8">
        <v>14000250</v>
      </c>
      <c r="D2136" s="8"/>
      <c r="E2136" s="54">
        <f t="shared" si="43"/>
        <v>0</v>
      </c>
      <c r="F2136" t="s">
        <v>714</v>
      </c>
      <c r="G2136" t="s">
        <v>715</v>
      </c>
      <c r="H2136" s="14" t="s">
        <v>2985</v>
      </c>
      <c r="I2136">
        <v>83</v>
      </c>
    </row>
    <row r="2137" spans="1:9" s="14" customFormat="1">
      <c r="A2137" s="3">
        <v>44544</v>
      </c>
      <c r="B2137" t="s">
        <v>4093</v>
      </c>
      <c r="C2137" s="8">
        <v>0</v>
      </c>
      <c r="D2137" s="8">
        <v>64647373</v>
      </c>
      <c r="E2137" s="54">
        <f t="shared" si="43"/>
        <v>64647373</v>
      </c>
      <c r="F2137" s="10" t="s">
        <v>107</v>
      </c>
      <c r="G2137" s="10" t="s">
        <v>274</v>
      </c>
      <c r="H2137" s="14" t="s">
        <v>143</v>
      </c>
    </row>
    <row r="2138" spans="1:9" s="14" customFormat="1">
      <c r="A2138" s="3"/>
      <c r="B2138" t="s">
        <v>1052</v>
      </c>
      <c r="C2138" s="8">
        <v>5000</v>
      </c>
      <c r="D2138" s="8"/>
      <c r="E2138" s="54">
        <f t="shared" si="43"/>
        <v>64642373</v>
      </c>
      <c r="F2138" s="14" t="s">
        <v>113</v>
      </c>
      <c r="G2138" s="14" t="s">
        <v>114</v>
      </c>
      <c r="H2138" s="14" t="s">
        <v>64</v>
      </c>
    </row>
    <row r="2139" spans="1:9" s="14" customFormat="1">
      <c r="A2139" s="3"/>
      <c r="B2139" t="s">
        <v>3218</v>
      </c>
      <c r="C2139" s="54">
        <v>669897</v>
      </c>
      <c r="D2139" s="54"/>
      <c r="E2139" s="54">
        <f t="shared" si="43"/>
        <v>63972476</v>
      </c>
      <c r="F2139" s="14" t="s">
        <v>137</v>
      </c>
      <c r="G2139" s="14" t="s">
        <v>138</v>
      </c>
      <c r="H2139" s="168" t="s">
        <v>3030</v>
      </c>
    </row>
    <row r="2140" spans="1:9" s="14" customFormat="1">
      <c r="A2140" s="3"/>
      <c r="B2140" t="s">
        <v>3274</v>
      </c>
      <c r="C2140" s="8">
        <v>889000</v>
      </c>
      <c r="D2140" s="8"/>
      <c r="E2140" s="54">
        <f t="shared" si="43"/>
        <v>63083476</v>
      </c>
      <c r="F2140" s="14" t="s">
        <v>137</v>
      </c>
      <c r="G2140" s="14" t="s">
        <v>138</v>
      </c>
      <c r="H2140" s="168" t="s">
        <v>3030</v>
      </c>
    </row>
    <row r="2141" spans="1:9" s="14" customFormat="1">
      <c r="A2141" s="3"/>
      <c r="B2141" t="s">
        <v>4376</v>
      </c>
      <c r="C2141" s="8">
        <v>99000</v>
      </c>
      <c r="D2141" s="8"/>
      <c r="E2141" s="54">
        <f t="shared" si="43"/>
        <v>62984476</v>
      </c>
      <c r="F2141" s="10" t="s">
        <v>248</v>
      </c>
      <c r="G2141" s="10" t="s">
        <v>391</v>
      </c>
      <c r="H2141" s="14" t="s">
        <v>64</v>
      </c>
    </row>
    <row r="2142" spans="1:9" s="14" customFormat="1">
      <c r="A2142" s="3"/>
      <c r="B2142" t="s">
        <v>3218</v>
      </c>
      <c r="C2142" s="8">
        <v>1538385</v>
      </c>
      <c r="D2142" s="8"/>
      <c r="E2142" s="54">
        <f t="shared" si="43"/>
        <v>61446091</v>
      </c>
      <c r="F2142" s="14" t="s">
        <v>137</v>
      </c>
      <c r="G2142" s="14" t="s">
        <v>138</v>
      </c>
      <c r="H2142" s="168" t="s">
        <v>3030</v>
      </c>
    </row>
    <row r="2143" spans="1:9" s="14" customFormat="1">
      <c r="A2143" s="3"/>
      <c r="B2143" t="s">
        <v>3218</v>
      </c>
      <c r="C2143" s="8">
        <v>1312937</v>
      </c>
      <c r="D2143" s="8"/>
      <c r="E2143" s="54">
        <f t="shared" si="43"/>
        <v>60133154</v>
      </c>
      <c r="F2143" s="14" t="s">
        <v>137</v>
      </c>
      <c r="G2143" s="14" t="s">
        <v>138</v>
      </c>
      <c r="H2143" s="168" t="s">
        <v>3030</v>
      </c>
    </row>
    <row r="2144" spans="1:9" s="14" customFormat="1">
      <c r="A2144" s="3"/>
      <c r="B2144" t="s">
        <v>3218</v>
      </c>
      <c r="C2144" s="8">
        <v>1244200</v>
      </c>
      <c r="D2144" s="8"/>
      <c r="E2144" s="54">
        <f t="shared" si="43"/>
        <v>58888954</v>
      </c>
      <c r="F2144" s="14" t="s">
        <v>137</v>
      </c>
      <c r="G2144" s="14" t="s">
        <v>138</v>
      </c>
      <c r="H2144" s="168" t="s">
        <v>3030</v>
      </c>
    </row>
    <row r="2145" spans="1:8" s="14" customFormat="1">
      <c r="A2145" s="3"/>
      <c r="B2145" t="s">
        <v>3218</v>
      </c>
      <c r="C2145" s="8">
        <v>542000</v>
      </c>
      <c r="D2145" s="8"/>
      <c r="E2145" s="54">
        <f t="shared" si="43"/>
        <v>58346954</v>
      </c>
      <c r="F2145" s="14" t="s">
        <v>137</v>
      </c>
      <c r="G2145" s="14" t="s">
        <v>138</v>
      </c>
      <c r="H2145" s="168" t="s">
        <v>3030</v>
      </c>
    </row>
    <row r="2146" spans="1:8" s="14" customFormat="1">
      <c r="A2146" s="3"/>
      <c r="B2146" t="s">
        <v>3218</v>
      </c>
      <c r="C2146" s="8">
        <v>2753500</v>
      </c>
      <c r="D2146" s="8"/>
      <c r="E2146" s="54">
        <f t="shared" si="43"/>
        <v>55593454</v>
      </c>
      <c r="F2146" s="14" t="s">
        <v>137</v>
      </c>
      <c r="G2146" s="14" t="s">
        <v>138</v>
      </c>
      <c r="H2146" s="168" t="s">
        <v>3030</v>
      </c>
    </row>
    <row r="2147" spans="1:8" s="14" customFormat="1">
      <c r="A2147" s="3"/>
      <c r="B2147" t="s">
        <v>4365</v>
      </c>
      <c r="C2147" s="8">
        <v>1240612</v>
      </c>
      <c r="D2147" s="8"/>
      <c r="E2147" s="54">
        <f t="shared" si="43"/>
        <v>54352842</v>
      </c>
      <c r="F2147" s="14" t="s">
        <v>137</v>
      </c>
      <c r="G2147" s="14" t="s">
        <v>138</v>
      </c>
      <c r="H2147" s="168" t="s">
        <v>3030</v>
      </c>
    </row>
    <row r="2148" spans="1:8" s="14" customFormat="1">
      <c r="A2148" s="3"/>
      <c r="B2148" t="s">
        <v>4365</v>
      </c>
      <c r="C2148" s="8">
        <v>4994753</v>
      </c>
      <c r="D2148" s="8"/>
      <c r="E2148" s="8">
        <f t="shared" si="43"/>
        <v>49358089</v>
      </c>
      <c r="F2148" s="14" t="s">
        <v>137</v>
      </c>
      <c r="G2148" s="14" t="s">
        <v>138</v>
      </c>
      <c r="H2148" s="168" t="s">
        <v>3030</v>
      </c>
    </row>
    <row r="2149" spans="1:8" s="14" customFormat="1">
      <c r="A2149" s="3"/>
      <c r="B2149" t="s">
        <v>4366</v>
      </c>
      <c r="C2149" s="8">
        <v>4711000</v>
      </c>
      <c r="D2149" s="8"/>
      <c r="E2149" s="8">
        <f t="shared" si="43"/>
        <v>44647089</v>
      </c>
      <c r="F2149" s="14" t="s">
        <v>137</v>
      </c>
      <c r="G2149" s="14" t="s">
        <v>138</v>
      </c>
      <c r="H2149" s="168" t="s">
        <v>3001</v>
      </c>
    </row>
    <row r="2150" spans="1:8" s="14" customFormat="1">
      <c r="A2150" s="3"/>
      <c r="B2150" t="s">
        <v>3218</v>
      </c>
      <c r="C2150" s="8">
        <v>588800</v>
      </c>
      <c r="D2150" s="8"/>
      <c r="E2150" s="8">
        <f t="shared" si="43"/>
        <v>44058289</v>
      </c>
      <c r="F2150" s="14" t="s">
        <v>137</v>
      </c>
      <c r="G2150" s="14" t="s">
        <v>138</v>
      </c>
      <c r="H2150" s="168" t="s">
        <v>3030</v>
      </c>
    </row>
    <row r="2151" spans="1:8" s="14" customFormat="1">
      <c r="A2151" s="3"/>
      <c r="B2151" t="s">
        <v>3218</v>
      </c>
      <c r="C2151" s="8">
        <v>722500</v>
      </c>
      <c r="D2151" s="8"/>
      <c r="E2151" s="8">
        <f t="shared" si="43"/>
        <v>43335789</v>
      </c>
      <c r="F2151" s="14" t="s">
        <v>137</v>
      </c>
      <c r="G2151" s="14" t="s">
        <v>138</v>
      </c>
      <c r="H2151" s="168" t="s">
        <v>3030</v>
      </c>
    </row>
    <row r="2152" spans="1:8" s="14" customFormat="1">
      <c r="A2152" s="3"/>
      <c r="B2152" t="s">
        <v>3218</v>
      </c>
      <c r="C2152" s="8">
        <v>1123200</v>
      </c>
      <c r="D2152" s="8"/>
      <c r="E2152" s="8">
        <f t="shared" si="43"/>
        <v>42212589</v>
      </c>
      <c r="F2152" s="14" t="s">
        <v>137</v>
      </c>
      <c r="G2152" s="14" t="s">
        <v>138</v>
      </c>
      <c r="H2152" s="168" t="s">
        <v>3030</v>
      </c>
    </row>
    <row r="2153" spans="1:8" s="14" customFormat="1">
      <c r="A2153" s="3"/>
      <c r="B2153" t="s">
        <v>3218</v>
      </c>
      <c r="C2153" s="8">
        <v>694208</v>
      </c>
      <c r="D2153" s="8"/>
      <c r="E2153" s="8">
        <f t="shared" si="43"/>
        <v>41518381</v>
      </c>
      <c r="F2153" s="14" t="s">
        <v>137</v>
      </c>
      <c r="G2153" s="14" t="s">
        <v>138</v>
      </c>
      <c r="H2153" s="168" t="s">
        <v>3030</v>
      </c>
    </row>
    <row r="2154" spans="1:8" s="14" customFormat="1">
      <c r="A2154" s="3"/>
      <c r="B2154" t="s">
        <v>3218</v>
      </c>
      <c r="C2154" s="8">
        <v>945000</v>
      </c>
      <c r="D2154" s="8"/>
      <c r="E2154" s="8">
        <f t="shared" si="43"/>
        <v>40573381</v>
      </c>
      <c r="F2154" s="14" t="s">
        <v>137</v>
      </c>
      <c r="G2154" s="14" t="s">
        <v>138</v>
      </c>
      <c r="H2154" s="168" t="s">
        <v>3030</v>
      </c>
    </row>
    <row r="2155" spans="1:8" s="14" customFormat="1">
      <c r="A2155" s="3"/>
      <c r="B2155" t="s">
        <v>4367</v>
      </c>
      <c r="C2155" s="8">
        <v>78000</v>
      </c>
      <c r="D2155" s="8"/>
      <c r="E2155" s="8">
        <f t="shared" si="43"/>
        <v>40495381</v>
      </c>
      <c r="F2155" s="14" t="s">
        <v>137</v>
      </c>
      <c r="G2155" s="14" t="s">
        <v>138</v>
      </c>
      <c r="H2155" s="168" t="s">
        <v>3001</v>
      </c>
    </row>
    <row r="2156" spans="1:8" s="14" customFormat="1">
      <c r="A2156" s="3"/>
      <c r="B2156" t="s">
        <v>3218</v>
      </c>
      <c r="C2156" s="8">
        <v>982800</v>
      </c>
      <c r="D2156" s="8"/>
      <c r="E2156" s="8">
        <f t="shared" si="43"/>
        <v>39512581</v>
      </c>
      <c r="F2156" s="14" t="s">
        <v>137</v>
      </c>
      <c r="G2156" s="14" t="s">
        <v>138</v>
      </c>
      <c r="H2156" s="168" t="s">
        <v>3030</v>
      </c>
    </row>
    <row r="2157" spans="1:8" s="14" customFormat="1">
      <c r="A2157" s="3"/>
      <c r="B2157" t="s">
        <v>3218</v>
      </c>
      <c r="C2157" s="8">
        <v>1248000</v>
      </c>
      <c r="D2157" s="8"/>
      <c r="E2157" s="8">
        <f t="shared" ref="E2157:E2245" si="44">E2156-C2157+D2157</f>
        <v>38264581</v>
      </c>
      <c r="F2157" s="14" t="s">
        <v>137</v>
      </c>
      <c r="G2157" s="14" t="s">
        <v>138</v>
      </c>
      <c r="H2157" s="168" t="s">
        <v>3030</v>
      </c>
    </row>
    <row r="2158" spans="1:8" s="14" customFormat="1">
      <c r="A2158" s="3"/>
      <c r="B2158" t="s">
        <v>3218</v>
      </c>
      <c r="C2158" s="8">
        <v>1277357</v>
      </c>
      <c r="D2158" s="8"/>
      <c r="E2158" s="8">
        <f t="shared" si="44"/>
        <v>36987224</v>
      </c>
      <c r="F2158" s="14" t="s">
        <v>137</v>
      </c>
      <c r="G2158" s="14" t="s">
        <v>138</v>
      </c>
      <c r="H2158" s="168" t="s">
        <v>3030</v>
      </c>
    </row>
    <row r="2159" spans="1:8" s="14" customFormat="1">
      <c r="A2159" s="3"/>
      <c r="B2159" t="s">
        <v>4368</v>
      </c>
      <c r="C2159" s="8">
        <v>6923700</v>
      </c>
      <c r="D2159" s="8"/>
      <c r="E2159" s="8">
        <f t="shared" si="44"/>
        <v>30063524</v>
      </c>
      <c r="F2159" s="14" t="s">
        <v>137</v>
      </c>
      <c r="G2159" s="14" t="s">
        <v>138</v>
      </c>
      <c r="H2159" s="14" t="s">
        <v>2976</v>
      </c>
    </row>
    <row r="2160" spans="1:8" s="14" customFormat="1">
      <c r="A2160" s="3"/>
      <c r="B2160" t="s">
        <v>4369</v>
      </c>
      <c r="C2160" s="8">
        <v>1125300</v>
      </c>
      <c r="D2160" s="8"/>
      <c r="E2160" s="8">
        <f t="shared" si="44"/>
        <v>28938224</v>
      </c>
      <c r="F2160" s="14" t="s">
        <v>137</v>
      </c>
      <c r="G2160" s="14" t="s">
        <v>138</v>
      </c>
      <c r="H2160" s="14" t="s">
        <v>3001</v>
      </c>
    </row>
    <row r="2161" spans="1:9" s="14" customFormat="1">
      <c r="A2161" s="3"/>
      <c r="B2161" t="s">
        <v>4370</v>
      </c>
      <c r="C2161" s="8">
        <v>2982700</v>
      </c>
      <c r="D2161" s="8"/>
      <c r="E2161" s="8">
        <f t="shared" si="44"/>
        <v>25955524</v>
      </c>
      <c r="F2161" s="14" t="s">
        <v>137</v>
      </c>
      <c r="G2161" s="14" t="s">
        <v>138</v>
      </c>
      <c r="H2161" s="14" t="s">
        <v>3001</v>
      </c>
    </row>
    <row r="2162" spans="1:9" s="14" customFormat="1">
      <c r="A2162" s="3"/>
      <c r="B2162" t="s">
        <v>4371</v>
      </c>
      <c r="C2162" s="8">
        <v>1757986</v>
      </c>
      <c r="D2162" s="8"/>
      <c r="E2162" s="8">
        <f t="shared" si="44"/>
        <v>24197538</v>
      </c>
      <c r="F2162" s="14" t="s">
        <v>137</v>
      </c>
      <c r="G2162" s="14" t="s">
        <v>138</v>
      </c>
      <c r="H2162" s="168" t="s">
        <v>3073</v>
      </c>
    </row>
    <row r="2163" spans="1:9" s="14" customFormat="1">
      <c r="A2163" s="3"/>
      <c r="B2163" t="s">
        <v>4372</v>
      </c>
      <c r="C2163" s="8">
        <v>145000</v>
      </c>
      <c r="D2163" s="8"/>
      <c r="E2163" s="8">
        <f t="shared" si="44"/>
        <v>24052538</v>
      </c>
      <c r="F2163" s="14" t="s">
        <v>137</v>
      </c>
      <c r="G2163" s="14" t="s">
        <v>138</v>
      </c>
      <c r="H2163" s="14" t="s">
        <v>2976</v>
      </c>
    </row>
    <row r="2164" spans="1:9" s="14" customFormat="1">
      <c r="A2164" s="3"/>
      <c r="B2164" t="s">
        <v>4373</v>
      </c>
      <c r="C2164" s="8">
        <v>2688000</v>
      </c>
      <c r="D2164" s="8"/>
      <c r="E2164" s="8">
        <f t="shared" si="44"/>
        <v>21364538</v>
      </c>
      <c r="F2164" s="14" t="s">
        <v>137</v>
      </c>
      <c r="G2164" s="14" t="s">
        <v>138</v>
      </c>
      <c r="H2164" s="14" t="s">
        <v>2976</v>
      </c>
    </row>
    <row r="2165" spans="1:9" s="14" customFormat="1">
      <c r="A2165" s="3"/>
      <c r="B2165" t="s">
        <v>4377</v>
      </c>
      <c r="C2165" s="8">
        <v>127000</v>
      </c>
      <c r="D2165" s="8"/>
      <c r="E2165" s="8">
        <f t="shared" si="44"/>
        <v>21237538</v>
      </c>
      <c r="F2165" s="14" t="s">
        <v>736</v>
      </c>
      <c r="G2165" s="14" t="s">
        <v>455</v>
      </c>
      <c r="H2165" s="14" t="s">
        <v>64</v>
      </c>
    </row>
    <row r="2166" spans="1:9" s="14" customFormat="1">
      <c r="A2166" s="3"/>
      <c r="B2166" t="s">
        <v>3218</v>
      </c>
      <c r="C2166" s="54">
        <v>11470000</v>
      </c>
      <c r="D2166" s="54"/>
      <c r="E2166" s="54">
        <f t="shared" si="44"/>
        <v>9767538</v>
      </c>
      <c r="F2166" s="14" t="s">
        <v>137</v>
      </c>
      <c r="G2166" s="14" t="s">
        <v>138</v>
      </c>
      <c r="H2166" s="14" t="s">
        <v>2952</v>
      </c>
    </row>
    <row r="2167" spans="1:9" s="14" customFormat="1">
      <c r="A2167" s="138"/>
      <c r="B2167" s="14" t="s">
        <v>3218</v>
      </c>
      <c r="C2167" s="53">
        <v>2578435</v>
      </c>
      <c r="D2167" s="53"/>
      <c r="E2167" s="53">
        <f t="shared" si="44"/>
        <v>7189103</v>
      </c>
      <c r="F2167" s="14" t="s">
        <v>115</v>
      </c>
      <c r="G2167" s="14" t="s">
        <v>120</v>
      </c>
      <c r="H2167" s="14" t="s">
        <v>560</v>
      </c>
      <c r="I2167" s="14" t="s">
        <v>444</v>
      </c>
    </row>
    <row r="2168" spans="1:9" s="14" customFormat="1">
      <c r="A2168" s="3"/>
      <c r="B2168" t="s">
        <v>4374</v>
      </c>
      <c r="C2168" s="54">
        <v>1749750</v>
      </c>
      <c r="D2168" s="54"/>
      <c r="E2168" s="54">
        <f t="shared" si="44"/>
        <v>5439353</v>
      </c>
      <c r="F2168" s="14" t="s">
        <v>115</v>
      </c>
      <c r="G2168" s="14" t="s">
        <v>440</v>
      </c>
      <c r="H2168" s="168" t="s">
        <v>4490</v>
      </c>
    </row>
    <row r="2169" spans="1:9" s="14" customFormat="1">
      <c r="A2169" s="3"/>
      <c r="B2169" t="s">
        <v>3223</v>
      </c>
      <c r="C2169" s="8">
        <v>10000</v>
      </c>
      <c r="D2169" s="8"/>
      <c r="E2169" s="8">
        <f t="shared" si="44"/>
        <v>5429353</v>
      </c>
      <c r="F2169" s="14" t="s">
        <v>113</v>
      </c>
      <c r="G2169" s="14" t="s">
        <v>114</v>
      </c>
      <c r="H2169" s="14" t="s">
        <v>64</v>
      </c>
    </row>
    <row r="2170" spans="1:9" s="14" customFormat="1">
      <c r="A2170" s="3"/>
      <c r="B2170" t="s">
        <v>1052</v>
      </c>
      <c r="C2170" s="8">
        <v>5000</v>
      </c>
      <c r="D2170" s="8"/>
      <c r="E2170" s="8">
        <f t="shared" si="44"/>
        <v>5424353</v>
      </c>
      <c r="F2170" s="14" t="s">
        <v>113</v>
      </c>
      <c r="G2170" s="14" t="s">
        <v>114</v>
      </c>
      <c r="H2170" s="14" t="s">
        <v>64</v>
      </c>
    </row>
    <row r="2171" spans="1:9" s="14" customFormat="1">
      <c r="A2171" s="3"/>
      <c r="B2171" t="s">
        <v>4264</v>
      </c>
      <c r="C2171" s="8">
        <v>766880</v>
      </c>
      <c r="D2171" s="8"/>
      <c r="E2171" s="8">
        <f t="shared" si="44"/>
        <v>4657473</v>
      </c>
      <c r="F2171" s="14" t="s">
        <v>319</v>
      </c>
      <c r="G2171" s="14" t="s">
        <v>117</v>
      </c>
      <c r="H2171" s="14" t="s">
        <v>64</v>
      </c>
    </row>
    <row r="2172" spans="1:9" s="14" customFormat="1">
      <c r="A2172" s="3"/>
      <c r="B2172" t="s">
        <v>4375</v>
      </c>
      <c r="C2172" s="8">
        <v>50000</v>
      </c>
      <c r="D2172" s="8"/>
      <c r="E2172" s="8">
        <f t="shared" si="44"/>
        <v>4607473</v>
      </c>
      <c r="F2172" s="14" t="s">
        <v>137</v>
      </c>
      <c r="G2172" s="14" t="s">
        <v>138</v>
      </c>
      <c r="H2172" s="14" t="s">
        <v>2279</v>
      </c>
    </row>
    <row r="2173" spans="1:9" s="14" customFormat="1">
      <c r="A2173" s="3"/>
      <c r="B2173" t="s">
        <v>4378</v>
      </c>
      <c r="C2173" s="8">
        <v>114000</v>
      </c>
      <c r="D2173" s="8"/>
      <c r="E2173" s="8">
        <f t="shared" si="44"/>
        <v>4493473</v>
      </c>
      <c r="F2173" s="14" t="s">
        <v>248</v>
      </c>
      <c r="G2173" s="14" t="s">
        <v>391</v>
      </c>
      <c r="H2173" s="14" t="s">
        <v>64</v>
      </c>
    </row>
    <row r="2174" spans="1:9" s="14" customFormat="1">
      <c r="A2174" s="3"/>
      <c r="B2174" t="s">
        <v>4366</v>
      </c>
      <c r="C2174" s="8">
        <v>2228900</v>
      </c>
      <c r="D2174" s="8"/>
      <c r="E2174" s="8">
        <f t="shared" si="44"/>
        <v>2264573</v>
      </c>
      <c r="F2174" s="14" t="s">
        <v>137</v>
      </c>
      <c r="G2174" s="14" t="s">
        <v>138</v>
      </c>
      <c r="H2174" s="14" t="s">
        <v>3021</v>
      </c>
    </row>
    <row r="2175" spans="1:9" s="14" customFormat="1">
      <c r="A2175" s="3"/>
      <c r="B2175" t="s">
        <v>4264</v>
      </c>
      <c r="C2175" s="8">
        <v>699320</v>
      </c>
      <c r="D2175" s="8"/>
      <c r="E2175" s="8">
        <f t="shared" si="44"/>
        <v>1565253</v>
      </c>
      <c r="F2175" s="14" t="s">
        <v>319</v>
      </c>
      <c r="G2175" s="14" t="s">
        <v>117</v>
      </c>
      <c r="H2175" s="14" t="s">
        <v>64</v>
      </c>
    </row>
    <row r="2176" spans="1:9" s="14" customFormat="1">
      <c r="A2176" s="3"/>
      <c r="B2176" t="s">
        <v>4379</v>
      </c>
      <c r="C2176" s="8">
        <v>528578</v>
      </c>
      <c r="D2176" s="8"/>
      <c r="E2176" s="8">
        <f t="shared" si="44"/>
        <v>1036675</v>
      </c>
      <c r="F2176" s="14" t="s">
        <v>248</v>
      </c>
      <c r="G2176" s="14" t="s">
        <v>407</v>
      </c>
      <c r="H2176" s="14" t="s">
        <v>64</v>
      </c>
    </row>
    <row r="2177" spans="1:9" s="14" customFormat="1">
      <c r="A2177" s="3"/>
      <c r="B2177" t="s">
        <v>4380</v>
      </c>
      <c r="C2177" s="8">
        <v>344675</v>
      </c>
      <c r="D2177" s="8"/>
      <c r="E2177" s="8">
        <f t="shared" si="44"/>
        <v>692000</v>
      </c>
      <c r="F2177" s="14" t="s">
        <v>248</v>
      </c>
      <c r="G2177" s="14" t="s">
        <v>391</v>
      </c>
      <c r="H2177" s="14" t="s">
        <v>64</v>
      </c>
    </row>
    <row r="2178" spans="1:9" s="14" customFormat="1">
      <c r="A2178" s="3"/>
      <c r="B2178" t="s">
        <v>4264</v>
      </c>
      <c r="C2178" s="8">
        <v>692000</v>
      </c>
      <c r="D2178" s="8"/>
      <c r="E2178" s="8">
        <f t="shared" si="44"/>
        <v>0</v>
      </c>
      <c r="F2178" s="14" t="s">
        <v>319</v>
      </c>
      <c r="G2178" s="14" t="s">
        <v>117</v>
      </c>
      <c r="H2178" s="14" t="s">
        <v>64</v>
      </c>
    </row>
    <row r="2179" spans="1:9" s="14" customFormat="1">
      <c r="A2179" s="3">
        <v>44544</v>
      </c>
      <c r="B2179" s="7" t="s">
        <v>4014</v>
      </c>
      <c r="C2179" s="8">
        <v>0</v>
      </c>
      <c r="D2179" s="8">
        <v>21350000</v>
      </c>
      <c r="E2179" s="8">
        <f t="shared" si="44"/>
        <v>21350000</v>
      </c>
      <c r="F2179" s="83" t="s">
        <v>107</v>
      </c>
      <c r="G2179" s="14" t="s">
        <v>666</v>
      </c>
      <c r="H2179" s="14" t="s">
        <v>4432</v>
      </c>
    </row>
    <row r="2180" spans="1:9" s="14" customFormat="1">
      <c r="A2180" s="3"/>
      <c r="B2180" t="s">
        <v>4433</v>
      </c>
      <c r="C2180" s="54">
        <f>(350000*61)-C2181</f>
        <v>21327612</v>
      </c>
      <c r="D2180" s="54">
        <v>0</v>
      </c>
      <c r="E2180" s="54">
        <f t="shared" si="44"/>
        <v>22388</v>
      </c>
      <c r="F2180" s="14" t="s">
        <v>137</v>
      </c>
      <c r="G2180" s="14" t="s">
        <v>138</v>
      </c>
      <c r="H2180" s="14" t="s">
        <v>4137</v>
      </c>
    </row>
    <row r="2181" spans="1:9" s="14" customFormat="1">
      <c r="A2181" s="3"/>
      <c r="B2181" s="7" t="s">
        <v>4163</v>
      </c>
      <c r="C2181" s="8">
        <v>22388</v>
      </c>
      <c r="D2181" s="8">
        <v>0</v>
      </c>
      <c r="E2181" s="8">
        <f t="shared" si="44"/>
        <v>0</v>
      </c>
      <c r="F2181" s="83" t="s">
        <v>107</v>
      </c>
      <c r="G2181" s="14" t="s">
        <v>668</v>
      </c>
      <c r="H2181" s="14" t="s">
        <v>4432</v>
      </c>
    </row>
    <row r="2182" spans="1:9" s="14" customFormat="1">
      <c r="A2182" s="138">
        <v>44546</v>
      </c>
      <c r="B2182" s="14" t="s">
        <v>4487</v>
      </c>
      <c r="C2182" s="53">
        <v>0</v>
      </c>
      <c r="D2182" s="53">
        <v>11173800</v>
      </c>
      <c r="E2182" s="8">
        <f t="shared" si="44"/>
        <v>11173800</v>
      </c>
      <c r="F2182" s="14" t="s">
        <v>581</v>
      </c>
      <c r="G2182" s="14" t="s">
        <v>582</v>
      </c>
      <c r="H2182" s="14" t="s">
        <v>3025</v>
      </c>
      <c r="I2182" s="14">
        <v>91</v>
      </c>
    </row>
    <row r="2183" spans="1:9" s="14" customFormat="1">
      <c r="A2183" s="3"/>
      <c r="B2183" s="14" t="s">
        <v>4487</v>
      </c>
      <c r="C2183" s="8">
        <v>9311500</v>
      </c>
      <c r="D2183" s="8"/>
      <c r="E2183" s="8">
        <f t="shared" si="44"/>
        <v>1862300</v>
      </c>
      <c r="F2183" s="14" t="s">
        <v>568</v>
      </c>
      <c r="G2183" s="14" t="s">
        <v>4395</v>
      </c>
      <c r="H2183" s="14" t="s">
        <v>3025</v>
      </c>
      <c r="I2183" s="14">
        <v>91</v>
      </c>
    </row>
    <row r="2184" spans="1:9" s="14" customFormat="1">
      <c r="A2184" s="3"/>
      <c r="B2184" s="14" t="s">
        <v>4487</v>
      </c>
      <c r="C2184" s="8">
        <v>1862300</v>
      </c>
      <c r="D2184" s="8"/>
      <c r="E2184" s="8">
        <f t="shared" si="44"/>
        <v>0</v>
      </c>
      <c r="F2184" t="s">
        <v>714</v>
      </c>
      <c r="G2184" t="s">
        <v>715</v>
      </c>
      <c r="H2184" s="14" t="s">
        <v>3025</v>
      </c>
      <c r="I2184" s="14">
        <v>91</v>
      </c>
    </row>
    <row r="2185" spans="1:9" s="14" customFormat="1">
      <c r="A2185" s="3"/>
      <c r="B2185" s="14" t="s">
        <v>4487</v>
      </c>
      <c r="C2185" s="8"/>
      <c r="D2185" s="8">
        <v>907434.3200000003</v>
      </c>
      <c r="E2185" s="8">
        <f t="shared" si="44"/>
        <v>907434.3200000003</v>
      </c>
      <c r="F2185" s="14" t="s">
        <v>581</v>
      </c>
      <c r="G2185" s="14" t="s">
        <v>582</v>
      </c>
      <c r="H2185" s="14" t="s">
        <v>2998</v>
      </c>
      <c r="I2185" s="14">
        <v>101</v>
      </c>
    </row>
    <row r="2186" spans="1:9" s="14" customFormat="1">
      <c r="A2186" s="3"/>
      <c r="B2186" s="14" t="s">
        <v>4487</v>
      </c>
      <c r="C2186" s="8">
        <v>907434.3200000003</v>
      </c>
      <c r="D2186" s="8"/>
      <c r="E2186" s="8">
        <f t="shared" si="44"/>
        <v>0</v>
      </c>
      <c r="F2186" t="s">
        <v>714</v>
      </c>
      <c r="G2186" t="s">
        <v>715</v>
      </c>
      <c r="H2186" s="14" t="s">
        <v>2998</v>
      </c>
      <c r="I2186" s="14">
        <v>101</v>
      </c>
    </row>
    <row r="2187" spans="1:9" s="14" customFormat="1">
      <c r="A2187" s="3"/>
      <c r="B2187" s="14" t="s">
        <v>4487</v>
      </c>
      <c r="C2187" s="8"/>
      <c r="D2187" s="8">
        <v>762000</v>
      </c>
      <c r="E2187" s="8">
        <f t="shared" si="44"/>
        <v>762000</v>
      </c>
      <c r="F2187" s="14" t="s">
        <v>581</v>
      </c>
      <c r="G2187" s="14" t="s">
        <v>582</v>
      </c>
      <c r="H2187" s="14" t="s">
        <v>2990</v>
      </c>
      <c r="I2187" s="14">
        <v>114</v>
      </c>
    </row>
    <row r="2188" spans="1:9" s="14" customFormat="1">
      <c r="A2188" s="3"/>
      <c r="B2188" s="14" t="s">
        <v>4487</v>
      </c>
      <c r="C2188" s="8">
        <v>635000</v>
      </c>
      <c r="D2188" s="8"/>
      <c r="E2188" s="8">
        <f t="shared" si="44"/>
        <v>127000</v>
      </c>
      <c r="F2188" s="14" t="s">
        <v>568</v>
      </c>
      <c r="G2188" s="14" t="s">
        <v>4395</v>
      </c>
      <c r="H2188" s="14" t="s">
        <v>2990</v>
      </c>
      <c r="I2188" s="14">
        <v>114</v>
      </c>
    </row>
    <row r="2189" spans="1:9" s="14" customFormat="1">
      <c r="A2189" s="3"/>
      <c r="B2189" s="14" t="s">
        <v>4487</v>
      </c>
      <c r="C2189" s="8">
        <v>127000</v>
      </c>
      <c r="D2189" s="8"/>
      <c r="E2189" s="8">
        <f t="shared" si="44"/>
        <v>0</v>
      </c>
      <c r="F2189" t="s">
        <v>714</v>
      </c>
      <c r="G2189" t="s">
        <v>715</v>
      </c>
      <c r="H2189" s="14" t="s">
        <v>2990</v>
      </c>
      <c r="I2189" s="14">
        <v>114</v>
      </c>
    </row>
    <row r="2190" spans="1:9" s="14" customFormat="1">
      <c r="A2190" s="138">
        <v>44547</v>
      </c>
      <c r="B2190" s="14" t="s">
        <v>4099</v>
      </c>
      <c r="C2190" s="53">
        <v>0</v>
      </c>
      <c r="D2190" s="53">
        <v>2148480</v>
      </c>
      <c r="E2190" s="8">
        <f t="shared" si="44"/>
        <v>2148480</v>
      </c>
      <c r="F2190" s="14" t="s">
        <v>581</v>
      </c>
      <c r="G2190" s="14" t="s">
        <v>582</v>
      </c>
      <c r="H2190" s="14" t="s">
        <v>2976</v>
      </c>
      <c r="I2190" s="14">
        <v>67</v>
      </c>
    </row>
    <row r="2191" spans="1:9" s="14" customFormat="1">
      <c r="A2191" s="3"/>
      <c r="B2191" s="14" t="s">
        <v>4099</v>
      </c>
      <c r="C2191" s="8">
        <v>1790400</v>
      </c>
      <c r="D2191" s="8"/>
      <c r="E2191" s="8">
        <f t="shared" si="44"/>
        <v>358080</v>
      </c>
      <c r="F2191" s="14" t="s">
        <v>568</v>
      </c>
      <c r="G2191" s="14" t="s">
        <v>4395</v>
      </c>
      <c r="H2191" s="14" t="s">
        <v>2976</v>
      </c>
      <c r="I2191" s="14">
        <v>67</v>
      </c>
    </row>
    <row r="2192" spans="1:9" s="14" customFormat="1">
      <c r="A2192" s="3"/>
      <c r="B2192" s="14" t="s">
        <v>4099</v>
      </c>
      <c r="C2192" s="8">
        <v>358080</v>
      </c>
      <c r="D2192" s="8"/>
      <c r="E2192" s="8">
        <f t="shared" si="44"/>
        <v>0</v>
      </c>
      <c r="F2192" t="s">
        <v>714</v>
      </c>
      <c r="G2192" t="s">
        <v>715</v>
      </c>
      <c r="H2192" s="14" t="s">
        <v>2976</v>
      </c>
      <c r="I2192" s="14">
        <v>67</v>
      </c>
    </row>
    <row r="2193" spans="1:8" s="14" customFormat="1">
      <c r="A2193" s="3">
        <v>44550</v>
      </c>
      <c r="B2193" s="7" t="s">
        <v>4019</v>
      </c>
      <c r="C2193" s="8">
        <v>0</v>
      </c>
      <c r="D2193" s="8">
        <v>17000000</v>
      </c>
      <c r="E2193" s="8">
        <f t="shared" si="44"/>
        <v>17000000</v>
      </c>
      <c r="F2193" s="83" t="s">
        <v>107</v>
      </c>
      <c r="G2193" s="14" t="s">
        <v>666</v>
      </c>
      <c r="H2193" s="14" t="s">
        <v>4434</v>
      </c>
    </row>
    <row r="2194" spans="1:8" s="14" customFormat="1">
      <c r="A2194" s="3"/>
      <c r="B2194" t="s">
        <v>4439</v>
      </c>
      <c r="C2194" s="54">
        <v>6006500</v>
      </c>
      <c r="D2194" s="54"/>
      <c r="E2194" s="54">
        <f t="shared" si="44"/>
        <v>10993500</v>
      </c>
      <c r="F2194" s="14" t="s">
        <v>137</v>
      </c>
      <c r="G2194" s="14" t="s">
        <v>138</v>
      </c>
      <c r="H2194" s="14" t="s">
        <v>3073</v>
      </c>
    </row>
    <row r="2195" spans="1:8" s="14" customFormat="1">
      <c r="A2195" s="3"/>
      <c r="B2195" t="s">
        <v>4440</v>
      </c>
      <c r="C2195" s="54">
        <v>6006500</v>
      </c>
      <c r="D2195" s="54"/>
      <c r="E2195" s="54">
        <f t="shared" si="44"/>
        <v>4987000</v>
      </c>
      <c r="F2195" s="14" t="s">
        <v>137</v>
      </c>
      <c r="G2195" s="14" t="s">
        <v>138</v>
      </c>
      <c r="H2195" s="14" t="s">
        <v>3073</v>
      </c>
    </row>
    <row r="2196" spans="1:8" s="14" customFormat="1">
      <c r="A2196" s="3"/>
      <c r="B2196" t="s">
        <v>4435</v>
      </c>
      <c r="C2196" s="54">
        <v>4406500</v>
      </c>
      <c r="D2196" s="54"/>
      <c r="E2196" s="54">
        <f t="shared" si="44"/>
        <v>580500</v>
      </c>
      <c r="F2196" s="14" t="s">
        <v>137</v>
      </c>
      <c r="G2196" s="14" t="s">
        <v>138</v>
      </c>
      <c r="H2196" s="14" t="s">
        <v>3073</v>
      </c>
    </row>
    <row r="2197" spans="1:8" s="14" customFormat="1">
      <c r="A2197" s="3"/>
      <c r="B2197" t="s">
        <v>4436</v>
      </c>
      <c r="C2197" s="54">
        <v>250000</v>
      </c>
      <c r="D2197" s="54"/>
      <c r="E2197" s="54">
        <f t="shared" si="44"/>
        <v>330500</v>
      </c>
      <c r="F2197" s="14" t="s">
        <v>137</v>
      </c>
      <c r="G2197" s="14" t="s">
        <v>138</v>
      </c>
      <c r="H2197" s="14" t="s">
        <v>3073</v>
      </c>
    </row>
    <row r="2198" spans="1:8" s="14" customFormat="1">
      <c r="A2198" s="3"/>
      <c r="B2198" t="s">
        <v>4437</v>
      </c>
      <c r="C2198" s="54">
        <v>250000</v>
      </c>
      <c r="D2198" s="54"/>
      <c r="E2198" s="54">
        <f t="shared" si="44"/>
        <v>80500</v>
      </c>
      <c r="F2198" s="14" t="s">
        <v>137</v>
      </c>
      <c r="G2198" s="14" t="s">
        <v>138</v>
      </c>
      <c r="H2198" s="14" t="s">
        <v>3073</v>
      </c>
    </row>
    <row r="2199" spans="1:8" s="14" customFormat="1">
      <c r="A2199" s="3"/>
      <c r="B2199" t="s">
        <v>4438</v>
      </c>
      <c r="C2199" s="54">
        <v>1000</v>
      </c>
      <c r="D2199" s="54"/>
      <c r="E2199" s="54">
        <f t="shared" si="44"/>
        <v>79500</v>
      </c>
      <c r="F2199" s="14" t="s">
        <v>137</v>
      </c>
      <c r="G2199" s="14" t="s">
        <v>138</v>
      </c>
      <c r="H2199" s="14" t="s">
        <v>3073</v>
      </c>
    </row>
    <row r="2200" spans="1:8" s="14" customFormat="1">
      <c r="A2200" s="3"/>
      <c r="B2200" s="7" t="s">
        <v>4022</v>
      </c>
      <c r="C2200" s="8">
        <v>79500</v>
      </c>
      <c r="D2200" s="8">
        <v>0</v>
      </c>
      <c r="E2200" s="8">
        <f t="shared" si="44"/>
        <v>0</v>
      </c>
      <c r="F2200" s="83" t="s">
        <v>107</v>
      </c>
      <c r="G2200" s="14" t="s">
        <v>668</v>
      </c>
      <c r="H2200" s="14" t="s">
        <v>4434</v>
      </c>
    </row>
    <row r="2201" spans="1:8" s="14" customFormat="1">
      <c r="A2201" s="3">
        <v>44552</v>
      </c>
      <c r="B2201" s="7" t="s">
        <v>4023</v>
      </c>
      <c r="C2201" s="8">
        <v>0</v>
      </c>
      <c r="D2201" s="8">
        <v>10000000</v>
      </c>
      <c r="E2201" s="8">
        <f t="shared" si="44"/>
        <v>10000000</v>
      </c>
      <c r="F2201" s="83" t="s">
        <v>107</v>
      </c>
      <c r="G2201" s="14" t="s">
        <v>666</v>
      </c>
      <c r="H2201" s="14" t="s">
        <v>4441</v>
      </c>
    </row>
    <row r="2202" spans="1:8" s="14" customFormat="1">
      <c r="A2202" s="3"/>
      <c r="B2202" s="7" t="s">
        <v>4442</v>
      </c>
      <c r="C2202" s="54">
        <v>847000</v>
      </c>
      <c r="D2202" s="54"/>
      <c r="E2202" s="54">
        <f t="shared" si="44"/>
        <v>9153000</v>
      </c>
      <c r="F2202" s="80" t="s">
        <v>137</v>
      </c>
      <c r="G2202" s="14" t="s">
        <v>138</v>
      </c>
      <c r="H2202" s="14" t="s">
        <v>3045</v>
      </c>
    </row>
    <row r="2203" spans="1:8" s="14" customFormat="1">
      <c r="A2203" s="3"/>
      <c r="B2203" s="7" t="s">
        <v>4443</v>
      </c>
      <c r="C2203" s="54">
        <v>150000</v>
      </c>
      <c r="D2203" s="54"/>
      <c r="E2203" s="54">
        <f t="shared" si="44"/>
        <v>9003000</v>
      </c>
      <c r="F2203" s="80" t="s">
        <v>137</v>
      </c>
      <c r="G2203" s="14" t="s">
        <v>138</v>
      </c>
      <c r="H2203" s="14" t="s">
        <v>3045</v>
      </c>
    </row>
    <row r="2204" spans="1:8" s="14" customFormat="1">
      <c r="A2204" s="3"/>
      <c r="B2204" s="7" t="s">
        <v>4444</v>
      </c>
      <c r="C2204" s="54">
        <v>150000</v>
      </c>
      <c r="D2204" s="54"/>
      <c r="E2204" s="54">
        <f t="shared" si="44"/>
        <v>8853000</v>
      </c>
      <c r="F2204" s="80" t="s">
        <v>137</v>
      </c>
      <c r="G2204" s="14" t="s">
        <v>138</v>
      </c>
      <c r="H2204" s="14" t="s">
        <v>3045</v>
      </c>
    </row>
    <row r="2205" spans="1:8" s="14" customFormat="1">
      <c r="A2205" s="3"/>
      <c r="B2205" s="7" t="s">
        <v>4445</v>
      </c>
      <c r="C2205" s="54">
        <v>300000</v>
      </c>
      <c r="D2205" s="54"/>
      <c r="E2205" s="54">
        <f t="shared" si="44"/>
        <v>8553000</v>
      </c>
      <c r="F2205" s="80" t="s">
        <v>137</v>
      </c>
      <c r="G2205" s="14" t="s">
        <v>138</v>
      </c>
      <c r="H2205" s="14" t="s">
        <v>3045</v>
      </c>
    </row>
    <row r="2206" spans="1:8" s="14" customFormat="1">
      <c r="A2206" s="3"/>
      <c r="B2206" s="7" t="s">
        <v>4446</v>
      </c>
      <c r="C2206" s="54">
        <v>249400</v>
      </c>
      <c r="D2206" s="54"/>
      <c r="E2206" s="54">
        <f t="shared" si="44"/>
        <v>8303600</v>
      </c>
      <c r="F2206" s="80" t="s">
        <v>137</v>
      </c>
      <c r="G2206" s="14" t="s">
        <v>138</v>
      </c>
      <c r="H2206" s="14" t="s">
        <v>3045</v>
      </c>
    </row>
    <row r="2207" spans="1:8" s="14" customFormat="1">
      <c r="A2207" s="3"/>
      <c r="B2207" s="7" t="s">
        <v>4447</v>
      </c>
      <c r="C2207" s="54">
        <v>68000</v>
      </c>
      <c r="D2207" s="54"/>
      <c r="E2207" s="54">
        <f t="shared" si="44"/>
        <v>8235600</v>
      </c>
      <c r="F2207" s="80" t="s">
        <v>137</v>
      </c>
      <c r="G2207" s="14" t="s">
        <v>138</v>
      </c>
      <c r="H2207" s="14" t="s">
        <v>3045</v>
      </c>
    </row>
    <row r="2208" spans="1:8" s="14" customFormat="1">
      <c r="A2208" s="3"/>
      <c r="B2208" s="7" t="s">
        <v>4448</v>
      </c>
      <c r="C2208" s="54">
        <v>1032001</v>
      </c>
      <c r="D2208" s="54"/>
      <c r="E2208" s="54">
        <f t="shared" si="44"/>
        <v>7203599</v>
      </c>
      <c r="F2208" s="80" t="s">
        <v>137</v>
      </c>
      <c r="G2208" s="14" t="s">
        <v>138</v>
      </c>
      <c r="H2208" s="14" t="s">
        <v>3045</v>
      </c>
    </row>
    <row r="2209" spans="1:9" s="14" customFormat="1">
      <c r="A2209" s="3"/>
      <c r="B2209" s="7" t="s">
        <v>4449</v>
      </c>
      <c r="C2209" s="54">
        <v>300000</v>
      </c>
      <c r="D2209" s="54"/>
      <c r="E2209" s="54">
        <f t="shared" si="44"/>
        <v>6903599</v>
      </c>
      <c r="F2209" s="80" t="s">
        <v>137</v>
      </c>
      <c r="G2209" s="14" t="s">
        <v>138</v>
      </c>
      <c r="H2209" s="14" t="s">
        <v>3045</v>
      </c>
    </row>
    <row r="2210" spans="1:9" s="14" customFormat="1">
      <c r="A2210" s="3"/>
      <c r="B2210" s="7" t="s">
        <v>4450</v>
      </c>
      <c r="C2210" s="54">
        <v>50000</v>
      </c>
      <c r="D2210" s="54"/>
      <c r="E2210" s="54">
        <f t="shared" si="44"/>
        <v>6853599</v>
      </c>
      <c r="F2210" s="80" t="s">
        <v>137</v>
      </c>
      <c r="G2210" s="14" t="s">
        <v>138</v>
      </c>
      <c r="H2210" s="14" t="s">
        <v>3045</v>
      </c>
    </row>
    <row r="2211" spans="1:9" s="14" customFormat="1">
      <c r="A2211" s="3"/>
      <c r="B2211" s="7" t="s">
        <v>4451</v>
      </c>
      <c r="C2211" s="54">
        <v>7000000</v>
      </c>
      <c r="D2211" s="54"/>
      <c r="E2211" s="54">
        <f t="shared" si="44"/>
        <v>-146401</v>
      </c>
      <c r="F2211" s="80" t="s">
        <v>137</v>
      </c>
      <c r="G2211" s="14" t="s">
        <v>138</v>
      </c>
      <c r="H2211" s="14" t="s">
        <v>3045</v>
      </c>
    </row>
    <row r="2212" spans="1:9" s="14" customFormat="1">
      <c r="A2212" s="3"/>
      <c r="B2212" s="7" t="s">
        <v>4452</v>
      </c>
      <c r="C2212" s="54">
        <v>0</v>
      </c>
      <c r="D2212" s="54">
        <v>146401</v>
      </c>
      <c r="E2212" s="54">
        <f t="shared" si="44"/>
        <v>0</v>
      </c>
      <c r="F2212" t="s">
        <v>115</v>
      </c>
      <c r="G2212" s="14" t="s">
        <v>439</v>
      </c>
      <c r="H2212" s="14" t="s">
        <v>119</v>
      </c>
    </row>
    <row r="2213" spans="1:9" s="14" customFormat="1">
      <c r="A2213" s="3">
        <v>44552</v>
      </c>
      <c r="B2213" t="s">
        <v>4103</v>
      </c>
      <c r="C2213" s="54">
        <v>0</v>
      </c>
      <c r="D2213" s="54">
        <v>8945454.5</v>
      </c>
      <c r="E2213" s="8">
        <f t="shared" si="44"/>
        <v>8945454.5</v>
      </c>
      <c r="F2213" s="10" t="s">
        <v>581</v>
      </c>
      <c r="G2213" s="10" t="s">
        <v>582</v>
      </c>
      <c r="H2213" s="14" t="s">
        <v>3390</v>
      </c>
      <c r="I2213">
        <v>110</v>
      </c>
    </row>
    <row r="2214" spans="1:9" s="14" customFormat="1">
      <c r="A2214" s="3"/>
      <c r="B2214" t="s">
        <v>4103</v>
      </c>
      <c r="C2214" s="8">
        <v>7454545.5</v>
      </c>
      <c r="D2214" s="8"/>
      <c r="E2214" s="8">
        <f t="shared" si="44"/>
        <v>1490909</v>
      </c>
      <c r="F2214" s="14" t="s">
        <v>568</v>
      </c>
      <c r="G2214" s="14" t="s">
        <v>4395</v>
      </c>
      <c r="H2214" s="14" t="s">
        <v>3390</v>
      </c>
      <c r="I2214">
        <v>110</v>
      </c>
    </row>
    <row r="2215" spans="1:9" s="14" customFormat="1">
      <c r="A2215" s="3"/>
      <c r="B2215" t="s">
        <v>4103</v>
      </c>
      <c r="C2215" s="8">
        <v>1490909</v>
      </c>
      <c r="D2215" s="8"/>
      <c r="E2215" s="8">
        <f t="shared" si="44"/>
        <v>0</v>
      </c>
      <c r="F2215" t="s">
        <v>714</v>
      </c>
      <c r="G2215" t="s">
        <v>715</v>
      </c>
      <c r="H2215" s="14" t="s">
        <v>3390</v>
      </c>
      <c r="I2215">
        <v>110</v>
      </c>
    </row>
    <row r="2216" spans="1:9" s="14" customFormat="1">
      <c r="A2216" s="3">
        <v>44552</v>
      </c>
      <c r="B2216" t="s">
        <v>4104</v>
      </c>
      <c r="C2216" s="8">
        <v>0</v>
      </c>
      <c r="D2216" s="8">
        <v>8945454.5</v>
      </c>
      <c r="E2216" s="8">
        <f t="shared" si="44"/>
        <v>8945454.5</v>
      </c>
      <c r="F2216" s="10" t="s">
        <v>581</v>
      </c>
      <c r="G2216" s="10" t="s">
        <v>582</v>
      </c>
      <c r="H2216" s="14" t="s">
        <v>3390</v>
      </c>
      <c r="I2216">
        <v>118</v>
      </c>
    </row>
    <row r="2217" spans="1:9" s="14" customFormat="1">
      <c r="A2217" s="3"/>
      <c r="B2217" t="s">
        <v>4104</v>
      </c>
      <c r="C2217" s="8">
        <v>7454545.5</v>
      </c>
      <c r="D2217" s="8"/>
      <c r="E2217" s="8">
        <f t="shared" si="44"/>
        <v>1490909</v>
      </c>
      <c r="F2217" s="14" t="s">
        <v>568</v>
      </c>
      <c r="G2217" s="14" t="s">
        <v>4395</v>
      </c>
      <c r="H2217" s="14" t="s">
        <v>3390</v>
      </c>
      <c r="I2217">
        <v>118</v>
      </c>
    </row>
    <row r="2218" spans="1:9" s="14" customFormat="1">
      <c r="A2218" s="3"/>
      <c r="B2218" t="s">
        <v>4104</v>
      </c>
      <c r="C2218" s="8">
        <v>1490909</v>
      </c>
      <c r="D2218" s="8"/>
      <c r="E2218" s="8">
        <f t="shared" si="44"/>
        <v>0</v>
      </c>
      <c r="F2218" t="s">
        <v>714</v>
      </c>
      <c r="G2218" t="s">
        <v>715</v>
      </c>
      <c r="H2218" s="14" t="s">
        <v>3390</v>
      </c>
      <c r="I2218">
        <v>118</v>
      </c>
    </row>
    <row r="2219" spans="1:9" s="14" customFormat="1">
      <c r="A2219" s="3">
        <v>44552</v>
      </c>
      <c r="B2219" t="s">
        <v>4105</v>
      </c>
      <c r="C2219" s="8">
        <v>0</v>
      </c>
      <c r="D2219" s="8">
        <v>10784400</v>
      </c>
      <c r="E2219" s="8">
        <f t="shared" si="44"/>
        <v>10784400</v>
      </c>
      <c r="F2219" s="10" t="s">
        <v>581</v>
      </c>
      <c r="G2219" s="10" t="s">
        <v>582</v>
      </c>
      <c r="H2219" s="14" t="s">
        <v>3390</v>
      </c>
      <c r="I2219">
        <v>117</v>
      </c>
    </row>
    <row r="2220" spans="1:9" s="14" customFormat="1">
      <c r="A2220" s="3"/>
      <c r="B2220" t="s">
        <v>4105</v>
      </c>
      <c r="C2220" s="8">
        <v>8987000</v>
      </c>
      <c r="D2220" s="8"/>
      <c r="E2220" s="8">
        <f t="shared" si="44"/>
        <v>1797400</v>
      </c>
      <c r="F2220" s="14" t="s">
        <v>568</v>
      </c>
      <c r="G2220" s="14" t="s">
        <v>4395</v>
      </c>
      <c r="H2220" s="14" t="s">
        <v>3390</v>
      </c>
      <c r="I2220">
        <v>117</v>
      </c>
    </row>
    <row r="2221" spans="1:9" s="14" customFormat="1">
      <c r="A2221" s="3"/>
      <c r="B2221" t="s">
        <v>4105</v>
      </c>
      <c r="C2221" s="8">
        <v>1797400</v>
      </c>
      <c r="D2221" s="8"/>
      <c r="E2221" s="8">
        <f t="shared" si="44"/>
        <v>0</v>
      </c>
      <c r="F2221" t="s">
        <v>714</v>
      </c>
      <c r="G2221" t="s">
        <v>715</v>
      </c>
      <c r="H2221" s="14" t="s">
        <v>3390</v>
      </c>
      <c r="I2221">
        <v>117</v>
      </c>
    </row>
    <row r="2222" spans="1:9" s="14" customFormat="1">
      <c r="A2222" s="138">
        <v>44552</v>
      </c>
      <c r="B2222" s="14" t="s">
        <v>4120</v>
      </c>
      <c r="C2222" s="53">
        <v>0</v>
      </c>
      <c r="D2222" s="53">
        <v>148000</v>
      </c>
      <c r="E2222" s="8">
        <f t="shared" si="44"/>
        <v>148000</v>
      </c>
      <c r="F2222" s="14" t="s">
        <v>581</v>
      </c>
      <c r="G2222" s="14" t="s">
        <v>582</v>
      </c>
      <c r="H2222" s="14" t="s">
        <v>3010</v>
      </c>
      <c r="I2222" s="14">
        <v>108</v>
      </c>
    </row>
    <row r="2223" spans="1:9" s="14" customFormat="1">
      <c r="A2223" s="3"/>
      <c r="B2223" s="14" t="s">
        <v>4120</v>
      </c>
      <c r="C2223" s="53">
        <v>148000</v>
      </c>
      <c r="D2223" s="8"/>
      <c r="E2223" s="8">
        <f t="shared" si="44"/>
        <v>0</v>
      </c>
      <c r="F2223" t="s">
        <v>714</v>
      </c>
      <c r="G2223" t="s">
        <v>715</v>
      </c>
      <c r="H2223" s="14" t="s">
        <v>3010</v>
      </c>
      <c r="I2223" s="14">
        <v>108</v>
      </c>
    </row>
    <row r="2224" spans="1:9" s="14" customFormat="1">
      <c r="A2224" s="3">
        <v>44552</v>
      </c>
      <c r="B2224" t="s">
        <v>4121</v>
      </c>
      <c r="C2224" s="8">
        <v>0</v>
      </c>
      <c r="D2224" s="8">
        <v>3319738.25</v>
      </c>
      <c r="E2224" s="8">
        <f t="shared" si="44"/>
        <v>3319738.25</v>
      </c>
      <c r="F2224" t="s">
        <v>581</v>
      </c>
      <c r="G2224" t="s">
        <v>582</v>
      </c>
      <c r="H2224" s="14" t="s">
        <v>2996</v>
      </c>
      <c r="I2224">
        <v>98</v>
      </c>
    </row>
    <row r="2225" spans="1:9" s="14" customFormat="1">
      <c r="A2225" s="3"/>
      <c r="B2225" t="s">
        <v>4121</v>
      </c>
      <c r="C2225" s="8">
        <v>2766447.75</v>
      </c>
      <c r="D2225" s="8"/>
      <c r="E2225" s="8">
        <f t="shared" si="44"/>
        <v>553290.5</v>
      </c>
      <c r="F2225" s="14" t="s">
        <v>568</v>
      </c>
      <c r="G2225" s="14" t="s">
        <v>4395</v>
      </c>
      <c r="H2225" s="14" t="s">
        <v>2996</v>
      </c>
      <c r="I2225">
        <v>98</v>
      </c>
    </row>
    <row r="2226" spans="1:9" s="14" customFormat="1">
      <c r="A2226" s="3"/>
      <c r="B2226" t="s">
        <v>4121</v>
      </c>
      <c r="C2226" s="8">
        <v>553290.5</v>
      </c>
      <c r="D2226" s="8"/>
      <c r="E2226" s="8">
        <f t="shared" si="44"/>
        <v>0</v>
      </c>
      <c r="F2226" t="s">
        <v>714</v>
      </c>
      <c r="G2226" t="s">
        <v>715</v>
      </c>
      <c r="H2226" s="14" t="s">
        <v>2996</v>
      </c>
      <c r="I2226">
        <v>98</v>
      </c>
    </row>
    <row r="2227" spans="1:9" s="14" customFormat="1">
      <c r="A2227" s="3">
        <v>44559</v>
      </c>
      <c r="B2227" s="7" t="s">
        <v>4170</v>
      </c>
      <c r="C2227" s="54">
        <v>0</v>
      </c>
      <c r="D2227" s="54">
        <v>5040000</v>
      </c>
      <c r="E2227" s="54">
        <f t="shared" si="44"/>
        <v>5040000</v>
      </c>
      <c r="F2227" s="80" t="s">
        <v>107</v>
      </c>
      <c r="G2227" s="14" t="s">
        <v>666</v>
      </c>
      <c r="H2227" s="14" t="s">
        <v>4386</v>
      </c>
      <c r="I2227" s="14" t="s">
        <v>64</v>
      </c>
    </row>
    <row r="2228" spans="1:9" s="14" customFormat="1">
      <c r="A2228" s="3"/>
      <c r="B2228" t="s">
        <v>4906</v>
      </c>
      <c r="C2228" s="54">
        <v>50000</v>
      </c>
      <c r="D2228" s="54">
        <v>0</v>
      </c>
      <c r="E2228" s="54">
        <f t="shared" si="44"/>
        <v>4990000</v>
      </c>
      <c r="F2228" t="s">
        <v>137</v>
      </c>
      <c r="G2228" t="s">
        <v>138</v>
      </c>
      <c r="H2228" s="14" t="s">
        <v>4137</v>
      </c>
      <c r="I2228"/>
    </row>
    <row r="2229" spans="1:9" s="14" customFormat="1">
      <c r="A2229" s="3"/>
      <c r="B2229" t="s">
        <v>4907</v>
      </c>
      <c r="C2229" s="54">
        <v>100000</v>
      </c>
      <c r="D2229" s="54">
        <v>0</v>
      </c>
      <c r="E2229" s="54">
        <f t="shared" si="44"/>
        <v>4890000</v>
      </c>
      <c r="F2229" t="s">
        <v>137</v>
      </c>
      <c r="G2229" t="s">
        <v>138</v>
      </c>
      <c r="H2229" s="14" t="s">
        <v>4137</v>
      </c>
      <c r="I2229"/>
    </row>
    <row r="2230" spans="1:9" s="14" customFormat="1">
      <c r="A2230" s="3"/>
      <c r="B2230" t="s">
        <v>4908</v>
      </c>
      <c r="C2230" s="54">
        <v>349000</v>
      </c>
      <c r="D2230" s="54">
        <v>0</v>
      </c>
      <c r="E2230" s="54">
        <f t="shared" si="44"/>
        <v>4541000</v>
      </c>
      <c r="F2230" t="s">
        <v>137</v>
      </c>
      <c r="G2230" t="s">
        <v>138</v>
      </c>
      <c r="H2230" s="14" t="s">
        <v>4137</v>
      </c>
      <c r="I2230"/>
    </row>
    <row r="2231" spans="1:9" s="14" customFormat="1">
      <c r="A2231" s="3"/>
      <c r="B2231" t="s">
        <v>4909</v>
      </c>
      <c r="C2231" s="54">
        <v>1688000</v>
      </c>
      <c r="D2231" s="54">
        <v>0</v>
      </c>
      <c r="E2231" s="54">
        <f t="shared" si="44"/>
        <v>2853000</v>
      </c>
      <c r="F2231" t="s">
        <v>137</v>
      </c>
      <c r="G2231" t="s">
        <v>138</v>
      </c>
      <c r="H2231" s="14" t="s">
        <v>4137</v>
      </c>
      <c r="I2231"/>
    </row>
    <row r="2232" spans="1:9" s="14" customFormat="1">
      <c r="A2232" s="3"/>
      <c r="B2232" t="s">
        <v>4910</v>
      </c>
      <c r="C2232" s="54">
        <v>50000</v>
      </c>
      <c r="D2232" s="54">
        <v>0</v>
      </c>
      <c r="E2232" s="54">
        <f t="shared" si="44"/>
        <v>2803000</v>
      </c>
      <c r="F2232" t="s">
        <v>137</v>
      </c>
      <c r="G2232" t="s">
        <v>138</v>
      </c>
      <c r="H2232" s="14" t="s">
        <v>4137</v>
      </c>
      <c r="I2232"/>
    </row>
    <row r="2233" spans="1:9" s="14" customFormat="1">
      <c r="A2233" s="3"/>
      <c r="B2233" t="s">
        <v>4911</v>
      </c>
      <c r="C2233" s="54">
        <v>110616</v>
      </c>
      <c r="D2233" s="54">
        <v>0</v>
      </c>
      <c r="E2233" s="54">
        <f t="shared" si="44"/>
        <v>2692384</v>
      </c>
      <c r="F2233" t="s">
        <v>137</v>
      </c>
      <c r="G2233" t="s">
        <v>138</v>
      </c>
      <c r="H2233" s="14" t="s">
        <v>4137</v>
      </c>
      <c r="I2233"/>
    </row>
    <row r="2234" spans="1:9" s="14" customFormat="1">
      <c r="A2234" s="3"/>
      <c r="B2234" t="s">
        <v>4912</v>
      </c>
      <c r="C2234" s="54">
        <v>175000</v>
      </c>
      <c r="D2234" s="54">
        <v>0</v>
      </c>
      <c r="E2234" s="54">
        <f t="shared" si="44"/>
        <v>2517384</v>
      </c>
      <c r="F2234" t="s">
        <v>137</v>
      </c>
      <c r="G2234" t="s">
        <v>138</v>
      </c>
      <c r="H2234" s="14" t="s">
        <v>4137</v>
      </c>
      <c r="I2234"/>
    </row>
    <row r="2235" spans="1:9" s="14" customFormat="1">
      <c r="A2235" s="3"/>
      <c r="B2235" t="s">
        <v>4913</v>
      </c>
      <c r="C2235" s="54">
        <v>1358500</v>
      </c>
      <c r="D2235" s="54">
        <v>0</v>
      </c>
      <c r="E2235" s="54">
        <f t="shared" si="44"/>
        <v>1158884</v>
      </c>
      <c r="F2235" t="s">
        <v>137</v>
      </c>
      <c r="G2235" t="s">
        <v>138</v>
      </c>
      <c r="H2235" s="14" t="s">
        <v>4137</v>
      </c>
      <c r="I2235"/>
    </row>
    <row r="2236" spans="1:9" s="14" customFormat="1">
      <c r="A2236" s="3"/>
      <c r="B2236" t="s">
        <v>4914</v>
      </c>
      <c r="C2236" s="54">
        <v>1000000</v>
      </c>
      <c r="D2236" s="54">
        <v>0</v>
      </c>
      <c r="E2236" s="54">
        <f t="shared" si="44"/>
        <v>158884</v>
      </c>
      <c r="F2236" t="s">
        <v>115</v>
      </c>
      <c r="G2236" t="s">
        <v>120</v>
      </c>
      <c r="H2236" s="14" t="s">
        <v>560</v>
      </c>
      <c r="I2236" s="14" t="s">
        <v>444</v>
      </c>
    </row>
    <row r="2237" spans="1:9" s="14" customFormat="1">
      <c r="A2237" s="3"/>
      <c r="B2237" t="s">
        <v>4915</v>
      </c>
      <c r="C2237" s="54">
        <v>124000</v>
      </c>
      <c r="D2237" s="54">
        <v>0</v>
      </c>
      <c r="E2237" s="54">
        <f t="shared" si="44"/>
        <v>34884</v>
      </c>
      <c r="F2237" t="s">
        <v>115</v>
      </c>
      <c r="G2237" t="s">
        <v>120</v>
      </c>
      <c r="H2237" s="14" t="s">
        <v>127</v>
      </c>
      <c r="I2237" s="14" t="s">
        <v>444</v>
      </c>
    </row>
    <row r="2238" spans="1:9" s="14" customFormat="1">
      <c r="A2238" s="3"/>
      <c r="B2238" s="7" t="s">
        <v>4916</v>
      </c>
      <c r="C2238" s="54">
        <v>34884</v>
      </c>
      <c r="D2238" s="54">
        <v>0</v>
      </c>
      <c r="E2238" s="54">
        <f t="shared" si="44"/>
        <v>0</v>
      </c>
      <c r="F2238" t="s">
        <v>110</v>
      </c>
      <c r="G2238" t="s">
        <v>118</v>
      </c>
      <c r="H2238" s="14" t="s">
        <v>128</v>
      </c>
      <c r="I2238"/>
    </row>
    <row r="2239" spans="1:9" s="14" customFormat="1">
      <c r="A2239" s="3">
        <v>44560</v>
      </c>
      <c r="B2239" t="s">
        <v>332</v>
      </c>
      <c r="C2239" s="8">
        <v>0</v>
      </c>
      <c r="D2239" s="8">
        <v>138545454.5</v>
      </c>
      <c r="E2239" s="54">
        <f t="shared" si="44"/>
        <v>138545454.5</v>
      </c>
      <c r="F2239" t="s">
        <v>581</v>
      </c>
      <c r="G2239" t="s">
        <v>582</v>
      </c>
      <c r="H2239" s="14" t="s">
        <v>3049</v>
      </c>
      <c r="I2239">
        <v>112</v>
      </c>
    </row>
    <row r="2240" spans="1:9" s="14" customFormat="1">
      <c r="A2240" s="3"/>
      <c r="B2240" t="s">
        <v>332</v>
      </c>
      <c r="C2240" s="53">
        <v>115454545.5</v>
      </c>
      <c r="D2240" s="53"/>
      <c r="E2240" s="54">
        <f t="shared" si="44"/>
        <v>23090909</v>
      </c>
      <c r="F2240" s="14" t="s">
        <v>568</v>
      </c>
      <c r="G2240" s="14" t="s">
        <v>4395</v>
      </c>
      <c r="H2240" s="14" t="s">
        <v>3049</v>
      </c>
      <c r="I2240">
        <v>112</v>
      </c>
    </row>
    <row r="2241" spans="1:9" s="14" customFormat="1">
      <c r="A2241" s="3"/>
      <c r="B2241" t="s">
        <v>332</v>
      </c>
      <c r="C2241" s="53">
        <v>23090909</v>
      </c>
      <c r="D2241" s="53"/>
      <c r="E2241" s="54">
        <f t="shared" si="44"/>
        <v>0</v>
      </c>
      <c r="F2241" t="s">
        <v>714</v>
      </c>
      <c r="G2241" t="s">
        <v>715</v>
      </c>
      <c r="H2241" s="14" t="s">
        <v>3049</v>
      </c>
      <c r="I2241">
        <v>112</v>
      </c>
    </row>
    <row r="2242" spans="1:9" s="14" customFormat="1">
      <c r="A2242" s="3">
        <v>44560</v>
      </c>
      <c r="B2242" t="s">
        <v>4203</v>
      </c>
      <c r="C2242" s="53">
        <v>0</v>
      </c>
      <c r="D2242" s="53">
        <v>68181817.799999952</v>
      </c>
      <c r="E2242" s="54">
        <f t="shared" si="44"/>
        <v>68181817.799999952</v>
      </c>
      <c r="F2242" t="s">
        <v>581</v>
      </c>
      <c r="G2242" t="s">
        <v>582</v>
      </c>
      <c r="H2242" s="14" t="s">
        <v>2278</v>
      </c>
      <c r="I2242">
        <v>81</v>
      </c>
    </row>
    <row r="2243" spans="1:9" s="14" customFormat="1">
      <c r="A2243" s="3"/>
      <c r="B2243" t="s">
        <v>4203</v>
      </c>
      <c r="C2243" s="53">
        <v>56818181.800000004</v>
      </c>
      <c r="D2243" s="53">
        <v>0</v>
      </c>
      <c r="E2243" s="54">
        <f t="shared" si="44"/>
        <v>11363635.999999948</v>
      </c>
      <c r="F2243" s="14" t="s">
        <v>568</v>
      </c>
      <c r="G2243" s="14" t="s">
        <v>4395</v>
      </c>
      <c r="H2243" s="14" t="s">
        <v>2278</v>
      </c>
      <c r="I2243">
        <v>81</v>
      </c>
    </row>
    <row r="2244" spans="1:9" s="14" customFormat="1">
      <c r="A2244" s="3"/>
      <c r="B2244" t="s">
        <v>4203</v>
      </c>
      <c r="C2244" s="53">
        <v>11363635.999999948</v>
      </c>
      <c r="D2244" s="53">
        <v>0</v>
      </c>
      <c r="E2244" s="54">
        <f t="shared" si="44"/>
        <v>0</v>
      </c>
      <c r="F2244" t="s">
        <v>714</v>
      </c>
      <c r="G2244" t="s">
        <v>715</v>
      </c>
      <c r="H2244" s="14" t="s">
        <v>2278</v>
      </c>
      <c r="I2244">
        <v>81</v>
      </c>
    </row>
    <row r="2245" spans="1:9" s="14" customFormat="1">
      <c r="A2245" s="3">
        <v>44561</v>
      </c>
      <c r="B2245" t="s">
        <v>4846</v>
      </c>
      <c r="C2245" s="53">
        <v>0</v>
      </c>
      <c r="D2245" s="53">
        <v>7000000</v>
      </c>
      <c r="E2245" s="54">
        <f t="shared" si="44"/>
        <v>7000000</v>
      </c>
      <c r="F2245" t="s">
        <v>137</v>
      </c>
      <c r="G2245" t="s">
        <v>138</v>
      </c>
      <c r="H2245" s="14" t="s">
        <v>2275</v>
      </c>
      <c r="I2245"/>
    </row>
    <row r="2246" spans="1:9" s="14" customFormat="1">
      <c r="A2246" s="3"/>
      <c r="B2246" t="s">
        <v>4846</v>
      </c>
      <c r="C2246" s="53">
        <v>7000000</v>
      </c>
      <c r="D2246" s="53">
        <v>0</v>
      </c>
      <c r="E2246" s="8">
        <f t="shared" ref="E2246:E2256" si="45">E2245-C2246+D2246</f>
        <v>0</v>
      </c>
      <c r="F2246" s="14" t="s">
        <v>110</v>
      </c>
      <c r="G2246" s="14" t="s">
        <v>616</v>
      </c>
      <c r="H2246" s="14" t="s">
        <v>4621</v>
      </c>
      <c r="I2246"/>
    </row>
    <row r="2247" spans="1:9" s="14" customFormat="1">
      <c r="A2247" s="3"/>
      <c r="B2247" t="s">
        <v>4846</v>
      </c>
      <c r="C2247" s="53">
        <v>0</v>
      </c>
      <c r="D2247" s="53">
        <v>1000000</v>
      </c>
      <c r="E2247" s="54">
        <f t="shared" si="45"/>
        <v>1000000</v>
      </c>
      <c r="F2247" t="s">
        <v>137</v>
      </c>
      <c r="G2247" t="s">
        <v>138</v>
      </c>
      <c r="H2247" s="14" t="s">
        <v>2275</v>
      </c>
      <c r="I2247"/>
    </row>
    <row r="2248" spans="1:9" s="14" customFormat="1">
      <c r="A2248" s="3"/>
      <c r="B2248" t="s">
        <v>4846</v>
      </c>
      <c r="C2248" s="53">
        <v>1000000</v>
      </c>
      <c r="D2248" s="53">
        <v>0</v>
      </c>
      <c r="E2248" s="8">
        <f t="shared" si="45"/>
        <v>0</v>
      </c>
      <c r="F2248" s="14" t="s">
        <v>110</v>
      </c>
      <c r="G2248" s="14" t="s">
        <v>616</v>
      </c>
      <c r="H2248" s="14" t="s">
        <v>4621</v>
      </c>
      <c r="I2248"/>
    </row>
    <row r="2249" spans="1:9" s="14" customFormat="1" ht="17" customHeight="1">
      <c r="A2249" s="3"/>
      <c r="B2249" t="s">
        <v>4847</v>
      </c>
      <c r="C2249" s="53">
        <v>0</v>
      </c>
      <c r="D2249" s="53">
        <v>1000000</v>
      </c>
      <c r="E2249" s="54">
        <f t="shared" si="45"/>
        <v>1000000</v>
      </c>
      <c r="F2249" t="s">
        <v>115</v>
      </c>
      <c r="G2249" t="s">
        <v>441</v>
      </c>
      <c r="H2249" s="14" t="s">
        <v>5135</v>
      </c>
      <c r="I2249"/>
    </row>
    <row r="2250" spans="1:9" s="14" customFormat="1">
      <c r="A2250" s="3"/>
      <c r="B2250" t="s">
        <v>4903</v>
      </c>
      <c r="C2250" s="53">
        <v>1000000</v>
      </c>
      <c r="D2250" s="53">
        <v>0</v>
      </c>
      <c r="E2250" s="8">
        <f t="shared" si="45"/>
        <v>0</v>
      </c>
      <c r="F2250" s="14" t="s">
        <v>110</v>
      </c>
      <c r="G2250" s="14" t="s">
        <v>616</v>
      </c>
      <c r="H2250" s="14" t="s">
        <v>4621</v>
      </c>
      <c r="I2250"/>
    </row>
    <row r="2251" spans="1:9" s="14" customFormat="1">
      <c r="A2251" s="3">
        <v>44561</v>
      </c>
      <c r="B2251" s="52" t="s">
        <v>4885</v>
      </c>
      <c r="C2251" s="53">
        <v>754455</v>
      </c>
      <c r="D2251" s="53">
        <v>0</v>
      </c>
      <c r="E2251" s="8">
        <f t="shared" si="45"/>
        <v>-754455</v>
      </c>
      <c r="F2251" s="14" t="s">
        <v>568</v>
      </c>
      <c r="G2251" s="14" t="s">
        <v>4679</v>
      </c>
      <c r="H2251" s="14" t="s">
        <v>2994</v>
      </c>
      <c r="I2251"/>
    </row>
    <row r="2252" spans="1:9" s="14" customFormat="1">
      <c r="A2252" s="3"/>
      <c r="B2252" s="52" t="s">
        <v>4887</v>
      </c>
      <c r="C2252" s="53">
        <v>740000</v>
      </c>
      <c r="D2252" s="53">
        <v>0</v>
      </c>
      <c r="E2252" s="8">
        <f t="shared" si="45"/>
        <v>-1494455</v>
      </c>
      <c r="F2252" s="14" t="s">
        <v>568</v>
      </c>
      <c r="G2252" s="14" t="s">
        <v>4679</v>
      </c>
      <c r="H2252" s="14" t="s">
        <v>3010</v>
      </c>
      <c r="I2252"/>
    </row>
    <row r="2253" spans="1:9" s="14" customFormat="1">
      <c r="A2253" s="3"/>
      <c r="B2253" s="52" t="s">
        <v>4888</v>
      </c>
      <c r="C2253" s="53">
        <v>2500000</v>
      </c>
      <c r="D2253" s="53">
        <v>0</v>
      </c>
      <c r="E2253" s="8">
        <f t="shared" si="45"/>
        <v>-3994455</v>
      </c>
      <c r="F2253" s="14" t="s">
        <v>568</v>
      </c>
      <c r="G2253" s="14" t="s">
        <v>4679</v>
      </c>
      <c r="H2253" s="14" t="s">
        <v>2979</v>
      </c>
      <c r="I2253"/>
    </row>
    <row r="2254" spans="1:9" s="14" customFormat="1">
      <c r="A2254" s="3"/>
      <c r="B2254" s="52" t="s">
        <v>4889</v>
      </c>
      <c r="C2254" s="53">
        <v>1983138</v>
      </c>
      <c r="D2254" s="53">
        <v>0</v>
      </c>
      <c r="E2254" s="8">
        <f t="shared" si="45"/>
        <v>-5977593</v>
      </c>
      <c r="F2254" s="14" t="s">
        <v>568</v>
      </c>
      <c r="G2254" s="14" t="s">
        <v>4679</v>
      </c>
      <c r="H2254" s="168" t="s">
        <v>4862</v>
      </c>
      <c r="I2254"/>
    </row>
    <row r="2255" spans="1:9" s="14" customFormat="1">
      <c r="A2255" s="3"/>
      <c r="B2255" s="52" t="s">
        <v>4890</v>
      </c>
      <c r="C2255" s="53">
        <v>538583</v>
      </c>
      <c r="D2255" s="53">
        <v>0</v>
      </c>
      <c r="E2255" s="8">
        <f t="shared" si="45"/>
        <v>-6516176</v>
      </c>
      <c r="F2255" s="14" t="s">
        <v>568</v>
      </c>
      <c r="G2255" s="14" t="s">
        <v>4679</v>
      </c>
      <c r="H2255" s="14" t="s">
        <v>2992</v>
      </c>
      <c r="I2255"/>
    </row>
    <row r="2256" spans="1:9" s="14" customFormat="1">
      <c r="A2256" s="3"/>
      <c r="B2256" s="52" t="s">
        <v>4891</v>
      </c>
      <c r="C2256" s="53">
        <v>8500</v>
      </c>
      <c r="D2256" s="53">
        <v>0</v>
      </c>
      <c r="E2256" s="8">
        <f t="shared" si="45"/>
        <v>-6524676</v>
      </c>
      <c r="F2256" s="14" t="s">
        <v>568</v>
      </c>
      <c r="G2256" s="14" t="s">
        <v>4679</v>
      </c>
      <c r="H2256" s="14" t="s">
        <v>3044</v>
      </c>
      <c r="I2256"/>
    </row>
    <row r="2257" spans="1:9" s="14" customFormat="1">
      <c r="A2257" s="3"/>
      <c r="B2257" s="52" t="s">
        <v>4892</v>
      </c>
      <c r="C2257" s="53">
        <v>7500</v>
      </c>
      <c r="D2257" s="53">
        <v>0</v>
      </c>
      <c r="E2257" s="8">
        <f t="shared" ref="E2257:E2268" si="46">E2256-C2257+D2257</f>
        <v>-6532176</v>
      </c>
      <c r="F2257" s="14" t="s">
        <v>568</v>
      </c>
      <c r="G2257" s="14" t="s">
        <v>4679</v>
      </c>
      <c r="H2257" s="14" t="s">
        <v>3044</v>
      </c>
      <c r="I2257"/>
    </row>
    <row r="2258" spans="1:9" s="14" customFormat="1">
      <c r="A2258" s="138"/>
      <c r="B2258" s="52" t="s">
        <v>4893</v>
      </c>
      <c r="C2258" s="53">
        <v>0</v>
      </c>
      <c r="D2258" s="53">
        <v>400000</v>
      </c>
      <c r="E2258" s="50">
        <f t="shared" si="46"/>
        <v>-6132176</v>
      </c>
      <c r="F2258" s="14" t="s">
        <v>110</v>
      </c>
      <c r="G2258" s="14" t="s">
        <v>616</v>
      </c>
      <c r="H2258" s="14" t="s">
        <v>4621</v>
      </c>
    </row>
    <row r="2259" spans="1:9" s="14" customFormat="1">
      <c r="A2259" s="3"/>
      <c r="B2259" s="52" t="s">
        <v>4894</v>
      </c>
      <c r="C2259" s="53">
        <v>0</v>
      </c>
      <c r="D2259" s="53">
        <v>350000</v>
      </c>
      <c r="E2259" s="8">
        <f t="shared" si="46"/>
        <v>-5782176</v>
      </c>
      <c r="F2259" s="14" t="s">
        <v>110</v>
      </c>
      <c r="G2259" s="14" t="s">
        <v>616</v>
      </c>
      <c r="H2259" s="14" t="s">
        <v>4621</v>
      </c>
      <c r="I2259"/>
    </row>
    <row r="2260" spans="1:9" s="14" customFormat="1">
      <c r="A2260" s="138"/>
      <c r="B2260" s="52" t="s">
        <v>4895</v>
      </c>
      <c r="C2260" s="53">
        <v>0</v>
      </c>
      <c r="D2260" s="53">
        <v>3894275</v>
      </c>
      <c r="E2260" s="50">
        <f t="shared" si="46"/>
        <v>-1887901</v>
      </c>
      <c r="F2260" s="14" t="s">
        <v>110</v>
      </c>
      <c r="G2260" s="14" t="s">
        <v>616</v>
      </c>
      <c r="H2260" s="14" t="s">
        <v>4621</v>
      </c>
    </row>
    <row r="2261" spans="1:9" s="14" customFormat="1">
      <c r="A2261" s="138"/>
      <c r="B2261" s="52" t="s">
        <v>4896</v>
      </c>
      <c r="C2261" s="53">
        <v>0</v>
      </c>
      <c r="D2261" s="53">
        <v>3549175</v>
      </c>
      <c r="E2261" s="50">
        <f t="shared" si="46"/>
        <v>1661274</v>
      </c>
      <c r="F2261" s="14" t="s">
        <v>110</v>
      </c>
      <c r="G2261" s="14" t="s">
        <v>616</v>
      </c>
      <c r="H2261" s="14" t="s">
        <v>4621</v>
      </c>
    </row>
    <row r="2262" spans="1:9" s="14" customFormat="1">
      <c r="A2262" s="138"/>
      <c r="B2262" s="52" t="s">
        <v>4897</v>
      </c>
      <c r="C2262" s="53">
        <v>0</v>
      </c>
      <c r="D2262" s="53">
        <v>7000000</v>
      </c>
      <c r="E2262" s="50">
        <f t="shared" si="46"/>
        <v>8661274</v>
      </c>
      <c r="F2262" s="14" t="s">
        <v>110</v>
      </c>
      <c r="G2262" s="14" t="s">
        <v>616</v>
      </c>
      <c r="H2262" s="14" t="s">
        <v>4621</v>
      </c>
    </row>
    <row r="2263" spans="1:9" s="14" customFormat="1">
      <c r="A2263" s="138"/>
      <c r="B2263" s="52" t="s">
        <v>4898</v>
      </c>
      <c r="C2263" s="53">
        <v>0</v>
      </c>
      <c r="D2263" s="53">
        <v>1000000</v>
      </c>
      <c r="E2263" s="50">
        <f t="shared" si="46"/>
        <v>9661274</v>
      </c>
      <c r="F2263" s="14" t="s">
        <v>110</v>
      </c>
      <c r="G2263" s="14" t="s">
        <v>616</v>
      </c>
      <c r="H2263" s="14" t="s">
        <v>4621</v>
      </c>
    </row>
    <row r="2264" spans="1:9" s="14" customFormat="1">
      <c r="A2264" s="138"/>
      <c r="B2264" s="52" t="s">
        <v>4899</v>
      </c>
      <c r="C2264" s="53">
        <v>0</v>
      </c>
      <c r="D2264" s="53">
        <v>1000000</v>
      </c>
      <c r="E2264" s="50">
        <f t="shared" si="46"/>
        <v>10661274</v>
      </c>
      <c r="F2264" s="14" t="s">
        <v>110</v>
      </c>
      <c r="G2264" s="14" t="s">
        <v>616</v>
      </c>
      <c r="H2264" s="14" t="s">
        <v>4621</v>
      </c>
    </row>
    <row r="2265" spans="1:9" s="14" customFormat="1">
      <c r="A2265" s="3"/>
      <c r="B2265" s="52" t="s">
        <v>4886</v>
      </c>
      <c r="C2265" s="53">
        <v>10661274</v>
      </c>
      <c r="D2265" s="53">
        <v>0</v>
      </c>
      <c r="E2265" s="8">
        <f t="shared" si="46"/>
        <v>0</v>
      </c>
      <c r="F2265" s="14" t="s">
        <v>110</v>
      </c>
      <c r="G2265" s="14" t="s">
        <v>616</v>
      </c>
      <c r="H2265" s="14" t="s">
        <v>4621</v>
      </c>
      <c r="I2265"/>
    </row>
    <row r="2266" spans="1:9" s="14" customFormat="1">
      <c r="A2266" s="3">
        <v>44561</v>
      </c>
      <c r="B2266" t="s">
        <v>4381</v>
      </c>
      <c r="C2266" s="8">
        <v>0</v>
      </c>
      <c r="D2266" s="8">
        <v>133701551</v>
      </c>
      <c r="E2266" s="8">
        <f>E2265-C2266+D2266</f>
        <v>133701551</v>
      </c>
      <c r="F2266" s="10" t="s">
        <v>107</v>
      </c>
      <c r="G2266" s="10" t="s">
        <v>274</v>
      </c>
      <c r="H2266" t="s">
        <v>142</v>
      </c>
    </row>
    <row r="2267" spans="1:9" s="14" customFormat="1">
      <c r="A2267" s="3"/>
      <c r="B2267" t="s">
        <v>4701</v>
      </c>
      <c r="C2267" s="54">
        <v>97800</v>
      </c>
      <c r="D2267" s="54"/>
      <c r="E2267" s="8">
        <f t="shared" si="46"/>
        <v>133603751</v>
      </c>
      <c r="F2267" s="10" t="s">
        <v>137</v>
      </c>
      <c r="G2267" s="10" t="s">
        <v>138</v>
      </c>
      <c r="H2267" t="s">
        <v>3390</v>
      </c>
    </row>
    <row r="2268" spans="1:9" s="14" customFormat="1">
      <c r="A2268" s="3"/>
      <c r="B2268" t="s">
        <v>4702</v>
      </c>
      <c r="C2268" s="54">
        <v>21692000</v>
      </c>
      <c r="D2268" s="54"/>
      <c r="E2268" s="8">
        <f t="shared" si="46"/>
        <v>111911751</v>
      </c>
      <c r="F2268" s="10" t="s">
        <v>137</v>
      </c>
      <c r="G2268" s="10" t="s">
        <v>138</v>
      </c>
      <c r="H2268" t="s">
        <v>3395</v>
      </c>
    </row>
    <row r="2269" spans="1:9" s="14" customFormat="1">
      <c r="A2269" s="3"/>
      <c r="B2269" t="s">
        <v>4702</v>
      </c>
      <c r="C2269" s="54">
        <v>24999000</v>
      </c>
      <c r="D2269" s="54"/>
      <c r="E2269" s="54">
        <f t="shared" ref="E2269:E2376" si="47">E2268-C2269+D2269</f>
        <v>86912751</v>
      </c>
      <c r="F2269" s="10" t="s">
        <v>137</v>
      </c>
      <c r="G2269" s="10" t="s">
        <v>138</v>
      </c>
      <c r="H2269" t="s">
        <v>3395</v>
      </c>
    </row>
    <row r="2270" spans="1:9" s="14" customFormat="1">
      <c r="A2270" s="3"/>
      <c r="B2270" t="s">
        <v>4702</v>
      </c>
      <c r="C2270" s="54">
        <v>10939700</v>
      </c>
      <c r="D2270" s="54"/>
      <c r="E2270" s="54">
        <f t="shared" si="47"/>
        <v>75973051</v>
      </c>
      <c r="F2270" s="10" t="s">
        <v>137</v>
      </c>
      <c r="G2270" s="10" t="s">
        <v>138</v>
      </c>
      <c r="H2270" t="s">
        <v>3395</v>
      </c>
    </row>
    <row r="2271" spans="1:9" s="14" customFormat="1">
      <c r="A2271" s="3"/>
      <c r="B2271" t="s">
        <v>2080</v>
      </c>
      <c r="C2271" s="54">
        <v>334400</v>
      </c>
      <c r="D2271" s="54"/>
      <c r="E2271" s="54">
        <f t="shared" si="47"/>
        <v>75638651</v>
      </c>
      <c r="F2271" s="10" t="s">
        <v>137</v>
      </c>
      <c r="G2271" s="10" t="s">
        <v>138</v>
      </c>
      <c r="H2271" s="168" t="s">
        <v>3030</v>
      </c>
    </row>
    <row r="2272" spans="1:9" s="14" customFormat="1">
      <c r="A2272" s="3"/>
      <c r="B2272" t="s">
        <v>4703</v>
      </c>
      <c r="C2272" s="54">
        <v>111000</v>
      </c>
      <c r="D2272" s="54"/>
      <c r="E2272" s="54">
        <f t="shared" si="47"/>
        <v>75527651</v>
      </c>
      <c r="F2272" s="10" t="s">
        <v>137</v>
      </c>
      <c r="G2272" s="10" t="s">
        <v>138</v>
      </c>
      <c r="H2272" t="s">
        <v>3391</v>
      </c>
    </row>
    <row r="2273" spans="1:9" s="14" customFormat="1">
      <c r="A2273" s="3"/>
      <c r="B2273" t="s">
        <v>4703</v>
      </c>
      <c r="C2273" s="54">
        <v>309000</v>
      </c>
      <c r="D2273" s="54"/>
      <c r="E2273" s="54">
        <f t="shared" si="47"/>
        <v>75218651</v>
      </c>
      <c r="F2273" s="10" t="s">
        <v>137</v>
      </c>
      <c r="G2273" s="10" t="s">
        <v>138</v>
      </c>
      <c r="H2273" t="s">
        <v>3391</v>
      </c>
    </row>
    <row r="2274" spans="1:9" s="14" customFormat="1">
      <c r="A2274" s="3"/>
      <c r="B2274" t="s">
        <v>4704</v>
      </c>
      <c r="C2274" s="54">
        <v>181400</v>
      </c>
      <c r="D2274" s="54"/>
      <c r="E2274" s="54">
        <f t="shared" si="47"/>
        <v>75037251</v>
      </c>
      <c r="F2274" s="10" t="s">
        <v>137</v>
      </c>
      <c r="G2274" s="10" t="s">
        <v>138</v>
      </c>
      <c r="H2274" t="s">
        <v>3391</v>
      </c>
    </row>
    <row r="2275" spans="1:9" s="14" customFormat="1">
      <c r="A2275" s="3"/>
      <c r="B2275" t="s">
        <v>4705</v>
      </c>
      <c r="C2275" s="54">
        <v>917400</v>
      </c>
      <c r="D2275" s="54"/>
      <c r="E2275" s="54">
        <f t="shared" si="47"/>
        <v>74119851</v>
      </c>
      <c r="F2275" s="10" t="s">
        <v>137</v>
      </c>
      <c r="G2275" s="10" t="s">
        <v>138</v>
      </c>
      <c r="H2275" t="s">
        <v>3391</v>
      </c>
    </row>
    <row r="2276" spans="1:9" s="14" customFormat="1">
      <c r="A2276" s="3"/>
      <c r="B2276" t="s">
        <v>4705</v>
      </c>
      <c r="C2276" s="54">
        <v>139700</v>
      </c>
      <c r="D2276" s="54"/>
      <c r="E2276" s="54">
        <f t="shared" si="47"/>
        <v>73980151</v>
      </c>
      <c r="F2276" s="10" t="s">
        <v>137</v>
      </c>
      <c r="G2276" s="10" t="s">
        <v>138</v>
      </c>
      <c r="H2276" t="s">
        <v>3391</v>
      </c>
    </row>
    <row r="2277" spans="1:9" s="14" customFormat="1">
      <c r="A2277" s="3"/>
      <c r="B2277" t="s">
        <v>4706</v>
      </c>
      <c r="C2277" s="54">
        <v>116300</v>
      </c>
      <c r="D2277" s="54"/>
      <c r="E2277" s="54">
        <f t="shared" si="47"/>
        <v>73863851</v>
      </c>
      <c r="F2277" s="10" t="s">
        <v>137</v>
      </c>
      <c r="G2277" s="10" t="s">
        <v>138</v>
      </c>
      <c r="H2277" t="s">
        <v>3390</v>
      </c>
    </row>
    <row r="2278" spans="1:9" s="14" customFormat="1">
      <c r="A2278" s="3"/>
      <c r="B2278" t="s">
        <v>3196</v>
      </c>
      <c r="C2278" s="54">
        <v>100000</v>
      </c>
      <c r="D2278" s="54"/>
      <c r="E2278" s="54">
        <f t="shared" si="47"/>
        <v>73763851</v>
      </c>
      <c r="F2278" s="10" t="s">
        <v>113</v>
      </c>
      <c r="G2278" s="10" t="s">
        <v>478</v>
      </c>
      <c r="H2278" t="s">
        <v>64</v>
      </c>
    </row>
    <row r="2279" spans="1:9" s="14" customFormat="1">
      <c r="A2279" s="3"/>
      <c r="B2279" t="s">
        <v>4702</v>
      </c>
      <c r="C2279" s="54">
        <v>5653000</v>
      </c>
      <c r="D2279" s="54"/>
      <c r="E2279" s="54">
        <f t="shared" si="47"/>
        <v>68110851</v>
      </c>
      <c r="F2279" s="10" t="s">
        <v>115</v>
      </c>
      <c r="G2279" s="10" t="s">
        <v>120</v>
      </c>
      <c r="H2279" s="14" t="s">
        <v>127</v>
      </c>
      <c r="I2279" s="14" t="s">
        <v>444</v>
      </c>
    </row>
    <row r="2280" spans="1:9" s="14" customFormat="1">
      <c r="A2280" s="3"/>
      <c r="B2280" t="s">
        <v>4702</v>
      </c>
      <c r="C2280" s="54">
        <v>870500</v>
      </c>
      <c r="D2280" s="54"/>
      <c r="E2280" s="54">
        <f t="shared" si="47"/>
        <v>67240351</v>
      </c>
      <c r="F2280" s="10" t="s">
        <v>107</v>
      </c>
      <c r="G2280" s="10" t="s">
        <v>3102</v>
      </c>
      <c r="H2280"/>
    </row>
    <row r="2281" spans="1:9" s="14" customFormat="1">
      <c r="A2281" s="3"/>
      <c r="B2281" t="s">
        <v>4702</v>
      </c>
      <c r="C2281" s="54">
        <v>1212000</v>
      </c>
      <c r="D2281" s="54"/>
      <c r="E2281" s="54">
        <f t="shared" si="47"/>
        <v>66028351</v>
      </c>
      <c r="F2281" s="10" t="s">
        <v>137</v>
      </c>
      <c r="G2281" s="10" t="s">
        <v>138</v>
      </c>
      <c r="H2281" t="s">
        <v>3046</v>
      </c>
    </row>
    <row r="2282" spans="1:9" s="14" customFormat="1">
      <c r="A2282" s="3"/>
      <c r="B2282" t="s">
        <v>4702</v>
      </c>
      <c r="C2282" s="54">
        <v>962895</v>
      </c>
      <c r="D2282" s="54"/>
      <c r="E2282" s="54">
        <f t="shared" si="47"/>
        <v>65065456</v>
      </c>
      <c r="F2282" s="10" t="s">
        <v>137</v>
      </c>
      <c r="G2282" s="10" t="s">
        <v>138</v>
      </c>
      <c r="H2282" t="s">
        <v>3046</v>
      </c>
    </row>
    <row r="2283" spans="1:9" s="14" customFormat="1">
      <c r="A2283" s="3"/>
      <c r="B2283" t="s">
        <v>4702</v>
      </c>
      <c r="C2283" s="54">
        <v>880900</v>
      </c>
      <c r="D2283" s="54"/>
      <c r="E2283" s="54">
        <f t="shared" si="47"/>
        <v>64184556</v>
      </c>
      <c r="F2283" s="10" t="s">
        <v>107</v>
      </c>
      <c r="G2283" s="10" t="s">
        <v>3102</v>
      </c>
      <c r="H2283"/>
    </row>
    <row r="2284" spans="1:9" s="14" customFormat="1">
      <c r="A2284" s="3"/>
      <c r="B2284" t="s">
        <v>4702</v>
      </c>
      <c r="C2284" s="54">
        <v>1001000</v>
      </c>
      <c r="D2284" s="54"/>
      <c r="E2284" s="54">
        <f t="shared" si="47"/>
        <v>63183556</v>
      </c>
      <c r="F2284" s="10" t="s">
        <v>137</v>
      </c>
      <c r="G2284" s="10" t="s">
        <v>138</v>
      </c>
      <c r="H2284" t="s">
        <v>3046</v>
      </c>
    </row>
    <row r="2285" spans="1:9" s="14" customFormat="1">
      <c r="A2285" s="3"/>
      <c r="B2285" t="s">
        <v>4228</v>
      </c>
      <c r="C2285" s="54">
        <v>1190112</v>
      </c>
      <c r="D2285" s="54"/>
      <c r="E2285" s="54">
        <f t="shared" si="47"/>
        <v>61993444</v>
      </c>
      <c r="F2285" s="10" t="s">
        <v>137</v>
      </c>
      <c r="G2285" s="10" t="s">
        <v>138</v>
      </c>
      <c r="H2285" s="168" t="s">
        <v>3030</v>
      </c>
    </row>
    <row r="2286" spans="1:9" s="14" customFormat="1">
      <c r="A2286" s="3"/>
      <c r="B2286" t="s">
        <v>4701</v>
      </c>
      <c r="C2286" s="54">
        <v>137500</v>
      </c>
      <c r="D2286" s="54"/>
      <c r="E2286" s="54">
        <f t="shared" si="47"/>
        <v>61855944</v>
      </c>
      <c r="F2286" s="10" t="s">
        <v>137</v>
      </c>
      <c r="G2286" s="10" t="s">
        <v>138</v>
      </c>
      <c r="H2286" t="s">
        <v>3390</v>
      </c>
    </row>
    <row r="2287" spans="1:9" s="14" customFormat="1">
      <c r="A2287" s="3"/>
      <c r="B2287" t="s">
        <v>4228</v>
      </c>
      <c r="C2287" s="54">
        <v>1188457</v>
      </c>
      <c r="D2287" s="54"/>
      <c r="E2287" s="54">
        <f t="shared" si="47"/>
        <v>60667487</v>
      </c>
      <c r="F2287" s="10" t="s">
        <v>137</v>
      </c>
      <c r="G2287" s="10" t="s">
        <v>138</v>
      </c>
      <c r="H2287" s="168" t="s">
        <v>3030</v>
      </c>
    </row>
    <row r="2288" spans="1:9" s="14" customFormat="1">
      <c r="A2288" s="3"/>
      <c r="B2288" t="s">
        <v>4702</v>
      </c>
      <c r="C2288" s="54">
        <v>0</v>
      </c>
      <c r="D2288" s="54">
        <v>870500</v>
      </c>
      <c r="E2288" s="54">
        <f t="shared" si="47"/>
        <v>61537987</v>
      </c>
      <c r="F2288" s="10" t="s">
        <v>107</v>
      </c>
      <c r="G2288" s="10" t="s">
        <v>3102</v>
      </c>
      <c r="H2288"/>
    </row>
    <row r="2289" spans="1:9" s="14" customFormat="1">
      <c r="A2289" s="3"/>
      <c r="B2289" t="s">
        <v>4701</v>
      </c>
      <c r="C2289" s="54">
        <v>124900</v>
      </c>
      <c r="D2289" s="54"/>
      <c r="E2289" s="54">
        <f t="shared" si="47"/>
        <v>61413087</v>
      </c>
      <c r="F2289" s="10" t="s">
        <v>137</v>
      </c>
      <c r="G2289" s="10" t="s">
        <v>138</v>
      </c>
      <c r="H2289" t="s">
        <v>3390</v>
      </c>
    </row>
    <row r="2290" spans="1:9" s="14" customFormat="1">
      <c r="A2290" s="3"/>
      <c r="B2290" t="s">
        <v>416</v>
      </c>
      <c r="C2290" s="54">
        <v>1923000</v>
      </c>
      <c r="D2290" s="54"/>
      <c r="E2290" s="54">
        <f t="shared" si="47"/>
        <v>59490087</v>
      </c>
      <c r="F2290" s="10" t="s">
        <v>115</v>
      </c>
      <c r="G2290" s="10" t="s">
        <v>120</v>
      </c>
      <c r="H2290" s="14" t="s">
        <v>127</v>
      </c>
      <c r="I2290" s="14" t="s">
        <v>444</v>
      </c>
    </row>
    <row r="2291" spans="1:9" s="14" customFormat="1">
      <c r="A2291" s="3"/>
      <c r="B2291" t="s">
        <v>4707</v>
      </c>
      <c r="C2291" s="54">
        <v>2699400</v>
      </c>
      <c r="D2291" s="54"/>
      <c r="E2291" s="54">
        <f t="shared" si="47"/>
        <v>56790687</v>
      </c>
      <c r="F2291" s="10" t="s">
        <v>137</v>
      </c>
      <c r="G2291" s="10" t="s">
        <v>138</v>
      </c>
      <c r="H2291" t="s">
        <v>4137</v>
      </c>
    </row>
    <row r="2292" spans="1:9" s="14" customFormat="1">
      <c r="A2292" s="3"/>
      <c r="B2292" t="s">
        <v>4707</v>
      </c>
      <c r="C2292" s="54">
        <v>1949600</v>
      </c>
      <c r="D2292" s="54"/>
      <c r="E2292" s="54">
        <f t="shared" si="47"/>
        <v>54841087</v>
      </c>
      <c r="F2292" s="10" t="s">
        <v>137</v>
      </c>
      <c r="G2292" s="10" t="s">
        <v>138</v>
      </c>
      <c r="H2292" t="s">
        <v>4137</v>
      </c>
    </row>
    <row r="2293" spans="1:9" s="14" customFormat="1">
      <c r="A2293" s="3"/>
      <c r="B2293" t="s">
        <v>4707</v>
      </c>
      <c r="C2293" s="54">
        <v>2849400</v>
      </c>
      <c r="D2293" s="54"/>
      <c r="E2293" s="54">
        <f t="shared" si="47"/>
        <v>51991687</v>
      </c>
      <c r="F2293" s="10" t="s">
        <v>137</v>
      </c>
      <c r="G2293" s="10" t="s">
        <v>138</v>
      </c>
      <c r="H2293" t="s">
        <v>4137</v>
      </c>
    </row>
    <row r="2294" spans="1:9" s="14" customFormat="1">
      <c r="A2294" s="3"/>
      <c r="B2294" t="s">
        <v>4707</v>
      </c>
      <c r="C2294" s="54">
        <v>599900</v>
      </c>
      <c r="D2294" s="54"/>
      <c r="E2294" s="54">
        <f t="shared" si="47"/>
        <v>51391787</v>
      </c>
      <c r="F2294" s="10" t="s">
        <v>137</v>
      </c>
      <c r="G2294" s="10" t="s">
        <v>138</v>
      </c>
      <c r="H2294" t="s">
        <v>4137</v>
      </c>
    </row>
    <row r="2295" spans="1:9" s="14" customFormat="1">
      <c r="A2295" s="3"/>
      <c r="B2295" t="s">
        <v>4702</v>
      </c>
      <c r="C2295" s="54">
        <v>0</v>
      </c>
      <c r="D2295" s="54">
        <v>880900</v>
      </c>
      <c r="E2295" s="54">
        <f t="shared" si="47"/>
        <v>52272687</v>
      </c>
      <c r="F2295" s="10" t="s">
        <v>107</v>
      </c>
      <c r="G2295" s="10" t="s">
        <v>3102</v>
      </c>
      <c r="H2295"/>
    </row>
    <row r="2296" spans="1:9" s="14" customFormat="1">
      <c r="A2296" s="3"/>
      <c r="B2296" t="s">
        <v>4702</v>
      </c>
      <c r="C2296" s="54">
        <v>17058100</v>
      </c>
      <c r="D2296" s="54"/>
      <c r="E2296" s="54">
        <f t="shared" si="47"/>
        <v>35214587</v>
      </c>
      <c r="F2296" s="10" t="s">
        <v>107</v>
      </c>
      <c r="G2296" s="10" t="s">
        <v>3102</v>
      </c>
      <c r="H2296"/>
    </row>
    <row r="2297" spans="1:9" s="14" customFormat="1">
      <c r="A2297" s="3"/>
      <c r="B2297" t="s">
        <v>4228</v>
      </c>
      <c r="C2297" s="54">
        <v>2739945</v>
      </c>
      <c r="D2297" s="54"/>
      <c r="E2297" s="54">
        <f t="shared" si="47"/>
        <v>32474642</v>
      </c>
      <c r="F2297" s="10" t="s">
        <v>137</v>
      </c>
      <c r="G2297" s="10" t="s">
        <v>138</v>
      </c>
      <c r="H2297" s="168" t="s">
        <v>3030</v>
      </c>
    </row>
    <row r="2298" spans="1:9" s="14" customFormat="1">
      <c r="A2298" s="3"/>
      <c r="B2298" t="s">
        <v>4710</v>
      </c>
      <c r="C2298" s="54">
        <v>182975</v>
      </c>
      <c r="D2298" s="54"/>
      <c r="E2298" s="54">
        <f t="shared" si="47"/>
        <v>32291667</v>
      </c>
      <c r="F2298" s="10" t="s">
        <v>248</v>
      </c>
      <c r="G2298" s="10" t="s">
        <v>391</v>
      </c>
      <c r="H2298" t="s">
        <v>64</v>
      </c>
    </row>
    <row r="2299" spans="1:9" s="14" customFormat="1">
      <c r="A2299" s="3"/>
      <c r="B2299" t="s">
        <v>4702</v>
      </c>
      <c r="C2299" s="54">
        <v>0</v>
      </c>
      <c r="D2299" s="54">
        <v>17058100</v>
      </c>
      <c r="E2299" s="54">
        <f t="shared" si="47"/>
        <v>49349767</v>
      </c>
      <c r="F2299" s="10" t="s">
        <v>107</v>
      </c>
      <c r="G2299" s="10" t="s">
        <v>3102</v>
      </c>
      <c r="H2299"/>
    </row>
    <row r="2300" spans="1:9" s="14" customFormat="1">
      <c r="A2300" s="3"/>
      <c r="B2300" t="s">
        <v>4228</v>
      </c>
      <c r="C2300" s="54">
        <v>680611</v>
      </c>
      <c r="D2300" s="54"/>
      <c r="E2300" s="54">
        <f t="shared" si="47"/>
        <v>48669156</v>
      </c>
      <c r="F2300" s="10" t="s">
        <v>137</v>
      </c>
      <c r="G2300" s="10" t="s">
        <v>138</v>
      </c>
      <c r="H2300" s="168" t="s">
        <v>3030</v>
      </c>
    </row>
    <row r="2301" spans="1:9" s="14" customFormat="1">
      <c r="A2301" s="3"/>
      <c r="B2301" t="s">
        <v>4711</v>
      </c>
      <c r="C2301" s="54">
        <v>344500</v>
      </c>
      <c r="D2301" s="54"/>
      <c r="E2301" s="54">
        <f t="shared" si="47"/>
        <v>48324656</v>
      </c>
      <c r="F2301" s="10" t="s">
        <v>736</v>
      </c>
      <c r="G2301" s="10" t="s">
        <v>455</v>
      </c>
      <c r="H2301" t="s">
        <v>64</v>
      </c>
    </row>
    <row r="2302" spans="1:9" s="14" customFormat="1">
      <c r="A2302" s="3"/>
      <c r="B2302" t="s">
        <v>4228</v>
      </c>
      <c r="C2302" s="54">
        <v>509129</v>
      </c>
      <c r="D2302" s="54"/>
      <c r="E2302" s="54">
        <f t="shared" si="47"/>
        <v>47815527</v>
      </c>
      <c r="F2302" s="10" t="s">
        <v>137</v>
      </c>
      <c r="G2302" s="10" t="s">
        <v>138</v>
      </c>
      <c r="H2302" t="s">
        <v>4137</v>
      </c>
    </row>
    <row r="2303" spans="1:9" s="168" customFormat="1">
      <c r="A2303" s="174"/>
      <c r="B2303" s="168" t="s">
        <v>5073</v>
      </c>
      <c r="C2303" s="170">
        <f>1289034-C2304</f>
        <v>644517</v>
      </c>
      <c r="D2303" s="170"/>
      <c r="E2303" s="170">
        <f t="shared" si="47"/>
        <v>47171010</v>
      </c>
      <c r="F2303" s="168" t="s">
        <v>137</v>
      </c>
      <c r="G2303" s="168" t="s">
        <v>138</v>
      </c>
      <c r="H2303" s="168" t="s">
        <v>3030</v>
      </c>
    </row>
    <row r="2304" spans="1:9" s="168" customFormat="1">
      <c r="A2304" s="174"/>
      <c r="B2304" s="168" t="s">
        <v>5073</v>
      </c>
      <c r="C2304" s="170">
        <v>644517</v>
      </c>
      <c r="D2304" s="170"/>
      <c r="E2304" s="170">
        <f t="shared" si="47"/>
        <v>46526493</v>
      </c>
      <c r="F2304" s="168" t="s">
        <v>107</v>
      </c>
      <c r="G2304" s="168" t="s">
        <v>3102</v>
      </c>
      <c r="H2304" s="168" t="s">
        <v>64</v>
      </c>
    </row>
    <row r="2305" spans="1:9" s="14" customFormat="1">
      <c r="A2305" s="3"/>
      <c r="B2305" t="s">
        <v>4702</v>
      </c>
      <c r="C2305" s="54">
        <v>14346500</v>
      </c>
      <c r="D2305" s="54"/>
      <c r="E2305" s="54">
        <f t="shared" si="47"/>
        <v>32179993</v>
      </c>
      <c r="F2305" s="10" t="s">
        <v>137</v>
      </c>
      <c r="G2305" s="10" t="s">
        <v>138</v>
      </c>
      <c r="H2305" s="168" t="s">
        <v>4144</v>
      </c>
    </row>
    <row r="2306" spans="1:9" s="14" customFormat="1">
      <c r="A2306" s="3"/>
      <c r="B2306" t="s">
        <v>4702</v>
      </c>
      <c r="C2306" s="54">
        <v>14195700</v>
      </c>
      <c r="D2306" s="54"/>
      <c r="E2306" s="54">
        <f t="shared" si="47"/>
        <v>17984293</v>
      </c>
      <c r="F2306" s="10" t="s">
        <v>137</v>
      </c>
      <c r="G2306" s="10" t="s">
        <v>138</v>
      </c>
      <c r="H2306" s="168" t="s">
        <v>4144</v>
      </c>
    </row>
    <row r="2307" spans="1:9" s="14" customFormat="1">
      <c r="A2307" s="138"/>
      <c r="B2307" s="14" t="s">
        <v>4702</v>
      </c>
      <c r="C2307" s="53">
        <v>11482200</v>
      </c>
      <c r="D2307" s="53"/>
      <c r="E2307" s="54">
        <f t="shared" si="47"/>
        <v>6502093</v>
      </c>
      <c r="F2307" s="14" t="s">
        <v>107</v>
      </c>
      <c r="G2307" s="14" t="s">
        <v>3102</v>
      </c>
      <c r="H2307" s="14" t="s">
        <v>64</v>
      </c>
    </row>
    <row r="2308" spans="1:9" s="14" customFormat="1">
      <c r="A2308" s="3"/>
      <c r="B2308" t="s">
        <v>4254</v>
      </c>
      <c r="C2308" s="54">
        <v>250000</v>
      </c>
      <c r="D2308" s="54"/>
      <c r="E2308" s="54">
        <f t="shared" si="47"/>
        <v>6252093</v>
      </c>
      <c r="F2308" s="10" t="s">
        <v>113</v>
      </c>
      <c r="G2308" s="10" t="s">
        <v>478</v>
      </c>
      <c r="H2308" t="s">
        <v>64</v>
      </c>
    </row>
    <row r="2309" spans="1:9" s="14" customFormat="1">
      <c r="A2309" s="3"/>
      <c r="B2309" t="s">
        <v>1031</v>
      </c>
      <c r="C2309" s="54">
        <v>10000</v>
      </c>
      <c r="D2309" s="54"/>
      <c r="E2309" s="54">
        <f t="shared" si="47"/>
        <v>6242093</v>
      </c>
      <c r="F2309" s="10" t="s">
        <v>113</v>
      </c>
      <c r="G2309" s="10" t="s">
        <v>114</v>
      </c>
      <c r="H2309" t="s">
        <v>64</v>
      </c>
    </row>
    <row r="2310" spans="1:9" s="14" customFormat="1">
      <c r="A2310" s="3"/>
      <c r="B2310" t="s">
        <v>4708</v>
      </c>
      <c r="C2310" s="54">
        <v>1707333</v>
      </c>
      <c r="D2310" s="54"/>
      <c r="E2310" s="54">
        <f t="shared" si="47"/>
        <v>4534760</v>
      </c>
      <c r="F2310" s="10" t="s">
        <v>115</v>
      </c>
      <c r="G2310" s="10" t="s">
        <v>440</v>
      </c>
      <c r="H2310" s="14" t="s">
        <v>4001</v>
      </c>
    </row>
    <row r="2311" spans="1:9" s="14" customFormat="1">
      <c r="A2311" s="3"/>
      <c r="B2311" t="s">
        <v>4709</v>
      </c>
      <c r="C2311" s="54">
        <v>1458250</v>
      </c>
      <c r="D2311" s="54"/>
      <c r="E2311" s="54">
        <f t="shared" si="47"/>
        <v>3076510</v>
      </c>
      <c r="F2311" s="10" t="s">
        <v>115</v>
      </c>
      <c r="G2311" s="10" t="s">
        <v>440</v>
      </c>
      <c r="H2311" s="14" t="s">
        <v>4002</v>
      </c>
    </row>
    <row r="2312" spans="1:9" s="14" customFormat="1">
      <c r="A2312" s="3"/>
      <c r="B2312" t="s">
        <v>3210</v>
      </c>
      <c r="C2312" s="54">
        <v>3076509</v>
      </c>
      <c r="D2312" s="54"/>
      <c r="E2312" s="54">
        <f t="shared" si="47"/>
        <v>1</v>
      </c>
      <c r="F2312" s="10" t="s">
        <v>113</v>
      </c>
      <c r="G2312" s="10" t="s">
        <v>478</v>
      </c>
      <c r="H2312" t="s">
        <v>64</v>
      </c>
    </row>
    <row r="2313" spans="1:9" s="14" customFormat="1">
      <c r="A2313" s="3"/>
      <c r="B2313" t="s">
        <v>419</v>
      </c>
      <c r="C2313" s="54">
        <v>1</v>
      </c>
      <c r="D2313" s="54"/>
      <c r="E2313" s="54">
        <f t="shared" si="47"/>
        <v>0</v>
      </c>
      <c r="F2313" s="10" t="s">
        <v>252</v>
      </c>
      <c r="G2313" s="10" t="s">
        <v>665</v>
      </c>
      <c r="H2313"/>
    </row>
    <row r="2314" spans="1:9" s="14" customFormat="1">
      <c r="A2314" s="138">
        <v>44561</v>
      </c>
      <c r="B2314" s="52" t="s">
        <v>4697</v>
      </c>
      <c r="C2314" s="53">
        <v>10634925</v>
      </c>
      <c r="D2314" s="53">
        <v>0</v>
      </c>
      <c r="E2314" s="54">
        <f t="shared" si="47"/>
        <v>-10634925</v>
      </c>
      <c r="F2314" s="14" t="s">
        <v>568</v>
      </c>
      <c r="G2314" s="14" t="s">
        <v>4679</v>
      </c>
      <c r="H2314" s="14" t="s">
        <v>3046</v>
      </c>
      <c r="I2314" s="14">
        <v>105</v>
      </c>
    </row>
    <row r="2315" spans="1:9" s="14" customFormat="1">
      <c r="A2315" s="138"/>
      <c r="B2315" s="52" t="s">
        <v>4698</v>
      </c>
      <c r="C2315" s="53">
        <v>0</v>
      </c>
      <c r="D2315" s="53">
        <v>350000</v>
      </c>
      <c r="E2315" s="53">
        <f t="shared" si="47"/>
        <v>-10284925</v>
      </c>
      <c r="F2315" s="14" t="s">
        <v>110</v>
      </c>
      <c r="G2315" s="14" t="s">
        <v>616</v>
      </c>
      <c r="H2315" s="14" t="s">
        <v>4621</v>
      </c>
    </row>
    <row r="2316" spans="1:9" s="14" customFormat="1">
      <c r="A2316" s="138"/>
      <c r="B2316" s="52" t="s">
        <v>4699</v>
      </c>
      <c r="C2316" s="53">
        <v>0</v>
      </c>
      <c r="D2316" s="53">
        <v>13775510</v>
      </c>
      <c r="E2316" s="53">
        <f t="shared" si="47"/>
        <v>3490585</v>
      </c>
      <c r="F2316" s="14" t="s">
        <v>110</v>
      </c>
      <c r="G2316" s="14" t="s">
        <v>616</v>
      </c>
      <c r="H2316" s="14" t="s">
        <v>4621</v>
      </c>
    </row>
    <row r="2317" spans="1:9" s="14" customFormat="1">
      <c r="A2317" s="138"/>
      <c r="B2317" s="14" t="s">
        <v>4700</v>
      </c>
      <c r="C2317" s="53">
        <v>3490585</v>
      </c>
      <c r="D2317" s="53"/>
      <c r="E2317" s="53">
        <f t="shared" si="47"/>
        <v>0</v>
      </c>
      <c r="F2317" s="14" t="s">
        <v>110</v>
      </c>
      <c r="G2317" s="14" t="s">
        <v>616</v>
      </c>
      <c r="H2317" s="14" t="s">
        <v>4621</v>
      </c>
    </row>
    <row r="2318" spans="1:9" s="14" customFormat="1">
      <c r="A2318" s="138">
        <v>44561</v>
      </c>
      <c r="B2318" s="14" t="s">
        <v>5125</v>
      </c>
      <c r="C2318" s="53">
        <v>0</v>
      </c>
      <c r="D2318" s="53">
        <v>26887327</v>
      </c>
      <c r="E2318" s="53">
        <f t="shared" si="47"/>
        <v>26887327</v>
      </c>
      <c r="F2318" s="14" t="s">
        <v>110</v>
      </c>
      <c r="G2318" s="14" t="s">
        <v>616</v>
      </c>
      <c r="H2318" s="14" t="s">
        <v>4621</v>
      </c>
    </row>
    <row r="2319" spans="1:9" s="14" customFormat="1">
      <c r="A2319" s="138"/>
      <c r="B2319" s="14" t="s">
        <v>5127</v>
      </c>
      <c r="C2319" s="53">
        <v>6532176</v>
      </c>
      <c r="D2319" s="53">
        <v>0</v>
      </c>
      <c r="E2319" s="53">
        <f t="shared" si="47"/>
        <v>20355151</v>
      </c>
      <c r="F2319" s="14" t="s">
        <v>110</v>
      </c>
      <c r="G2319" s="14" t="s">
        <v>616</v>
      </c>
      <c r="H2319" s="14" t="s">
        <v>4621</v>
      </c>
    </row>
    <row r="2320" spans="1:9" s="14" customFormat="1">
      <c r="A2320" s="138"/>
      <c r="B2320" s="14" t="s">
        <v>5126</v>
      </c>
      <c r="C2320" s="53">
        <v>20355151</v>
      </c>
      <c r="D2320" s="53">
        <v>0</v>
      </c>
      <c r="E2320" s="53">
        <f t="shared" si="47"/>
        <v>0</v>
      </c>
      <c r="F2320" s="14" t="s">
        <v>252</v>
      </c>
      <c r="G2320" s="14" t="s">
        <v>665</v>
      </c>
    </row>
    <row r="2321" spans="1:8" s="14" customFormat="1">
      <c r="A2321" s="138"/>
      <c r="B2321" s="14" t="s">
        <v>5128</v>
      </c>
      <c r="C2321" s="53">
        <v>0</v>
      </c>
      <c r="D2321" s="53">
        <v>10687534</v>
      </c>
      <c r="E2321" s="53">
        <f t="shared" si="47"/>
        <v>10687534</v>
      </c>
      <c r="F2321" s="14" t="s">
        <v>252</v>
      </c>
      <c r="G2321" s="14" t="s">
        <v>664</v>
      </c>
    </row>
    <row r="2322" spans="1:8" s="14" customFormat="1">
      <c r="A2322" s="138"/>
      <c r="B2322" s="14" t="s">
        <v>5128</v>
      </c>
      <c r="C2322" s="53">
        <v>10687534</v>
      </c>
      <c r="D2322" s="53">
        <v>0</v>
      </c>
      <c r="E2322" s="53">
        <f t="shared" si="47"/>
        <v>0</v>
      </c>
      <c r="F2322" s="14" t="s">
        <v>110</v>
      </c>
      <c r="G2322" s="14" t="s">
        <v>616</v>
      </c>
      <c r="H2322" s="14" t="s">
        <v>4621</v>
      </c>
    </row>
    <row r="2323" spans="1:8" s="14" customFormat="1">
      <c r="A2323" s="3">
        <v>44565</v>
      </c>
      <c r="B2323" t="s">
        <v>4746</v>
      </c>
      <c r="C2323" s="54">
        <v>0</v>
      </c>
      <c r="D2323" s="54">
        <v>10753869</v>
      </c>
      <c r="E2323" s="54">
        <f t="shared" si="47"/>
        <v>10753869</v>
      </c>
      <c r="F2323" s="10" t="s">
        <v>115</v>
      </c>
      <c r="G2323" s="10" t="s">
        <v>139</v>
      </c>
      <c r="H2323" t="s">
        <v>141</v>
      </c>
    </row>
    <row r="2324" spans="1:8" s="14" customFormat="1">
      <c r="A2324" s="3"/>
      <c r="B2324" t="s">
        <v>380</v>
      </c>
      <c r="C2324" s="54">
        <v>267390</v>
      </c>
      <c r="D2324" s="54"/>
      <c r="E2324" s="54">
        <f t="shared" si="47"/>
        <v>10486479</v>
      </c>
      <c r="F2324" s="10" t="s">
        <v>319</v>
      </c>
      <c r="G2324" s="10" t="s">
        <v>117</v>
      </c>
      <c r="H2324" t="s">
        <v>64</v>
      </c>
    </row>
    <row r="2325" spans="1:8" s="14" customFormat="1">
      <c r="A2325" s="3"/>
      <c r="B2325" t="s">
        <v>4747</v>
      </c>
      <c r="C2325" s="54">
        <v>500000</v>
      </c>
      <c r="D2325" s="54"/>
      <c r="E2325" s="54">
        <f t="shared" si="47"/>
        <v>9986479</v>
      </c>
      <c r="F2325" s="10" t="s">
        <v>319</v>
      </c>
      <c r="G2325" s="10" t="s">
        <v>647</v>
      </c>
      <c r="H2325" t="s">
        <v>64</v>
      </c>
    </row>
    <row r="2326" spans="1:8" s="14" customFormat="1">
      <c r="A2326" s="3"/>
      <c r="B2326" t="s">
        <v>897</v>
      </c>
      <c r="C2326" s="54">
        <v>242429</v>
      </c>
      <c r="D2326" s="54"/>
      <c r="E2326" s="54">
        <f t="shared" si="47"/>
        <v>9744050</v>
      </c>
      <c r="F2326" s="10" t="s">
        <v>319</v>
      </c>
      <c r="G2326" s="10" t="s">
        <v>117</v>
      </c>
      <c r="H2326" t="s">
        <v>64</v>
      </c>
    </row>
    <row r="2327" spans="1:8" s="14" customFormat="1">
      <c r="A2327" s="3"/>
      <c r="B2327" t="s">
        <v>4734</v>
      </c>
      <c r="C2327" s="54">
        <v>261714</v>
      </c>
      <c r="D2327" s="54"/>
      <c r="E2327" s="54">
        <f t="shared" si="47"/>
        <v>9482336</v>
      </c>
      <c r="F2327" s="10" t="s">
        <v>319</v>
      </c>
      <c r="G2327" s="10" t="s">
        <v>117</v>
      </c>
      <c r="H2327" t="s">
        <v>64</v>
      </c>
    </row>
    <row r="2328" spans="1:8" s="14" customFormat="1">
      <c r="A2328" s="3"/>
      <c r="B2328" t="s">
        <v>4735</v>
      </c>
      <c r="C2328" s="54">
        <v>5000</v>
      </c>
      <c r="D2328" s="54"/>
      <c r="E2328" s="54">
        <f t="shared" si="47"/>
        <v>9477336</v>
      </c>
      <c r="F2328" s="10" t="s">
        <v>113</v>
      </c>
      <c r="G2328" s="10" t="s">
        <v>114</v>
      </c>
      <c r="H2328" t="s">
        <v>64</v>
      </c>
    </row>
    <row r="2329" spans="1:8" s="14" customFormat="1">
      <c r="A2329" s="3"/>
      <c r="B2329" t="s">
        <v>912</v>
      </c>
      <c r="C2329" s="54">
        <v>263696</v>
      </c>
      <c r="D2329" s="54"/>
      <c r="E2329" s="54">
        <f t="shared" si="47"/>
        <v>9213640</v>
      </c>
      <c r="F2329" s="10" t="s">
        <v>319</v>
      </c>
      <c r="G2329" s="10" t="s">
        <v>117</v>
      </c>
      <c r="H2329" t="s">
        <v>64</v>
      </c>
    </row>
    <row r="2330" spans="1:8" s="14" customFormat="1">
      <c r="A2330" s="3"/>
      <c r="B2330" t="s">
        <v>3257</v>
      </c>
      <c r="C2330" s="54">
        <v>256153</v>
      </c>
      <c r="D2330" s="54"/>
      <c r="E2330" s="54">
        <f t="shared" si="47"/>
        <v>8957487</v>
      </c>
      <c r="F2330" s="10" t="s">
        <v>319</v>
      </c>
      <c r="G2330" s="10" t="s">
        <v>117</v>
      </c>
      <c r="H2330" t="s">
        <v>64</v>
      </c>
    </row>
    <row r="2331" spans="1:8" s="14" customFormat="1">
      <c r="A2331" s="3"/>
      <c r="B2331" t="s">
        <v>4736</v>
      </c>
      <c r="C2331" s="54">
        <v>110000</v>
      </c>
      <c r="D2331" s="54"/>
      <c r="E2331" s="54">
        <f t="shared" si="47"/>
        <v>8847487</v>
      </c>
      <c r="F2331" s="10" t="s">
        <v>137</v>
      </c>
      <c r="G2331" s="10" t="s">
        <v>138</v>
      </c>
      <c r="H2331" t="s">
        <v>3391</v>
      </c>
    </row>
    <row r="2332" spans="1:8" s="14" customFormat="1">
      <c r="A2332" s="3"/>
      <c r="B2332" t="s">
        <v>400</v>
      </c>
      <c r="C2332" s="54">
        <v>465785</v>
      </c>
      <c r="D2332" s="54"/>
      <c r="E2332" s="54">
        <f t="shared" si="47"/>
        <v>8381702</v>
      </c>
      <c r="F2332" s="10" t="s">
        <v>137</v>
      </c>
      <c r="G2332" s="10" t="s">
        <v>138</v>
      </c>
      <c r="H2332" t="s">
        <v>3391</v>
      </c>
    </row>
    <row r="2333" spans="1:8" s="14" customFormat="1">
      <c r="A2333" s="3"/>
      <c r="B2333" t="s">
        <v>4737</v>
      </c>
      <c r="C2333" s="54">
        <v>597700</v>
      </c>
      <c r="D2333" s="54"/>
      <c r="E2333" s="54">
        <f t="shared" si="47"/>
        <v>7784002</v>
      </c>
      <c r="F2333" s="10" t="s">
        <v>137</v>
      </c>
      <c r="G2333" s="10" t="s">
        <v>138</v>
      </c>
      <c r="H2333" t="s">
        <v>3391</v>
      </c>
    </row>
    <row r="2334" spans="1:8" s="14" customFormat="1">
      <c r="A2334" s="3"/>
      <c r="B2334" t="s">
        <v>4738</v>
      </c>
      <c r="C2334" s="54">
        <v>888307</v>
      </c>
      <c r="D2334" s="54"/>
      <c r="E2334" s="54">
        <f t="shared" si="47"/>
        <v>6895695</v>
      </c>
      <c r="F2334" s="10" t="s">
        <v>137</v>
      </c>
      <c r="G2334" s="10" t="s">
        <v>138</v>
      </c>
      <c r="H2334" t="s">
        <v>3391</v>
      </c>
    </row>
    <row r="2335" spans="1:8" s="14" customFormat="1">
      <c r="A2335" s="3"/>
      <c r="B2335" t="s">
        <v>4734</v>
      </c>
      <c r="C2335" s="54">
        <v>248563</v>
      </c>
      <c r="D2335" s="54"/>
      <c r="E2335" s="54">
        <f t="shared" si="47"/>
        <v>6647132</v>
      </c>
      <c r="F2335" s="10" t="s">
        <v>319</v>
      </c>
      <c r="G2335" s="10" t="s">
        <v>117</v>
      </c>
      <c r="H2335" t="s">
        <v>64</v>
      </c>
    </row>
    <row r="2336" spans="1:8" s="14" customFormat="1">
      <c r="A2336" s="3"/>
      <c r="B2336" t="s">
        <v>912</v>
      </c>
      <c r="C2336" s="54">
        <v>273488</v>
      </c>
      <c r="D2336" s="54"/>
      <c r="E2336" s="54">
        <f t="shared" si="47"/>
        <v>6373644</v>
      </c>
      <c r="F2336" s="10" t="s">
        <v>319</v>
      </c>
      <c r="G2336" s="10" t="s">
        <v>117</v>
      </c>
      <c r="H2336" t="s">
        <v>64</v>
      </c>
    </row>
    <row r="2337" spans="1:8" s="14" customFormat="1">
      <c r="A2337" s="3"/>
      <c r="B2337" t="s">
        <v>4739</v>
      </c>
      <c r="C2337" s="54">
        <v>127200</v>
      </c>
      <c r="D2337" s="54"/>
      <c r="E2337" s="54">
        <f t="shared" si="47"/>
        <v>6246444</v>
      </c>
      <c r="F2337" s="10" t="s">
        <v>319</v>
      </c>
      <c r="G2337" s="10" t="s">
        <v>647</v>
      </c>
      <c r="H2337" t="s">
        <v>64</v>
      </c>
    </row>
    <row r="2338" spans="1:8" s="14" customFormat="1">
      <c r="A2338" s="3"/>
      <c r="B2338" t="s">
        <v>912</v>
      </c>
      <c r="C2338" s="54">
        <v>284733</v>
      </c>
      <c r="D2338" s="54"/>
      <c r="E2338" s="54">
        <f t="shared" si="47"/>
        <v>5961711</v>
      </c>
      <c r="F2338" s="10" t="s">
        <v>319</v>
      </c>
      <c r="G2338" s="10" t="s">
        <v>117</v>
      </c>
      <c r="H2338" t="s">
        <v>64</v>
      </c>
    </row>
    <row r="2339" spans="1:8" s="14" customFormat="1">
      <c r="A2339" s="3"/>
      <c r="B2339" t="s">
        <v>3257</v>
      </c>
      <c r="C2339" s="54">
        <v>248809</v>
      </c>
      <c r="D2339" s="54"/>
      <c r="E2339" s="54">
        <f t="shared" si="47"/>
        <v>5712902</v>
      </c>
      <c r="F2339" s="10" t="s">
        <v>319</v>
      </c>
      <c r="G2339" s="10" t="s">
        <v>117</v>
      </c>
      <c r="H2339" t="s">
        <v>64</v>
      </c>
    </row>
    <row r="2340" spans="1:8" s="14" customFormat="1">
      <c r="A2340" s="3"/>
      <c r="B2340" t="s">
        <v>3120</v>
      </c>
      <c r="C2340" s="54">
        <v>771700</v>
      </c>
      <c r="D2340" s="54"/>
      <c r="E2340" s="54">
        <f t="shared" si="47"/>
        <v>4941202</v>
      </c>
      <c r="F2340" s="10" t="s">
        <v>137</v>
      </c>
      <c r="G2340" s="10" t="s">
        <v>138</v>
      </c>
      <c r="H2340" t="s">
        <v>3046</v>
      </c>
    </row>
    <row r="2341" spans="1:8" s="14" customFormat="1">
      <c r="A2341" s="3"/>
      <c r="B2341" t="s">
        <v>4740</v>
      </c>
      <c r="C2341" s="54">
        <v>106900</v>
      </c>
      <c r="D2341" s="54"/>
      <c r="E2341" s="54">
        <f t="shared" si="47"/>
        <v>4834302</v>
      </c>
      <c r="F2341" s="10" t="s">
        <v>137</v>
      </c>
      <c r="G2341" s="10" t="s">
        <v>138</v>
      </c>
      <c r="H2341" t="s">
        <v>3046</v>
      </c>
    </row>
    <row r="2342" spans="1:8" s="14" customFormat="1">
      <c r="A2342" s="3"/>
      <c r="B2342" t="s">
        <v>4740</v>
      </c>
      <c r="C2342" s="54">
        <v>59400</v>
      </c>
      <c r="D2342" s="54"/>
      <c r="E2342" s="54">
        <f t="shared" si="47"/>
        <v>4774902</v>
      </c>
      <c r="F2342" s="10" t="s">
        <v>137</v>
      </c>
      <c r="G2342" s="10" t="s">
        <v>138</v>
      </c>
      <c r="H2342" t="s">
        <v>3046</v>
      </c>
    </row>
    <row r="2343" spans="1:8" s="14" customFormat="1">
      <c r="A2343" s="3"/>
      <c r="B2343" t="s">
        <v>4740</v>
      </c>
      <c r="C2343" s="54">
        <v>134643</v>
      </c>
      <c r="D2343" s="54"/>
      <c r="E2343" s="54">
        <f t="shared" si="47"/>
        <v>4640259</v>
      </c>
      <c r="F2343" s="10" t="s">
        <v>137</v>
      </c>
      <c r="G2343" s="10" t="s">
        <v>138</v>
      </c>
      <c r="H2343" t="s">
        <v>3046</v>
      </c>
    </row>
    <row r="2344" spans="1:8" s="14" customFormat="1">
      <c r="A2344" s="3"/>
      <c r="B2344" t="s">
        <v>4741</v>
      </c>
      <c r="C2344" s="54">
        <v>328400</v>
      </c>
      <c r="D2344" s="54"/>
      <c r="E2344" s="54">
        <f t="shared" si="47"/>
        <v>4311859</v>
      </c>
      <c r="F2344" s="10" t="s">
        <v>137</v>
      </c>
      <c r="G2344" s="10" t="s">
        <v>138</v>
      </c>
      <c r="H2344" t="s">
        <v>3046</v>
      </c>
    </row>
    <row r="2345" spans="1:8" s="14" customFormat="1">
      <c r="A2345" s="3"/>
      <c r="B2345" t="s">
        <v>4742</v>
      </c>
      <c r="C2345" s="54">
        <v>51300</v>
      </c>
      <c r="D2345" s="54"/>
      <c r="E2345" s="54">
        <f t="shared" si="47"/>
        <v>4260559</v>
      </c>
      <c r="F2345" s="10" t="s">
        <v>137</v>
      </c>
      <c r="G2345" s="10" t="s">
        <v>138</v>
      </c>
      <c r="H2345" t="s">
        <v>3046</v>
      </c>
    </row>
    <row r="2346" spans="1:8" s="14" customFormat="1">
      <c r="A2346" s="3"/>
      <c r="B2346" t="s">
        <v>4742</v>
      </c>
      <c r="C2346" s="54">
        <v>68400</v>
      </c>
      <c r="D2346" s="54"/>
      <c r="E2346" s="54">
        <f t="shared" si="47"/>
        <v>4192159</v>
      </c>
      <c r="F2346" s="10" t="s">
        <v>137</v>
      </c>
      <c r="G2346" s="10" t="s">
        <v>138</v>
      </c>
      <c r="H2346" t="s">
        <v>3046</v>
      </c>
    </row>
    <row r="2347" spans="1:8" s="14" customFormat="1">
      <c r="A2347" s="3"/>
      <c r="B2347" t="s">
        <v>4743</v>
      </c>
      <c r="C2347" s="54">
        <v>760000</v>
      </c>
      <c r="D2347" s="54"/>
      <c r="E2347" s="54">
        <f t="shared" si="47"/>
        <v>3432159</v>
      </c>
      <c r="F2347" s="10" t="s">
        <v>137</v>
      </c>
      <c r="G2347" s="10" t="s">
        <v>138</v>
      </c>
      <c r="H2347" t="s">
        <v>3046</v>
      </c>
    </row>
    <row r="2348" spans="1:8" s="14" customFormat="1">
      <c r="A2348" s="3"/>
      <c r="B2348" t="s">
        <v>4744</v>
      </c>
      <c r="C2348" s="54">
        <v>678000</v>
      </c>
      <c r="D2348" s="54"/>
      <c r="E2348" s="54">
        <f t="shared" si="47"/>
        <v>2754159</v>
      </c>
      <c r="F2348" s="10" t="s">
        <v>319</v>
      </c>
      <c r="G2348" s="10" t="s">
        <v>647</v>
      </c>
      <c r="H2348" t="s">
        <v>64</v>
      </c>
    </row>
    <row r="2349" spans="1:8" s="14" customFormat="1">
      <c r="A2349" s="3"/>
      <c r="B2349" t="s">
        <v>912</v>
      </c>
      <c r="C2349" s="54">
        <v>261794</v>
      </c>
      <c r="D2349" s="54"/>
      <c r="E2349" s="54">
        <f t="shared" si="47"/>
        <v>2492365</v>
      </c>
      <c r="F2349" s="10" t="s">
        <v>319</v>
      </c>
      <c r="G2349" s="10" t="s">
        <v>117</v>
      </c>
      <c r="H2349" t="s">
        <v>64</v>
      </c>
    </row>
    <row r="2350" spans="1:8" s="14" customFormat="1">
      <c r="A2350" s="3"/>
      <c r="B2350" t="s">
        <v>401</v>
      </c>
      <c r="C2350" s="54">
        <v>254590</v>
      </c>
      <c r="D2350" s="54"/>
      <c r="E2350" s="54">
        <f t="shared" si="47"/>
        <v>2237775</v>
      </c>
      <c r="F2350" s="10" t="s">
        <v>319</v>
      </c>
      <c r="G2350" s="10" t="s">
        <v>117</v>
      </c>
      <c r="H2350" t="s">
        <v>64</v>
      </c>
    </row>
    <row r="2351" spans="1:8" s="14" customFormat="1">
      <c r="A2351" s="3"/>
      <c r="B2351" t="s">
        <v>4745</v>
      </c>
      <c r="C2351" s="54">
        <v>1952000</v>
      </c>
      <c r="D2351" s="54"/>
      <c r="E2351" s="54">
        <f t="shared" si="47"/>
        <v>285775</v>
      </c>
      <c r="F2351" s="10" t="s">
        <v>137</v>
      </c>
      <c r="G2351" s="10" t="s">
        <v>138</v>
      </c>
      <c r="H2351" t="s">
        <v>4137</v>
      </c>
    </row>
    <row r="2352" spans="1:8" s="14" customFormat="1">
      <c r="A2352" s="3"/>
      <c r="B2352" t="s">
        <v>380</v>
      </c>
      <c r="C2352" s="54">
        <v>275775</v>
      </c>
      <c r="D2352" s="54"/>
      <c r="E2352" s="54">
        <f t="shared" si="47"/>
        <v>10000</v>
      </c>
      <c r="F2352" s="10" t="s">
        <v>319</v>
      </c>
      <c r="G2352" s="10" t="s">
        <v>117</v>
      </c>
      <c r="H2352" t="s">
        <v>64</v>
      </c>
    </row>
    <row r="2353" spans="1:9" s="14" customFormat="1">
      <c r="A2353" s="3"/>
      <c r="B2353" t="s">
        <v>389</v>
      </c>
      <c r="C2353" s="54">
        <v>10000</v>
      </c>
      <c r="D2353" s="54"/>
      <c r="E2353" s="54">
        <f t="shared" si="47"/>
        <v>0</v>
      </c>
      <c r="F2353" s="10" t="s">
        <v>113</v>
      </c>
      <c r="G2353" s="10" t="s">
        <v>114</v>
      </c>
      <c r="H2353" t="s">
        <v>64</v>
      </c>
    </row>
    <row r="2354" spans="1:9" s="14" customFormat="1">
      <c r="A2354" s="3">
        <v>44565</v>
      </c>
      <c r="B2354" t="s">
        <v>5074</v>
      </c>
      <c r="C2354" s="54">
        <v>0</v>
      </c>
      <c r="D2354" s="54">
        <v>547962</v>
      </c>
      <c r="E2354" s="54">
        <f t="shared" si="47"/>
        <v>547962</v>
      </c>
      <c r="F2354" s="10" t="s">
        <v>115</v>
      </c>
      <c r="G2354" s="10" t="s">
        <v>139</v>
      </c>
      <c r="H2354" t="s">
        <v>5076</v>
      </c>
    </row>
    <row r="2355" spans="1:9" s="14" customFormat="1">
      <c r="A2355" s="3"/>
      <c r="B2355" t="s">
        <v>5075</v>
      </c>
      <c r="C2355" s="54">
        <v>242462</v>
      </c>
      <c r="D2355" s="54"/>
      <c r="E2355" s="54">
        <f t="shared" si="47"/>
        <v>305500</v>
      </c>
      <c r="F2355" s="10" t="s">
        <v>319</v>
      </c>
      <c r="G2355" s="10" t="s">
        <v>1045</v>
      </c>
      <c r="H2355"/>
    </row>
    <row r="2356" spans="1:9" s="14" customFormat="1">
      <c r="A2356" s="3"/>
      <c r="B2356" t="s">
        <v>4272</v>
      </c>
      <c r="C2356" s="54">
        <v>193500</v>
      </c>
      <c r="D2356" s="54"/>
      <c r="E2356" s="54">
        <f t="shared" si="47"/>
        <v>112000</v>
      </c>
      <c r="F2356" s="10" t="s">
        <v>137</v>
      </c>
      <c r="G2356" s="10" t="s">
        <v>138</v>
      </c>
      <c r="H2356" t="s">
        <v>4137</v>
      </c>
    </row>
    <row r="2357" spans="1:9" s="14" customFormat="1">
      <c r="A2357" s="3"/>
      <c r="B2357" t="s">
        <v>4272</v>
      </c>
      <c r="C2357" s="54">
        <v>52000</v>
      </c>
      <c r="D2357" s="54"/>
      <c r="E2357" s="54">
        <f t="shared" si="47"/>
        <v>60000</v>
      </c>
      <c r="F2357" s="10" t="s">
        <v>137</v>
      </c>
      <c r="G2357" s="10" t="s">
        <v>138</v>
      </c>
      <c r="H2357" t="s">
        <v>4137</v>
      </c>
    </row>
    <row r="2358" spans="1:9" s="14" customFormat="1">
      <c r="A2358" s="3"/>
      <c r="B2358" t="s">
        <v>4272</v>
      </c>
      <c r="C2358" s="54">
        <v>60000</v>
      </c>
      <c r="D2358" s="54"/>
      <c r="E2358" s="54">
        <f t="shared" si="47"/>
        <v>0</v>
      </c>
      <c r="F2358" s="10" t="s">
        <v>137</v>
      </c>
      <c r="G2358" s="10" t="s">
        <v>138</v>
      </c>
      <c r="H2358" t="s">
        <v>4137</v>
      </c>
    </row>
    <row r="2359" spans="1:9" s="14" customFormat="1">
      <c r="A2359" s="3">
        <v>44578</v>
      </c>
      <c r="B2359" t="s">
        <v>4720</v>
      </c>
      <c r="C2359" s="54">
        <v>0</v>
      </c>
      <c r="D2359" s="54">
        <f>65397518+12147966</f>
        <v>77545484</v>
      </c>
      <c r="E2359" s="54">
        <f t="shared" si="47"/>
        <v>77545484</v>
      </c>
      <c r="F2359" s="10" t="s">
        <v>115</v>
      </c>
      <c r="G2359" s="10" t="s">
        <v>139</v>
      </c>
      <c r="H2359" t="s">
        <v>143</v>
      </c>
    </row>
    <row r="2360" spans="1:9" s="14" customFormat="1">
      <c r="A2360" s="3"/>
      <c r="B2360" t="s">
        <v>3147</v>
      </c>
      <c r="C2360" s="54">
        <v>5000</v>
      </c>
      <c r="D2360" s="54"/>
      <c r="E2360" s="54">
        <f t="shared" si="47"/>
        <v>77540484</v>
      </c>
      <c r="F2360" s="10" t="s">
        <v>113</v>
      </c>
      <c r="G2360" s="10" t="s">
        <v>114</v>
      </c>
      <c r="H2360" t="s">
        <v>64</v>
      </c>
    </row>
    <row r="2361" spans="1:9" s="14" customFormat="1">
      <c r="A2361" s="3"/>
      <c r="B2361" t="s">
        <v>902</v>
      </c>
      <c r="C2361" s="54">
        <v>417000</v>
      </c>
      <c r="D2361" s="54"/>
      <c r="E2361" s="54">
        <f t="shared" si="47"/>
        <v>77123484</v>
      </c>
      <c r="F2361" s="10" t="s">
        <v>115</v>
      </c>
      <c r="G2361" s="10" t="s">
        <v>120</v>
      </c>
      <c r="H2361" s="14" t="s">
        <v>127</v>
      </c>
      <c r="I2361" s="14" t="s">
        <v>444</v>
      </c>
    </row>
    <row r="2362" spans="1:9" s="14" customFormat="1">
      <c r="A2362" s="3"/>
      <c r="B2362" t="s">
        <v>3218</v>
      </c>
      <c r="C2362" s="54">
        <v>2602710</v>
      </c>
      <c r="D2362" s="54"/>
      <c r="E2362" s="54">
        <f t="shared" si="47"/>
        <v>74520774</v>
      </c>
      <c r="F2362" s="10" t="s">
        <v>137</v>
      </c>
      <c r="G2362" s="10" t="s">
        <v>138</v>
      </c>
      <c r="H2362" s="168" t="s">
        <v>2952</v>
      </c>
    </row>
    <row r="2363" spans="1:9" s="14" customFormat="1">
      <c r="A2363" s="3"/>
      <c r="B2363" t="s">
        <v>3218</v>
      </c>
      <c r="C2363" s="54">
        <v>1513784</v>
      </c>
      <c r="D2363" s="54"/>
      <c r="E2363" s="54">
        <f t="shared" si="47"/>
        <v>73006990</v>
      </c>
      <c r="F2363" s="10" t="s">
        <v>137</v>
      </c>
      <c r="G2363" s="10" t="s">
        <v>138</v>
      </c>
      <c r="H2363" s="168" t="s">
        <v>3030</v>
      </c>
    </row>
    <row r="2364" spans="1:9" s="14" customFormat="1">
      <c r="A2364" s="3"/>
      <c r="B2364" t="s">
        <v>3218</v>
      </c>
      <c r="C2364" s="54">
        <v>1198337</v>
      </c>
      <c r="D2364" s="54"/>
      <c r="E2364" s="54">
        <f t="shared" si="47"/>
        <v>71808653</v>
      </c>
      <c r="F2364" s="10" t="s">
        <v>137</v>
      </c>
      <c r="G2364" s="10" t="s">
        <v>138</v>
      </c>
      <c r="H2364" s="168" t="s">
        <v>3030</v>
      </c>
    </row>
    <row r="2365" spans="1:9" s="14" customFormat="1">
      <c r="A2365" s="3"/>
      <c r="B2365" t="s">
        <v>3218</v>
      </c>
      <c r="C2365" s="54">
        <v>414000</v>
      </c>
      <c r="D2365" s="54"/>
      <c r="E2365" s="54">
        <f t="shared" si="47"/>
        <v>71394653</v>
      </c>
      <c r="F2365" s="10" t="s">
        <v>137</v>
      </c>
      <c r="G2365" s="10" t="s">
        <v>138</v>
      </c>
      <c r="H2365" s="168" t="s">
        <v>3030</v>
      </c>
    </row>
    <row r="2366" spans="1:9" s="14" customFormat="1">
      <c r="A2366" s="3"/>
      <c r="B2366" t="s">
        <v>3218</v>
      </c>
      <c r="C2366" s="54">
        <v>967679</v>
      </c>
      <c r="D2366" s="54"/>
      <c r="E2366" s="54">
        <f t="shared" si="47"/>
        <v>70426974</v>
      </c>
      <c r="F2366" s="10" t="s">
        <v>137</v>
      </c>
      <c r="G2366" s="10" t="s">
        <v>138</v>
      </c>
      <c r="H2366" s="168" t="s">
        <v>3030</v>
      </c>
    </row>
    <row r="2367" spans="1:9" s="14" customFormat="1">
      <c r="A2367" s="3"/>
      <c r="B2367" t="s">
        <v>3218</v>
      </c>
      <c r="C2367" s="54">
        <v>1057050</v>
      </c>
      <c r="D2367" s="54"/>
      <c r="E2367" s="54">
        <f t="shared" si="47"/>
        <v>69369924</v>
      </c>
      <c r="F2367" s="10" t="s">
        <v>137</v>
      </c>
      <c r="G2367" s="10" t="s">
        <v>138</v>
      </c>
      <c r="H2367" s="168" t="s">
        <v>3030</v>
      </c>
    </row>
    <row r="2368" spans="1:9" s="14" customFormat="1">
      <c r="A2368" s="3"/>
      <c r="B2368" t="s">
        <v>3218</v>
      </c>
      <c r="C2368" s="54">
        <v>904047</v>
      </c>
      <c r="D2368" s="54"/>
      <c r="E2368" s="54">
        <f t="shared" si="47"/>
        <v>68465877</v>
      </c>
      <c r="F2368" s="10" t="s">
        <v>137</v>
      </c>
      <c r="G2368" s="10" t="s">
        <v>138</v>
      </c>
      <c r="H2368" s="168" t="s">
        <v>3030</v>
      </c>
    </row>
    <row r="2369" spans="1:9" s="14" customFormat="1">
      <c r="A2369" s="3"/>
      <c r="B2369" t="s">
        <v>416</v>
      </c>
      <c r="C2369" s="54">
        <v>16988000</v>
      </c>
      <c r="D2369" s="54"/>
      <c r="E2369" s="54">
        <f t="shared" si="47"/>
        <v>51477877</v>
      </c>
      <c r="F2369" s="10" t="s">
        <v>110</v>
      </c>
      <c r="G2369" s="10" t="s">
        <v>629</v>
      </c>
      <c r="H2369" t="s">
        <v>143</v>
      </c>
    </row>
    <row r="2370" spans="1:9" s="14" customFormat="1">
      <c r="A2370" s="3"/>
      <c r="B2370" t="s">
        <v>902</v>
      </c>
      <c r="C2370" s="54">
        <v>197544</v>
      </c>
      <c r="D2370" s="54"/>
      <c r="E2370" s="54">
        <f t="shared" si="47"/>
        <v>51280333</v>
      </c>
      <c r="F2370" s="10" t="s">
        <v>137</v>
      </c>
      <c r="G2370" s="10" t="s">
        <v>138</v>
      </c>
      <c r="H2370" t="s">
        <v>3046</v>
      </c>
    </row>
    <row r="2371" spans="1:9" s="14" customFormat="1">
      <c r="A2371" s="3"/>
      <c r="B2371" t="s">
        <v>3274</v>
      </c>
      <c r="C2371" s="54">
        <v>804000</v>
      </c>
      <c r="D2371" s="54"/>
      <c r="E2371" s="54">
        <f t="shared" si="47"/>
        <v>50476333</v>
      </c>
      <c r="F2371" s="10" t="s">
        <v>137</v>
      </c>
      <c r="G2371" s="10" t="s">
        <v>138</v>
      </c>
      <c r="H2371" t="s">
        <v>3046</v>
      </c>
    </row>
    <row r="2372" spans="1:9" s="14" customFormat="1">
      <c r="A2372" s="3"/>
      <c r="B2372" t="s">
        <v>3274</v>
      </c>
      <c r="C2372" s="54">
        <v>75000</v>
      </c>
      <c r="D2372" s="54"/>
      <c r="E2372" s="54">
        <f t="shared" si="47"/>
        <v>50401333</v>
      </c>
      <c r="F2372" s="10" t="s">
        <v>137</v>
      </c>
      <c r="G2372" s="10" t="s">
        <v>138</v>
      </c>
      <c r="H2372" t="s">
        <v>3395</v>
      </c>
    </row>
    <row r="2373" spans="1:9" s="14" customFormat="1">
      <c r="A2373" s="3"/>
      <c r="B2373" t="s">
        <v>4729</v>
      </c>
      <c r="C2373" s="54">
        <v>0</v>
      </c>
      <c r="D2373" s="54">
        <v>1029710</v>
      </c>
      <c r="E2373" s="54">
        <f t="shared" si="47"/>
        <v>51431043</v>
      </c>
      <c r="F2373" s="10" t="s">
        <v>137</v>
      </c>
      <c r="G2373" s="10" t="s">
        <v>138</v>
      </c>
      <c r="H2373" s="168" t="s">
        <v>3030</v>
      </c>
    </row>
    <row r="2374" spans="1:9" s="14" customFormat="1">
      <c r="A2374" s="3"/>
      <c r="B2374" t="s">
        <v>4721</v>
      </c>
      <c r="C2374" s="54">
        <v>47000</v>
      </c>
      <c r="D2374" s="54"/>
      <c r="E2374" s="54">
        <f t="shared" si="47"/>
        <v>51384043</v>
      </c>
      <c r="F2374" s="10" t="s">
        <v>115</v>
      </c>
      <c r="G2374" s="10" t="s">
        <v>120</v>
      </c>
      <c r="H2374" s="14" t="s">
        <v>127</v>
      </c>
      <c r="I2374" s="14" t="s">
        <v>444</v>
      </c>
    </row>
    <row r="2375" spans="1:9" s="14" customFormat="1">
      <c r="A2375" s="3"/>
      <c r="B2375" t="s">
        <v>410</v>
      </c>
      <c r="C2375" s="54">
        <v>4187000</v>
      </c>
      <c r="D2375" s="54"/>
      <c r="E2375" s="54">
        <f t="shared" si="47"/>
        <v>47197043</v>
      </c>
      <c r="F2375" s="10" t="s">
        <v>137</v>
      </c>
      <c r="G2375" s="10" t="s">
        <v>138</v>
      </c>
      <c r="H2375" t="s">
        <v>4137</v>
      </c>
    </row>
    <row r="2376" spans="1:9" s="14" customFormat="1">
      <c r="A2376" s="3"/>
      <c r="B2376" t="s">
        <v>905</v>
      </c>
      <c r="C2376" s="54">
        <v>153000</v>
      </c>
      <c r="D2376" s="54"/>
      <c r="E2376" s="54">
        <f t="shared" si="47"/>
        <v>47044043</v>
      </c>
      <c r="F2376" s="10" t="s">
        <v>137</v>
      </c>
      <c r="G2376" s="10" t="s">
        <v>138</v>
      </c>
      <c r="H2376" s="168" t="s">
        <v>3030</v>
      </c>
    </row>
    <row r="2377" spans="1:9" s="14" customFormat="1">
      <c r="A2377" s="3"/>
      <c r="B2377" t="s">
        <v>4721</v>
      </c>
      <c r="C2377" s="54">
        <v>20000</v>
      </c>
      <c r="D2377" s="54"/>
      <c r="E2377" s="54">
        <f t="shared" ref="E2377:E2524" si="48">E2376-C2377+D2377</f>
        <v>47024043</v>
      </c>
      <c r="F2377" s="10" t="s">
        <v>137</v>
      </c>
      <c r="G2377" s="10" t="s">
        <v>138</v>
      </c>
      <c r="H2377" t="s">
        <v>4137</v>
      </c>
    </row>
    <row r="2378" spans="1:9" s="14" customFormat="1">
      <c r="A2378" s="3"/>
      <c r="B2378" t="s">
        <v>902</v>
      </c>
      <c r="C2378" s="54">
        <v>14547500</v>
      </c>
      <c r="D2378" s="54"/>
      <c r="E2378" s="54">
        <f t="shared" si="48"/>
        <v>32476543</v>
      </c>
      <c r="F2378" s="10" t="s">
        <v>137</v>
      </c>
      <c r="G2378" s="10" t="s">
        <v>138</v>
      </c>
      <c r="H2378" t="s">
        <v>4144</v>
      </c>
    </row>
    <row r="2379" spans="1:9" s="14" customFormat="1">
      <c r="A2379" s="3"/>
      <c r="B2379" t="s">
        <v>902</v>
      </c>
      <c r="C2379" s="54">
        <v>14547500</v>
      </c>
      <c r="D2379" s="54"/>
      <c r="E2379" s="54">
        <f t="shared" si="48"/>
        <v>17929043</v>
      </c>
      <c r="F2379" s="10" t="s">
        <v>137</v>
      </c>
      <c r="G2379" s="10" t="s">
        <v>138</v>
      </c>
      <c r="H2379" t="s">
        <v>4144</v>
      </c>
    </row>
    <row r="2380" spans="1:9" s="14" customFormat="1">
      <c r="A2380" s="3"/>
      <c r="B2380" t="s">
        <v>4730</v>
      </c>
      <c r="C2380" s="54">
        <v>353100</v>
      </c>
      <c r="D2380" s="54"/>
      <c r="E2380" s="54">
        <f t="shared" si="48"/>
        <v>17575943</v>
      </c>
      <c r="F2380" s="10" t="s">
        <v>736</v>
      </c>
      <c r="G2380" s="10" t="s">
        <v>455</v>
      </c>
      <c r="H2380" t="s">
        <v>64</v>
      </c>
    </row>
    <row r="2381" spans="1:9" s="14" customFormat="1">
      <c r="A2381" s="3"/>
      <c r="B2381" t="s">
        <v>4722</v>
      </c>
      <c r="C2381" s="54">
        <v>3270028</v>
      </c>
      <c r="D2381" s="54"/>
      <c r="E2381" s="54">
        <f t="shared" si="48"/>
        <v>14305915</v>
      </c>
      <c r="F2381" s="10" t="s">
        <v>137</v>
      </c>
      <c r="G2381" s="10" t="s">
        <v>138</v>
      </c>
      <c r="H2381" t="s">
        <v>2275</v>
      </c>
    </row>
    <row r="2382" spans="1:9" s="14" customFormat="1">
      <c r="A2382" s="3"/>
      <c r="B2382" t="s">
        <v>4731</v>
      </c>
      <c r="C2382" s="54">
        <v>138600</v>
      </c>
      <c r="D2382" s="54"/>
      <c r="E2382" s="54">
        <f t="shared" si="48"/>
        <v>14167315</v>
      </c>
      <c r="F2382" s="10" t="s">
        <v>736</v>
      </c>
      <c r="G2382" s="10" t="s">
        <v>455</v>
      </c>
      <c r="H2382" t="s">
        <v>64</v>
      </c>
    </row>
    <row r="2383" spans="1:9" s="14" customFormat="1">
      <c r="A2383" s="3"/>
      <c r="B2383" t="s">
        <v>2081</v>
      </c>
      <c r="C2383" s="54">
        <v>259600</v>
      </c>
      <c r="D2383" s="54"/>
      <c r="E2383" s="54">
        <f t="shared" si="48"/>
        <v>13907715</v>
      </c>
      <c r="F2383" s="10" t="s">
        <v>115</v>
      </c>
      <c r="G2383" s="10" t="s">
        <v>120</v>
      </c>
      <c r="H2383" s="14" t="s">
        <v>560</v>
      </c>
      <c r="I2383" s="14" t="s">
        <v>444</v>
      </c>
    </row>
    <row r="2384" spans="1:9" s="14" customFormat="1">
      <c r="A2384" s="3"/>
      <c r="B2384" t="s">
        <v>4723</v>
      </c>
      <c r="C2384" s="54">
        <v>1749750</v>
      </c>
      <c r="D2384" s="54"/>
      <c r="E2384" s="54">
        <f t="shared" si="48"/>
        <v>12157965</v>
      </c>
      <c r="F2384" s="10" t="s">
        <v>115</v>
      </c>
      <c r="G2384" s="10" t="s">
        <v>440</v>
      </c>
      <c r="H2384" s="168" t="s">
        <v>4490</v>
      </c>
    </row>
    <row r="2385" spans="1:8" s="14" customFormat="1">
      <c r="A2385" s="3"/>
      <c r="B2385" t="s">
        <v>3223</v>
      </c>
      <c r="C2385" s="54">
        <v>10000</v>
      </c>
      <c r="D2385" s="54"/>
      <c r="E2385" s="54">
        <f t="shared" si="48"/>
        <v>12147965</v>
      </c>
      <c r="F2385" s="10" t="s">
        <v>113</v>
      </c>
      <c r="G2385" s="10" t="s">
        <v>114</v>
      </c>
      <c r="H2385" t="s">
        <v>64</v>
      </c>
    </row>
    <row r="2386" spans="1:8" s="14" customFormat="1">
      <c r="A2386" s="3"/>
      <c r="B2386" t="s">
        <v>4724</v>
      </c>
      <c r="C2386" s="54">
        <v>0</v>
      </c>
      <c r="D2386" s="54">
        <v>1</v>
      </c>
      <c r="E2386" s="54">
        <f t="shared" si="48"/>
        <v>12147966</v>
      </c>
      <c r="F2386" s="10" t="s">
        <v>252</v>
      </c>
      <c r="G2386" s="10" t="s">
        <v>664</v>
      </c>
      <c r="H2386" t="s">
        <v>64</v>
      </c>
    </row>
    <row r="2387" spans="1:8" s="14" customFormat="1">
      <c r="A2387" s="3"/>
      <c r="B2387" t="s">
        <v>4732</v>
      </c>
      <c r="C2387" s="54">
        <v>990000</v>
      </c>
      <c r="D2387" s="54"/>
      <c r="E2387" s="54">
        <f t="shared" si="48"/>
        <v>11157966</v>
      </c>
      <c r="F2387" s="10" t="s">
        <v>248</v>
      </c>
      <c r="G2387" s="10" t="s">
        <v>391</v>
      </c>
      <c r="H2387" t="s">
        <v>64</v>
      </c>
    </row>
    <row r="2388" spans="1:8" s="14" customFormat="1">
      <c r="A2388" s="3"/>
      <c r="B2388" t="s">
        <v>4725</v>
      </c>
      <c r="C2388" s="54">
        <v>809934</v>
      </c>
      <c r="D2388" s="54"/>
      <c r="E2388" s="54">
        <f t="shared" si="48"/>
        <v>10348032</v>
      </c>
      <c r="F2388" s="10" t="s">
        <v>319</v>
      </c>
      <c r="G2388" s="10" t="s">
        <v>1045</v>
      </c>
      <c r="H2388" t="s">
        <v>64</v>
      </c>
    </row>
    <row r="2389" spans="1:8" s="14" customFormat="1">
      <c r="A2389" s="3"/>
      <c r="B2389" t="s">
        <v>4733</v>
      </c>
      <c r="C2389" s="54">
        <v>869000</v>
      </c>
      <c r="D2389" s="54"/>
      <c r="E2389" s="54">
        <f t="shared" si="48"/>
        <v>9479032</v>
      </c>
      <c r="F2389" s="10" t="s">
        <v>248</v>
      </c>
      <c r="G2389" s="10" t="s">
        <v>391</v>
      </c>
      <c r="H2389" t="s">
        <v>64</v>
      </c>
    </row>
    <row r="2390" spans="1:8" s="14" customFormat="1">
      <c r="A2390" s="3"/>
      <c r="B2390" t="s">
        <v>4228</v>
      </c>
      <c r="C2390" s="54">
        <v>1095000</v>
      </c>
      <c r="D2390" s="54"/>
      <c r="E2390" s="54">
        <f t="shared" si="48"/>
        <v>8384032</v>
      </c>
      <c r="F2390" s="10" t="s">
        <v>137</v>
      </c>
      <c r="G2390" s="10" t="s">
        <v>138</v>
      </c>
      <c r="H2390" s="168" t="s">
        <v>3030</v>
      </c>
    </row>
    <row r="2391" spans="1:8" s="14" customFormat="1">
      <c r="A2391" s="3"/>
      <c r="B2391" t="s">
        <v>4228</v>
      </c>
      <c r="C2391" s="54">
        <v>1079997</v>
      </c>
      <c r="D2391" s="54"/>
      <c r="E2391" s="54">
        <f t="shared" si="48"/>
        <v>7304035</v>
      </c>
      <c r="F2391" s="10" t="s">
        <v>137</v>
      </c>
      <c r="G2391" s="10" t="s">
        <v>138</v>
      </c>
      <c r="H2391" s="168" t="s">
        <v>3030</v>
      </c>
    </row>
    <row r="2392" spans="1:8" s="14" customFormat="1">
      <c r="A2392" s="3"/>
      <c r="B2392" t="s">
        <v>4228</v>
      </c>
      <c r="C2392" s="54">
        <v>4493035</v>
      </c>
      <c r="D2392" s="54"/>
      <c r="E2392" s="54">
        <f t="shared" si="48"/>
        <v>2811000</v>
      </c>
      <c r="F2392" s="10" t="s">
        <v>137</v>
      </c>
      <c r="G2392" s="10" t="s">
        <v>138</v>
      </c>
      <c r="H2392" s="168" t="s">
        <v>3030</v>
      </c>
    </row>
    <row r="2393" spans="1:8" s="14" customFormat="1">
      <c r="A2393" s="3"/>
      <c r="B2393" t="s">
        <v>897</v>
      </c>
      <c r="C2393" s="54">
        <v>700120</v>
      </c>
      <c r="D2393" s="54"/>
      <c r="E2393" s="54">
        <f t="shared" si="48"/>
        <v>2110880</v>
      </c>
      <c r="F2393" s="10" t="s">
        <v>319</v>
      </c>
      <c r="G2393" s="10" t="s">
        <v>117</v>
      </c>
      <c r="H2393" t="s">
        <v>64</v>
      </c>
    </row>
    <row r="2394" spans="1:8" s="14" customFormat="1">
      <c r="A2394" s="3"/>
      <c r="B2394" t="s">
        <v>4707</v>
      </c>
      <c r="C2394" s="54">
        <v>899800</v>
      </c>
      <c r="D2394" s="54"/>
      <c r="E2394" s="54">
        <f t="shared" si="48"/>
        <v>1211080</v>
      </c>
      <c r="F2394" s="10" t="s">
        <v>137</v>
      </c>
      <c r="G2394" s="10" t="s">
        <v>138</v>
      </c>
      <c r="H2394" t="s">
        <v>4137</v>
      </c>
    </row>
    <row r="2395" spans="1:8" s="14" customFormat="1">
      <c r="A2395" s="3"/>
      <c r="B2395" t="s">
        <v>4726</v>
      </c>
      <c r="C2395" s="54">
        <v>973138</v>
      </c>
      <c r="D2395" s="54"/>
      <c r="E2395" s="54">
        <f t="shared" si="48"/>
        <v>237942</v>
      </c>
      <c r="F2395" s="10" t="s">
        <v>319</v>
      </c>
      <c r="G2395" s="10" t="s">
        <v>1045</v>
      </c>
      <c r="H2395" t="s">
        <v>64</v>
      </c>
    </row>
    <row r="2396" spans="1:8" s="14" customFormat="1">
      <c r="A2396" s="3"/>
      <c r="B2396" t="s">
        <v>4727</v>
      </c>
      <c r="C2396" s="54">
        <v>13502000</v>
      </c>
      <c r="D2396" s="54"/>
      <c r="E2396" s="54">
        <f t="shared" si="48"/>
        <v>-13264058</v>
      </c>
      <c r="F2396" s="10" t="s">
        <v>107</v>
      </c>
      <c r="G2396" s="10" t="s">
        <v>3102</v>
      </c>
      <c r="H2396"/>
    </row>
    <row r="2397" spans="1:8" s="14" customFormat="1">
      <c r="A2397" s="3"/>
      <c r="B2397" t="s">
        <v>4728</v>
      </c>
      <c r="C2397" s="54">
        <v>237942</v>
      </c>
      <c r="D2397" s="54"/>
      <c r="E2397" s="54">
        <f t="shared" si="48"/>
        <v>-13502000</v>
      </c>
      <c r="F2397" s="10" t="s">
        <v>319</v>
      </c>
      <c r="G2397" s="10" t="s">
        <v>1045</v>
      </c>
      <c r="H2397" t="s">
        <v>64</v>
      </c>
    </row>
    <row r="2398" spans="1:8" s="14" customFormat="1">
      <c r="A2398" s="3"/>
      <c r="B2398" t="s">
        <v>4727</v>
      </c>
      <c r="C2398" s="54">
        <v>0</v>
      </c>
      <c r="D2398" s="54">
        <v>13502000</v>
      </c>
      <c r="E2398" s="54">
        <f t="shared" si="48"/>
        <v>0</v>
      </c>
      <c r="F2398" s="10" t="s">
        <v>107</v>
      </c>
      <c r="G2398" s="10" t="s">
        <v>3102</v>
      </c>
      <c r="H2398"/>
    </row>
    <row r="2399" spans="1:8" s="14" customFormat="1">
      <c r="A2399" s="3">
        <v>44589</v>
      </c>
      <c r="B2399" t="s">
        <v>4989</v>
      </c>
      <c r="C2399" s="54">
        <v>0</v>
      </c>
      <c r="D2399" s="54">
        <v>51295750</v>
      </c>
      <c r="E2399" s="54">
        <f t="shared" si="48"/>
        <v>51295750</v>
      </c>
      <c r="F2399" s="10" t="s">
        <v>115</v>
      </c>
      <c r="G2399" s="10" t="s">
        <v>139</v>
      </c>
      <c r="H2399" t="s">
        <v>3099</v>
      </c>
    </row>
    <row r="2400" spans="1:8" s="14" customFormat="1">
      <c r="A2400" s="3"/>
      <c r="B2400" t="s">
        <v>1027</v>
      </c>
      <c r="C2400" s="54">
        <v>2800000</v>
      </c>
      <c r="D2400" s="54"/>
      <c r="E2400" s="54">
        <f t="shared" si="48"/>
        <v>48495750</v>
      </c>
      <c r="F2400" s="10" t="s">
        <v>137</v>
      </c>
      <c r="G2400" s="10" t="s">
        <v>138</v>
      </c>
      <c r="H2400" t="s">
        <v>4137</v>
      </c>
    </row>
    <row r="2401" spans="1:8" s="14" customFormat="1">
      <c r="A2401" s="3"/>
      <c r="B2401" t="s">
        <v>4990</v>
      </c>
      <c r="C2401" s="54">
        <v>14847100</v>
      </c>
      <c r="D2401" s="54"/>
      <c r="E2401" s="54">
        <f t="shared" si="48"/>
        <v>33648650</v>
      </c>
      <c r="F2401" s="10" t="s">
        <v>137</v>
      </c>
      <c r="G2401" s="10" t="s">
        <v>138</v>
      </c>
      <c r="H2401" t="s">
        <v>4137</v>
      </c>
    </row>
    <row r="2402" spans="1:8" s="14" customFormat="1">
      <c r="A2402" s="3"/>
      <c r="B2402" t="s">
        <v>4991</v>
      </c>
      <c r="C2402" s="54">
        <v>399900</v>
      </c>
      <c r="D2402" s="54"/>
      <c r="E2402" s="54">
        <f t="shared" si="48"/>
        <v>33248750</v>
      </c>
      <c r="F2402" s="10" t="s">
        <v>137</v>
      </c>
      <c r="G2402" s="10" t="s">
        <v>138</v>
      </c>
      <c r="H2402" t="s">
        <v>3001</v>
      </c>
    </row>
    <row r="2403" spans="1:8" s="14" customFormat="1">
      <c r="A2403" s="3"/>
      <c r="B2403" t="s">
        <v>4999</v>
      </c>
      <c r="C2403" s="54">
        <v>124000</v>
      </c>
      <c r="D2403" s="54"/>
      <c r="E2403" s="54">
        <f t="shared" si="48"/>
        <v>33124750</v>
      </c>
      <c r="F2403" s="10" t="s">
        <v>736</v>
      </c>
      <c r="G2403" s="10" t="s">
        <v>455</v>
      </c>
      <c r="H2403" t="s">
        <v>64</v>
      </c>
    </row>
    <row r="2404" spans="1:8" s="14" customFormat="1">
      <c r="A2404" s="3"/>
      <c r="B2404" t="s">
        <v>4992</v>
      </c>
      <c r="C2404" s="54">
        <v>3611850</v>
      </c>
      <c r="D2404" s="54"/>
      <c r="E2404" s="54">
        <f t="shared" si="48"/>
        <v>29512900</v>
      </c>
      <c r="F2404" s="10" t="s">
        <v>137</v>
      </c>
      <c r="G2404" s="10" t="s">
        <v>138</v>
      </c>
      <c r="H2404" t="s">
        <v>3001</v>
      </c>
    </row>
    <row r="2405" spans="1:8" s="14" customFormat="1">
      <c r="A2405" s="3"/>
      <c r="B2405" t="s">
        <v>5000</v>
      </c>
      <c r="C2405" s="54">
        <v>150000</v>
      </c>
      <c r="D2405" s="54"/>
      <c r="E2405" s="54">
        <f t="shared" si="48"/>
        <v>29362900</v>
      </c>
      <c r="F2405" s="10" t="s">
        <v>736</v>
      </c>
      <c r="G2405" s="10" t="s">
        <v>455</v>
      </c>
      <c r="H2405" t="s">
        <v>64</v>
      </c>
    </row>
    <row r="2406" spans="1:8" s="14" customFormat="1">
      <c r="A2406" s="3"/>
      <c r="B2406" t="s">
        <v>5001</v>
      </c>
      <c r="C2406" s="54">
        <v>1125800</v>
      </c>
      <c r="D2406" s="54"/>
      <c r="E2406" s="54">
        <f t="shared" si="48"/>
        <v>28237100</v>
      </c>
      <c r="F2406" s="10" t="s">
        <v>736</v>
      </c>
      <c r="G2406" s="10" t="s">
        <v>455</v>
      </c>
      <c r="H2406" t="s">
        <v>64</v>
      </c>
    </row>
    <row r="2407" spans="1:8" s="14" customFormat="1">
      <c r="A2407" s="3"/>
      <c r="B2407" t="s">
        <v>4993</v>
      </c>
      <c r="C2407" s="54">
        <v>15090000</v>
      </c>
      <c r="D2407" s="54"/>
      <c r="E2407" s="54">
        <f t="shared" si="48"/>
        <v>13147100</v>
      </c>
      <c r="F2407" s="10" t="s">
        <v>137</v>
      </c>
      <c r="G2407" s="10" t="s">
        <v>138</v>
      </c>
      <c r="H2407" t="s">
        <v>4137</v>
      </c>
    </row>
    <row r="2408" spans="1:8" s="14" customFormat="1">
      <c r="A2408" s="3"/>
      <c r="B2408" t="s">
        <v>4994</v>
      </c>
      <c r="C2408" s="54">
        <v>270000</v>
      </c>
      <c r="D2408" s="54"/>
      <c r="E2408" s="54">
        <f t="shared" si="48"/>
        <v>12877100</v>
      </c>
      <c r="F2408" s="10" t="s">
        <v>137</v>
      </c>
      <c r="G2408" s="10" t="s">
        <v>138</v>
      </c>
      <c r="H2408" t="s">
        <v>4137</v>
      </c>
    </row>
    <row r="2409" spans="1:8" s="14" customFormat="1">
      <c r="A2409" s="3"/>
      <c r="B2409" t="s">
        <v>397</v>
      </c>
      <c r="C2409" s="54">
        <v>168000</v>
      </c>
      <c r="D2409" s="54"/>
      <c r="E2409" s="54">
        <f t="shared" si="48"/>
        <v>12709100</v>
      </c>
      <c r="F2409" s="10" t="s">
        <v>137</v>
      </c>
      <c r="G2409" s="10" t="s">
        <v>138</v>
      </c>
      <c r="H2409" t="s">
        <v>4137</v>
      </c>
    </row>
    <row r="2410" spans="1:8" s="14" customFormat="1">
      <c r="A2410" s="3"/>
      <c r="B2410" t="s">
        <v>4995</v>
      </c>
      <c r="C2410" s="54">
        <v>156400</v>
      </c>
      <c r="D2410" s="54"/>
      <c r="E2410" s="54">
        <f t="shared" si="48"/>
        <v>12552700</v>
      </c>
      <c r="F2410" s="10" t="s">
        <v>110</v>
      </c>
      <c r="G2410" s="10" t="s">
        <v>321</v>
      </c>
      <c r="H2410" t="s">
        <v>5002</v>
      </c>
    </row>
    <row r="2411" spans="1:8" s="14" customFormat="1">
      <c r="A2411" s="3"/>
      <c r="B2411" t="s">
        <v>4996</v>
      </c>
      <c r="C2411" s="54">
        <v>251000</v>
      </c>
      <c r="D2411" s="54"/>
      <c r="E2411" s="54">
        <f t="shared" si="48"/>
        <v>12301700</v>
      </c>
      <c r="F2411" s="10" t="s">
        <v>110</v>
      </c>
      <c r="G2411" s="10" t="s">
        <v>321</v>
      </c>
      <c r="H2411" t="s">
        <v>5002</v>
      </c>
    </row>
    <row r="2412" spans="1:8" s="14" customFormat="1">
      <c r="A2412" s="3"/>
      <c r="B2412" t="s">
        <v>3294</v>
      </c>
      <c r="C2412" s="54">
        <v>6265000</v>
      </c>
      <c r="D2412" s="54"/>
      <c r="E2412" s="54">
        <f t="shared" si="48"/>
        <v>6036700</v>
      </c>
      <c r="F2412" s="10" t="s">
        <v>137</v>
      </c>
      <c r="G2412" s="10" t="s">
        <v>138</v>
      </c>
      <c r="H2412" t="s">
        <v>4137</v>
      </c>
    </row>
    <row r="2413" spans="1:8" s="14" customFormat="1">
      <c r="A2413" s="3"/>
      <c r="B2413" t="s">
        <v>4997</v>
      </c>
      <c r="C2413" s="54">
        <v>10000000</v>
      </c>
      <c r="D2413" s="54"/>
      <c r="E2413" s="54">
        <f t="shared" si="48"/>
        <v>-3963300</v>
      </c>
      <c r="F2413" s="10" t="s">
        <v>110</v>
      </c>
      <c r="G2413" s="10" t="s">
        <v>321</v>
      </c>
      <c r="H2413" t="s">
        <v>5002</v>
      </c>
    </row>
    <row r="2414" spans="1:8" s="14" customFormat="1">
      <c r="A2414" s="3"/>
      <c r="B2414" t="s">
        <v>4998</v>
      </c>
      <c r="C2414" s="54">
        <v>0</v>
      </c>
      <c r="D2414" s="54">
        <v>3963300</v>
      </c>
      <c r="E2414" s="54">
        <f t="shared" si="48"/>
        <v>0</v>
      </c>
      <c r="F2414" s="10" t="s">
        <v>115</v>
      </c>
      <c r="G2414" s="10" t="s">
        <v>122</v>
      </c>
      <c r="H2414" t="s">
        <v>123</v>
      </c>
    </row>
    <row r="2415" spans="1:8" s="14" customFormat="1">
      <c r="A2415" s="3">
        <v>44589</v>
      </c>
      <c r="B2415" t="s">
        <v>5022</v>
      </c>
      <c r="C2415" s="54">
        <v>0</v>
      </c>
      <c r="D2415" s="54">
        <v>4843766</v>
      </c>
      <c r="E2415" s="54">
        <f t="shared" si="48"/>
        <v>4843766</v>
      </c>
      <c r="F2415" s="10" t="s">
        <v>110</v>
      </c>
      <c r="G2415" s="10" t="s">
        <v>118</v>
      </c>
      <c r="H2415" t="s">
        <v>5023</v>
      </c>
    </row>
    <row r="2416" spans="1:8" s="14" customFormat="1">
      <c r="A2416" s="3"/>
      <c r="B2416" t="s">
        <v>5022</v>
      </c>
      <c r="C2416" s="54">
        <v>4843766</v>
      </c>
      <c r="D2416" s="54">
        <v>0</v>
      </c>
      <c r="E2416" s="54">
        <f t="shared" si="48"/>
        <v>0</v>
      </c>
      <c r="F2416" s="10" t="s">
        <v>110</v>
      </c>
      <c r="G2416" t="s">
        <v>620</v>
      </c>
      <c r="H2416" t="s">
        <v>433</v>
      </c>
    </row>
    <row r="2417" spans="1:8" s="14" customFormat="1">
      <c r="A2417" s="3">
        <v>44596</v>
      </c>
      <c r="B2417" t="s">
        <v>4986</v>
      </c>
      <c r="C2417" s="54">
        <v>0</v>
      </c>
      <c r="D2417" s="54">
        <v>20748846</v>
      </c>
      <c r="E2417" s="54">
        <f t="shared" si="48"/>
        <v>20748846</v>
      </c>
      <c r="F2417" s="10" t="s">
        <v>115</v>
      </c>
      <c r="G2417" s="10" t="s">
        <v>139</v>
      </c>
      <c r="H2417" t="s">
        <v>141</v>
      </c>
    </row>
    <row r="2418" spans="1:8" s="14" customFormat="1">
      <c r="A2418" s="3"/>
      <c r="B2418" t="s">
        <v>4955</v>
      </c>
      <c r="C2418" s="54">
        <v>270430</v>
      </c>
      <c r="D2418" s="54"/>
      <c r="E2418" s="54">
        <f t="shared" si="48"/>
        <v>20478416</v>
      </c>
      <c r="F2418" s="10" t="s">
        <v>319</v>
      </c>
      <c r="G2418" s="10" t="s">
        <v>117</v>
      </c>
      <c r="H2418"/>
    </row>
    <row r="2419" spans="1:8" s="14" customFormat="1">
      <c r="A2419" s="3"/>
      <c r="B2419" t="s">
        <v>4956</v>
      </c>
      <c r="C2419" s="54">
        <v>494000</v>
      </c>
      <c r="D2419" s="54"/>
      <c r="E2419" s="54">
        <f t="shared" si="48"/>
        <v>19984416</v>
      </c>
      <c r="F2419" s="10" t="s">
        <v>137</v>
      </c>
      <c r="G2419" s="10" t="s">
        <v>138</v>
      </c>
      <c r="H2419" t="s">
        <v>3045</v>
      </c>
    </row>
    <row r="2420" spans="1:8" s="14" customFormat="1">
      <c r="A2420" s="3"/>
      <c r="B2420" t="s">
        <v>4977</v>
      </c>
      <c r="C2420" s="54">
        <v>159000</v>
      </c>
      <c r="D2420" s="54"/>
      <c r="E2420" s="54">
        <f t="shared" si="48"/>
        <v>19825416</v>
      </c>
      <c r="F2420" s="10" t="s">
        <v>736</v>
      </c>
      <c r="G2420" s="10" t="s">
        <v>455</v>
      </c>
      <c r="H2420" t="s">
        <v>64</v>
      </c>
    </row>
    <row r="2421" spans="1:8" s="14" customFormat="1">
      <c r="A2421" s="3"/>
      <c r="B2421" t="s">
        <v>4957</v>
      </c>
      <c r="C2421" s="54">
        <v>5000</v>
      </c>
      <c r="D2421" s="54"/>
      <c r="E2421" s="54">
        <f t="shared" si="48"/>
        <v>19820416</v>
      </c>
      <c r="F2421" s="10" t="s">
        <v>113</v>
      </c>
      <c r="G2421" s="10" t="s">
        <v>114</v>
      </c>
      <c r="H2421"/>
    </row>
    <row r="2422" spans="1:8" s="14" customFormat="1">
      <c r="A2422" s="3"/>
      <c r="B2422" t="s">
        <v>4958</v>
      </c>
      <c r="C2422" s="54">
        <v>260630</v>
      </c>
      <c r="D2422" s="54"/>
      <c r="E2422" s="54">
        <f t="shared" si="48"/>
        <v>19559786</v>
      </c>
      <c r="F2422" s="10" t="s">
        <v>319</v>
      </c>
      <c r="G2422" s="10" t="s">
        <v>117</v>
      </c>
      <c r="H2422"/>
    </row>
    <row r="2423" spans="1:8" s="14" customFormat="1">
      <c r="A2423" s="3"/>
      <c r="B2423" t="s">
        <v>4959</v>
      </c>
      <c r="C2423" s="54">
        <v>871000</v>
      </c>
      <c r="D2423" s="54"/>
      <c r="E2423" s="54">
        <f t="shared" si="48"/>
        <v>18688786</v>
      </c>
      <c r="F2423" s="10" t="s">
        <v>137</v>
      </c>
      <c r="G2423" s="10" t="s">
        <v>138</v>
      </c>
      <c r="H2423" t="s">
        <v>3045</v>
      </c>
    </row>
    <row r="2424" spans="1:8" s="14" customFormat="1">
      <c r="A2424" s="3"/>
      <c r="B2424" t="s">
        <v>4960</v>
      </c>
      <c r="C2424" s="54">
        <v>385200</v>
      </c>
      <c r="D2424" s="54"/>
      <c r="E2424" s="54">
        <f t="shared" si="48"/>
        <v>18303586</v>
      </c>
      <c r="F2424" s="10" t="s">
        <v>137</v>
      </c>
      <c r="G2424" s="10" t="s">
        <v>138</v>
      </c>
      <c r="H2424" t="s">
        <v>3045</v>
      </c>
    </row>
    <row r="2425" spans="1:8" s="14" customFormat="1">
      <c r="A2425" s="3"/>
      <c r="B2425" t="s">
        <v>4961</v>
      </c>
      <c r="C2425" s="54">
        <v>162000</v>
      </c>
      <c r="D2425" s="54"/>
      <c r="E2425" s="54">
        <f t="shared" si="48"/>
        <v>18141586</v>
      </c>
      <c r="F2425" s="10" t="s">
        <v>137</v>
      </c>
      <c r="G2425" s="10" t="s">
        <v>138</v>
      </c>
      <c r="H2425" t="s">
        <v>3045</v>
      </c>
    </row>
    <row r="2426" spans="1:8" s="14" customFormat="1">
      <c r="A2426" s="3"/>
      <c r="B2426" t="s">
        <v>4962</v>
      </c>
      <c r="C2426" s="54">
        <v>252657</v>
      </c>
      <c r="D2426" s="54"/>
      <c r="E2426" s="54">
        <f t="shared" si="48"/>
        <v>17888929</v>
      </c>
      <c r="F2426" s="10" t="s">
        <v>319</v>
      </c>
      <c r="G2426" s="10" t="s">
        <v>117</v>
      </c>
      <c r="H2426"/>
    </row>
    <row r="2427" spans="1:8" s="14" customFormat="1">
      <c r="A2427" s="3"/>
      <c r="B2427" t="s">
        <v>4979</v>
      </c>
      <c r="C2427" s="54">
        <v>1861000</v>
      </c>
      <c r="D2427" s="54"/>
      <c r="E2427" s="54">
        <f t="shared" si="48"/>
        <v>16027929</v>
      </c>
      <c r="F2427" s="10" t="s">
        <v>248</v>
      </c>
      <c r="G2427" s="10" t="s">
        <v>729</v>
      </c>
      <c r="H2427"/>
    </row>
    <row r="2428" spans="1:8" s="14" customFormat="1">
      <c r="A2428" s="3"/>
      <c r="B2428" t="s">
        <v>4978</v>
      </c>
      <c r="C2428" s="54">
        <v>165000</v>
      </c>
      <c r="D2428" s="54"/>
      <c r="E2428" s="54">
        <f t="shared" si="48"/>
        <v>15862929</v>
      </c>
      <c r="F2428" s="10" t="s">
        <v>319</v>
      </c>
      <c r="G2428" s="10" t="s">
        <v>647</v>
      </c>
      <c r="H2428"/>
    </row>
    <row r="2429" spans="1:8" s="14" customFormat="1">
      <c r="A2429" s="3"/>
      <c r="B2429" t="s">
        <v>4963</v>
      </c>
      <c r="C2429" s="54">
        <v>104600</v>
      </c>
      <c r="D2429" s="54"/>
      <c r="E2429" s="54">
        <f t="shared" si="48"/>
        <v>15758329</v>
      </c>
      <c r="F2429" s="10" t="s">
        <v>137</v>
      </c>
      <c r="G2429" s="10" t="s">
        <v>138</v>
      </c>
      <c r="H2429" t="s">
        <v>4137</v>
      </c>
    </row>
    <row r="2430" spans="1:8" s="14" customFormat="1">
      <c r="A2430" s="3"/>
      <c r="B2430" t="s">
        <v>4964</v>
      </c>
      <c r="C2430" s="54">
        <v>274176</v>
      </c>
      <c r="D2430" s="54"/>
      <c r="E2430" s="54">
        <f t="shared" si="48"/>
        <v>15484153</v>
      </c>
      <c r="F2430" s="10" t="s">
        <v>319</v>
      </c>
      <c r="G2430" s="10" t="s">
        <v>117</v>
      </c>
      <c r="H2430"/>
    </row>
    <row r="2431" spans="1:8" s="14" customFormat="1">
      <c r="A2431" s="3"/>
      <c r="B2431" t="s">
        <v>4964</v>
      </c>
      <c r="C2431" s="54">
        <v>974120</v>
      </c>
      <c r="D2431" s="54"/>
      <c r="E2431" s="54">
        <f t="shared" si="48"/>
        <v>14510033</v>
      </c>
      <c r="F2431" s="10" t="s">
        <v>319</v>
      </c>
      <c r="G2431" s="10" t="s">
        <v>117</v>
      </c>
      <c r="H2431"/>
    </row>
    <row r="2432" spans="1:8" s="14" customFormat="1">
      <c r="A2432" s="3"/>
      <c r="B2432" t="s">
        <v>4964</v>
      </c>
      <c r="C2432" s="54">
        <v>298427</v>
      </c>
      <c r="D2432" s="54"/>
      <c r="E2432" s="54">
        <f t="shared" si="48"/>
        <v>14211606</v>
      </c>
      <c r="F2432" s="10" t="s">
        <v>319</v>
      </c>
      <c r="G2432" s="10" t="s">
        <v>117</v>
      </c>
      <c r="H2432"/>
    </row>
    <row r="2433" spans="1:8" s="14" customFormat="1">
      <c r="A2433" s="3"/>
      <c r="B2433" t="s">
        <v>4965</v>
      </c>
      <c r="C2433" s="54">
        <v>282744</v>
      </c>
      <c r="D2433" s="54"/>
      <c r="E2433" s="54">
        <f t="shared" si="48"/>
        <v>13928862</v>
      </c>
      <c r="F2433" s="10" t="s">
        <v>319</v>
      </c>
      <c r="G2433" s="10" t="s">
        <v>117</v>
      </c>
      <c r="H2433"/>
    </row>
    <row r="2434" spans="1:8" s="14" customFormat="1">
      <c r="A2434" s="3"/>
      <c r="B2434" t="s">
        <v>5044</v>
      </c>
      <c r="C2434" s="54">
        <v>270000</v>
      </c>
      <c r="D2434" s="54"/>
      <c r="E2434" s="54">
        <f t="shared" si="48"/>
        <v>13658862</v>
      </c>
      <c r="F2434" s="10" t="s">
        <v>319</v>
      </c>
      <c r="G2434" s="10" t="s">
        <v>647</v>
      </c>
      <c r="H2434"/>
    </row>
    <row r="2435" spans="1:8" s="14" customFormat="1">
      <c r="A2435" s="3"/>
      <c r="B2435" t="s">
        <v>4964</v>
      </c>
      <c r="C2435" s="54">
        <v>275783</v>
      </c>
      <c r="D2435" s="54"/>
      <c r="E2435" s="54">
        <f t="shared" si="48"/>
        <v>13383079</v>
      </c>
      <c r="F2435" s="10" t="s">
        <v>319</v>
      </c>
      <c r="G2435" s="10" t="s">
        <v>117</v>
      </c>
      <c r="H2435"/>
    </row>
    <row r="2436" spans="1:8" s="14" customFormat="1">
      <c r="A2436" s="3"/>
      <c r="B2436" t="s">
        <v>4966</v>
      </c>
      <c r="C2436" s="54">
        <v>270428</v>
      </c>
      <c r="D2436" s="54"/>
      <c r="E2436" s="54">
        <f t="shared" si="48"/>
        <v>13112651</v>
      </c>
      <c r="F2436" s="10" t="s">
        <v>319</v>
      </c>
      <c r="G2436" s="10" t="s">
        <v>117</v>
      </c>
      <c r="H2436"/>
    </row>
    <row r="2437" spans="1:8" s="14" customFormat="1">
      <c r="A2437" s="3"/>
      <c r="B2437" t="s">
        <v>5043</v>
      </c>
      <c r="C2437" s="54">
        <v>2925200</v>
      </c>
      <c r="D2437" s="54"/>
      <c r="E2437" s="54">
        <f t="shared" si="48"/>
        <v>10187451</v>
      </c>
      <c r="F2437" s="10" t="s">
        <v>319</v>
      </c>
      <c r="G2437" s="10" t="s">
        <v>647</v>
      </c>
      <c r="H2437"/>
    </row>
    <row r="2438" spans="1:8" s="14" customFormat="1">
      <c r="A2438" s="3"/>
      <c r="B2438" t="s">
        <v>4967</v>
      </c>
      <c r="C2438" s="54">
        <v>157131</v>
      </c>
      <c r="D2438" s="54"/>
      <c r="E2438" s="54">
        <f t="shared" si="48"/>
        <v>10030320</v>
      </c>
      <c r="F2438" s="10" t="s">
        <v>319</v>
      </c>
      <c r="G2438" s="10" t="s">
        <v>117</v>
      </c>
      <c r="H2438"/>
    </row>
    <row r="2439" spans="1:8" s="14" customFormat="1">
      <c r="A2439" s="3"/>
      <c r="B2439" t="s">
        <v>5041</v>
      </c>
      <c r="C2439" s="54">
        <v>154639</v>
      </c>
      <c r="D2439" s="54"/>
      <c r="E2439" s="54">
        <f t="shared" si="48"/>
        <v>9875681</v>
      </c>
      <c r="F2439" s="10" t="s">
        <v>319</v>
      </c>
      <c r="G2439" s="10" t="s">
        <v>320</v>
      </c>
      <c r="H2439"/>
    </row>
    <row r="2440" spans="1:8" s="14" customFormat="1">
      <c r="A2440" s="3"/>
      <c r="B2440" t="s">
        <v>4968</v>
      </c>
      <c r="C2440" s="54">
        <v>150000</v>
      </c>
      <c r="D2440" s="54"/>
      <c r="E2440" s="54">
        <f t="shared" si="48"/>
        <v>9725681</v>
      </c>
      <c r="F2440" s="10" t="s">
        <v>319</v>
      </c>
      <c r="G2440" s="10" t="s">
        <v>117</v>
      </c>
      <c r="H2440"/>
    </row>
    <row r="2441" spans="1:8" s="14" customFormat="1">
      <c r="A2441" s="3"/>
      <c r="B2441" t="s">
        <v>4969</v>
      </c>
      <c r="C2441" s="54">
        <v>53000</v>
      </c>
      <c r="D2441" s="54"/>
      <c r="E2441" s="54">
        <f t="shared" si="48"/>
        <v>9672681</v>
      </c>
      <c r="F2441" s="10" t="s">
        <v>137</v>
      </c>
      <c r="G2441" s="10" t="s">
        <v>138</v>
      </c>
      <c r="H2441" t="s">
        <v>4137</v>
      </c>
    </row>
    <row r="2442" spans="1:8" s="14" customFormat="1">
      <c r="A2442" s="3"/>
      <c r="B2442" t="s">
        <v>4969</v>
      </c>
      <c r="C2442" s="54">
        <v>225000</v>
      </c>
      <c r="D2442" s="54"/>
      <c r="E2442" s="54">
        <f t="shared" si="48"/>
        <v>9447681</v>
      </c>
      <c r="F2442" s="10" t="s">
        <v>137</v>
      </c>
      <c r="G2442" s="10" t="s">
        <v>138</v>
      </c>
      <c r="H2442" t="s">
        <v>3030</v>
      </c>
    </row>
    <row r="2443" spans="1:8" s="14" customFormat="1">
      <c r="A2443" s="3"/>
      <c r="B2443" t="s">
        <v>4970</v>
      </c>
      <c r="C2443" s="54">
        <v>110000</v>
      </c>
      <c r="D2443" s="54"/>
      <c r="E2443" s="54">
        <f t="shared" si="48"/>
        <v>9337681</v>
      </c>
      <c r="F2443" s="10" t="s">
        <v>110</v>
      </c>
      <c r="G2443" s="10" t="s">
        <v>321</v>
      </c>
      <c r="H2443" t="s">
        <v>5002</v>
      </c>
    </row>
    <row r="2444" spans="1:8" s="14" customFormat="1">
      <c r="A2444" s="3"/>
      <c r="B2444" t="s">
        <v>4971</v>
      </c>
      <c r="C2444" s="54">
        <v>172500</v>
      </c>
      <c r="D2444" s="54"/>
      <c r="E2444" s="54">
        <f t="shared" si="48"/>
        <v>9165181</v>
      </c>
      <c r="F2444" s="10" t="s">
        <v>319</v>
      </c>
      <c r="G2444" s="10" t="s">
        <v>117</v>
      </c>
      <c r="H2444"/>
    </row>
    <row r="2445" spans="1:8" s="14" customFormat="1">
      <c r="A2445" s="3"/>
      <c r="B2445" t="s">
        <v>4972</v>
      </c>
      <c r="C2445" s="54">
        <v>655000</v>
      </c>
      <c r="D2445" s="54"/>
      <c r="E2445" s="54">
        <f t="shared" si="48"/>
        <v>8510181</v>
      </c>
      <c r="F2445" s="10" t="s">
        <v>110</v>
      </c>
      <c r="G2445" s="10" t="s">
        <v>321</v>
      </c>
      <c r="H2445" t="s">
        <v>5002</v>
      </c>
    </row>
    <row r="2446" spans="1:8" s="14" customFormat="1">
      <c r="A2446" s="3"/>
      <c r="B2446" t="s">
        <v>4973</v>
      </c>
      <c r="C2446" s="54">
        <v>1289000</v>
      </c>
      <c r="D2446" s="54"/>
      <c r="E2446" s="54">
        <f t="shared" si="48"/>
        <v>7221181</v>
      </c>
      <c r="F2446" s="10" t="s">
        <v>110</v>
      </c>
      <c r="G2446" s="10" t="s">
        <v>321</v>
      </c>
      <c r="H2446" t="s">
        <v>5046</v>
      </c>
    </row>
    <row r="2447" spans="1:8" s="14" customFormat="1">
      <c r="A2447" s="3"/>
      <c r="B2447" t="s">
        <v>4974</v>
      </c>
      <c r="C2447" s="54">
        <v>269181</v>
      </c>
      <c r="D2447" s="54"/>
      <c r="E2447" s="54">
        <f t="shared" si="48"/>
        <v>6952000</v>
      </c>
      <c r="F2447" s="10" t="s">
        <v>319</v>
      </c>
      <c r="G2447" s="10" t="s">
        <v>117</v>
      </c>
      <c r="H2447"/>
    </row>
    <row r="2448" spans="1:8" s="14" customFormat="1">
      <c r="A2448" s="3"/>
      <c r="B2448" t="s">
        <v>4965</v>
      </c>
      <c r="C2448" s="54">
        <v>250000</v>
      </c>
      <c r="D2448" s="54"/>
      <c r="E2448" s="54">
        <f t="shared" si="48"/>
        <v>6702000</v>
      </c>
      <c r="F2448" s="10" t="s">
        <v>319</v>
      </c>
      <c r="G2448" s="10" t="s">
        <v>117</v>
      </c>
      <c r="H2448"/>
    </row>
    <row r="2449" spans="1:8" s="14" customFormat="1">
      <c r="A2449" s="3"/>
      <c r="B2449" t="s">
        <v>4975</v>
      </c>
      <c r="C2449" s="54">
        <v>6300000</v>
      </c>
      <c r="D2449" s="54"/>
      <c r="E2449" s="54">
        <f t="shared" si="48"/>
        <v>402000</v>
      </c>
      <c r="F2449" s="10" t="s">
        <v>137</v>
      </c>
      <c r="G2449" s="10" t="s">
        <v>138</v>
      </c>
      <c r="H2449" s="168" t="s">
        <v>3000</v>
      </c>
    </row>
    <row r="2450" spans="1:8" s="14" customFormat="1">
      <c r="A2450" s="3"/>
      <c r="B2450" t="s">
        <v>4976</v>
      </c>
      <c r="C2450" s="54">
        <v>10000</v>
      </c>
      <c r="D2450" s="54"/>
      <c r="E2450" s="54">
        <f t="shared" si="48"/>
        <v>392000</v>
      </c>
      <c r="F2450" s="10" t="s">
        <v>113</v>
      </c>
      <c r="G2450" s="10" t="s">
        <v>114</v>
      </c>
      <c r="H2450"/>
    </row>
    <row r="2451" spans="1:8" s="14" customFormat="1">
      <c r="A2451" s="3"/>
      <c r="B2451" t="s">
        <v>5042</v>
      </c>
      <c r="C2451" s="54">
        <v>392000</v>
      </c>
      <c r="D2451" s="54"/>
      <c r="E2451" s="54">
        <f t="shared" si="48"/>
        <v>0</v>
      </c>
      <c r="F2451" s="10" t="s">
        <v>319</v>
      </c>
      <c r="G2451" s="10" t="s">
        <v>454</v>
      </c>
      <c r="H2451"/>
    </row>
    <row r="2452" spans="1:8" s="14" customFormat="1">
      <c r="A2452" s="138">
        <v>44596</v>
      </c>
      <c r="B2452" s="14" t="s">
        <v>4987</v>
      </c>
      <c r="C2452" s="53">
        <v>0</v>
      </c>
      <c r="D2452" s="53">
        <v>2787326</v>
      </c>
      <c r="E2452" s="53">
        <f t="shared" si="48"/>
        <v>2787326</v>
      </c>
      <c r="F2452" s="14" t="s">
        <v>115</v>
      </c>
      <c r="G2452" s="14" t="s">
        <v>139</v>
      </c>
      <c r="H2452" s="14" t="s">
        <v>5076</v>
      </c>
    </row>
    <row r="2453" spans="1:8" s="14" customFormat="1">
      <c r="A2453" s="3"/>
      <c r="B2453" t="s">
        <v>5045</v>
      </c>
      <c r="C2453" s="54">
        <v>33000</v>
      </c>
      <c r="D2453" s="54"/>
      <c r="E2453" s="54">
        <f t="shared" si="48"/>
        <v>2754326</v>
      </c>
      <c r="F2453" s="10" t="s">
        <v>319</v>
      </c>
      <c r="G2453" s="10" t="s">
        <v>117</v>
      </c>
      <c r="H2453"/>
    </row>
    <row r="2454" spans="1:8" s="14" customFormat="1">
      <c r="A2454" s="3"/>
      <c r="B2454" t="s">
        <v>5045</v>
      </c>
      <c r="C2454" s="54">
        <v>23000</v>
      </c>
      <c r="D2454" s="54"/>
      <c r="E2454" s="54">
        <f t="shared" si="48"/>
        <v>2731326</v>
      </c>
      <c r="F2454" s="10" t="s">
        <v>319</v>
      </c>
      <c r="G2454" s="10" t="s">
        <v>117</v>
      </c>
      <c r="H2454"/>
    </row>
    <row r="2455" spans="1:8" s="14" customFormat="1">
      <c r="A2455" s="3"/>
      <c r="B2455" t="s">
        <v>4980</v>
      </c>
      <c r="C2455" s="54">
        <v>95560</v>
      </c>
      <c r="D2455" s="54"/>
      <c r="E2455" s="54">
        <f t="shared" si="48"/>
        <v>2635766</v>
      </c>
      <c r="F2455" s="10" t="s">
        <v>137</v>
      </c>
      <c r="G2455" s="10" t="s">
        <v>138</v>
      </c>
      <c r="H2455" t="s">
        <v>4137</v>
      </c>
    </row>
    <row r="2456" spans="1:8" s="14" customFormat="1">
      <c r="A2456" s="3"/>
      <c r="B2456" t="s">
        <v>4981</v>
      </c>
      <c r="C2456" s="54">
        <v>241330</v>
      </c>
      <c r="D2456" s="54"/>
      <c r="E2456" s="54">
        <f t="shared" si="48"/>
        <v>2394436</v>
      </c>
      <c r="F2456" s="10" t="s">
        <v>319</v>
      </c>
      <c r="G2456" s="10" t="s">
        <v>1045</v>
      </c>
      <c r="H2456"/>
    </row>
    <row r="2457" spans="1:8" s="14" customFormat="1">
      <c r="A2457" s="3"/>
      <c r="B2457" t="s">
        <v>4982</v>
      </c>
      <c r="C2457" s="54">
        <v>4092600</v>
      </c>
      <c r="D2457" s="54"/>
      <c r="E2457" s="54">
        <f t="shared" si="48"/>
        <v>-1698164</v>
      </c>
      <c r="F2457" s="10" t="s">
        <v>107</v>
      </c>
      <c r="G2457" s="10" t="s">
        <v>3102</v>
      </c>
      <c r="H2457"/>
    </row>
    <row r="2458" spans="1:8" s="14" customFormat="1">
      <c r="A2458" s="3"/>
      <c r="B2458" t="s">
        <v>4983</v>
      </c>
      <c r="C2458" s="54"/>
      <c r="D2458" s="54">
        <v>4092600</v>
      </c>
      <c r="E2458" s="54">
        <f t="shared" si="48"/>
        <v>2394436</v>
      </c>
      <c r="F2458" s="10" t="s">
        <v>107</v>
      </c>
      <c r="G2458" s="10" t="s">
        <v>3102</v>
      </c>
      <c r="H2458"/>
    </row>
    <row r="2459" spans="1:8" s="14" customFormat="1">
      <c r="A2459" s="3"/>
      <c r="B2459" t="s">
        <v>4980</v>
      </c>
      <c r="C2459" s="54">
        <v>23000</v>
      </c>
      <c r="D2459" s="54"/>
      <c r="E2459" s="54">
        <f t="shared" si="48"/>
        <v>2371436</v>
      </c>
      <c r="F2459" s="10" t="s">
        <v>110</v>
      </c>
      <c r="G2459" s="10" t="s">
        <v>321</v>
      </c>
      <c r="H2459" t="s">
        <v>5002</v>
      </c>
    </row>
    <row r="2460" spans="1:8" s="14" customFormat="1">
      <c r="A2460" s="3"/>
      <c r="B2460" t="s">
        <v>4980</v>
      </c>
      <c r="C2460" s="54">
        <v>151000</v>
      </c>
      <c r="D2460" s="54"/>
      <c r="E2460" s="54">
        <f t="shared" si="48"/>
        <v>2220436</v>
      </c>
      <c r="F2460" s="10" t="s">
        <v>110</v>
      </c>
      <c r="G2460" s="10" t="s">
        <v>321</v>
      </c>
      <c r="H2460" t="s">
        <v>5002</v>
      </c>
    </row>
    <row r="2461" spans="1:8" s="14" customFormat="1">
      <c r="A2461" s="3"/>
      <c r="B2461" t="s">
        <v>4984</v>
      </c>
      <c r="C2461" s="54">
        <v>239500</v>
      </c>
      <c r="D2461" s="54"/>
      <c r="E2461" s="54">
        <f t="shared" si="48"/>
        <v>1980936</v>
      </c>
      <c r="F2461" s="10" t="s">
        <v>110</v>
      </c>
      <c r="G2461" s="10" t="s">
        <v>321</v>
      </c>
      <c r="H2461" t="s">
        <v>5002</v>
      </c>
    </row>
    <row r="2462" spans="1:8" s="14" customFormat="1">
      <c r="A2462" s="3"/>
      <c r="B2462" t="s">
        <v>4970</v>
      </c>
      <c r="C2462" s="54">
        <v>115000</v>
      </c>
      <c r="D2462" s="54"/>
      <c r="E2462" s="54">
        <f t="shared" si="48"/>
        <v>1865936</v>
      </c>
      <c r="F2462" s="10" t="s">
        <v>110</v>
      </c>
      <c r="G2462" s="10" t="s">
        <v>321</v>
      </c>
      <c r="H2462" t="s">
        <v>5002</v>
      </c>
    </row>
    <row r="2463" spans="1:8" s="14" customFormat="1">
      <c r="A2463" s="3"/>
      <c r="B2463" t="s">
        <v>4985</v>
      </c>
      <c r="C2463" s="54">
        <v>121300</v>
      </c>
      <c r="D2463" s="54"/>
      <c r="E2463" s="54">
        <f t="shared" si="48"/>
        <v>1744636</v>
      </c>
      <c r="F2463" s="10" t="s">
        <v>110</v>
      </c>
      <c r="G2463" s="10" t="s">
        <v>321</v>
      </c>
      <c r="H2463" t="s">
        <v>5002</v>
      </c>
    </row>
    <row r="2464" spans="1:8" s="14" customFormat="1">
      <c r="A2464" s="3"/>
      <c r="B2464" t="s">
        <v>4980</v>
      </c>
      <c r="C2464" s="54">
        <v>1484000</v>
      </c>
      <c r="D2464" s="54"/>
      <c r="E2464" s="54">
        <f t="shared" si="48"/>
        <v>260636</v>
      </c>
      <c r="F2464" s="10" t="s">
        <v>110</v>
      </c>
      <c r="G2464" s="10" t="s">
        <v>321</v>
      </c>
      <c r="H2464" t="s">
        <v>5002</v>
      </c>
    </row>
    <row r="2465" spans="1:9" s="14" customFormat="1">
      <c r="A2465" s="3"/>
      <c r="B2465" t="s">
        <v>4966</v>
      </c>
      <c r="C2465" s="54">
        <v>260636</v>
      </c>
      <c r="D2465" s="54"/>
      <c r="E2465" s="54">
        <f t="shared" si="48"/>
        <v>0</v>
      </c>
      <c r="F2465" s="10" t="s">
        <v>319</v>
      </c>
      <c r="G2465" s="10" t="s">
        <v>117</v>
      </c>
      <c r="H2465"/>
    </row>
    <row r="2466" spans="1:9" s="14" customFormat="1">
      <c r="A2466" s="138">
        <v>44599</v>
      </c>
      <c r="B2466" s="14" t="s">
        <v>5047</v>
      </c>
      <c r="C2466" s="53">
        <v>0</v>
      </c>
      <c r="D2466" s="53">
        <v>203967069</v>
      </c>
      <c r="E2466" s="53">
        <f t="shared" si="48"/>
        <v>203967069</v>
      </c>
      <c r="F2466" s="14" t="s">
        <v>115</v>
      </c>
      <c r="G2466" s="14" t="s">
        <v>139</v>
      </c>
      <c r="H2466" s="14" t="s">
        <v>5072</v>
      </c>
    </row>
    <row r="2467" spans="1:9" s="14" customFormat="1">
      <c r="A2467" s="3"/>
      <c r="B2467" t="s">
        <v>4702</v>
      </c>
      <c r="C2467" s="54">
        <v>13630400</v>
      </c>
      <c r="D2467" s="54"/>
      <c r="E2467" s="54">
        <f t="shared" si="48"/>
        <v>190336669</v>
      </c>
      <c r="F2467" s="10" t="s">
        <v>137</v>
      </c>
      <c r="G2467" s="10" t="s">
        <v>138</v>
      </c>
      <c r="H2467" t="s">
        <v>4144</v>
      </c>
    </row>
    <row r="2468" spans="1:9" s="14" customFormat="1">
      <c r="A2468" s="3"/>
      <c r="B2468" t="s">
        <v>4702</v>
      </c>
      <c r="C2468" s="54">
        <v>17477100</v>
      </c>
      <c r="D2468" s="54"/>
      <c r="E2468" s="54">
        <f t="shared" si="48"/>
        <v>172859569</v>
      </c>
      <c r="F2468" s="10" t="s">
        <v>137</v>
      </c>
      <c r="G2468" s="10" t="s">
        <v>138</v>
      </c>
      <c r="H2468" t="s">
        <v>3395</v>
      </c>
    </row>
    <row r="2469" spans="1:9" s="14" customFormat="1">
      <c r="A2469" s="138"/>
      <c r="B2469" s="14" t="s">
        <v>4702</v>
      </c>
      <c r="C2469" s="53">
        <v>0</v>
      </c>
      <c r="D2469" s="53">
        <v>11482200</v>
      </c>
      <c r="E2469" s="54">
        <f t="shared" si="48"/>
        <v>184341769</v>
      </c>
      <c r="F2469" s="14" t="s">
        <v>107</v>
      </c>
      <c r="G2469" s="14" t="s">
        <v>3102</v>
      </c>
      <c r="H2469" s="14" t="s">
        <v>64</v>
      </c>
    </row>
    <row r="2470" spans="1:9" s="14" customFormat="1">
      <c r="A2470" s="3"/>
      <c r="B2470" t="s">
        <v>5048</v>
      </c>
      <c r="C2470" s="54">
        <v>538083</v>
      </c>
      <c r="D2470" s="54"/>
      <c r="E2470" s="54">
        <f t="shared" si="48"/>
        <v>183803686</v>
      </c>
      <c r="F2470" s="10" t="s">
        <v>107</v>
      </c>
      <c r="G2470" s="10" t="s">
        <v>3102</v>
      </c>
      <c r="H2470" t="s">
        <v>64</v>
      </c>
    </row>
    <row r="2471" spans="1:9" s="14" customFormat="1">
      <c r="A2471" s="3"/>
      <c r="B2471" t="s">
        <v>4702</v>
      </c>
      <c r="C2471" s="54">
        <v>23822000</v>
      </c>
      <c r="D2471" s="54"/>
      <c r="E2471" s="54">
        <f t="shared" si="48"/>
        <v>159981686</v>
      </c>
      <c r="F2471" s="10" t="s">
        <v>137</v>
      </c>
      <c r="G2471" s="10" t="s">
        <v>138</v>
      </c>
      <c r="H2471" t="s">
        <v>2952</v>
      </c>
    </row>
    <row r="2472" spans="1:9" s="14" customFormat="1">
      <c r="A2472" s="3"/>
      <c r="B2472" t="s">
        <v>4702</v>
      </c>
      <c r="C2472" s="54">
        <v>1478400</v>
      </c>
      <c r="D2472" s="54"/>
      <c r="E2472" s="54">
        <f t="shared" si="48"/>
        <v>158503286</v>
      </c>
      <c r="F2472" s="10" t="s">
        <v>137</v>
      </c>
      <c r="G2472" s="10" t="s">
        <v>138</v>
      </c>
      <c r="H2472" t="s">
        <v>2952</v>
      </c>
    </row>
    <row r="2473" spans="1:9" s="14" customFormat="1">
      <c r="A2473" s="3"/>
      <c r="B2473" t="s">
        <v>4883</v>
      </c>
      <c r="C2473" s="54">
        <v>270428</v>
      </c>
      <c r="D2473" s="54"/>
      <c r="E2473" s="54">
        <f t="shared" si="48"/>
        <v>158232858</v>
      </c>
      <c r="F2473" s="10" t="s">
        <v>319</v>
      </c>
      <c r="G2473" s="10" t="s">
        <v>117</v>
      </c>
      <c r="H2473" t="s">
        <v>64</v>
      </c>
    </row>
    <row r="2474" spans="1:9" s="14" customFormat="1">
      <c r="A2474" s="3"/>
      <c r="B2474" t="s">
        <v>5069</v>
      </c>
      <c r="C2474" s="54">
        <v>2401900</v>
      </c>
      <c r="D2474" s="54"/>
      <c r="E2474" s="54">
        <f t="shared" si="48"/>
        <v>155830958</v>
      </c>
      <c r="F2474" s="10" t="s">
        <v>736</v>
      </c>
      <c r="G2474" s="10" t="s">
        <v>455</v>
      </c>
      <c r="H2474" t="s">
        <v>64</v>
      </c>
    </row>
    <row r="2475" spans="1:9" s="14" customFormat="1">
      <c r="A2475" s="3"/>
      <c r="B2475" t="s">
        <v>5049</v>
      </c>
      <c r="C2475" s="54">
        <v>4375532</v>
      </c>
      <c r="D2475" s="54"/>
      <c r="E2475" s="54">
        <f t="shared" si="48"/>
        <v>151455426</v>
      </c>
      <c r="F2475" s="10" t="s">
        <v>115</v>
      </c>
      <c r="G2475" s="10" t="s">
        <v>120</v>
      </c>
      <c r="H2475" s="14" t="s">
        <v>560</v>
      </c>
      <c r="I2475" s="14" t="s">
        <v>444</v>
      </c>
    </row>
    <row r="2476" spans="1:9" s="14" customFormat="1">
      <c r="A2476" s="3"/>
      <c r="B2476" t="s">
        <v>4702</v>
      </c>
      <c r="C2476" s="54">
        <v>13237700</v>
      </c>
      <c r="D2476" s="54"/>
      <c r="E2476" s="54">
        <f t="shared" si="48"/>
        <v>138217726</v>
      </c>
      <c r="F2476" s="10" t="s">
        <v>115</v>
      </c>
      <c r="G2476" s="10" t="s">
        <v>120</v>
      </c>
      <c r="H2476" s="14" t="s">
        <v>560</v>
      </c>
      <c r="I2476" s="14" t="s">
        <v>444</v>
      </c>
    </row>
    <row r="2477" spans="1:9" s="14" customFormat="1">
      <c r="A2477" s="3"/>
      <c r="B2477" t="s">
        <v>4702</v>
      </c>
      <c r="C2477" s="54">
        <v>154500</v>
      </c>
      <c r="D2477" s="54"/>
      <c r="E2477" s="54">
        <f t="shared" si="48"/>
        <v>138063226</v>
      </c>
      <c r="F2477" s="10" t="s">
        <v>137</v>
      </c>
      <c r="G2477" s="10" t="s">
        <v>138</v>
      </c>
      <c r="H2477" t="s">
        <v>3030</v>
      </c>
    </row>
    <row r="2478" spans="1:9" s="14" customFormat="1">
      <c r="A2478" s="3"/>
      <c r="B2478" t="s">
        <v>5070</v>
      </c>
      <c r="C2478" s="54">
        <v>468000</v>
      </c>
      <c r="D2478" s="54"/>
      <c r="E2478" s="54">
        <f t="shared" si="48"/>
        <v>137595226</v>
      </c>
      <c r="F2478" s="10" t="s">
        <v>736</v>
      </c>
      <c r="G2478" s="10" t="s">
        <v>455</v>
      </c>
      <c r="H2478" t="s">
        <v>64</v>
      </c>
    </row>
    <row r="2479" spans="1:9" s="14" customFormat="1">
      <c r="A2479" s="3"/>
      <c r="B2479" t="s">
        <v>5050</v>
      </c>
      <c r="C2479" s="54">
        <v>7800000</v>
      </c>
      <c r="D2479" s="54"/>
      <c r="E2479" s="54">
        <f t="shared" si="48"/>
        <v>129795226</v>
      </c>
      <c r="F2479" s="10" t="s">
        <v>137</v>
      </c>
      <c r="G2479" s="10" t="s">
        <v>138</v>
      </c>
      <c r="H2479" t="s">
        <v>3045</v>
      </c>
    </row>
    <row r="2480" spans="1:9" s="14" customFormat="1">
      <c r="A2480" s="3"/>
      <c r="B2480" t="s">
        <v>5050</v>
      </c>
      <c r="C2480" s="54">
        <v>1929950</v>
      </c>
      <c r="D2480" s="54"/>
      <c r="E2480" s="54">
        <f t="shared" si="48"/>
        <v>127865276</v>
      </c>
      <c r="F2480" s="10" t="s">
        <v>137</v>
      </c>
      <c r="G2480" s="10" t="s">
        <v>138</v>
      </c>
      <c r="H2480" t="s">
        <v>3045</v>
      </c>
    </row>
    <row r="2481" spans="1:8" s="14" customFormat="1">
      <c r="A2481" s="3"/>
      <c r="B2481" t="s">
        <v>4878</v>
      </c>
      <c r="C2481" s="54">
        <v>4831900</v>
      </c>
      <c r="D2481" s="54"/>
      <c r="E2481" s="54">
        <f t="shared" si="48"/>
        <v>123033376</v>
      </c>
      <c r="F2481" s="10" t="s">
        <v>137</v>
      </c>
      <c r="G2481" s="10" t="s">
        <v>138</v>
      </c>
      <c r="H2481" s="168" t="s">
        <v>3042</v>
      </c>
    </row>
    <row r="2482" spans="1:8" s="14" customFormat="1">
      <c r="A2482" s="3"/>
      <c r="B2482" t="s">
        <v>4228</v>
      </c>
      <c r="C2482" s="54">
        <v>1476000</v>
      </c>
      <c r="D2482" s="54"/>
      <c r="E2482" s="54">
        <f t="shared" si="48"/>
        <v>121557376</v>
      </c>
      <c r="F2482" s="10" t="s">
        <v>137</v>
      </c>
      <c r="G2482" s="10" t="s">
        <v>138</v>
      </c>
      <c r="H2482" t="s">
        <v>3030</v>
      </c>
    </row>
    <row r="2483" spans="1:8" s="14" customFormat="1">
      <c r="A2483" s="3"/>
      <c r="B2483" t="s">
        <v>4228</v>
      </c>
      <c r="C2483" s="54">
        <v>1514598</v>
      </c>
      <c r="D2483" s="54"/>
      <c r="E2483" s="54">
        <f t="shared" si="48"/>
        <v>120042778</v>
      </c>
      <c r="F2483" s="10" t="s">
        <v>137</v>
      </c>
      <c r="G2483" s="10" t="s">
        <v>138</v>
      </c>
      <c r="H2483" t="s">
        <v>3030</v>
      </c>
    </row>
    <row r="2484" spans="1:8" s="14" customFormat="1">
      <c r="A2484" s="3"/>
      <c r="B2484" t="s">
        <v>4993</v>
      </c>
      <c r="C2484" s="54">
        <v>15000000</v>
      </c>
      <c r="D2484" s="54"/>
      <c r="E2484" s="54">
        <f t="shared" si="48"/>
        <v>105042778</v>
      </c>
      <c r="F2484" s="10" t="s">
        <v>137</v>
      </c>
      <c r="G2484" s="10" t="s">
        <v>138</v>
      </c>
      <c r="H2484" t="s">
        <v>4137</v>
      </c>
    </row>
    <row r="2485" spans="1:8" s="14" customFormat="1">
      <c r="A2485" s="3"/>
      <c r="B2485" t="s">
        <v>4880</v>
      </c>
      <c r="C2485" s="54">
        <v>405000</v>
      </c>
      <c r="D2485" s="54"/>
      <c r="E2485" s="54">
        <f t="shared" si="48"/>
        <v>104637778</v>
      </c>
      <c r="F2485" s="10" t="s">
        <v>137</v>
      </c>
      <c r="G2485" s="10" t="s">
        <v>138</v>
      </c>
      <c r="H2485" t="s">
        <v>4137</v>
      </c>
    </row>
    <row r="2486" spans="1:8" s="14" customFormat="1">
      <c r="A2486" s="3"/>
      <c r="B2486" t="s">
        <v>5051</v>
      </c>
      <c r="C2486" s="54">
        <v>364870</v>
      </c>
      <c r="D2486" s="54"/>
      <c r="E2486" s="54">
        <f t="shared" si="48"/>
        <v>104272908</v>
      </c>
      <c r="F2486" s="10" t="s">
        <v>110</v>
      </c>
      <c r="G2486" s="10" t="s">
        <v>321</v>
      </c>
      <c r="H2486" t="s">
        <v>5067</v>
      </c>
    </row>
    <row r="2487" spans="1:8" s="14" customFormat="1">
      <c r="A2487" s="3"/>
      <c r="B2487" t="s">
        <v>4879</v>
      </c>
      <c r="C2487" s="54">
        <v>315870</v>
      </c>
      <c r="D2487" s="54"/>
      <c r="E2487" s="54">
        <f t="shared" si="48"/>
        <v>103957038</v>
      </c>
      <c r="F2487" s="10" t="s">
        <v>319</v>
      </c>
      <c r="G2487" s="10" t="s">
        <v>117</v>
      </c>
      <c r="H2487" t="s">
        <v>64</v>
      </c>
    </row>
    <row r="2488" spans="1:8" s="14" customFormat="1">
      <c r="A2488" s="3"/>
      <c r="B2488" t="s">
        <v>4997</v>
      </c>
      <c r="C2488" s="54">
        <v>935000</v>
      </c>
      <c r="D2488" s="54"/>
      <c r="E2488" s="54">
        <f t="shared" si="48"/>
        <v>103022038</v>
      </c>
      <c r="F2488" s="10" t="s">
        <v>110</v>
      </c>
      <c r="G2488" s="10" t="s">
        <v>321</v>
      </c>
      <c r="H2488" t="s">
        <v>5067</v>
      </c>
    </row>
    <row r="2489" spans="1:8" s="14" customFormat="1">
      <c r="A2489" s="3"/>
      <c r="B2489" t="s">
        <v>4228</v>
      </c>
      <c r="C2489" s="54">
        <v>0</v>
      </c>
      <c r="D2489" s="54">
        <v>538083</v>
      </c>
      <c r="E2489" s="54">
        <f t="shared" si="48"/>
        <v>103560121</v>
      </c>
      <c r="F2489" s="10" t="s">
        <v>107</v>
      </c>
      <c r="G2489" s="10" t="s">
        <v>3102</v>
      </c>
      <c r="H2489" t="s">
        <v>64</v>
      </c>
    </row>
    <row r="2490" spans="1:8" s="14" customFormat="1">
      <c r="A2490" s="138"/>
      <c r="B2490" s="14" t="s">
        <v>4228</v>
      </c>
      <c r="C2490" s="53">
        <v>0</v>
      </c>
      <c r="D2490" s="53">
        <v>644517</v>
      </c>
      <c r="E2490" s="53">
        <f t="shared" si="48"/>
        <v>104204638</v>
      </c>
      <c r="F2490" s="14" t="s">
        <v>107</v>
      </c>
      <c r="G2490" s="14" t="s">
        <v>3102</v>
      </c>
    </row>
    <row r="2491" spans="1:8" s="14" customFormat="1">
      <c r="A2491" s="3"/>
      <c r="B2491" t="s">
        <v>5052</v>
      </c>
      <c r="C2491" s="54">
        <v>217000</v>
      </c>
      <c r="D2491" s="54"/>
      <c r="E2491" s="54">
        <f t="shared" si="48"/>
        <v>103987638</v>
      </c>
      <c r="F2491" s="10" t="s">
        <v>110</v>
      </c>
      <c r="G2491" s="10" t="s">
        <v>321</v>
      </c>
      <c r="H2491" t="s">
        <v>5068</v>
      </c>
    </row>
    <row r="2492" spans="1:8" s="14" customFormat="1">
      <c r="A2492" s="3"/>
      <c r="B2492" t="s">
        <v>5048</v>
      </c>
      <c r="C2492" s="54">
        <v>1070880</v>
      </c>
      <c r="D2492" s="54"/>
      <c r="E2492" s="54">
        <f t="shared" si="48"/>
        <v>102916758</v>
      </c>
      <c r="F2492" s="10" t="s">
        <v>137</v>
      </c>
      <c r="G2492" s="10" t="s">
        <v>138</v>
      </c>
      <c r="H2492" t="s">
        <v>3030</v>
      </c>
    </row>
    <row r="2493" spans="1:8" s="14" customFormat="1">
      <c r="A2493" s="3"/>
      <c r="B2493" t="s">
        <v>5071</v>
      </c>
      <c r="C2493" s="54">
        <v>1204000</v>
      </c>
      <c r="D2493" s="54"/>
      <c r="E2493" s="54">
        <f t="shared" si="48"/>
        <v>101712758</v>
      </c>
      <c r="F2493" s="10" t="s">
        <v>736</v>
      </c>
      <c r="G2493" s="10" t="s">
        <v>455</v>
      </c>
      <c r="H2493" t="s">
        <v>64</v>
      </c>
    </row>
    <row r="2494" spans="1:8" s="14" customFormat="1">
      <c r="A2494" s="3"/>
      <c r="B2494" t="s">
        <v>5053</v>
      </c>
      <c r="C2494" s="54">
        <v>123000</v>
      </c>
      <c r="D2494" s="54"/>
      <c r="E2494" s="54">
        <f t="shared" si="48"/>
        <v>101589758</v>
      </c>
      <c r="F2494" s="10" t="s">
        <v>110</v>
      </c>
      <c r="G2494" s="10" t="s">
        <v>321</v>
      </c>
      <c r="H2494" t="s">
        <v>5067</v>
      </c>
    </row>
    <row r="2495" spans="1:8" s="14" customFormat="1">
      <c r="A2495" s="3"/>
      <c r="B2495" t="s">
        <v>5054</v>
      </c>
      <c r="C2495" s="54">
        <v>820000</v>
      </c>
      <c r="D2495" s="54"/>
      <c r="E2495" s="54">
        <f t="shared" si="48"/>
        <v>100769758</v>
      </c>
      <c r="F2495" s="10" t="s">
        <v>110</v>
      </c>
      <c r="G2495" s="10" t="s">
        <v>321</v>
      </c>
      <c r="H2495" t="s">
        <v>5068</v>
      </c>
    </row>
    <row r="2496" spans="1:8" s="14" customFormat="1">
      <c r="A2496" s="3"/>
      <c r="B2496" t="s">
        <v>4702</v>
      </c>
      <c r="C2496" s="54">
        <v>135300</v>
      </c>
      <c r="D2496" s="54"/>
      <c r="E2496" s="54">
        <f t="shared" si="48"/>
        <v>100634458</v>
      </c>
      <c r="F2496" s="10" t="s">
        <v>107</v>
      </c>
      <c r="G2496" s="10" t="s">
        <v>3102</v>
      </c>
      <c r="H2496" t="s">
        <v>64</v>
      </c>
    </row>
    <row r="2497" spans="1:8" s="14" customFormat="1">
      <c r="A2497" s="3"/>
      <c r="B2497" t="s">
        <v>4702</v>
      </c>
      <c r="C2497" s="54">
        <v>135300</v>
      </c>
      <c r="D2497" s="54"/>
      <c r="E2497" s="54">
        <f t="shared" si="48"/>
        <v>100499158</v>
      </c>
      <c r="F2497" s="10" t="s">
        <v>110</v>
      </c>
      <c r="G2497" s="10" t="s">
        <v>321</v>
      </c>
      <c r="H2497" t="s">
        <v>5067</v>
      </c>
    </row>
    <row r="2498" spans="1:8" s="14" customFormat="1">
      <c r="A2498" s="3"/>
      <c r="B2498" t="s">
        <v>4702</v>
      </c>
      <c r="C2498" s="54">
        <v>148000</v>
      </c>
      <c r="D2498" s="54"/>
      <c r="E2498" s="54">
        <f t="shared" si="48"/>
        <v>100351158</v>
      </c>
      <c r="F2498" s="10" t="s">
        <v>110</v>
      </c>
      <c r="G2498" s="10" t="s">
        <v>321</v>
      </c>
      <c r="H2498" t="s">
        <v>5067</v>
      </c>
    </row>
    <row r="2499" spans="1:8" s="14" customFormat="1">
      <c r="A2499" s="3"/>
      <c r="B2499" t="s">
        <v>4702</v>
      </c>
      <c r="C2499" s="54">
        <v>168899</v>
      </c>
      <c r="D2499" s="54"/>
      <c r="E2499" s="54">
        <f t="shared" si="48"/>
        <v>100182259</v>
      </c>
      <c r="F2499" s="10" t="s">
        <v>110</v>
      </c>
      <c r="G2499" s="10" t="s">
        <v>321</v>
      </c>
      <c r="H2499" t="s">
        <v>5067</v>
      </c>
    </row>
    <row r="2500" spans="1:8" s="14" customFormat="1">
      <c r="A2500" s="3"/>
      <c r="B2500" t="s">
        <v>5053</v>
      </c>
      <c r="C2500" s="54">
        <v>341200</v>
      </c>
      <c r="D2500" s="54"/>
      <c r="E2500" s="54">
        <f t="shared" si="48"/>
        <v>99841059</v>
      </c>
      <c r="F2500" s="10" t="s">
        <v>110</v>
      </c>
      <c r="G2500" s="10" t="s">
        <v>321</v>
      </c>
      <c r="H2500" t="s">
        <v>5067</v>
      </c>
    </row>
    <row r="2501" spans="1:8" s="14" customFormat="1">
      <c r="A2501" s="3"/>
      <c r="B2501" t="s">
        <v>5055</v>
      </c>
      <c r="C2501" s="54">
        <v>181700</v>
      </c>
      <c r="D2501" s="54"/>
      <c r="E2501" s="54">
        <f t="shared" si="48"/>
        <v>99659359</v>
      </c>
      <c r="F2501" s="10" t="s">
        <v>110</v>
      </c>
      <c r="G2501" s="10" t="s">
        <v>321</v>
      </c>
      <c r="H2501" t="s">
        <v>5067</v>
      </c>
    </row>
    <row r="2502" spans="1:8" s="14" customFormat="1">
      <c r="A2502" s="3"/>
      <c r="B2502" t="s">
        <v>5055</v>
      </c>
      <c r="C2502" s="54">
        <v>220000</v>
      </c>
      <c r="D2502" s="54"/>
      <c r="E2502" s="54">
        <f t="shared" si="48"/>
        <v>99439359</v>
      </c>
      <c r="F2502" s="10" t="s">
        <v>110</v>
      </c>
      <c r="G2502" s="10" t="s">
        <v>321</v>
      </c>
      <c r="H2502" t="s">
        <v>5067</v>
      </c>
    </row>
    <row r="2503" spans="1:8" s="14" customFormat="1">
      <c r="A2503" s="3"/>
      <c r="B2503" t="s">
        <v>5056</v>
      </c>
      <c r="C2503" s="54">
        <v>250200</v>
      </c>
      <c r="D2503" s="54"/>
      <c r="E2503" s="54">
        <f t="shared" si="48"/>
        <v>99189159</v>
      </c>
      <c r="F2503" s="10" t="s">
        <v>110</v>
      </c>
      <c r="G2503" s="10" t="s">
        <v>321</v>
      </c>
      <c r="H2503" t="s">
        <v>5068</v>
      </c>
    </row>
    <row r="2504" spans="1:8" s="14" customFormat="1">
      <c r="A2504" s="3"/>
      <c r="B2504" t="s">
        <v>4702</v>
      </c>
      <c r="C2504" s="54">
        <v>220800</v>
      </c>
      <c r="D2504" s="54"/>
      <c r="E2504" s="54">
        <f t="shared" si="48"/>
        <v>98968359</v>
      </c>
      <c r="F2504" s="10" t="s">
        <v>110</v>
      </c>
      <c r="G2504" s="10" t="s">
        <v>321</v>
      </c>
      <c r="H2504" t="s">
        <v>5067</v>
      </c>
    </row>
    <row r="2505" spans="1:8" s="14" customFormat="1">
      <c r="A2505" s="3"/>
      <c r="B2505" t="s">
        <v>5057</v>
      </c>
      <c r="C2505" s="54">
        <v>27060000</v>
      </c>
      <c r="D2505" s="54"/>
      <c r="E2505" s="54">
        <f t="shared" si="48"/>
        <v>71908359</v>
      </c>
      <c r="F2505" s="10" t="s">
        <v>110</v>
      </c>
      <c r="G2505" s="10" t="s">
        <v>321</v>
      </c>
      <c r="H2505" t="s">
        <v>5067</v>
      </c>
    </row>
    <row r="2506" spans="1:8" s="14" customFormat="1">
      <c r="A2506" s="3"/>
      <c r="B2506" t="s">
        <v>5058</v>
      </c>
      <c r="C2506" s="54">
        <v>500000</v>
      </c>
      <c r="D2506" s="54"/>
      <c r="E2506" s="54">
        <f t="shared" si="48"/>
        <v>71408359</v>
      </c>
      <c r="F2506" s="10" t="s">
        <v>110</v>
      </c>
      <c r="G2506" s="10" t="s">
        <v>321</v>
      </c>
      <c r="H2506" t="s">
        <v>5067</v>
      </c>
    </row>
    <row r="2507" spans="1:8" s="14" customFormat="1">
      <c r="A2507" s="3"/>
      <c r="B2507" t="s">
        <v>5059</v>
      </c>
      <c r="C2507" s="54">
        <v>100000</v>
      </c>
      <c r="D2507" s="54"/>
      <c r="E2507" s="54">
        <f t="shared" si="48"/>
        <v>71308359</v>
      </c>
      <c r="F2507" s="10" t="s">
        <v>110</v>
      </c>
      <c r="G2507" s="10" t="s">
        <v>321</v>
      </c>
      <c r="H2507" t="s">
        <v>5067</v>
      </c>
    </row>
    <row r="2508" spans="1:8" s="14" customFormat="1">
      <c r="A2508" s="3"/>
      <c r="B2508" t="s">
        <v>5060</v>
      </c>
      <c r="C2508" s="54">
        <v>456000</v>
      </c>
      <c r="D2508" s="54"/>
      <c r="E2508" s="54">
        <f t="shared" si="48"/>
        <v>70852359</v>
      </c>
      <c r="F2508" s="10" t="s">
        <v>110</v>
      </c>
      <c r="G2508" s="10" t="s">
        <v>321</v>
      </c>
      <c r="H2508" t="s">
        <v>5067</v>
      </c>
    </row>
    <row r="2509" spans="1:8" s="14" customFormat="1">
      <c r="A2509" s="3"/>
      <c r="B2509" t="s">
        <v>5061</v>
      </c>
      <c r="C2509" s="54">
        <v>7797245</v>
      </c>
      <c r="D2509" s="54"/>
      <c r="E2509" s="54">
        <f t="shared" si="48"/>
        <v>63055114</v>
      </c>
      <c r="F2509" s="10" t="s">
        <v>110</v>
      </c>
      <c r="G2509" s="10" t="s">
        <v>321</v>
      </c>
      <c r="H2509" t="s">
        <v>5067</v>
      </c>
    </row>
    <row r="2510" spans="1:8" s="14" customFormat="1">
      <c r="A2510" s="3"/>
      <c r="B2510" t="s">
        <v>5062</v>
      </c>
      <c r="C2510" s="54">
        <v>57000000</v>
      </c>
      <c r="D2510" s="54"/>
      <c r="E2510" s="54">
        <f t="shared" si="48"/>
        <v>6055114</v>
      </c>
      <c r="F2510" s="10" t="s">
        <v>110</v>
      </c>
      <c r="G2510" s="10" t="s">
        <v>321</v>
      </c>
      <c r="H2510" t="s">
        <v>5067</v>
      </c>
    </row>
    <row r="2511" spans="1:8" s="14" customFormat="1">
      <c r="A2511" s="3"/>
      <c r="B2511" t="s">
        <v>5063</v>
      </c>
      <c r="C2511" s="54">
        <v>202000</v>
      </c>
      <c r="D2511" s="54"/>
      <c r="E2511" s="54">
        <f t="shared" si="48"/>
        <v>5853114</v>
      </c>
      <c r="F2511" s="10" t="s">
        <v>110</v>
      </c>
      <c r="G2511" s="10" t="s">
        <v>321</v>
      </c>
      <c r="H2511" t="s">
        <v>5067</v>
      </c>
    </row>
    <row r="2512" spans="1:8" s="14" customFormat="1">
      <c r="A2512" s="3"/>
      <c r="B2512" t="s">
        <v>5064</v>
      </c>
      <c r="C2512" s="54">
        <v>241110</v>
      </c>
      <c r="D2512" s="54"/>
      <c r="E2512" s="54">
        <f t="shared" si="48"/>
        <v>5612004</v>
      </c>
      <c r="F2512" s="10" t="s">
        <v>110</v>
      </c>
      <c r="G2512" s="10" t="s">
        <v>321</v>
      </c>
      <c r="H2512" t="s">
        <v>5067</v>
      </c>
    </row>
    <row r="2513" spans="1:8" s="14" customFormat="1">
      <c r="A2513" s="3"/>
      <c r="B2513" t="s">
        <v>5065</v>
      </c>
      <c r="C2513" s="54">
        <v>147000</v>
      </c>
      <c r="D2513" s="54"/>
      <c r="E2513" s="54">
        <f t="shared" si="48"/>
        <v>5465004</v>
      </c>
      <c r="F2513" s="10" t="s">
        <v>110</v>
      </c>
      <c r="G2513" s="10" t="s">
        <v>321</v>
      </c>
      <c r="H2513" t="s">
        <v>5067</v>
      </c>
    </row>
    <row r="2514" spans="1:8" s="14" customFormat="1">
      <c r="A2514" s="3"/>
      <c r="B2514" t="s">
        <v>4702</v>
      </c>
      <c r="C2514" s="54">
        <v>0</v>
      </c>
      <c r="D2514" s="54">
        <v>135300</v>
      </c>
      <c r="E2514" s="54">
        <f t="shared" si="48"/>
        <v>5600304</v>
      </c>
      <c r="F2514" s="10" t="s">
        <v>107</v>
      </c>
      <c r="G2514" s="10" t="s">
        <v>3102</v>
      </c>
      <c r="H2514" t="s">
        <v>64</v>
      </c>
    </row>
    <row r="2515" spans="1:8" s="14" customFormat="1">
      <c r="A2515" s="3"/>
      <c r="B2515" t="s">
        <v>5063</v>
      </c>
      <c r="C2515" s="54">
        <v>125000</v>
      </c>
      <c r="D2515" s="54"/>
      <c r="E2515" s="54">
        <f t="shared" si="48"/>
        <v>5475304</v>
      </c>
      <c r="F2515" s="10" t="s">
        <v>110</v>
      </c>
      <c r="G2515" s="10" t="s">
        <v>321</v>
      </c>
      <c r="H2515" t="s">
        <v>5067</v>
      </c>
    </row>
    <row r="2516" spans="1:8" s="14" customFormat="1">
      <c r="A2516" s="3"/>
      <c r="B2516" t="s">
        <v>5065</v>
      </c>
      <c r="C2516" s="54">
        <v>194000</v>
      </c>
      <c r="D2516" s="54"/>
      <c r="E2516" s="54">
        <f t="shared" si="48"/>
        <v>5281304</v>
      </c>
      <c r="F2516" s="10" t="s">
        <v>110</v>
      </c>
      <c r="G2516" s="10" t="s">
        <v>321</v>
      </c>
      <c r="H2516" t="s">
        <v>5067</v>
      </c>
    </row>
    <row r="2517" spans="1:8" s="14" customFormat="1">
      <c r="A2517" s="3"/>
      <c r="B2517" t="s">
        <v>5066</v>
      </c>
      <c r="C2517" s="54">
        <v>0</v>
      </c>
      <c r="D2517" s="54">
        <v>115000000</v>
      </c>
      <c r="E2517" s="54">
        <f t="shared" si="48"/>
        <v>120281304</v>
      </c>
      <c r="F2517" s="10" t="s">
        <v>115</v>
      </c>
      <c r="G2517" s="10" t="s">
        <v>122</v>
      </c>
      <c r="H2517" t="s">
        <v>123</v>
      </c>
    </row>
    <row r="2518" spans="1:8" s="14" customFormat="1">
      <c r="A2518" s="3"/>
      <c r="B2518" t="s">
        <v>4997</v>
      </c>
      <c r="C2518" s="54">
        <v>93783000</v>
      </c>
      <c r="D2518" s="54"/>
      <c r="E2518" s="54">
        <f t="shared" si="48"/>
        <v>26498304</v>
      </c>
      <c r="F2518" s="10" t="s">
        <v>110</v>
      </c>
      <c r="G2518" s="10" t="s">
        <v>321</v>
      </c>
      <c r="H2518" t="s">
        <v>5067</v>
      </c>
    </row>
    <row r="2519" spans="1:8" s="14" customFormat="1">
      <c r="A2519" s="3"/>
      <c r="B2519" t="s">
        <v>4884</v>
      </c>
      <c r="C2519" s="54">
        <v>58322720</v>
      </c>
      <c r="D2519" s="54"/>
      <c r="E2519" s="54">
        <f t="shared" si="48"/>
        <v>-31824416</v>
      </c>
      <c r="F2519" s="10" t="s">
        <v>137</v>
      </c>
      <c r="G2519" s="10" t="s">
        <v>138</v>
      </c>
      <c r="H2519" s="168" t="s">
        <v>3000</v>
      </c>
    </row>
    <row r="2520" spans="1:8" s="14" customFormat="1">
      <c r="A2520" s="3"/>
      <c r="B2520" t="s">
        <v>5066</v>
      </c>
      <c r="C2520" s="54">
        <v>0</v>
      </c>
      <c r="D2520" s="54">
        <v>35000000</v>
      </c>
      <c r="E2520" s="54">
        <f t="shared" si="48"/>
        <v>3175584</v>
      </c>
      <c r="F2520" s="10" t="s">
        <v>115</v>
      </c>
      <c r="G2520" s="10" t="s">
        <v>122</v>
      </c>
      <c r="H2520" t="s">
        <v>123</v>
      </c>
    </row>
    <row r="2521" spans="1:8" s="14" customFormat="1">
      <c r="A2521" s="3"/>
      <c r="B2521" t="s">
        <v>1031</v>
      </c>
      <c r="C2521" s="54">
        <v>10000</v>
      </c>
      <c r="D2521" s="54"/>
      <c r="E2521" s="54">
        <f t="shared" si="48"/>
        <v>3165584</v>
      </c>
      <c r="F2521" s="10" t="s">
        <v>113</v>
      </c>
      <c r="G2521" s="10" t="s">
        <v>114</v>
      </c>
      <c r="H2521"/>
    </row>
    <row r="2522" spans="1:8" s="14" customFormat="1">
      <c r="A2522" s="3"/>
      <c r="B2522" t="s">
        <v>4881</v>
      </c>
      <c r="C2522" s="54">
        <v>1707333</v>
      </c>
      <c r="D2522" s="54"/>
      <c r="E2522" s="54">
        <f t="shared" si="48"/>
        <v>1458251</v>
      </c>
      <c r="F2522" s="10" t="s">
        <v>115</v>
      </c>
      <c r="G2522" s="10" t="s">
        <v>440</v>
      </c>
      <c r="H2522" s="14" t="s">
        <v>4001</v>
      </c>
    </row>
    <row r="2523" spans="1:8" s="14" customFormat="1">
      <c r="A2523" s="3"/>
      <c r="B2523" t="s">
        <v>4882</v>
      </c>
      <c r="C2523" s="54">
        <v>1458250</v>
      </c>
      <c r="D2523" s="54"/>
      <c r="E2523" s="54">
        <f t="shared" si="48"/>
        <v>1</v>
      </c>
      <c r="F2523" s="10" t="s">
        <v>115</v>
      </c>
      <c r="G2523" s="10" t="s">
        <v>440</v>
      </c>
      <c r="H2523" s="14" t="s">
        <v>4002</v>
      </c>
    </row>
    <row r="2524" spans="1:8" s="14" customFormat="1">
      <c r="A2524" s="3"/>
      <c r="B2524" t="s">
        <v>419</v>
      </c>
      <c r="C2524" s="54">
        <v>1</v>
      </c>
      <c r="D2524" s="54"/>
      <c r="E2524" s="54">
        <f t="shared" si="48"/>
        <v>0</v>
      </c>
      <c r="F2524" s="10" t="s">
        <v>252</v>
      </c>
      <c r="G2524" s="10" t="s">
        <v>665</v>
      </c>
      <c r="H2524"/>
    </row>
    <row r="2525" spans="1:8" s="14" customFormat="1">
      <c r="A2525" s="3"/>
      <c r="B2525"/>
      <c r="C2525" s="54"/>
      <c r="D2525" s="54"/>
      <c r="E2525" s="54"/>
      <c r="F2525" s="10"/>
      <c r="G2525" s="10"/>
      <c r="H2525"/>
    </row>
    <row r="2526" spans="1:8">
      <c r="C2526" s="54"/>
      <c r="D2526" s="54"/>
      <c r="E2526" s="54"/>
    </row>
    <row r="2527" spans="1:8">
      <c r="C2527" s="8">
        <f>SUBTOTAL(9,C5:C2526)</f>
        <v>7191512616.1499996</v>
      </c>
      <c r="D2527" s="8">
        <f>SUBTOTAL(9,D5:D2526)</f>
        <v>7191512616.1500006</v>
      </c>
    </row>
    <row r="2528" spans="1:8">
      <c r="D2528" s="8">
        <f>D2527-C2527</f>
        <v>0</v>
      </c>
    </row>
  </sheetData>
  <autoFilter ref="A4:L2524" xr:uid="{94BD4274-61EA-F64F-8195-84628C10415E}"/>
  <printOptions gridLines="1"/>
  <pageMargins left="0.70866141732283472" right="0.70866141732283472" top="0.74803149606299213" bottom="0.74803149606299213" header="0.31496062992125984" footer="0.31496062992125984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54C6-05B1-CD40-AC77-CD930E37B8F0}">
  <dimension ref="A1:AC156"/>
  <sheetViews>
    <sheetView topLeftCell="L1" zoomScale="97" zoomScaleNormal="97" workbookViewId="0">
      <selection activeCell="I101" sqref="I101"/>
    </sheetView>
  </sheetViews>
  <sheetFormatPr baseColWidth="10" defaultRowHeight="16"/>
  <cols>
    <col min="2" max="2" width="10.83203125" style="73"/>
    <col min="3" max="3" width="10.83203125" style="74"/>
    <col min="4" max="4" width="27.33203125" customWidth="1"/>
    <col min="5" max="5" width="62.33203125" customWidth="1"/>
    <col min="6" max="6" width="62" customWidth="1"/>
    <col min="7" max="9" width="18.83203125" style="8" customWidth="1"/>
    <col min="10" max="10" width="20.33203125" style="8" customWidth="1"/>
    <col min="11" max="11" width="3.5" customWidth="1"/>
    <col min="12" max="12" width="17.6640625" style="8" customWidth="1"/>
    <col min="13" max="13" width="19.5" style="8" customWidth="1"/>
    <col min="14" max="14" width="15" style="8" customWidth="1"/>
    <col min="15" max="15" width="20.83203125" style="8" customWidth="1"/>
    <col min="16" max="19" width="18.5" style="8" customWidth="1"/>
    <col min="20" max="20" width="10.83203125" style="2"/>
    <col min="21" max="21" width="17.83203125" style="50" customWidth="1"/>
    <col min="22" max="22" width="17.83203125" style="204" customWidth="1"/>
    <col min="23" max="23" width="21.33203125" style="14" customWidth="1"/>
    <col min="24" max="24" width="18" style="75" customWidth="1"/>
    <col min="26" max="26" width="16.6640625" customWidth="1"/>
    <col min="28" max="29" width="12.5" style="2" bestFit="1" customWidth="1"/>
  </cols>
  <sheetData>
    <row r="1" spans="1:29">
      <c r="A1" t="s">
        <v>583</v>
      </c>
      <c r="G1" s="8" t="s">
        <v>64</v>
      </c>
      <c r="H1" s="8" t="s">
        <v>64</v>
      </c>
      <c r="I1" s="8" t="s">
        <v>64</v>
      </c>
      <c r="J1" s="8" t="s">
        <v>64</v>
      </c>
      <c r="K1" s="8" t="s">
        <v>64</v>
      </c>
      <c r="L1" s="8" t="s">
        <v>64</v>
      </c>
      <c r="M1" s="8" t="s">
        <v>64</v>
      </c>
    </row>
    <row r="2" spans="1:29">
      <c r="O2" s="8" t="s">
        <v>584</v>
      </c>
    </row>
    <row r="3" spans="1:29">
      <c r="V3" s="205" t="s">
        <v>64</v>
      </c>
    </row>
    <row r="4" spans="1:29">
      <c r="A4" s="76" t="s">
        <v>585</v>
      </c>
      <c r="B4" s="77" t="s">
        <v>586</v>
      </c>
      <c r="C4" s="76" t="s">
        <v>587</v>
      </c>
      <c r="D4" s="76" t="s">
        <v>588</v>
      </c>
      <c r="E4" s="76" t="s">
        <v>589</v>
      </c>
      <c r="F4" s="76" t="s">
        <v>590</v>
      </c>
      <c r="G4" s="78" t="s">
        <v>591</v>
      </c>
      <c r="H4" s="78" t="s">
        <v>592</v>
      </c>
      <c r="I4" s="78" t="s">
        <v>593</v>
      </c>
      <c r="L4" s="78" t="s">
        <v>0</v>
      </c>
      <c r="M4" s="78" t="s">
        <v>449</v>
      </c>
      <c r="N4" s="78" t="s">
        <v>594</v>
      </c>
      <c r="O4" s="78" t="s">
        <v>428</v>
      </c>
      <c r="P4" s="78" t="s">
        <v>1125</v>
      </c>
      <c r="Q4" s="78" t="s">
        <v>429</v>
      </c>
      <c r="R4" s="78" t="s">
        <v>430</v>
      </c>
      <c r="S4" s="78" t="s">
        <v>595</v>
      </c>
      <c r="U4" s="203" t="s">
        <v>596</v>
      </c>
      <c r="V4" s="206" t="s">
        <v>4904</v>
      </c>
      <c r="W4" s="51" t="s">
        <v>593</v>
      </c>
      <c r="X4" s="75" t="s">
        <v>4918</v>
      </c>
    </row>
    <row r="5" spans="1:29">
      <c r="A5" s="74">
        <v>1</v>
      </c>
      <c r="B5" s="73" t="s">
        <v>597</v>
      </c>
      <c r="C5" s="74">
        <v>2021</v>
      </c>
      <c r="D5" t="s">
        <v>600</v>
      </c>
      <c r="E5" t="s">
        <v>602</v>
      </c>
      <c r="G5" s="8">
        <v>80000000</v>
      </c>
      <c r="H5" s="8">
        <v>8000000</v>
      </c>
      <c r="I5" s="50">
        <v>8800000</v>
      </c>
      <c r="J5" s="8">
        <f t="shared" ref="J5:J16" si="0">G5+H5+I5</f>
        <v>96800000</v>
      </c>
      <c r="L5" s="8">
        <v>0</v>
      </c>
      <c r="M5" s="8">
        <v>86240000</v>
      </c>
      <c r="N5" s="8">
        <v>0</v>
      </c>
      <c r="O5" s="8">
        <v>0</v>
      </c>
      <c r="P5" s="8">
        <v>0</v>
      </c>
      <c r="Q5" s="8">
        <v>0</v>
      </c>
      <c r="R5" s="8">
        <v>10560000</v>
      </c>
      <c r="S5" s="8">
        <f t="shared" ref="S5:S69" si="1">J5-(SUM(L5:R5))</f>
        <v>0</v>
      </c>
      <c r="U5" s="50">
        <f>(G5+H5)*2%</f>
        <v>1760000</v>
      </c>
      <c r="V5" s="204">
        <v>0</v>
      </c>
      <c r="W5" s="131">
        <f>I5</f>
        <v>8800000</v>
      </c>
      <c r="X5" s="209">
        <v>0</v>
      </c>
      <c r="AB5"/>
      <c r="AC5"/>
    </row>
    <row r="6" spans="1:29">
      <c r="A6" s="74">
        <f>A5+1</f>
        <v>2</v>
      </c>
      <c r="B6" s="73" t="s">
        <v>597</v>
      </c>
      <c r="C6" s="74">
        <v>2021</v>
      </c>
      <c r="D6" t="s">
        <v>600</v>
      </c>
      <c r="E6" t="s">
        <v>603</v>
      </c>
      <c r="F6" t="s">
        <v>64</v>
      </c>
      <c r="G6" s="8">
        <v>298670000</v>
      </c>
      <c r="H6" s="8">
        <v>29867000</v>
      </c>
      <c r="I6" s="50">
        <v>32853700</v>
      </c>
      <c r="J6" s="8">
        <f t="shared" si="0"/>
        <v>361390700</v>
      </c>
      <c r="L6" s="8">
        <v>0</v>
      </c>
      <c r="M6" s="8">
        <v>321966260</v>
      </c>
      <c r="N6" s="8">
        <v>0</v>
      </c>
      <c r="O6" s="8">
        <v>0</v>
      </c>
      <c r="P6" s="8">
        <v>0</v>
      </c>
      <c r="Q6" s="8">
        <v>0</v>
      </c>
      <c r="R6" s="8">
        <v>39424440</v>
      </c>
      <c r="S6" s="8">
        <f t="shared" si="1"/>
        <v>0</v>
      </c>
      <c r="U6" s="50">
        <f t="shared" ref="U6:U39" si="2">(G6+H6)*2%</f>
        <v>6570740</v>
      </c>
      <c r="V6" s="204">
        <v>0</v>
      </c>
      <c r="W6" s="131">
        <f t="shared" ref="W6:W60" si="3">I6</f>
        <v>32853700</v>
      </c>
      <c r="X6" s="209">
        <v>0</v>
      </c>
      <c r="AB6"/>
      <c r="AC6"/>
    </row>
    <row r="7" spans="1:29">
      <c r="A7" s="74">
        <f t="shared" ref="A7:A71" si="4">A6+1</f>
        <v>3</v>
      </c>
      <c r="B7" s="73" t="s">
        <v>597</v>
      </c>
      <c r="C7" s="74">
        <v>2021</v>
      </c>
      <c r="D7" t="s">
        <v>600</v>
      </c>
      <c r="E7" t="s">
        <v>251</v>
      </c>
      <c r="F7" t="s">
        <v>64</v>
      </c>
      <c r="G7" s="8">
        <v>254275000</v>
      </c>
      <c r="H7" s="8">
        <v>25427500</v>
      </c>
      <c r="I7" s="50">
        <v>27970250</v>
      </c>
      <c r="J7" s="8">
        <f t="shared" si="0"/>
        <v>307672750</v>
      </c>
      <c r="L7" s="8">
        <v>0</v>
      </c>
      <c r="M7" s="8">
        <v>274108450</v>
      </c>
      <c r="N7" s="8">
        <v>0</v>
      </c>
      <c r="O7" s="8">
        <v>0</v>
      </c>
      <c r="P7" s="8">
        <v>0</v>
      </c>
      <c r="Q7" s="8">
        <v>0</v>
      </c>
      <c r="R7" s="8">
        <v>33564300</v>
      </c>
      <c r="S7" s="8">
        <f t="shared" si="1"/>
        <v>0</v>
      </c>
      <c r="U7" s="50">
        <f t="shared" si="2"/>
        <v>5594050</v>
      </c>
      <c r="V7" s="204">
        <v>0</v>
      </c>
      <c r="W7" s="131">
        <f t="shared" si="3"/>
        <v>27970250</v>
      </c>
      <c r="X7" s="209">
        <v>0</v>
      </c>
      <c r="AB7"/>
      <c r="AC7"/>
    </row>
    <row r="8" spans="1:29">
      <c r="A8" s="74">
        <f t="shared" si="4"/>
        <v>4</v>
      </c>
      <c r="B8" s="73" t="s">
        <v>597</v>
      </c>
      <c r="C8" s="74">
        <v>2021</v>
      </c>
      <c r="D8" t="s">
        <v>428</v>
      </c>
      <c r="E8" t="s">
        <v>393</v>
      </c>
      <c r="F8" t="s">
        <v>64</v>
      </c>
      <c r="G8" s="8">
        <v>218106000</v>
      </c>
      <c r="H8" s="8">
        <v>0</v>
      </c>
      <c r="I8" s="50">
        <v>21810600</v>
      </c>
      <c r="J8" s="8">
        <f t="shared" si="0"/>
        <v>239916600</v>
      </c>
      <c r="L8" s="8">
        <v>0</v>
      </c>
      <c r="M8" s="8">
        <v>0</v>
      </c>
      <c r="N8" s="8">
        <v>0</v>
      </c>
      <c r="O8" s="8">
        <v>213743880</v>
      </c>
      <c r="P8" s="8">
        <v>0</v>
      </c>
      <c r="Q8" s="8">
        <v>0</v>
      </c>
      <c r="R8" s="8">
        <v>26172720</v>
      </c>
      <c r="S8" s="8">
        <f t="shared" si="1"/>
        <v>0</v>
      </c>
      <c r="U8" s="50">
        <f t="shared" si="2"/>
        <v>4362120</v>
      </c>
      <c r="V8" s="204">
        <f t="shared" ref="V8:V11" si="5">H8*2%</f>
        <v>0</v>
      </c>
      <c r="W8" s="131">
        <f t="shared" si="3"/>
        <v>21810600</v>
      </c>
      <c r="X8" s="209">
        <v>0</v>
      </c>
      <c r="AB8"/>
      <c r="AC8"/>
    </row>
    <row r="9" spans="1:29">
      <c r="A9" s="74" t="s">
        <v>2950</v>
      </c>
      <c r="B9" s="73" t="s">
        <v>597</v>
      </c>
      <c r="C9" s="74">
        <v>2021</v>
      </c>
      <c r="D9" t="s">
        <v>428</v>
      </c>
      <c r="E9" t="s">
        <v>393</v>
      </c>
      <c r="F9" t="s">
        <v>2949</v>
      </c>
      <c r="G9" s="8">
        <v>158978400</v>
      </c>
      <c r="H9" s="8">
        <v>0</v>
      </c>
      <c r="I9" s="50">
        <v>0</v>
      </c>
      <c r="J9" s="8">
        <f t="shared" ref="J9" si="6">G9+H9+I9</f>
        <v>158978400</v>
      </c>
      <c r="L9" s="8">
        <v>0</v>
      </c>
      <c r="M9" s="8">
        <v>0</v>
      </c>
      <c r="N9" s="8">
        <v>0</v>
      </c>
      <c r="O9" s="8">
        <v>158978400</v>
      </c>
      <c r="P9" s="8">
        <v>0</v>
      </c>
      <c r="Q9" s="8">
        <v>0</v>
      </c>
      <c r="R9" s="8">
        <v>0</v>
      </c>
      <c r="S9" s="8">
        <f t="shared" si="1"/>
        <v>0</v>
      </c>
      <c r="U9" s="50">
        <v>0</v>
      </c>
      <c r="V9" s="204">
        <v>0</v>
      </c>
      <c r="W9" s="131">
        <f t="shared" si="3"/>
        <v>0</v>
      </c>
      <c r="X9" s="209">
        <v>0</v>
      </c>
      <c r="AB9"/>
      <c r="AC9"/>
    </row>
    <row r="10" spans="1:29">
      <c r="A10" s="74">
        <f>A8+1</f>
        <v>5</v>
      </c>
      <c r="B10" s="73" t="s">
        <v>597</v>
      </c>
      <c r="C10" s="74">
        <v>2021</v>
      </c>
      <c r="D10" t="s">
        <v>605</v>
      </c>
      <c r="E10" t="s">
        <v>175</v>
      </c>
      <c r="F10" t="s">
        <v>64</v>
      </c>
      <c r="G10" s="8">
        <v>135600000</v>
      </c>
      <c r="H10" s="8">
        <v>13560000</v>
      </c>
      <c r="I10" s="50">
        <v>14916000</v>
      </c>
      <c r="J10" s="8">
        <f t="shared" si="0"/>
        <v>164076000</v>
      </c>
      <c r="L10" s="8">
        <v>0</v>
      </c>
      <c r="M10" s="8">
        <v>163804800</v>
      </c>
      <c r="N10" s="8">
        <v>0</v>
      </c>
      <c r="O10" s="8">
        <v>0</v>
      </c>
      <c r="P10" s="8">
        <v>0</v>
      </c>
      <c r="Q10" s="8">
        <v>0</v>
      </c>
      <c r="R10" s="8">
        <v>271200</v>
      </c>
      <c r="S10" s="8">
        <f t="shared" si="1"/>
        <v>0</v>
      </c>
      <c r="U10" s="50">
        <f>(H10)*2%</f>
        <v>271200</v>
      </c>
      <c r="V10" s="204">
        <v>0</v>
      </c>
      <c r="W10" s="131">
        <f t="shared" si="3"/>
        <v>14916000</v>
      </c>
      <c r="X10" s="209">
        <v>0</v>
      </c>
      <c r="AB10"/>
      <c r="AC10"/>
    </row>
    <row r="11" spans="1:29">
      <c r="A11" s="74">
        <f t="shared" si="4"/>
        <v>6</v>
      </c>
      <c r="B11" s="73" t="s">
        <v>598</v>
      </c>
      <c r="C11" s="74">
        <v>2021</v>
      </c>
      <c r="D11" t="s">
        <v>428</v>
      </c>
      <c r="E11" t="s">
        <v>173</v>
      </c>
      <c r="F11" t="s">
        <v>64</v>
      </c>
      <c r="G11" s="8">
        <v>1363636364</v>
      </c>
      <c r="H11" s="8">
        <v>0</v>
      </c>
      <c r="I11" s="50">
        <v>136363636.40000001</v>
      </c>
      <c r="J11" s="8">
        <f t="shared" si="0"/>
        <v>1500000000.4000001</v>
      </c>
      <c r="L11" s="8">
        <v>0</v>
      </c>
      <c r="M11" s="8">
        <v>0</v>
      </c>
      <c r="N11" s="8">
        <v>0</v>
      </c>
      <c r="O11" s="8">
        <v>1336363637</v>
      </c>
      <c r="P11" s="8">
        <v>0</v>
      </c>
      <c r="Q11" s="8">
        <v>0</v>
      </c>
      <c r="R11" s="8">
        <v>163636363.4000001</v>
      </c>
      <c r="S11" s="8">
        <f t="shared" si="1"/>
        <v>0</v>
      </c>
      <c r="U11" s="50">
        <f t="shared" si="2"/>
        <v>27272727.280000001</v>
      </c>
      <c r="V11" s="204">
        <f t="shared" si="5"/>
        <v>0</v>
      </c>
      <c r="W11" s="131">
        <f t="shared" si="3"/>
        <v>136363636.40000001</v>
      </c>
      <c r="X11" s="209">
        <v>0</v>
      </c>
      <c r="AB11"/>
      <c r="AC11"/>
    </row>
    <row r="12" spans="1:29">
      <c r="A12" s="74">
        <f t="shared" si="4"/>
        <v>7</v>
      </c>
      <c r="B12" s="73" t="s">
        <v>598</v>
      </c>
      <c r="C12" s="74">
        <v>2021</v>
      </c>
      <c r="D12" t="s">
        <v>428</v>
      </c>
      <c r="E12" t="s">
        <v>883</v>
      </c>
      <c r="F12" t="s">
        <v>64</v>
      </c>
      <c r="G12" s="8">
        <v>72800000</v>
      </c>
      <c r="H12" s="8">
        <v>7280000</v>
      </c>
      <c r="I12" s="8">
        <v>8008000</v>
      </c>
      <c r="J12" s="8">
        <f t="shared" si="0"/>
        <v>88088000</v>
      </c>
      <c r="L12" s="8">
        <v>0</v>
      </c>
      <c r="M12" s="8">
        <v>0</v>
      </c>
      <c r="N12" s="8">
        <v>0</v>
      </c>
      <c r="O12" s="8">
        <v>78478400</v>
      </c>
      <c r="P12" s="8">
        <v>0</v>
      </c>
      <c r="Q12" s="8">
        <v>0</v>
      </c>
      <c r="R12" s="8">
        <v>9609600</v>
      </c>
      <c r="S12" s="8">
        <f t="shared" si="1"/>
        <v>0</v>
      </c>
      <c r="U12" s="50">
        <f>(G12+H12)*2%</f>
        <v>1601600</v>
      </c>
      <c r="V12" s="204">
        <v>0</v>
      </c>
      <c r="W12" s="131">
        <f t="shared" si="3"/>
        <v>8008000</v>
      </c>
      <c r="X12" s="209">
        <v>0</v>
      </c>
      <c r="AB12"/>
      <c r="AC12"/>
    </row>
    <row r="13" spans="1:29">
      <c r="A13" s="74">
        <f t="shared" si="4"/>
        <v>8</v>
      </c>
      <c r="B13" s="73" t="s">
        <v>597</v>
      </c>
      <c r="C13" s="74">
        <v>2021</v>
      </c>
      <c r="D13" t="s">
        <v>428</v>
      </c>
      <c r="E13" t="s">
        <v>3022</v>
      </c>
      <c r="F13" t="s">
        <v>64</v>
      </c>
      <c r="G13" s="8">
        <v>89991320</v>
      </c>
      <c r="H13" s="8">
        <v>8999132</v>
      </c>
      <c r="I13" s="8">
        <v>9899045.2000000011</v>
      </c>
      <c r="J13" s="8">
        <f t="shared" si="0"/>
        <v>108889497.2</v>
      </c>
      <c r="L13" s="8">
        <v>0</v>
      </c>
      <c r="M13" s="8">
        <v>0</v>
      </c>
      <c r="N13" s="8">
        <v>0</v>
      </c>
      <c r="O13" s="8">
        <v>97010643</v>
      </c>
      <c r="P13" s="8">
        <v>0</v>
      </c>
      <c r="Q13" s="8">
        <v>0</v>
      </c>
      <c r="R13" s="8">
        <v>11878854.200000003</v>
      </c>
      <c r="S13" s="8">
        <f t="shared" si="1"/>
        <v>0</v>
      </c>
      <c r="U13" s="50">
        <f>(G13+H13)*2%-0.04</f>
        <v>1979809</v>
      </c>
      <c r="V13" s="204">
        <v>0</v>
      </c>
      <c r="W13" s="131">
        <f t="shared" si="3"/>
        <v>9899045.2000000011</v>
      </c>
      <c r="X13" s="209">
        <v>0</v>
      </c>
      <c r="AB13"/>
      <c r="AC13"/>
    </row>
    <row r="14" spans="1:29">
      <c r="A14" s="74">
        <f t="shared" si="4"/>
        <v>9</v>
      </c>
      <c r="B14" s="73" t="s">
        <v>598</v>
      </c>
      <c r="C14" s="74">
        <v>2021</v>
      </c>
      <c r="D14" t="s">
        <v>428</v>
      </c>
      <c r="E14" t="s">
        <v>3026</v>
      </c>
      <c r="F14" t="s">
        <v>64</v>
      </c>
      <c r="G14" s="8">
        <v>28800000</v>
      </c>
      <c r="H14" s="8">
        <v>0</v>
      </c>
      <c r="I14" s="50">
        <v>2880000</v>
      </c>
      <c r="J14" s="8">
        <f t="shared" si="0"/>
        <v>31680000</v>
      </c>
      <c r="L14" s="8">
        <v>0</v>
      </c>
      <c r="M14" s="8">
        <v>0</v>
      </c>
      <c r="N14" s="8">
        <v>0</v>
      </c>
      <c r="O14" s="8">
        <v>28224000</v>
      </c>
      <c r="P14" s="8">
        <v>0</v>
      </c>
      <c r="Q14" s="8">
        <v>0</v>
      </c>
      <c r="R14" s="8">
        <v>3456000</v>
      </c>
      <c r="S14" s="8">
        <f t="shared" si="1"/>
        <v>0</v>
      </c>
      <c r="U14" s="50">
        <f t="shared" si="2"/>
        <v>576000</v>
      </c>
      <c r="V14" s="204">
        <v>0</v>
      </c>
      <c r="W14" s="131">
        <f t="shared" si="3"/>
        <v>2880000</v>
      </c>
      <c r="X14" s="209">
        <v>0</v>
      </c>
      <c r="AB14"/>
      <c r="AC14"/>
    </row>
    <row r="15" spans="1:29">
      <c r="A15" s="74">
        <f t="shared" si="4"/>
        <v>10</v>
      </c>
      <c r="B15" s="73" t="s">
        <v>598</v>
      </c>
      <c r="C15" s="74">
        <v>2021</v>
      </c>
      <c r="D15" t="s">
        <v>428</v>
      </c>
      <c r="E15" t="s">
        <v>245</v>
      </c>
      <c r="F15" t="s">
        <v>64</v>
      </c>
      <c r="G15" s="8">
        <v>242583000</v>
      </c>
      <c r="H15" s="8">
        <v>0</v>
      </c>
      <c r="I15" s="50">
        <v>24258300</v>
      </c>
      <c r="J15" s="8">
        <f t="shared" si="0"/>
        <v>266841300</v>
      </c>
      <c r="L15" s="8">
        <v>0</v>
      </c>
      <c r="M15" s="8">
        <v>0</v>
      </c>
      <c r="N15" s="8">
        <v>0</v>
      </c>
      <c r="O15" s="8">
        <v>237731340</v>
      </c>
      <c r="P15" s="8">
        <v>0</v>
      </c>
      <c r="Q15" s="8">
        <v>0</v>
      </c>
      <c r="R15" s="8">
        <v>29109960</v>
      </c>
      <c r="S15" s="8">
        <f t="shared" si="1"/>
        <v>0</v>
      </c>
      <c r="U15" s="50">
        <f t="shared" si="2"/>
        <v>4851660</v>
      </c>
      <c r="V15" s="204">
        <v>0</v>
      </c>
      <c r="W15" s="131">
        <f t="shared" si="3"/>
        <v>24258300</v>
      </c>
      <c r="X15" s="209">
        <v>0</v>
      </c>
      <c r="AB15"/>
      <c r="AC15"/>
    </row>
    <row r="16" spans="1:29" s="14" customFormat="1">
      <c r="A16" s="74">
        <f t="shared" si="4"/>
        <v>11</v>
      </c>
      <c r="B16" s="73" t="s">
        <v>598</v>
      </c>
      <c r="C16" s="74">
        <v>2021</v>
      </c>
      <c r="D16" s="14" t="s">
        <v>428</v>
      </c>
      <c r="E16" s="14" t="s">
        <v>990</v>
      </c>
      <c r="G16" s="53">
        <v>72908000</v>
      </c>
      <c r="H16" s="53">
        <v>0</v>
      </c>
      <c r="I16" s="53">
        <v>7290800</v>
      </c>
      <c r="J16" s="53">
        <f t="shared" si="0"/>
        <v>80198800</v>
      </c>
      <c r="L16" s="53">
        <v>0</v>
      </c>
      <c r="M16" s="53">
        <v>0</v>
      </c>
      <c r="N16" s="53">
        <v>0</v>
      </c>
      <c r="O16" s="53">
        <v>71449840</v>
      </c>
      <c r="P16" s="53">
        <v>0</v>
      </c>
      <c r="Q16" s="53">
        <v>0</v>
      </c>
      <c r="R16" s="53">
        <v>8748960</v>
      </c>
      <c r="S16" s="8">
        <f t="shared" si="1"/>
        <v>0</v>
      </c>
      <c r="T16" s="80"/>
      <c r="U16" s="50">
        <f t="shared" si="2"/>
        <v>1458160</v>
      </c>
      <c r="V16" s="204">
        <v>0</v>
      </c>
      <c r="W16" s="131">
        <f t="shared" si="3"/>
        <v>7290800</v>
      </c>
      <c r="X16" s="209">
        <v>0</v>
      </c>
    </row>
    <row r="17" spans="1:24" customFormat="1">
      <c r="A17" s="74">
        <f t="shared" si="4"/>
        <v>12</v>
      </c>
      <c r="B17" s="73" t="s">
        <v>598</v>
      </c>
      <c r="C17" s="74">
        <v>2021</v>
      </c>
      <c r="D17" s="14" t="s">
        <v>428</v>
      </c>
      <c r="E17" t="s">
        <v>1124</v>
      </c>
      <c r="F17" s="14"/>
      <c r="G17" s="53">
        <v>9000000</v>
      </c>
      <c r="H17" s="53">
        <v>0</v>
      </c>
      <c r="I17" s="53">
        <v>900000</v>
      </c>
      <c r="J17" s="53">
        <f t="shared" ref="J17:J27" si="7">G17+H17+I17</f>
        <v>9900000</v>
      </c>
      <c r="K17" s="14"/>
      <c r="L17" s="53">
        <v>0</v>
      </c>
      <c r="M17" s="53">
        <v>0</v>
      </c>
      <c r="N17" s="53">
        <v>0</v>
      </c>
      <c r="O17" s="53">
        <v>9720000</v>
      </c>
      <c r="P17" s="53">
        <v>0</v>
      </c>
      <c r="Q17" s="53">
        <v>0</v>
      </c>
      <c r="R17" s="53">
        <v>180000</v>
      </c>
      <c r="S17" s="8">
        <f t="shared" si="1"/>
        <v>0</v>
      </c>
      <c r="T17" s="2"/>
      <c r="U17" s="50">
        <f t="shared" si="2"/>
        <v>180000</v>
      </c>
      <c r="V17" s="204">
        <v>0</v>
      </c>
      <c r="W17" s="131">
        <f t="shared" si="3"/>
        <v>900000</v>
      </c>
      <c r="X17" s="209">
        <v>0</v>
      </c>
    </row>
    <row r="18" spans="1:24" s="14" customFormat="1">
      <c r="A18" s="74">
        <f t="shared" si="4"/>
        <v>13</v>
      </c>
      <c r="B18" s="79" t="s">
        <v>64</v>
      </c>
      <c r="C18" s="51" t="s">
        <v>64</v>
      </c>
      <c r="D18" s="14" t="s">
        <v>4457</v>
      </c>
      <c r="E18" s="14" t="s">
        <v>4457</v>
      </c>
      <c r="G18" s="53">
        <v>0</v>
      </c>
      <c r="H18" s="53">
        <v>0</v>
      </c>
      <c r="I18" s="53">
        <v>0</v>
      </c>
      <c r="J18" s="53">
        <f t="shared" si="7"/>
        <v>0</v>
      </c>
      <c r="L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8">
        <f t="shared" si="1"/>
        <v>0</v>
      </c>
      <c r="T18" s="80"/>
      <c r="U18" s="50">
        <f t="shared" si="2"/>
        <v>0</v>
      </c>
      <c r="V18" s="204">
        <v>0</v>
      </c>
      <c r="W18" s="131">
        <f t="shared" si="3"/>
        <v>0</v>
      </c>
      <c r="X18" s="209">
        <v>0</v>
      </c>
    </row>
    <row r="19" spans="1:24" s="14" customFormat="1">
      <c r="A19" s="74">
        <f t="shared" si="4"/>
        <v>14</v>
      </c>
      <c r="B19" s="79" t="s">
        <v>1132</v>
      </c>
      <c r="C19" s="51">
        <v>2021</v>
      </c>
      <c r="D19" s="14" t="s">
        <v>1125</v>
      </c>
      <c r="E19" s="14" t="s">
        <v>1015</v>
      </c>
      <c r="G19" s="53">
        <v>854545454</v>
      </c>
      <c r="H19" s="53">
        <v>0</v>
      </c>
      <c r="I19" s="53">
        <v>85454545.400000006</v>
      </c>
      <c r="J19" s="53">
        <f t="shared" si="7"/>
        <v>939999999.39999998</v>
      </c>
      <c r="L19" s="53">
        <v>0</v>
      </c>
      <c r="M19" s="53">
        <v>0</v>
      </c>
      <c r="N19" s="53">
        <v>0</v>
      </c>
      <c r="O19" s="53">
        <v>0</v>
      </c>
      <c r="P19" s="53">
        <v>837454546</v>
      </c>
      <c r="Q19" s="53">
        <v>0</v>
      </c>
      <c r="R19" s="53">
        <v>102545453.39999998</v>
      </c>
      <c r="S19" s="8">
        <f t="shared" si="1"/>
        <v>0</v>
      </c>
      <c r="T19" s="80"/>
      <c r="U19" s="50">
        <f>(G19+H19)*2%-1.08</f>
        <v>17090908.000000004</v>
      </c>
      <c r="V19" s="204">
        <v>0</v>
      </c>
      <c r="W19" s="131">
        <f t="shared" si="3"/>
        <v>85454545.400000006</v>
      </c>
      <c r="X19" s="209">
        <v>0</v>
      </c>
    </row>
    <row r="20" spans="1:24" s="14" customFormat="1">
      <c r="A20" s="74">
        <f t="shared" si="4"/>
        <v>15</v>
      </c>
      <c r="B20" s="79" t="s">
        <v>1132</v>
      </c>
      <c r="C20" s="51">
        <v>2021</v>
      </c>
      <c r="D20" s="14" t="s">
        <v>600</v>
      </c>
      <c r="E20" s="14" t="s">
        <v>1126</v>
      </c>
      <c r="G20" s="53">
        <v>80000000</v>
      </c>
      <c r="H20" s="53">
        <v>4840000</v>
      </c>
      <c r="I20" s="53">
        <v>8484000</v>
      </c>
      <c r="J20" s="53">
        <f t="shared" si="7"/>
        <v>93324000</v>
      </c>
      <c r="L20" s="53">
        <v>0</v>
      </c>
      <c r="M20" s="53">
        <v>83143200</v>
      </c>
      <c r="N20" s="53">
        <v>0</v>
      </c>
      <c r="O20" s="53">
        <v>0</v>
      </c>
      <c r="P20" s="53">
        <v>0</v>
      </c>
      <c r="Q20" s="53">
        <v>0</v>
      </c>
      <c r="R20" s="53">
        <v>10180800</v>
      </c>
      <c r="S20" s="8">
        <f t="shared" si="1"/>
        <v>0</v>
      </c>
      <c r="T20" s="80"/>
      <c r="U20" s="50">
        <f t="shared" si="2"/>
        <v>1696800</v>
      </c>
      <c r="V20" s="204">
        <v>0</v>
      </c>
      <c r="W20" s="131">
        <f t="shared" si="3"/>
        <v>8484000</v>
      </c>
      <c r="X20" s="209">
        <v>0</v>
      </c>
    </row>
    <row r="21" spans="1:24" customFormat="1">
      <c r="A21" s="74">
        <f t="shared" si="4"/>
        <v>16</v>
      </c>
      <c r="B21" s="79" t="s">
        <v>1132</v>
      </c>
      <c r="C21" s="51">
        <v>2021</v>
      </c>
      <c r="D21" s="14" t="s">
        <v>600</v>
      </c>
      <c r="E21" s="14" t="s">
        <v>1127</v>
      </c>
      <c r="F21" s="14"/>
      <c r="G21" s="53">
        <v>134770000</v>
      </c>
      <c r="H21" s="53">
        <v>14077400</v>
      </c>
      <c r="I21" s="53">
        <v>14884740</v>
      </c>
      <c r="J21" s="53">
        <f t="shared" si="7"/>
        <v>163732140</v>
      </c>
      <c r="K21" s="14"/>
      <c r="L21" s="53">
        <v>0</v>
      </c>
      <c r="M21" s="53">
        <v>145870452</v>
      </c>
      <c r="N21" s="53">
        <v>0</v>
      </c>
      <c r="O21" s="53">
        <v>0</v>
      </c>
      <c r="P21" s="53">
        <v>0</v>
      </c>
      <c r="Q21" s="53">
        <v>0</v>
      </c>
      <c r="R21" s="53">
        <v>17861688</v>
      </c>
      <c r="S21" s="8">
        <f t="shared" si="1"/>
        <v>0</v>
      </c>
      <c r="T21" s="2"/>
      <c r="U21" s="50">
        <f t="shared" si="2"/>
        <v>2976948</v>
      </c>
      <c r="V21" s="204">
        <v>0</v>
      </c>
      <c r="W21" s="131">
        <f t="shared" si="3"/>
        <v>14884740</v>
      </c>
      <c r="X21" s="209">
        <v>0</v>
      </c>
    </row>
    <row r="22" spans="1:24" customFormat="1">
      <c r="A22" s="74">
        <f t="shared" si="4"/>
        <v>17</v>
      </c>
      <c r="B22" s="79" t="s">
        <v>1132</v>
      </c>
      <c r="C22" s="51">
        <v>2021</v>
      </c>
      <c r="D22" s="14" t="s">
        <v>600</v>
      </c>
      <c r="E22" s="14" t="s">
        <v>1128</v>
      </c>
      <c r="F22" s="14"/>
      <c r="G22" s="53">
        <v>354490252</v>
      </c>
      <c r="H22" s="53">
        <v>20879476</v>
      </c>
      <c r="I22" s="53">
        <v>37536972.800000004</v>
      </c>
      <c r="J22" s="53">
        <f t="shared" si="7"/>
        <v>412906700.80000001</v>
      </c>
      <c r="K22" s="14"/>
      <c r="L22" s="53">
        <v>0</v>
      </c>
      <c r="M22" s="53">
        <v>367862334</v>
      </c>
      <c r="N22" s="53">
        <v>0</v>
      </c>
      <c r="O22" s="53">
        <v>0</v>
      </c>
      <c r="P22" s="53">
        <v>0</v>
      </c>
      <c r="Q22" s="53">
        <v>0</v>
      </c>
      <c r="R22" s="53">
        <v>45044366.800000012</v>
      </c>
      <c r="S22" s="8">
        <f t="shared" si="1"/>
        <v>0</v>
      </c>
      <c r="T22" s="2"/>
      <c r="U22" s="50">
        <f>(G22+H22)*2%-0.56</f>
        <v>7507394.0000000009</v>
      </c>
      <c r="V22" s="204">
        <v>0</v>
      </c>
      <c r="W22" s="131">
        <f t="shared" si="3"/>
        <v>37536972.800000004</v>
      </c>
      <c r="X22" s="209">
        <v>0</v>
      </c>
    </row>
    <row r="23" spans="1:24" customFormat="1">
      <c r="A23" s="74">
        <f t="shared" si="4"/>
        <v>18</v>
      </c>
      <c r="B23" s="79" t="s">
        <v>1132</v>
      </c>
      <c r="C23" s="74">
        <v>2021</v>
      </c>
      <c r="D23" s="14" t="s">
        <v>428</v>
      </c>
      <c r="E23" s="14" t="s">
        <v>1129</v>
      </c>
      <c r="F23" s="14"/>
      <c r="G23" s="53">
        <v>136235000</v>
      </c>
      <c r="H23" s="53">
        <v>13623500</v>
      </c>
      <c r="I23" s="53">
        <v>14985850</v>
      </c>
      <c r="J23" s="53">
        <f t="shared" si="7"/>
        <v>164844350</v>
      </c>
      <c r="K23" s="14"/>
      <c r="L23" s="53">
        <v>0</v>
      </c>
      <c r="M23" s="53">
        <v>0</v>
      </c>
      <c r="N23" s="53">
        <v>0</v>
      </c>
      <c r="O23" s="53">
        <v>146861330</v>
      </c>
      <c r="P23" s="53">
        <v>0</v>
      </c>
      <c r="Q23" s="53">
        <v>0</v>
      </c>
      <c r="R23" s="53">
        <v>17983020</v>
      </c>
      <c r="S23" s="8">
        <f t="shared" si="1"/>
        <v>0</v>
      </c>
      <c r="T23" s="2"/>
      <c r="U23" s="50">
        <f t="shared" si="2"/>
        <v>2997170</v>
      </c>
      <c r="V23" s="204">
        <v>0</v>
      </c>
      <c r="W23" s="131">
        <f t="shared" si="3"/>
        <v>14985850</v>
      </c>
      <c r="X23" s="209">
        <v>0</v>
      </c>
    </row>
    <row r="24" spans="1:24" customFormat="1">
      <c r="A24" s="74">
        <f t="shared" si="4"/>
        <v>19</v>
      </c>
      <c r="B24" s="79" t="s">
        <v>1132</v>
      </c>
      <c r="C24" s="74">
        <v>2021</v>
      </c>
      <c r="D24" s="14" t="s">
        <v>428</v>
      </c>
      <c r="E24" s="14" t="s">
        <v>1130</v>
      </c>
      <c r="F24" s="14"/>
      <c r="G24" s="53">
        <v>132677500</v>
      </c>
      <c r="H24" s="53">
        <v>13267750</v>
      </c>
      <c r="I24" s="53">
        <v>14594525</v>
      </c>
      <c r="J24" s="53">
        <f t="shared" si="7"/>
        <v>160539775</v>
      </c>
      <c r="K24" s="14"/>
      <c r="L24" s="53">
        <v>0</v>
      </c>
      <c r="M24" s="53">
        <v>0</v>
      </c>
      <c r="N24" s="53">
        <v>0</v>
      </c>
      <c r="O24" s="53">
        <v>143026345</v>
      </c>
      <c r="P24" s="53">
        <v>0</v>
      </c>
      <c r="Q24" s="53">
        <v>0</v>
      </c>
      <c r="R24" s="53">
        <v>17513430</v>
      </c>
      <c r="S24" s="8">
        <f t="shared" si="1"/>
        <v>0</v>
      </c>
      <c r="T24" s="2"/>
      <c r="U24" s="50">
        <f t="shared" si="2"/>
        <v>2918905</v>
      </c>
      <c r="V24" s="204">
        <v>0</v>
      </c>
      <c r="W24" s="131">
        <f t="shared" si="3"/>
        <v>14594525</v>
      </c>
      <c r="X24" s="209">
        <v>0</v>
      </c>
    </row>
    <row r="25" spans="1:24" customFormat="1">
      <c r="A25" s="74">
        <f t="shared" si="4"/>
        <v>20</v>
      </c>
      <c r="B25" s="79" t="s">
        <v>1132</v>
      </c>
      <c r="C25" s="74">
        <v>2021</v>
      </c>
      <c r="D25" s="14" t="s">
        <v>428</v>
      </c>
      <c r="E25" s="14" t="s">
        <v>1131</v>
      </c>
      <c r="F25" s="14"/>
      <c r="G25" s="53">
        <v>6675000</v>
      </c>
      <c r="H25" s="53">
        <v>667500</v>
      </c>
      <c r="I25" s="53">
        <v>734250</v>
      </c>
      <c r="J25" s="53">
        <f t="shared" si="7"/>
        <v>8076750</v>
      </c>
      <c r="K25" s="14"/>
      <c r="L25" s="53">
        <v>0</v>
      </c>
      <c r="M25" s="53">
        <v>0</v>
      </c>
      <c r="N25" s="53">
        <v>0</v>
      </c>
      <c r="O25" s="53">
        <v>7929900</v>
      </c>
      <c r="P25" s="53">
        <v>0</v>
      </c>
      <c r="Q25" s="53">
        <v>0</v>
      </c>
      <c r="R25" s="53">
        <v>146850</v>
      </c>
      <c r="S25" s="8">
        <f t="shared" si="1"/>
        <v>0</v>
      </c>
      <c r="T25" s="2"/>
      <c r="U25" s="50">
        <f t="shared" si="2"/>
        <v>146850</v>
      </c>
      <c r="V25" s="204">
        <v>0</v>
      </c>
      <c r="W25" s="131">
        <f t="shared" si="3"/>
        <v>734250</v>
      </c>
      <c r="X25" s="209">
        <v>0</v>
      </c>
    </row>
    <row r="26" spans="1:24" customFormat="1">
      <c r="A26" s="74">
        <f t="shared" si="4"/>
        <v>21</v>
      </c>
      <c r="B26" s="79" t="s">
        <v>1132</v>
      </c>
      <c r="C26" s="74">
        <v>2021</v>
      </c>
      <c r="D26" s="14" t="s">
        <v>428</v>
      </c>
      <c r="E26" t="s">
        <v>173</v>
      </c>
      <c r="F26" s="14" t="s">
        <v>2951</v>
      </c>
      <c r="G26" s="53">
        <v>155146134</v>
      </c>
      <c r="H26" s="53">
        <v>0</v>
      </c>
      <c r="I26" s="53">
        <v>0</v>
      </c>
      <c r="J26" s="53">
        <f t="shared" si="7"/>
        <v>155146134</v>
      </c>
      <c r="K26" s="14"/>
      <c r="L26" s="53">
        <v>155146134</v>
      </c>
      <c r="M26" s="53">
        <v>0</v>
      </c>
      <c r="N26" s="53">
        <v>0</v>
      </c>
      <c r="O26" s="53">
        <v>0</v>
      </c>
      <c r="P26" s="53">
        <v>0</v>
      </c>
      <c r="Q26" s="53">
        <v>0</v>
      </c>
      <c r="R26" s="53">
        <v>0</v>
      </c>
      <c r="S26" s="8">
        <f t="shared" si="1"/>
        <v>0</v>
      </c>
      <c r="T26" s="2"/>
      <c r="U26" s="50">
        <v>0</v>
      </c>
      <c r="V26" s="204">
        <v>0</v>
      </c>
      <c r="W26" s="131">
        <f t="shared" si="3"/>
        <v>0</v>
      </c>
      <c r="X26" s="209">
        <v>0</v>
      </c>
    </row>
    <row r="27" spans="1:24" customFormat="1">
      <c r="A27" s="74">
        <f t="shared" si="4"/>
        <v>22</v>
      </c>
      <c r="B27" s="79" t="s">
        <v>1132</v>
      </c>
      <c r="C27" s="74">
        <v>2021</v>
      </c>
      <c r="D27" s="14" t="s">
        <v>600</v>
      </c>
      <c r="E27" s="14" t="s">
        <v>2952</v>
      </c>
      <c r="F27" s="14"/>
      <c r="G27" s="53">
        <v>172675000</v>
      </c>
      <c r="H27" s="53">
        <v>17267500</v>
      </c>
      <c r="I27" s="53">
        <v>18994250</v>
      </c>
      <c r="J27" s="53">
        <f t="shared" si="7"/>
        <v>208936750</v>
      </c>
      <c r="K27" s="14"/>
      <c r="L27" s="53">
        <v>0</v>
      </c>
      <c r="M27" s="53">
        <v>186143650</v>
      </c>
      <c r="N27" s="53">
        <v>0</v>
      </c>
      <c r="O27" s="53">
        <v>0</v>
      </c>
      <c r="P27" s="53">
        <v>0</v>
      </c>
      <c r="Q27" s="53">
        <v>0</v>
      </c>
      <c r="R27" s="53">
        <v>22793100</v>
      </c>
      <c r="S27" s="8">
        <f t="shared" si="1"/>
        <v>0</v>
      </c>
      <c r="T27" s="2"/>
      <c r="U27" s="50">
        <f t="shared" si="2"/>
        <v>3798850</v>
      </c>
      <c r="V27" s="204">
        <v>0</v>
      </c>
      <c r="W27" s="131">
        <f t="shared" si="3"/>
        <v>18994250</v>
      </c>
      <c r="X27" s="209">
        <v>0</v>
      </c>
    </row>
    <row r="28" spans="1:24" customFormat="1">
      <c r="A28" s="74">
        <f t="shared" si="4"/>
        <v>23</v>
      </c>
      <c r="B28" s="79" t="s">
        <v>1132</v>
      </c>
      <c r="C28" s="74">
        <v>2021</v>
      </c>
      <c r="D28" s="14" t="s">
        <v>4457</v>
      </c>
      <c r="E28" s="14" t="s">
        <v>4457</v>
      </c>
      <c r="F28" s="14"/>
      <c r="G28" s="53">
        <v>0</v>
      </c>
      <c r="H28" s="53">
        <v>0</v>
      </c>
      <c r="I28" s="53">
        <v>0</v>
      </c>
      <c r="J28" s="53">
        <f t="shared" ref="J28:J63" si="8">G28+H28+I28</f>
        <v>0</v>
      </c>
      <c r="K28" s="14"/>
      <c r="L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8">
        <f t="shared" si="1"/>
        <v>0</v>
      </c>
      <c r="T28" s="2"/>
      <c r="U28" s="50">
        <f t="shared" si="2"/>
        <v>0</v>
      </c>
      <c r="V28" s="204">
        <v>0</v>
      </c>
      <c r="W28" s="131">
        <f t="shared" si="3"/>
        <v>0</v>
      </c>
      <c r="X28" s="209">
        <v>0</v>
      </c>
    </row>
    <row r="29" spans="1:24" customFormat="1">
      <c r="A29" s="74">
        <f t="shared" si="4"/>
        <v>24</v>
      </c>
      <c r="B29" s="79" t="s">
        <v>3002</v>
      </c>
      <c r="C29" s="74">
        <v>2021</v>
      </c>
      <c r="D29" s="14" t="s">
        <v>600</v>
      </c>
      <c r="E29" s="14" t="s">
        <v>2953</v>
      </c>
      <c r="F29" s="14"/>
      <c r="G29" s="177">
        <v>121600000</v>
      </c>
      <c r="H29" s="177">
        <v>5715200</v>
      </c>
      <c r="I29" s="178">
        <f>+(G29+H29)*0.1</f>
        <v>12731520</v>
      </c>
      <c r="J29" s="53">
        <f t="shared" si="8"/>
        <v>140046720</v>
      </c>
      <c r="K29" s="14"/>
      <c r="L29" s="53">
        <v>0</v>
      </c>
      <c r="M29" s="53">
        <v>124768896</v>
      </c>
      <c r="N29" s="53">
        <v>0</v>
      </c>
      <c r="O29" s="53">
        <v>0</v>
      </c>
      <c r="P29" s="53">
        <v>0</v>
      </c>
      <c r="Q29" s="53">
        <v>0</v>
      </c>
      <c r="R29" s="53">
        <v>15277824</v>
      </c>
      <c r="S29" s="54">
        <f t="shared" si="1"/>
        <v>0</v>
      </c>
      <c r="T29" s="82"/>
      <c r="U29" s="53">
        <f t="shared" si="2"/>
        <v>2546304</v>
      </c>
      <c r="V29" s="204">
        <v>0</v>
      </c>
      <c r="W29" s="131">
        <f t="shared" si="3"/>
        <v>12731520</v>
      </c>
      <c r="X29" s="209">
        <v>0</v>
      </c>
    </row>
    <row r="30" spans="1:24" customFormat="1">
      <c r="A30" s="74">
        <f t="shared" si="4"/>
        <v>25</v>
      </c>
      <c r="B30" s="79" t="s">
        <v>3002</v>
      </c>
      <c r="C30" s="74">
        <v>2021</v>
      </c>
      <c r="D30" s="14" t="s">
        <v>428</v>
      </c>
      <c r="E30" s="14" t="s">
        <v>2954</v>
      </c>
      <c r="F30" s="14"/>
      <c r="G30" s="53">
        <v>134745000</v>
      </c>
      <c r="H30" s="53">
        <v>13474500</v>
      </c>
      <c r="I30" s="53">
        <v>14821950</v>
      </c>
      <c r="J30" s="53">
        <f t="shared" si="8"/>
        <v>163041450</v>
      </c>
      <c r="K30" s="14"/>
      <c r="L30" s="53">
        <v>0</v>
      </c>
      <c r="M30" s="53">
        <v>0</v>
      </c>
      <c r="N30" s="53">
        <v>0</v>
      </c>
      <c r="O30" s="53">
        <v>145255110</v>
      </c>
      <c r="P30" s="53">
        <v>0</v>
      </c>
      <c r="Q30" s="53">
        <v>0</v>
      </c>
      <c r="R30" s="53">
        <v>17786340</v>
      </c>
      <c r="S30" s="8">
        <f t="shared" si="1"/>
        <v>0</v>
      </c>
      <c r="T30" s="2"/>
      <c r="U30" s="50">
        <f t="shared" si="2"/>
        <v>2964390</v>
      </c>
      <c r="V30" s="204">
        <v>0</v>
      </c>
      <c r="W30" s="131">
        <f t="shared" si="3"/>
        <v>14821950</v>
      </c>
      <c r="X30" s="209">
        <v>0</v>
      </c>
    </row>
    <row r="31" spans="1:24" customFormat="1">
      <c r="A31" s="74">
        <f t="shared" si="4"/>
        <v>26</v>
      </c>
      <c r="B31" s="79" t="s">
        <v>3002</v>
      </c>
      <c r="C31" s="74">
        <v>2021</v>
      </c>
      <c r="D31" s="14" t="s">
        <v>428</v>
      </c>
      <c r="E31" s="14" t="s">
        <v>1961</v>
      </c>
      <c r="F31" s="14"/>
      <c r="G31" s="53">
        <v>102457500</v>
      </c>
      <c r="H31" s="53">
        <v>10245750</v>
      </c>
      <c r="I31" s="53">
        <v>11270325</v>
      </c>
      <c r="J31" s="53">
        <f t="shared" si="8"/>
        <v>123973575</v>
      </c>
      <c r="K31" s="14"/>
      <c r="L31" s="53">
        <v>0</v>
      </c>
      <c r="M31" s="53">
        <v>0</v>
      </c>
      <c r="N31" s="53">
        <v>0</v>
      </c>
      <c r="O31" s="53">
        <v>110449185</v>
      </c>
      <c r="P31" s="53">
        <v>0</v>
      </c>
      <c r="Q31" s="53">
        <v>0</v>
      </c>
      <c r="R31" s="53">
        <v>13524390</v>
      </c>
      <c r="S31" s="8">
        <f t="shared" si="1"/>
        <v>0</v>
      </c>
      <c r="T31" s="2"/>
      <c r="U31" s="50">
        <f t="shared" si="2"/>
        <v>2254065</v>
      </c>
      <c r="V31" s="204">
        <v>0</v>
      </c>
      <c r="W31" s="131">
        <f t="shared" si="3"/>
        <v>11270325</v>
      </c>
      <c r="X31" s="209">
        <v>0</v>
      </c>
    </row>
    <row r="32" spans="1:24" customFormat="1">
      <c r="A32" s="74">
        <f t="shared" si="4"/>
        <v>27</v>
      </c>
      <c r="B32" s="79" t="s">
        <v>3002</v>
      </c>
      <c r="C32" s="74">
        <v>2021</v>
      </c>
      <c r="D32" s="14" t="s">
        <v>428</v>
      </c>
      <c r="E32" s="14" t="s">
        <v>3031</v>
      </c>
      <c r="F32" s="14"/>
      <c r="G32" s="53">
        <v>161363636.36363634</v>
      </c>
      <c r="H32" s="53">
        <v>0</v>
      </c>
      <c r="I32" s="53">
        <v>16136363.636363635</v>
      </c>
      <c r="J32" s="53">
        <f t="shared" si="8"/>
        <v>177499999.99999997</v>
      </c>
      <c r="K32" s="14"/>
      <c r="L32" s="53">
        <v>0</v>
      </c>
      <c r="M32" s="53">
        <v>0</v>
      </c>
      <c r="N32" s="53">
        <v>0</v>
      </c>
      <c r="O32" s="53">
        <v>158136363</v>
      </c>
      <c r="P32" s="53">
        <v>0</v>
      </c>
      <c r="Q32" s="53">
        <v>0</v>
      </c>
      <c r="R32" s="53">
        <v>19363636.99999997</v>
      </c>
      <c r="S32" s="8">
        <f t="shared" si="1"/>
        <v>0</v>
      </c>
      <c r="T32" s="2"/>
      <c r="U32" s="50">
        <f>(G32+H32)*2%+0.634</f>
        <v>3227273.3612727271</v>
      </c>
      <c r="V32" s="204">
        <v>0</v>
      </c>
      <c r="W32" s="131">
        <f t="shared" si="3"/>
        <v>16136363.636363635</v>
      </c>
      <c r="X32" s="209">
        <v>0</v>
      </c>
    </row>
    <row r="33" spans="1:24" customFormat="1">
      <c r="A33" s="74">
        <f t="shared" si="4"/>
        <v>28</v>
      </c>
      <c r="B33" s="79" t="s">
        <v>3002</v>
      </c>
      <c r="C33" s="74">
        <v>2021</v>
      </c>
      <c r="D33" s="14" t="s">
        <v>600</v>
      </c>
      <c r="E33" s="14" t="s">
        <v>3030</v>
      </c>
      <c r="F33" s="14" t="s">
        <v>2955</v>
      </c>
      <c r="G33" s="53">
        <v>153863636</v>
      </c>
      <c r="H33" s="53">
        <v>15386363.600000001</v>
      </c>
      <c r="I33" s="53">
        <v>16924999.960000001</v>
      </c>
      <c r="J33" s="53">
        <f t="shared" si="8"/>
        <v>186174999.56</v>
      </c>
      <c r="K33" s="14"/>
      <c r="L33" s="53">
        <v>0</v>
      </c>
      <c r="M33" s="53">
        <v>165864999.60799998</v>
      </c>
      <c r="N33" s="53">
        <v>0</v>
      </c>
      <c r="O33" s="53">
        <v>0</v>
      </c>
      <c r="P33" s="53">
        <v>0</v>
      </c>
      <c r="Q33" s="53">
        <v>0</v>
      </c>
      <c r="R33" s="53">
        <v>20309999.952000022</v>
      </c>
      <c r="S33" s="8">
        <f t="shared" si="1"/>
        <v>0</v>
      </c>
      <c r="T33" s="82"/>
      <c r="U33" s="53">
        <f>(G33+H33)*2%+0.01</f>
        <v>3385000.0019999999</v>
      </c>
      <c r="V33" s="204">
        <v>0</v>
      </c>
      <c r="W33" s="131">
        <f t="shared" si="3"/>
        <v>16924999.960000001</v>
      </c>
      <c r="X33" s="209">
        <v>0</v>
      </c>
    </row>
    <row r="34" spans="1:24" customFormat="1">
      <c r="A34" s="74">
        <f t="shared" si="4"/>
        <v>29</v>
      </c>
      <c r="B34" s="79" t="s">
        <v>3002</v>
      </c>
      <c r="C34" s="74">
        <v>2021</v>
      </c>
      <c r="D34" s="14" t="s">
        <v>1125</v>
      </c>
      <c r="E34" s="14" t="s">
        <v>1015</v>
      </c>
      <c r="F34" s="14" t="s">
        <v>2956</v>
      </c>
      <c r="G34" s="53">
        <v>393857200</v>
      </c>
      <c r="H34" s="53">
        <v>0</v>
      </c>
      <c r="I34" s="53">
        <v>39385720</v>
      </c>
      <c r="J34" s="53">
        <f t="shared" si="8"/>
        <v>433242920</v>
      </c>
      <c r="K34" s="14"/>
      <c r="L34" s="53">
        <v>0</v>
      </c>
      <c r="M34" s="53">
        <v>0</v>
      </c>
      <c r="N34" s="53">
        <v>0</v>
      </c>
      <c r="O34" s="53">
        <v>0</v>
      </c>
      <c r="P34" s="53">
        <v>385980056</v>
      </c>
      <c r="Q34" s="53">
        <v>0</v>
      </c>
      <c r="R34" s="53">
        <v>47262864</v>
      </c>
      <c r="S34" s="8">
        <f t="shared" si="1"/>
        <v>0</v>
      </c>
      <c r="T34" s="82"/>
      <c r="U34" s="53">
        <f t="shared" si="2"/>
        <v>7877144</v>
      </c>
      <c r="V34" s="204">
        <v>0</v>
      </c>
      <c r="W34" s="131">
        <f t="shared" si="3"/>
        <v>39385720</v>
      </c>
      <c r="X34" s="209">
        <v>0</v>
      </c>
    </row>
    <row r="35" spans="1:24" customFormat="1">
      <c r="A35" s="74">
        <f t="shared" si="4"/>
        <v>30</v>
      </c>
      <c r="B35" s="79" t="s">
        <v>3003</v>
      </c>
      <c r="C35" s="74">
        <v>2021</v>
      </c>
      <c r="D35" s="14" t="s">
        <v>428</v>
      </c>
      <c r="E35" s="14" t="s">
        <v>3032</v>
      </c>
      <c r="F35" s="14"/>
      <c r="G35" s="53">
        <v>102790000</v>
      </c>
      <c r="H35" s="53">
        <v>10279000</v>
      </c>
      <c r="I35" s="53">
        <v>11306900</v>
      </c>
      <c r="J35" s="53">
        <f t="shared" si="8"/>
        <v>124375900</v>
      </c>
      <c r="K35" s="14"/>
      <c r="L35" s="53">
        <v>0</v>
      </c>
      <c r="M35" s="53">
        <v>0</v>
      </c>
      <c r="N35" s="53">
        <v>0</v>
      </c>
      <c r="O35" s="53">
        <v>110807620</v>
      </c>
      <c r="P35" s="53">
        <v>0</v>
      </c>
      <c r="Q35" s="53">
        <v>0</v>
      </c>
      <c r="R35" s="53">
        <v>13568280</v>
      </c>
      <c r="S35" s="8">
        <f t="shared" si="1"/>
        <v>0</v>
      </c>
      <c r="T35" s="82"/>
      <c r="U35" s="53">
        <f t="shared" si="2"/>
        <v>2261380</v>
      </c>
      <c r="V35" s="204">
        <v>0</v>
      </c>
      <c r="W35" s="131">
        <f>I35</f>
        <v>11306900</v>
      </c>
      <c r="X35" s="209">
        <v>0</v>
      </c>
    </row>
    <row r="36" spans="1:24" customFormat="1">
      <c r="A36" s="74">
        <f t="shared" si="4"/>
        <v>31</v>
      </c>
      <c r="B36" s="79" t="s">
        <v>3003</v>
      </c>
      <c r="C36" s="74">
        <v>2021</v>
      </c>
      <c r="D36" s="14" t="s">
        <v>428</v>
      </c>
      <c r="E36" t="s">
        <v>3040</v>
      </c>
      <c r="F36" s="14"/>
      <c r="G36" s="53">
        <v>15200000</v>
      </c>
      <c r="H36" s="53">
        <v>0</v>
      </c>
      <c r="I36" s="53">
        <v>1520000</v>
      </c>
      <c r="J36" s="53">
        <f t="shared" si="8"/>
        <v>16720000</v>
      </c>
      <c r="K36" s="14"/>
      <c r="L36" s="53">
        <v>0</v>
      </c>
      <c r="M36" s="53">
        <v>0</v>
      </c>
      <c r="N36" s="53">
        <v>0</v>
      </c>
      <c r="O36" s="53">
        <v>14896000</v>
      </c>
      <c r="P36" s="53">
        <v>0</v>
      </c>
      <c r="Q36" s="53">
        <v>0</v>
      </c>
      <c r="R36" s="53">
        <v>1824000</v>
      </c>
      <c r="S36" s="8">
        <f t="shared" si="1"/>
        <v>0</v>
      </c>
      <c r="T36" s="82"/>
      <c r="U36" s="53">
        <f t="shared" si="2"/>
        <v>304000</v>
      </c>
      <c r="V36" s="204">
        <v>0</v>
      </c>
      <c r="W36" s="131">
        <f t="shared" si="3"/>
        <v>1520000</v>
      </c>
      <c r="X36" s="209">
        <v>0</v>
      </c>
    </row>
    <row r="37" spans="1:24" customFormat="1">
      <c r="A37" s="74">
        <f t="shared" si="4"/>
        <v>32</v>
      </c>
      <c r="B37" s="79" t="s">
        <v>3003</v>
      </c>
      <c r="C37" s="74">
        <v>2021</v>
      </c>
      <c r="D37" s="14" t="s">
        <v>600</v>
      </c>
      <c r="E37" s="14" t="s">
        <v>3042</v>
      </c>
      <c r="F37" s="14"/>
      <c r="G37" s="53">
        <v>130000000</v>
      </c>
      <c r="H37" s="53">
        <v>6240000</v>
      </c>
      <c r="I37" s="53">
        <v>13624000</v>
      </c>
      <c r="J37" s="53">
        <f t="shared" si="8"/>
        <v>149864000</v>
      </c>
      <c r="K37" s="14"/>
      <c r="L37" s="53">
        <v>0</v>
      </c>
      <c r="M37" s="53">
        <v>133515200</v>
      </c>
      <c r="N37" s="53">
        <v>0</v>
      </c>
      <c r="O37" s="53">
        <v>0</v>
      </c>
      <c r="P37" s="53">
        <v>0</v>
      </c>
      <c r="Q37" s="53">
        <v>0</v>
      </c>
      <c r="R37" s="53">
        <v>16348800</v>
      </c>
      <c r="S37" s="8">
        <f t="shared" si="1"/>
        <v>0</v>
      </c>
      <c r="T37" s="2"/>
      <c r="U37" s="50">
        <f t="shared" si="2"/>
        <v>2724800</v>
      </c>
      <c r="V37" s="204">
        <v>0</v>
      </c>
      <c r="W37" s="131">
        <f t="shared" si="3"/>
        <v>13624000</v>
      </c>
      <c r="X37" s="209">
        <v>0</v>
      </c>
    </row>
    <row r="38" spans="1:24" customFormat="1">
      <c r="A38" s="74">
        <f t="shared" si="4"/>
        <v>33</v>
      </c>
      <c r="B38" s="79" t="s">
        <v>3003</v>
      </c>
      <c r="C38" s="74">
        <v>2021</v>
      </c>
      <c r="D38" s="14" t="s">
        <v>600</v>
      </c>
      <c r="E38" s="14" t="s">
        <v>4917</v>
      </c>
      <c r="F38" s="14"/>
      <c r="G38" s="53">
        <v>150000000</v>
      </c>
      <c r="H38" s="53">
        <v>7200000</v>
      </c>
      <c r="I38" s="53">
        <v>15720000</v>
      </c>
      <c r="J38" s="53">
        <f t="shared" si="8"/>
        <v>172920000</v>
      </c>
      <c r="K38" s="14"/>
      <c r="L38" s="53">
        <v>0</v>
      </c>
      <c r="M38" s="53">
        <v>154056000</v>
      </c>
      <c r="N38" s="53">
        <v>0</v>
      </c>
      <c r="O38" s="53">
        <v>0</v>
      </c>
      <c r="P38" s="53">
        <v>0</v>
      </c>
      <c r="Q38" s="53">
        <v>0</v>
      </c>
      <c r="R38" s="53">
        <v>18864000</v>
      </c>
      <c r="S38" s="54">
        <f t="shared" si="1"/>
        <v>0</v>
      </c>
      <c r="T38" s="82"/>
      <c r="U38" s="53">
        <f t="shared" si="2"/>
        <v>3144000</v>
      </c>
      <c r="V38" s="204">
        <v>0</v>
      </c>
      <c r="W38" s="131">
        <f t="shared" si="3"/>
        <v>15720000</v>
      </c>
      <c r="X38" s="209">
        <v>0</v>
      </c>
    </row>
    <row r="39" spans="1:24" customFormat="1">
      <c r="A39" s="74">
        <f t="shared" si="4"/>
        <v>34</v>
      </c>
      <c r="B39" s="79" t="s">
        <v>3003</v>
      </c>
      <c r="C39" s="74">
        <v>2021</v>
      </c>
      <c r="D39" s="14" t="s">
        <v>600</v>
      </c>
      <c r="E39" s="14" t="s">
        <v>3033</v>
      </c>
      <c r="F39" s="14"/>
      <c r="G39" s="53">
        <v>99125000</v>
      </c>
      <c r="H39" s="53">
        <v>4857000</v>
      </c>
      <c r="I39" s="53">
        <v>10398200</v>
      </c>
      <c r="J39" s="53">
        <f t="shared" si="8"/>
        <v>114380200</v>
      </c>
      <c r="K39" s="14"/>
      <c r="L39" s="53">
        <v>0</v>
      </c>
      <c r="M39" s="53">
        <v>101902360</v>
      </c>
      <c r="N39" s="53">
        <v>0</v>
      </c>
      <c r="O39" s="53">
        <v>0</v>
      </c>
      <c r="P39" s="53">
        <v>0</v>
      </c>
      <c r="Q39" s="53">
        <v>0</v>
      </c>
      <c r="R39" s="53">
        <v>12477840</v>
      </c>
      <c r="S39" s="8">
        <f t="shared" si="1"/>
        <v>0</v>
      </c>
      <c r="T39" s="82"/>
      <c r="U39" s="50">
        <f t="shared" si="2"/>
        <v>2079640</v>
      </c>
      <c r="V39" s="204">
        <v>0</v>
      </c>
      <c r="W39" s="131">
        <f t="shared" si="3"/>
        <v>10398200</v>
      </c>
      <c r="X39" s="209">
        <v>0</v>
      </c>
    </row>
    <row r="40" spans="1:24" customFormat="1">
      <c r="A40" s="74">
        <f t="shared" si="4"/>
        <v>35</v>
      </c>
      <c r="B40" s="79" t="s">
        <v>3002</v>
      </c>
      <c r="C40" s="74">
        <v>2021</v>
      </c>
      <c r="D40" s="14" t="s">
        <v>600</v>
      </c>
      <c r="E40" s="14" t="s">
        <v>4146</v>
      </c>
      <c r="F40" s="14"/>
      <c r="G40" s="53">
        <v>20384000</v>
      </c>
      <c r="H40" s="53">
        <v>1386112</v>
      </c>
      <c r="I40" s="53">
        <v>2177011.2000000002</v>
      </c>
      <c r="J40" s="53">
        <f t="shared" si="8"/>
        <v>23947123.199999999</v>
      </c>
      <c r="K40" s="14"/>
      <c r="L40" s="53">
        <v>0</v>
      </c>
      <c r="M40" s="53">
        <v>21436630</v>
      </c>
      <c r="N40" s="53">
        <v>0</v>
      </c>
      <c r="O40" s="53">
        <v>0</v>
      </c>
      <c r="P40" s="53">
        <v>0</v>
      </c>
      <c r="Q40" s="53">
        <v>0</v>
      </c>
      <c r="R40" s="53">
        <v>2510493.1999999993</v>
      </c>
      <c r="S40" s="8">
        <f t="shared" si="1"/>
        <v>0</v>
      </c>
      <c r="T40" s="82"/>
      <c r="U40" s="202">
        <v>333481.99999999907</v>
      </c>
      <c r="V40" s="204">
        <v>0</v>
      </c>
      <c r="W40" s="131">
        <f t="shared" si="3"/>
        <v>2177011.2000000002</v>
      </c>
      <c r="X40" s="209">
        <v>0</v>
      </c>
    </row>
    <row r="41" spans="1:24" customFormat="1">
      <c r="A41" s="74">
        <f t="shared" si="4"/>
        <v>36</v>
      </c>
      <c r="B41" s="79" t="s">
        <v>3003</v>
      </c>
      <c r="C41" s="74">
        <v>2021</v>
      </c>
      <c r="D41" s="14" t="s">
        <v>428</v>
      </c>
      <c r="E41" s="14" t="s">
        <v>3019</v>
      </c>
      <c r="F41" s="14"/>
      <c r="G41" s="53">
        <v>104545455</v>
      </c>
      <c r="H41" s="53">
        <v>0</v>
      </c>
      <c r="I41" s="53">
        <v>10454545.5</v>
      </c>
      <c r="J41" s="53">
        <f t="shared" si="8"/>
        <v>115000000.5</v>
      </c>
      <c r="K41" s="14"/>
      <c r="L41" s="53">
        <v>0</v>
      </c>
      <c r="M41" s="53">
        <v>0</v>
      </c>
      <c r="N41" s="53">
        <v>0</v>
      </c>
      <c r="O41" s="53">
        <v>102454546</v>
      </c>
      <c r="P41" s="53">
        <v>0</v>
      </c>
      <c r="Q41" s="53">
        <v>0</v>
      </c>
      <c r="R41" s="53">
        <v>12545454.5</v>
      </c>
      <c r="S41" s="8">
        <f t="shared" si="1"/>
        <v>0</v>
      </c>
      <c r="T41" s="82"/>
      <c r="U41" s="50">
        <f>(G41+H41)*2%-0.1</f>
        <v>2090909</v>
      </c>
      <c r="V41" s="204">
        <v>0</v>
      </c>
      <c r="W41" s="131">
        <f t="shared" si="3"/>
        <v>10454545.5</v>
      </c>
      <c r="X41" s="209">
        <v>0</v>
      </c>
    </row>
    <row r="42" spans="1:24" customFormat="1">
      <c r="A42" s="74">
        <f t="shared" si="4"/>
        <v>37</v>
      </c>
      <c r="B42" s="79" t="s">
        <v>3003</v>
      </c>
      <c r="C42" s="74">
        <v>2021</v>
      </c>
      <c r="D42" s="14" t="s">
        <v>428</v>
      </c>
      <c r="E42" s="14" t="s">
        <v>3020</v>
      </c>
      <c r="F42" s="14"/>
      <c r="G42" s="53">
        <v>216389455</v>
      </c>
      <c r="H42" s="53">
        <v>21638945.5</v>
      </c>
      <c r="I42" s="53">
        <v>23802840.050000001</v>
      </c>
      <c r="J42" s="53">
        <f t="shared" si="8"/>
        <v>261831240.55000001</v>
      </c>
      <c r="K42" s="14"/>
      <c r="L42" s="53">
        <v>0</v>
      </c>
      <c r="M42" s="53">
        <v>0</v>
      </c>
      <c r="N42" s="53">
        <v>0</v>
      </c>
      <c r="O42" s="53">
        <v>233267833</v>
      </c>
      <c r="P42" s="53">
        <v>0</v>
      </c>
      <c r="Q42" s="53">
        <v>0</v>
      </c>
      <c r="R42" s="53">
        <v>28563407.550000012</v>
      </c>
      <c r="S42" s="8">
        <f t="shared" si="1"/>
        <v>0</v>
      </c>
      <c r="T42" s="82"/>
      <c r="U42" s="50">
        <f>(G42+H42)*2%-0.51</f>
        <v>4760567.5</v>
      </c>
      <c r="V42" s="204">
        <v>0</v>
      </c>
      <c r="W42" s="131">
        <f t="shared" si="3"/>
        <v>23802840.050000001</v>
      </c>
      <c r="X42" s="209">
        <v>0</v>
      </c>
    </row>
    <row r="43" spans="1:24" customFormat="1">
      <c r="A43" s="74">
        <f>A42+1</f>
        <v>38</v>
      </c>
      <c r="B43" s="79" t="s">
        <v>3003</v>
      </c>
      <c r="C43" s="74">
        <v>2021</v>
      </c>
      <c r="D43" s="14" t="s">
        <v>428</v>
      </c>
      <c r="E43" s="168" t="s">
        <v>4862</v>
      </c>
      <c r="F43" s="14" t="s">
        <v>2995</v>
      </c>
      <c r="G43" s="53">
        <v>17955000</v>
      </c>
      <c r="H43" s="53">
        <v>1256850.0000000002</v>
      </c>
      <c r="I43" s="53">
        <v>1921185</v>
      </c>
      <c r="J43" s="53">
        <f t="shared" ref="J43" si="9">G43+H43+I43</f>
        <v>21133035</v>
      </c>
      <c r="K43" s="14"/>
      <c r="L43" s="53">
        <v>0</v>
      </c>
      <c r="M43" s="53">
        <v>20745898</v>
      </c>
      <c r="N43" s="53">
        <v>0</v>
      </c>
      <c r="O43" s="53">
        <v>0</v>
      </c>
      <c r="P43" s="53">
        <v>0</v>
      </c>
      <c r="Q43" s="53">
        <v>0</v>
      </c>
      <c r="R43" s="53">
        <v>387137</v>
      </c>
      <c r="S43" s="8">
        <f t="shared" ref="S43" si="10">J43-(SUM(L43:R43))</f>
        <v>0</v>
      </c>
      <c r="T43" s="82"/>
      <c r="U43" s="53">
        <f t="shared" ref="U43" si="11">(G43+H43)*2%</f>
        <v>384237</v>
      </c>
      <c r="V43" s="204">
        <v>0</v>
      </c>
      <c r="W43" s="131">
        <f t="shared" si="3"/>
        <v>1921185</v>
      </c>
      <c r="X43" s="209">
        <v>0</v>
      </c>
    </row>
    <row r="44" spans="1:24" customFormat="1">
      <c r="A44" s="74" t="s">
        <v>3382</v>
      </c>
      <c r="B44" s="79" t="s">
        <v>3003</v>
      </c>
      <c r="C44" s="74">
        <v>2021</v>
      </c>
      <c r="D44" s="14" t="s">
        <v>428</v>
      </c>
      <c r="E44" s="14" t="s">
        <v>3011</v>
      </c>
      <c r="F44" s="14"/>
      <c r="G44" s="53">
        <v>55454553</v>
      </c>
      <c r="H44" s="53">
        <v>0</v>
      </c>
      <c r="I44" s="53">
        <v>5545455.3000000007</v>
      </c>
      <c r="J44" s="53">
        <f t="shared" si="8"/>
        <v>61000008.299999997</v>
      </c>
      <c r="K44" s="14"/>
      <c r="L44" s="53">
        <v>0</v>
      </c>
      <c r="M44" s="53">
        <v>0</v>
      </c>
      <c r="N44" s="53">
        <v>0</v>
      </c>
      <c r="O44" s="53">
        <v>54345462</v>
      </c>
      <c r="P44" s="53">
        <v>0</v>
      </c>
      <c r="Q44" s="53">
        <v>0</v>
      </c>
      <c r="R44" s="53">
        <v>6654546.299999997</v>
      </c>
      <c r="S44" s="8">
        <f t="shared" si="1"/>
        <v>0</v>
      </c>
      <c r="T44" s="82"/>
      <c r="U44" s="53">
        <f>(G44+H44)*2%-0.06</f>
        <v>1109091</v>
      </c>
      <c r="V44" s="204">
        <v>0</v>
      </c>
      <c r="W44" s="131">
        <f t="shared" si="3"/>
        <v>5545455.3000000007</v>
      </c>
      <c r="X44" s="209">
        <v>0</v>
      </c>
    </row>
    <row r="45" spans="1:24" customFormat="1">
      <c r="A45" s="74">
        <f>A43+1</f>
        <v>39</v>
      </c>
      <c r="B45" s="79" t="s">
        <v>3003</v>
      </c>
      <c r="C45" s="74">
        <v>2021</v>
      </c>
      <c r="D45" s="14" t="s">
        <v>600</v>
      </c>
      <c r="E45" s="14" t="s">
        <v>2960</v>
      </c>
      <c r="F45" s="14"/>
      <c r="G45" s="53">
        <v>416500000</v>
      </c>
      <c r="H45" s="53">
        <v>20408500</v>
      </c>
      <c r="I45" s="53">
        <v>43690850</v>
      </c>
      <c r="J45" s="53">
        <f t="shared" si="8"/>
        <v>480599350</v>
      </c>
      <c r="K45" s="14"/>
      <c r="L45" s="53">
        <v>0</v>
      </c>
      <c r="M45" s="53">
        <v>436500330</v>
      </c>
      <c r="N45" s="53">
        <v>0</v>
      </c>
      <c r="O45" s="53">
        <v>0</v>
      </c>
      <c r="P45" s="53">
        <v>0</v>
      </c>
      <c r="Q45" s="53">
        <v>0</v>
      </c>
      <c r="R45" s="53">
        <v>44099020</v>
      </c>
      <c r="S45" s="8">
        <f t="shared" si="1"/>
        <v>0</v>
      </c>
      <c r="T45" s="82"/>
      <c r="U45" s="50">
        <f>(H45)*2%</f>
        <v>408170</v>
      </c>
      <c r="V45" s="204">
        <v>0</v>
      </c>
      <c r="W45" s="131">
        <f t="shared" si="3"/>
        <v>43690850</v>
      </c>
      <c r="X45" s="209">
        <v>0</v>
      </c>
    </row>
    <row r="46" spans="1:24" customFormat="1">
      <c r="A46" s="74">
        <f t="shared" si="4"/>
        <v>40</v>
      </c>
      <c r="B46" s="79" t="s">
        <v>3003</v>
      </c>
      <c r="C46" s="74">
        <v>2021</v>
      </c>
      <c r="D46" s="14" t="s">
        <v>428</v>
      </c>
      <c r="E46" s="14" t="s">
        <v>4140</v>
      </c>
      <c r="F46" s="14"/>
      <c r="G46" s="53">
        <v>84650000</v>
      </c>
      <c r="H46" s="53">
        <v>8465000</v>
      </c>
      <c r="I46" s="53">
        <v>9311500</v>
      </c>
      <c r="J46" s="53">
        <f t="shared" si="8"/>
        <v>102426500</v>
      </c>
      <c r="K46" s="14"/>
      <c r="L46" s="53">
        <v>0</v>
      </c>
      <c r="M46" s="53">
        <v>0</v>
      </c>
      <c r="N46" s="53">
        <v>0</v>
      </c>
      <c r="O46" s="53">
        <v>91252700</v>
      </c>
      <c r="P46" s="53">
        <v>0</v>
      </c>
      <c r="Q46" s="53">
        <v>0</v>
      </c>
      <c r="R46" s="53">
        <v>11173800</v>
      </c>
      <c r="S46" s="8">
        <f t="shared" si="1"/>
        <v>0</v>
      </c>
      <c r="T46" s="82"/>
      <c r="U46" s="50">
        <f>(G46+H46)*2%</f>
        <v>1862300</v>
      </c>
      <c r="V46" s="204">
        <v>0</v>
      </c>
      <c r="W46" s="131">
        <f t="shared" si="3"/>
        <v>9311500</v>
      </c>
      <c r="X46" s="209">
        <v>0</v>
      </c>
    </row>
    <row r="47" spans="1:24" customFormat="1">
      <c r="A47" s="74">
        <f t="shared" si="4"/>
        <v>41</v>
      </c>
      <c r="B47" s="79" t="s">
        <v>3003</v>
      </c>
      <c r="C47" s="74">
        <v>2021</v>
      </c>
      <c r="D47" s="14" t="s">
        <v>428</v>
      </c>
      <c r="E47" s="14" t="s">
        <v>3012</v>
      </c>
      <c r="F47" s="14"/>
      <c r="G47" s="53">
        <v>221136500</v>
      </c>
      <c r="H47" s="53">
        <v>22113650</v>
      </c>
      <c r="I47" s="53">
        <v>24325015</v>
      </c>
      <c r="J47" s="53">
        <f t="shared" si="8"/>
        <v>267575165</v>
      </c>
      <c r="K47" s="14"/>
      <c r="L47" s="53">
        <v>0</v>
      </c>
      <c r="M47" s="53">
        <v>0</v>
      </c>
      <c r="N47" s="53">
        <v>0</v>
      </c>
      <c r="O47" s="53">
        <v>238385147</v>
      </c>
      <c r="P47" s="53">
        <v>0</v>
      </c>
      <c r="Q47" s="53">
        <v>0</v>
      </c>
      <c r="R47" s="53">
        <v>29190018</v>
      </c>
      <c r="S47" s="8">
        <f t="shared" si="1"/>
        <v>0</v>
      </c>
      <c r="T47" s="82"/>
      <c r="U47" s="50">
        <f t="shared" ref="U47:U71" si="12">(G47+H47)*2%</f>
        <v>4865003</v>
      </c>
      <c r="V47" s="204">
        <v>0</v>
      </c>
      <c r="W47" s="131">
        <f t="shared" si="3"/>
        <v>24325015</v>
      </c>
      <c r="X47" s="209">
        <v>0</v>
      </c>
    </row>
    <row r="48" spans="1:24" s="14" customFormat="1">
      <c r="A48" s="74">
        <f t="shared" si="4"/>
        <v>42</v>
      </c>
      <c r="B48" s="79" t="s">
        <v>3004</v>
      </c>
      <c r="C48" s="74">
        <v>2021</v>
      </c>
      <c r="D48" s="14" t="s">
        <v>428</v>
      </c>
      <c r="E48" s="14" t="s">
        <v>3013</v>
      </c>
      <c r="F48" s="14" t="s">
        <v>2961</v>
      </c>
      <c r="G48" s="53">
        <v>122800000</v>
      </c>
      <c r="H48" s="53">
        <v>12280000</v>
      </c>
      <c r="I48" s="53">
        <v>13508000</v>
      </c>
      <c r="J48" s="53">
        <f t="shared" si="8"/>
        <v>148588000</v>
      </c>
      <c r="L48" s="53">
        <v>0</v>
      </c>
      <c r="M48" s="53">
        <v>0</v>
      </c>
      <c r="N48" s="53">
        <v>0</v>
      </c>
      <c r="O48" s="53">
        <v>132378400</v>
      </c>
      <c r="P48" s="53">
        <v>0</v>
      </c>
      <c r="Q48" s="53">
        <v>0</v>
      </c>
      <c r="R48" s="53">
        <v>16209600</v>
      </c>
      <c r="S48" s="8">
        <f t="shared" si="1"/>
        <v>0</v>
      </c>
      <c r="T48" s="80"/>
      <c r="U48" s="53">
        <f t="shared" si="12"/>
        <v>2701600</v>
      </c>
      <c r="V48" s="204">
        <v>0</v>
      </c>
      <c r="W48" s="131">
        <f t="shared" si="3"/>
        <v>13508000</v>
      </c>
      <c r="X48" s="209">
        <v>0</v>
      </c>
    </row>
    <row r="49" spans="1:26" customFormat="1">
      <c r="A49" s="74">
        <f t="shared" si="4"/>
        <v>43</v>
      </c>
      <c r="B49" s="79" t="s">
        <v>3004</v>
      </c>
      <c r="C49" s="74">
        <v>2021</v>
      </c>
      <c r="D49" s="14" t="s">
        <v>428</v>
      </c>
      <c r="E49" s="14" t="s">
        <v>3014</v>
      </c>
      <c r="F49" s="14"/>
      <c r="G49" s="53">
        <v>495867800</v>
      </c>
      <c r="H49" s="53">
        <v>49586780</v>
      </c>
      <c r="I49" s="53">
        <v>54545458</v>
      </c>
      <c r="J49" s="53">
        <f t="shared" si="8"/>
        <v>600000038</v>
      </c>
      <c r="K49" s="14"/>
      <c r="L49" s="53">
        <v>0</v>
      </c>
      <c r="M49" s="53">
        <v>0</v>
      </c>
      <c r="N49" s="53">
        <v>0</v>
      </c>
      <c r="O49" s="53">
        <v>534545454</v>
      </c>
      <c r="P49" s="53">
        <v>0</v>
      </c>
      <c r="Q49" s="53">
        <v>0</v>
      </c>
      <c r="R49" s="53">
        <v>65454584</v>
      </c>
      <c r="S49" s="8">
        <f t="shared" si="1"/>
        <v>0</v>
      </c>
      <c r="T49" s="82"/>
      <c r="U49" s="50">
        <f>(G49+H49)*2%+0.4</f>
        <v>10909092</v>
      </c>
      <c r="V49" s="204">
        <v>0</v>
      </c>
      <c r="W49" s="131">
        <f t="shared" si="3"/>
        <v>54545458</v>
      </c>
      <c r="X49" s="209">
        <v>0</v>
      </c>
    </row>
    <row r="50" spans="1:26" customFormat="1">
      <c r="A50" s="74">
        <f t="shared" si="4"/>
        <v>44</v>
      </c>
      <c r="B50" s="79" t="s">
        <v>3004</v>
      </c>
      <c r="C50" s="51">
        <v>2021</v>
      </c>
      <c r="D50" s="14" t="s">
        <v>428</v>
      </c>
      <c r="E50" s="14" t="s">
        <v>3013</v>
      </c>
      <c r="F50" s="14" t="s">
        <v>2962</v>
      </c>
      <c r="G50" s="53">
        <v>230100000</v>
      </c>
      <c r="H50" s="53">
        <v>13806000</v>
      </c>
      <c r="I50" s="53">
        <v>24390600</v>
      </c>
      <c r="J50" s="53">
        <f t="shared" si="8"/>
        <v>268296600</v>
      </c>
      <c r="K50" s="14"/>
      <c r="L50" s="53">
        <v>0</v>
      </c>
      <c r="M50" s="53">
        <v>0</v>
      </c>
      <c r="N50" s="53">
        <v>0</v>
      </c>
      <c r="O50" s="53">
        <v>243906000</v>
      </c>
      <c r="P50" s="53">
        <v>0</v>
      </c>
      <c r="Q50" s="53">
        <v>0</v>
      </c>
      <c r="R50" s="53">
        <v>24390600</v>
      </c>
      <c r="S50" s="8">
        <f t="shared" si="1"/>
        <v>0</v>
      </c>
      <c r="T50" s="82"/>
      <c r="U50" s="50">
        <v>0</v>
      </c>
      <c r="V50" s="204">
        <v>0</v>
      </c>
      <c r="W50" s="131">
        <v>0</v>
      </c>
      <c r="X50" s="209">
        <v>0</v>
      </c>
    </row>
    <row r="51" spans="1:26" customFormat="1">
      <c r="A51" s="74">
        <f t="shared" si="4"/>
        <v>45</v>
      </c>
      <c r="B51" s="79" t="s">
        <v>3004</v>
      </c>
      <c r="C51" s="74">
        <v>2021</v>
      </c>
      <c r="D51" s="14" t="s">
        <v>428</v>
      </c>
      <c r="E51" s="14" t="s">
        <v>3015</v>
      </c>
      <c r="F51" s="14"/>
      <c r="G51" s="53">
        <v>123966942</v>
      </c>
      <c r="H51" s="53">
        <v>12396694.200000001</v>
      </c>
      <c r="I51" s="53">
        <v>13636363.619999999</v>
      </c>
      <c r="J51" s="53">
        <f t="shared" si="8"/>
        <v>149999999.81999999</v>
      </c>
      <c r="K51" s="14"/>
      <c r="L51" s="53">
        <v>0</v>
      </c>
      <c r="M51" s="53">
        <v>0</v>
      </c>
      <c r="N51" s="53">
        <v>0</v>
      </c>
      <c r="O51" s="53">
        <v>133636363.47599998</v>
      </c>
      <c r="P51" s="53">
        <v>0</v>
      </c>
      <c r="Q51" s="53">
        <v>0</v>
      </c>
      <c r="R51" s="53">
        <v>16363636.344000012</v>
      </c>
      <c r="S51" s="8">
        <f t="shared" si="1"/>
        <v>0</v>
      </c>
      <c r="T51" s="82"/>
      <c r="U51" s="50">
        <f t="shared" si="12"/>
        <v>2727272.7239999999</v>
      </c>
      <c r="V51" s="204">
        <v>0</v>
      </c>
      <c r="W51" s="131">
        <f t="shared" si="3"/>
        <v>13636363.619999999</v>
      </c>
      <c r="X51" s="209">
        <v>0</v>
      </c>
    </row>
    <row r="52" spans="1:26" customFormat="1">
      <c r="A52" s="74">
        <f t="shared" si="4"/>
        <v>46</v>
      </c>
      <c r="B52" s="79" t="s">
        <v>3004</v>
      </c>
      <c r="C52" s="74">
        <v>2021</v>
      </c>
      <c r="D52" s="14" t="s">
        <v>428</v>
      </c>
      <c r="E52" s="14" t="s">
        <v>3012</v>
      </c>
      <c r="F52" s="14" t="s">
        <v>2963</v>
      </c>
      <c r="G52" s="53">
        <v>14849999.999999998</v>
      </c>
      <c r="H52" s="53">
        <v>0</v>
      </c>
      <c r="I52" s="53">
        <v>1485000</v>
      </c>
      <c r="J52" s="53">
        <f t="shared" si="8"/>
        <v>16334999.999999998</v>
      </c>
      <c r="K52" s="14"/>
      <c r="L52" s="53">
        <v>0</v>
      </c>
      <c r="M52" s="53">
        <v>0</v>
      </c>
      <c r="N52" s="53">
        <v>0</v>
      </c>
      <c r="O52" s="53">
        <v>14553000</v>
      </c>
      <c r="P52" s="53">
        <v>0</v>
      </c>
      <c r="Q52" s="53">
        <v>0</v>
      </c>
      <c r="R52" s="53">
        <v>1781999.9999999981</v>
      </c>
      <c r="S52" s="8">
        <f t="shared" si="1"/>
        <v>0</v>
      </c>
      <c r="T52" s="82"/>
      <c r="U52" s="50">
        <f t="shared" si="12"/>
        <v>296999.99999999994</v>
      </c>
      <c r="V52" s="204">
        <v>0</v>
      </c>
      <c r="W52" s="131">
        <f>I52</f>
        <v>1485000</v>
      </c>
      <c r="X52" s="209">
        <v>0</v>
      </c>
    </row>
    <row r="53" spans="1:26" customFormat="1">
      <c r="A53" s="74">
        <f t="shared" si="4"/>
        <v>47</v>
      </c>
      <c r="B53" s="79" t="s">
        <v>3004</v>
      </c>
      <c r="C53" s="74">
        <v>2021</v>
      </c>
      <c r="D53" s="14" t="s">
        <v>428</v>
      </c>
      <c r="E53" t="s">
        <v>4141</v>
      </c>
      <c r="F53" s="14"/>
      <c r="G53" s="53">
        <v>6109000</v>
      </c>
      <c r="H53" s="53">
        <v>0</v>
      </c>
      <c r="I53" s="53">
        <v>610900</v>
      </c>
      <c r="J53" s="53">
        <f t="shared" si="8"/>
        <v>6719900</v>
      </c>
      <c r="K53" s="14"/>
      <c r="L53" s="53">
        <v>0</v>
      </c>
      <c r="M53" s="53">
        <v>0</v>
      </c>
      <c r="N53" s="53">
        <v>0</v>
      </c>
      <c r="O53" s="53">
        <v>6597720</v>
      </c>
      <c r="P53" s="53">
        <v>0</v>
      </c>
      <c r="Q53" s="53">
        <v>0</v>
      </c>
      <c r="R53" s="53">
        <v>122180</v>
      </c>
      <c r="S53" s="8">
        <f t="shared" si="1"/>
        <v>0</v>
      </c>
      <c r="T53" s="82"/>
      <c r="U53" s="50">
        <f t="shared" si="12"/>
        <v>122180</v>
      </c>
      <c r="V53" s="204">
        <v>0</v>
      </c>
      <c r="W53" s="131">
        <f t="shared" si="3"/>
        <v>610900</v>
      </c>
      <c r="X53" s="209">
        <v>0</v>
      </c>
    </row>
    <row r="54" spans="1:26" customFormat="1">
      <c r="A54" s="74">
        <f t="shared" si="4"/>
        <v>48</v>
      </c>
      <c r="B54" s="79" t="s">
        <v>3005</v>
      </c>
      <c r="C54" s="74">
        <v>2021</v>
      </c>
      <c r="D54" s="14" t="s">
        <v>600</v>
      </c>
      <c r="E54" s="14" t="s">
        <v>2965</v>
      </c>
      <c r="F54" s="14" t="s">
        <v>2955</v>
      </c>
      <c r="G54" s="53">
        <v>607425000</v>
      </c>
      <c r="H54" s="53">
        <v>60742500</v>
      </c>
      <c r="I54" s="53">
        <v>66816750</v>
      </c>
      <c r="J54" s="53">
        <f t="shared" si="8"/>
        <v>734984250</v>
      </c>
      <c r="K54" s="14"/>
      <c r="L54" s="53">
        <v>0</v>
      </c>
      <c r="M54" s="53">
        <v>654804150</v>
      </c>
      <c r="N54" s="53">
        <v>0</v>
      </c>
      <c r="O54" s="53">
        <v>0</v>
      </c>
      <c r="P54" s="53">
        <v>0</v>
      </c>
      <c r="Q54" s="53">
        <v>0</v>
      </c>
      <c r="R54" s="53">
        <v>80180100</v>
      </c>
      <c r="S54" s="8">
        <f t="shared" si="1"/>
        <v>0</v>
      </c>
      <c r="T54" s="82"/>
      <c r="U54" s="50">
        <f t="shared" si="12"/>
        <v>13363350</v>
      </c>
      <c r="V54" s="204">
        <v>0</v>
      </c>
      <c r="W54" s="131">
        <f t="shared" si="3"/>
        <v>66816750</v>
      </c>
      <c r="X54" s="209">
        <v>0</v>
      </c>
    </row>
    <row r="55" spans="1:26" customFormat="1">
      <c r="A55" s="74">
        <f t="shared" si="4"/>
        <v>49</v>
      </c>
      <c r="B55" s="79" t="s">
        <v>3005</v>
      </c>
      <c r="C55" s="74">
        <v>2021</v>
      </c>
      <c r="D55" s="14" t="s">
        <v>4457</v>
      </c>
      <c r="E55" s="14" t="s">
        <v>4457</v>
      </c>
      <c r="F55" s="14"/>
      <c r="G55" s="53">
        <v>0</v>
      </c>
      <c r="H55" s="53">
        <v>0</v>
      </c>
      <c r="I55" s="53">
        <v>0</v>
      </c>
      <c r="J55" s="53">
        <f t="shared" si="8"/>
        <v>0</v>
      </c>
      <c r="K55" s="14"/>
      <c r="L55" s="53">
        <v>0</v>
      </c>
      <c r="M55" s="53">
        <v>0</v>
      </c>
      <c r="N55" s="53">
        <v>0</v>
      </c>
      <c r="O55" s="53">
        <v>0</v>
      </c>
      <c r="P55" s="53">
        <v>0</v>
      </c>
      <c r="Q55" s="53">
        <v>0</v>
      </c>
      <c r="R55" s="53">
        <v>0</v>
      </c>
      <c r="S55" s="8">
        <f t="shared" si="1"/>
        <v>0</v>
      </c>
      <c r="T55" s="82"/>
      <c r="U55" s="50">
        <f t="shared" si="12"/>
        <v>0</v>
      </c>
      <c r="V55" s="204">
        <v>0</v>
      </c>
      <c r="W55" s="131">
        <f t="shared" si="3"/>
        <v>0</v>
      </c>
      <c r="X55" s="209">
        <v>0</v>
      </c>
    </row>
    <row r="56" spans="1:26" customFormat="1">
      <c r="A56" s="74">
        <f t="shared" si="4"/>
        <v>50</v>
      </c>
      <c r="B56" s="79" t="s">
        <v>3005</v>
      </c>
      <c r="C56" s="74">
        <v>2021</v>
      </c>
      <c r="D56" s="14" t="s">
        <v>449</v>
      </c>
      <c r="E56" s="14" t="s">
        <v>2043</v>
      </c>
      <c r="F56" s="14" t="s">
        <v>2966</v>
      </c>
      <c r="G56" s="53">
        <v>90000000</v>
      </c>
      <c r="H56" s="53">
        <v>0</v>
      </c>
      <c r="I56" s="53">
        <v>9000000</v>
      </c>
      <c r="J56" s="53">
        <f t="shared" si="8"/>
        <v>99000000</v>
      </c>
      <c r="K56" s="14"/>
      <c r="L56" s="53">
        <v>0</v>
      </c>
      <c r="M56" s="53">
        <v>88200000</v>
      </c>
      <c r="N56" s="53">
        <v>0</v>
      </c>
      <c r="O56" s="53">
        <v>0</v>
      </c>
      <c r="P56" s="53">
        <v>0</v>
      </c>
      <c r="Q56" s="53">
        <v>0</v>
      </c>
      <c r="R56" s="53">
        <v>10800000</v>
      </c>
      <c r="S56" s="8">
        <f t="shared" si="1"/>
        <v>0</v>
      </c>
      <c r="T56" s="82"/>
      <c r="U56" s="50">
        <f t="shared" si="12"/>
        <v>1800000</v>
      </c>
      <c r="V56" s="204">
        <v>0</v>
      </c>
      <c r="W56" s="131">
        <f t="shared" si="3"/>
        <v>9000000</v>
      </c>
      <c r="X56" s="209">
        <v>0</v>
      </c>
    </row>
    <row r="57" spans="1:26" customFormat="1">
      <c r="A57" s="74">
        <f t="shared" si="4"/>
        <v>51</v>
      </c>
      <c r="B57" s="79" t="s">
        <v>3005</v>
      </c>
      <c r="C57" s="74">
        <v>2021</v>
      </c>
      <c r="D57" s="14" t="s">
        <v>428</v>
      </c>
      <c r="E57" s="14" t="s">
        <v>2043</v>
      </c>
      <c r="F57" s="14" t="s">
        <v>2967</v>
      </c>
      <c r="G57" s="53">
        <v>10000000</v>
      </c>
      <c r="H57" s="53">
        <v>1000000</v>
      </c>
      <c r="I57" s="53">
        <v>1100000</v>
      </c>
      <c r="J57" s="53">
        <f t="shared" si="8"/>
        <v>12100000</v>
      </c>
      <c r="K57" s="14"/>
      <c r="L57" s="53">
        <v>0</v>
      </c>
      <c r="M57" s="53">
        <v>0</v>
      </c>
      <c r="N57" s="53">
        <v>0</v>
      </c>
      <c r="O57" s="53">
        <v>10780000</v>
      </c>
      <c r="P57" s="53">
        <v>0</v>
      </c>
      <c r="Q57" s="53">
        <v>0</v>
      </c>
      <c r="R57" s="53">
        <v>1320000</v>
      </c>
      <c r="S57" s="8">
        <f t="shared" si="1"/>
        <v>0</v>
      </c>
      <c r="T57" s="82"/>
      <c r="U57" s="53">
        <f t="shared" si="12"/>
        <v>220000</v>
      </c>
      <c r="V57" s="204">
        <v>0</v>
      </c>
      <c r="W57" s="131">
        <f t="shared" si="3"/>
        <v>1100000</v>
      </c>
      <c r="X57" s="209">
        <v>0</v>
      </c>
    </row>
    <row r="58" spans="1:26" customFormat="1">
      <c r="A58" s="74">
        <f t="shared" si="4"/>
        <v>52</v>
      </c>
      <c r="B58" s="79" t="s">
        <v>3005</v>
      </c>
      <c r="C58" s="74">
        <v>2021</v>
      </c>
      <c r="D58" s="14" t="s">
        <v>428</v>
      </c>
      <c r="E58" s="14" t="s">
        <v>3052</v>
      </c>
      <c r="F58" s="14"/>
      <c r="G58" s="53">
        <v>752066116</v>
      </c>
      <c r="H58" s="53">
        <v>75206611.600000009</v>
      </c>
      <c r="I58" s="53">
        <v>82727272.760000005</v>
      </c>
      <c r="J58" s="53">
        <f t="shared" si="8"/>
        <v>910000000.36000001</v>
      </c>
      <c r="K58" s="14"/>
      <c r="L58" s="53">
        <v>0</v>
      </c>
      <c r="M58" s="53">
        <v>0</v>
      </c>
      <c r="N58" s="53">
        <v>0</v>
      </c>
      <c r="O58" s="53">
        <v>810727273</v>
      </c>
      <c r="P58" s="53">
        <v>0</v>
      </c>
      <c r="Q58" s="53">
        <v>0</v>
      </c>
      <c r="R58" s="53">
        <v>99272727.360000014</v>
      </c>
      <c r="S58" s="8">
        <f t="shared" si="1"/>
        <v>0</v>
      </c>
      <c r="T58" s="82"/>
      <c r="U58" s="50">
        <f>(G58+H58)*2%+0.05</f>
        <v>16545454.602000002</v>
      </c>
      <c r="V58" s="204">
        <v>0</v>
      </c>
      <c r="W58" s="131">
        <f t="shared" si="3"/>
        <v>82727272.760000005</v>
      </c>
      <c r="X58" s="209">
        <v>0</v>
      </c>
    </row>
    <row r="59" spans="1:26" customFormat="1">
      <c r="A59" s="74">
        <f t="shared" si="4"/>
        <v>53</v>
      </c>
      <c r="B59" s="79" t="s">
        <v>3005</v>
      </c>
      <c r="C59" s="74">
        <v>2021</v>
      </c>
      <c r="D59" s="14" t="s">
        <v>2969</v>
      </c>
      <c r="E59" s="14" t="s">
        <v>2970</v>
      </c>
      <c r="F59" s="14" t="s">
        <v>2966</v>
      </c>
      <c r="G59" s="53">
        <v>83150000</v>
      </c>
      <c r="H59" s="53">
        <v>8315000</v>
      </c>
      <c r="I59" s="53">
        <v>9146500</v>
      </c>
      <c r="J59" s="53">
        <f t="shared" si="8"/>
        <v>100611500</v>
      </c>
      <c r="K59" s="14"/>
      <c r="L59" s="53">
        <v>0</v>
      </c>
      <c r="M59" s="53">
        <v>91298700</v>
      </c>
      <c r="N59" s="53">
        <v>0</v>
      </c>
      <c r="O59" s="53">
        <v>0</v>
      </c>
      <c r="P59" s="53">
        <v>0</v>
      </c>
      <c r="Q59" s="53">
        <v>0</v>
      </c>
      <c r="R59" s="53">
        <v>9312800</v>
      </c>
      <c r="S59" s="8">
        <f t="shared" si="1"/>
        <v>0</v>
      </c>
      <c r="T59" s="82"/>
      <c r="U59" s="50">
        <f>(H59)*2%</f>
        <v>166300</v>
      </c>
      <c r="V59" s="204">
        <v>0</v>
      </c>
      <c r="W59" s="131">
        <f t="shared" si="3"/>
        <v>9146500</v>
      </c>
      <c r="X59" s="209">
        <v>0</v>
      </c>
    </row>
    <row r="60" spans="1:26" customFormat="1">
      <c r="A60" s="74">
        <f t="shared" si="4"/>
        <v>54</v>
      </c>
      <c r="B60" s="79" t="s">
        <v>3005</v>
      </c>
      <c r="C60" s="74">
        <v>2021</v>
      </c>
      <c r="D60" s="14" t="s">
        <v>2969</v>
      </c>
      <c r="E60" s="14" t="s">
        <v>2970</v>
      </c>
      <c r="F60" s="14" t="s">
        <v>2967</v>
      </c>
      <c r="G60" s="53">
        <v>12500000</v>
      </c>
      <c r="H60" s="53">
        <v>1250000</v>
      </c>
      <c r="I60" s="53">
        <v>1375000</v>
      </c>
      <c r="J60" s="53">
        <f t="shared" si="8"/>
        <v>15125000</v>
      </c>
      <c r="K60" s="14"/>
      <c r="L60" s="53">
        <v>0</v>
      </c>
      <c r="M60" s="53">
        <v>13725000</v>
      </c>
      <c r="N60" s="53">
        <v>0</v>
      </c>
      <c r="O60" s="53">
        <v>0</v>
      </c>
      <c r="P60" s="53">
        <v>0</v>
      </c>
      <c r="Q60" s="53">
        <v>0</v>
      </c>
      <c r="R60" s="53">
        <v>1400000</v>
      </c>
      <c r="S60" s="8">
        <f t="shared" si="1"/>
        <v>0</v>
      </c>
      <c r="T60" s="82"/>
      <c r="U60" s="50">
        <f>(H60)*2%</f>
        <v>25000</v>
      </c>
      <c r="V60" s="204">
        <v>0</v>
      </c>
      <c r="W60" s="131">
        <f t="shared" si="3"/>
        <v>1375000</v>
      </c>
      <c r="X60" s="209">
        <v>0</v>
      </c>
    </row>
    <row r="61" spans="1:26" customFormat="1">
      <c r="A61" s="74">
        <f t="shared" si="4"/>
        <v>55</v>
      </c>
      <c r="B61" s="79" t="s">
        <v>3005</v>
      </c>
      <c r="C61" s="74">
        <v>2021</v>
      </c>
      <c r="D61" s="14" t="s">
        <v>600</v>
      </c>
      <c r="E61" s="14" t="s">
        <v>2965</v>
      </c>
      <c r="F61" s="14" t="s">
        <v>2971</v>
      </c>
      <c r="G61" s="53">
        <v>171325000</v>
      </c>
      <c r="H61" s="53">
        <v>17132500</v>
      </c>
      <c r="I61" s="53">
        <v>18845750</v>
      </c>
      <c r="J61" s="53">
        <f t="shared" si="8"/>
        <v>207303250</v>
      </c>
      <c r="K61" s="14"/>
      <c r="L61" s="53">
        <v>0</v>
      </c>
      <c r="M61" s="53">
        <v>0</v>
      </c>
      <c r="N61" s="53">
        <v>0</v>
      </c>
      <c r="O61" s="53">
        <v>0</v>
      </c>
      <c r="P61" s="53">
        <v>0</v>
      </c>
      <c r="Q61" s="53">
        <v>0</v>
      </c>
      <c r="R61" s="53">
        <v>0</v>
      </c>
      <c r="S61" s="54">
        <f t="shared" si="1"/>
        <v>207303250</v>
      </c>
      <c r="T61" s="82"/>
      <c r="U61" s="53">
        <v>0</v>
      </c>
      <c r="V61" s="204">
        <f>(G61+H61)*2%</f>
        <v>3769150</v>
      </c>
      <c r="W61" s="80">
        <v>0</v>
      </c>
      <c r="X61" s="209">
        <f>I61</f>
        <v>18845750</v>
      </c>
      <c r="Z61" s="84">
        <f>S61-I61-V61</f>
        <v>184688350</v>
      </c>
    </row>
    <row r="62" spans="1:26" customFormat="1">
      <c r="A62" s="74">
        <f t="shared" si="4"/>
        <v>56</v>
      </c>
      <c r="B62" s="79" t="s">
        <v>3006</v>
      </c>
      <c r="C62" s="74">
        <v>2021</v>
      </c>
      <c r="D62" s="14" t="s">
        <v>600</v>
      </c>
      <c r="E62" s="14" t="s">
        <v>3030</v>
      </c>
      <c r="F62" s="14" t="s">
        <v>2971</v>
      </c>
      <c r="G62" s="53">
        <v>153863636</v>
      </c>
      <c r="H62" s="53">
        <v>15386363.600000001</v>
      </c>
      <c r="I62" s="53">
        <v>16924999.960000001</v>
      </c>
      <c r="J62" s="53">
        <f t="shared" si="8"/>
        <v>186174999.56</v>
      </c>
      <c r="K62" s="14"/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4">
        <f t="shared" si="1"/>
        <v>186174999.56</v>
      </c>
      <c r="T62" s="82"/>
      <c r="U62" s="53">
        <v>0</v>
      </c>
      <c r="V62" s="204">
        <f>(G62+H62)*2%</f>
        <v>3384999.9920000001</v>
      </c>
      <c r="W62" s="80">
        <v>0</v>
      </c>
      <c r="X62" s="209">
        <f>I62</f>
        <v>16924999.960000001</v>
      </c>
      <c r="Z62" s="84">
        <f>S62-I62-V62</f>
        <v>165864999.60799998</v>
      </c>
    </row>
    <row r="63" spans="1:26" customFormat="1">
      <c r="A63" s="74">
        <f t="shared" si="4"/>
        <v>57</v>
      </c>
      <c r="B63" s="79" t="s">
        <v>3006</v>
      </c>
      <c r="C63" s="74">
        <v>2021</v>
      </c>
      <c r="D63" s="14" t="s">
        <v>428</v>
      </c>
      <c r="E63" s="14" t="s">
        <v>3024</v>
      </c>
      <c r="F63" s="14"/>
      <c r="G63" s="53">
        <v>80991736</v>
      </c>
      <c r="H63" s="53">
        <v>8099173.6000000006</v>
      </c>
      <c r="I63" s="53">
        <v>8909090.959999999</v>
      </c>
      <c r="J63" s="53">
        <f t="shared" si="8"/>
        <v>98000000.559999987</v>
      </c>
      <c r="K63" s="14"/>
      <c r="L63" s="53">
        <v>0</v>
      </c>
      <c r="M63" s="53">
        <v>0</v>
      </c>
      <c r="N63" s="53">
        <v>0</v>
      </c>
      <c r="O63" s="53">
        <v>87309091.407999992</v>
      </c>
      <c r="P63" s="53">
        <v>0</v>
      </c>
      <c r="Q63" s="53">
        <v>0</v>
      </c>
      <c r="R63" s="53">
        <v>10690909.151999995</v>
      </c>
      <c r="S63" s="8">
        <f t="shared" si="1"/>
        <v>0</v>
      </c>
      <c r="T63" s="82"/>
      <c r="U63" s="53">
        <f t="shared" si="12"/>
        <v>1781818.1919999998</v>
      </c>
      <c r="V63" s="204">
        <v>0</v>
      </c>
      <c r="W63" s="131">
        <f t="shared" ref="W63:W128" si="13">I63</f>
        <v>8909090.959999999</v>
      </c>
      <c r="X63" s="209">
        <v>0</v>
      </c>
    </row>
    <row r="64" spans="1:26" customFormat="1">
      <c r="A64" s="74">
        <f t="shared" si="4"/>
        <v>58</v>
      </c>
      <c r="B64" s="79" t="s">
        <v>3006</v>
      </c>
      <c r="C64" s="74">
        <v>2021</v>
      </c>
      <c r="D64" s="14" t="s">
        <v>4457</v>
      </c>
      <c r="E64" s="14" t="s">
        <v>4457</v>
      </c>
      <c r="F64" s="14" t="s">
        <v>64</v>
      </c>
      <c r="G64" s="53">
        <v>0</v>
      </c>
      <c r="H64" s="53">
        <v>0</v>
      </c>
      <c r="I64" s="53">
        <v>0</v>
      </c>
      <c r="J64" s="53">
        <f t="shared" ref="J64:J90" si="14">G64+H64+I64</f>
        <v>0</v>
      </c>
      <c r="K64" s="14"/>
      <c r="L64" s="53">
        <v>0</v>
      </c>
      <c r="M64" s="53">
        <v>0</v>
      </c>
      <c r="N64" s="53">
        <v>0</v>
      </c>
      <c r="O64" s="53">
        <v>0</v>
      </c>
      <c r="P64" s="53">
        <v>0</v>
      </c>
      <c r="Q64" s="53">
        <v>0</v>
      </c>
      <c r="R64" s="53">
        <v>0</v>
      </c>
      <c r="S64" s="8">
        <f t="shared" si="1"/>
        <v>0</v>
      </c>
      <c r="T64" s="82"/>
      <c r="U64" s="50">
        <f t="shared" si="12"/>
        <v>0</v>
      </c>
      <c r="V64" s="204">
        <f t="shared" ref="V64:V88" si="15">H64*2%</f>
        <v>0</v>
      </c>
      <c r="W64" s="131">
        <f t="shared" si="13"/>
        <v>0</v>
      </c>
      <c r="X64" s="209">
        <v>0</v>
      </c>
    </row>
    <row r="65" spans="1:29">
      <c r="A65" s="74">
        <f t="shared" si="4"/>
        <v>59</v>
      </c>
      <c r="B65" s="79" t="s">
        <v>3006</v>
      </c>
      <c r="C65" s="74">
        <v>2021</v>
      </c>
      <c r="D65" s="14" t="s">
        <v>600</v>
      </c>
      <c r="E65" s="14" t="s">
        <v>2972</v>
      </c>
      <c r="F65" s="14"/>
      <c r="G65" s="53">
        <v>121709000</v>
      </c>
      <c r="H65" s="53">
        <v>1127000</v>
      </c>
      <c r="I65" s="53">
        <v>12283600</v>
      </c>
      <c r="J65" s="53">
        <f t="shared" si="14"/>
        <v>135119600</v>
      </c>
      <c r="K65" s="14"/>
      <c r="L65" s="53">
        <v>0</v>
      </c>
      <c r="M65" s="53">
        <v>0</v>
      </c>
      <c r="N65" s="53">
        <v>0</v>
      </c>
      <c r="O65" s="53">
        <v>0</v>
      </c>
      <c r="P65" s="53">
        <v>0</v>
      </c>
      <c r="Q65" s="53">
        <v>0</v>
      </c>
      <c r="R65" s="53">
        <v>0</v>
      </c>
      <c r="S65" s="54">
        <f t="shared" si="1"/>
        <v>135119600</v>
      </c>
      <c r="T65" s="82"/>
      <c r="U65" s="53">
        <v>0</v>
      </c>
      <c r="V65" s="204">
        <f>(G65+H65)*2%</f>
        <v>2456720</v>
      </c>
      <c r="W65" s="131">
        <v>0</v>
      </c>
      <c r="X65" s="209">
        <f>I65</f>
        <v>12283600</v>
      </c>
      <c r="Z65" s="84">
        <f>S65-I65-V65</f>
        <v>120379280</v>
      </c>
      <c r="AB65" s="82" t="s">
        <v>64</v>
      </c>
      <c r="AC65" s="84" t="s">
        <v>64</v>
      </c>
    </row>
    <row r="66" spans="1:29">
      <c r="A66" s="74">
        <f t="shared" si="4"/>
        <v>60</v>
      </c>
      <c r="B66" s="79" t="s">
        <v>3006</v>
      </c>
      <c r="C66" s="74">
        <v>2021</v>
      </c>
      <c r="D66" s="14" t="s">
        <v>449</v>
      </c>
      <c r="E66" s="14" t="s">
        <v>4389</v>
      </c>
      <c r="F66" s="14"/>
      <c r="G66" s="53">
        <v>31450650</v>
      </c>
      <c r="H66" s="53">
        <v>0</v>
      </c>
      <c r="I66" s="53">
        <v>0</v>
      </c>
      <c r="J66" s="53">
        <f t="shared" si="14"/>
        <v>31450650</v>
      </c>
      <c r="K66" s="14"/>
      <c r="L66" s="53">
        <v>31450650</v>
      </c>
      <c r="M66" s="53">
        <v>0</v>
      </c>
      <c r="N66" s="53">
        <v>0</v>
      </c>
      <c r="O66" s="53">
        <v>0</v>
      </c>
      <c r="P66" s="53">
        <v>0</v>
      </c>
      <c r="Q66" s="53">
        <v>0</v>
      </c>
      <c r="R66" s="53">
        <v>0</v>
      </c>
      <c r="S66" s="8">
        <f t="shared" si="1"/>
        <v>0</v>
      </c>
      <c r="T66" s="82"/>
      <c r="U66" s="50">
        <v>0</v>
      </c>
      <c r="V66" s="204">
        <f t="shared" si="15"/>
        <v>0</v>
      </c>
      <c r="W66" s="131">
        <f t="shared" si="13"/>
        <v>0</v>
      </c>
      <c r="X66" s="209">
        <v>0</v>
      </c>
      <c r="AB66"/>
      <c r="AC66"/>
    </row>
    <row r="67" spans="1:29">
      <c r="A67" s="74">
        <f t="shared" si="4"/>
        <v>61</v>
      </c>
      <c r="B67" s="79" t="s">
        <v>3006</v>
      </c>
      <c r="C67" s="74">
        <v>2021</v>
      </c>
      <c r="D67" s="14" t="s">
        <v>449</v>
      </c>
      <c r="E67" s="14" t="s">
        <v>2277</v>
      </c>
      <c r="F67" s="14"/>
      <c r="G67" s="53">
        <v>265550000</v>
      </c>
      <c r="H67" s="53">
        <v>18588500</v>
      </c>
      <c r="I67" s="53">
        <v>28413850</v>
      </c>
      <c r="J67" s="53">
        <f t="shared" si="14"/>
        <v>312552350</v>
      </c>
      <c r="K67" s="14"/>
      <c r="L67" s="53">
        <v>0</v>
      </c>
      <c r="M67" s="53">
        <v>278455730</v>
      </c>
      <c r="N67" s="53">
        <v>0</v>
      </c>
      <c r="O67" s="53">
        <v>0</v>
      </c>
      <c r="P67" s="53">
        <v>0</v>
      </c>
      <c r="Q67" s="53">
        <v>0</v>
      </c>
      <c r="R67" s="53">
        <v>34096620</v>
      </c>
      <c r="S67" s="8">
        <f t="shared" si="1"/>
        <v>0</v>
      </c>
      <c r="T67" s="82"/>
      <c r="U67" s="50">
        <f t="shared" si="12"/>
        <v>5682770</v>
      </c>
      <c r="V67" s="204">
        <v>0</v>
      </c>
      <c r="W67" s="131">
        <f t="shared" si="13"/>
        <v>28413850</v>
      </c>
      <c r="X67" s="209">
        <v>0</v>
      </c>
      <c r="AB67"/>
      <c r="AC67"/>
    </row>
    <row r="68" spans="1:29">
      <c r="A68" s="74">
        <f t="shared" si="4"/>
        <v>62</v>
      </c>
      <c r="B68" s="79" t="s">
        <v>3006</v>
      </c>
      <c r="C68" s="74">
        <v>2021</v>
      </c>
      <c r="D68" s="14" t="s">
        <v>428</v>
      </c>
      <c r="E68" s="14" t="s">
        <v>3016</v>
      </c>
      <c r="F68" s="14"/>
      <c r="G68" s="53">
        <v>133575000</v>
      </c>
      <c r="H68" s="53">
        <v>13357500</v>
      </c>
      <c r="I68" s="53">
        <v>14693250</v>
      </c>
      <c r="J68" s="53">
        <f t="shared" si="14"/>
        <v>161625750</v>
      </c>
      <c r="K68" s="14"/>
      <c r="L68" s="53">
        <v>0</v>
      </c>
      <c r="M68" s="53">
        <v>0</v>
      </c>
      <c r="N68" s="53">
        <v>0</v>
      </c>
      <c r="O68" s="53">
        <v>143993850</v>
      </c>
      <c r="P68" s="53">
        <v>0</v>
      </c>
      <c r="Q68" s="53">
        <v>0</v>
      </c>
      <c r="R68" s="53">
        <v>17631900</v>
      </c>
      <c r="S68" s="8">
        <f t="shared" si="1"/>
        <v>0</v>
      </c>
      <c r="T68" s="82"/>
      <c r="U68" s="50">
        <f t="shared" si="12"/>
        <v>2938650</v>
      </c>
      <c r="V68" s="204">
        <v>0</v>
      </c>
      <c r="W68" s="131">
        <f t="shared" si="13"/>
        <v>14693250</v>
      </c>
      <c r="X68" s="209">
        <v>0</v>
      </c>
      <c r="AB68"/>
      <c r="AC68"/>
    </row>
    <row r="69" spans="1:29">
      <c r="A69" s="74">
        <f t="shared" si="4"/>
        <v>63</v>
      </c>
      <c r="B69" s="79" t="s">
        <v>3006</v>
      </c>
      <c r="C69" s="74">
        <v>2021</v>
      </c>
      <c r="D69" s="14" t="s">
        <v>428</v>
      </c>
      <c r="E69" s="14" t="s">
        <v>3017</v>
      </c>
      <c r="F69" s="14"/>
      <c r="G69" s="53">
        <v>87400000</v>
      </c>
      <c r="H69" s="53">
        <v>8740000</v>
      </c>
      <c r="I69" s="53">
        <v>9614000</v>
      </c>
      <c r="J69" s="53">
        <f t="shared" si="14"/>
        <v>105754000</v>
      </c>
      <c r="K69" s="14"/>
      <c r="L69" s="53">
        <v>0</v>
      </c>
      <c r="M69" s="53">
        <v>0</v>
      </c>
      <c r="N69" s="53">
        <v>0</v>
      </c>
      <c r="O69" s="53">
        <v>94217200</v>
      </c>
      <c r="P69" s="53">
        <v>0</v>
      </c>
      <c r="Q69" s="53">
        <v>0</v>
      </c>
      <c r="R69" s="53">
        <v>11536800</v>
      </c>
      <c r="S69" s="8">
        <f t="shared" si="1"/>
        <v>0</v>
      </c>
      <c r="T69" s="82"/>
      <c r="U69" s="50">
        <f t="shared" si="12"/>
        <v>1922800</v>
      </c>
      <c r="V69" s="204">
        <v>0</v>
      </c>
      <c r="W69" s="131">
        <f t="shared" si="13"/>
        <v>9614000</v>
      </c>
      <c r="X69" s="209">
        <v>0</v>
      </c>
      <c r="AB69"/>
      <c r="AC69"/>
    </row>
    <row r="70" spans="1:29" s="14" customFormat="1">
      <c r="A70" s="51">
        <f t="shared" si="4"/>
        <v>64</v>
      </c>
      <c r="B70" s="79" t="s">
        <v>3006</v>
      </c>
      <c r="C70" s="51">
        <v>2021</v>
      </c>
      <c r="D70" s="14" t="s">
        <v>600</v>
      </c>
      <c r="E70" s="14" t="s">
        <v>3073</v>
      </c>
      <c r="F70" s="14" t="s">
        <v>2973</v>
      </c>
      <c r="G70" s="53">
        <v>600235253</v>
      </c>
      <c r="H70" s="53">
        <v>60023525.300000004</v>
      </c>
      <c r="I70" s="53">
        <v>66025877.829999998</v>
      </c>
      <c r="J70" s="53">
        <f t="shared" si="14"/>
        <v>726284656.13</v>
      </c>
      <c r="L70" s="53">
        <v>0</v>
      </c>
      <c r="M70" s="53">
        <v>647053604</v>
      </c>
      <c r="N70" s="53">
        <v>0</v>
      </c>
      <c r="O70" s="53">
        <v>0</v>
      </c>
      <c r="P70" s="53">
        <v>0</v>
      </c>
      <c r="Q70" s="53">
        <v>0</v>
      </c>
      <c r="R70" s="53">
        <v>79231052.129999995</v>
      </c>
      <c r="S70" s="50">
        <f t="shared" ref="S70:S112" si="16">J70-(SUM(L70:R70))</f>
        <v>0</v>
      </c>
      <c r="T70" s="83"/>
      <c r="U70" s="53">
        <f>(G70+H70)*2%-1.27</f>
        <v>13205174.296</v>
      </c>
      <c r="V70" s="204">
        <v>0</v>
      </c>
      <c r="W70" s="131">
        <f t="shared" si="13"/>
        <v>66025877.829999998</v>
      </c>
      <c r="X70" s="209">
        <v>0</v>
      </c>
    </row>
    <row r="71" spans="1:29">
      <c r="A71" s="74">
        <f t="shared" si="4"/>
        <v>65</v>
      </c>
      <c r="B71" s="79" t="s">
        <v>3006</v>
      </c>
      <c r="C71" s="74">
        <v>2021</v>
      </c>
      <c r="D71" s="14" t="s">
        <v>600</v>
      </c>
      <c r="E71" s="14" t="s">
        <v>2974</v>
      </c>
      <c r="F71" s="14"/>
      <c r="G71" s="53">
        <v>243000000</v>
      </c>
      <c r="H71" s="53">
        <v>24300000</v>
      </c>
      <c r="I71" s="53">
        <v>26730000</v>
      </c>
      <c r="J71" s="53">
        <f t="shared" si="14"/>
        <v>294030000</v>
      </c>
      <c r="K71" s="14"/>
      <c r="L71" s="53">
        <v>0</v>
      </c>
      <c r="M71" s="53">
        <v>261954000</v>
      </c>
      <c r="N71" s="53">
        <v>0</v>
      </c>
      <c r="O71" s="53">
        <v>0</v>
      </c>
      <c r="P71" s="53">
        <v>0</v>
      </c>
      <c r="Q71" s="53">
        <v>0</v>
      </c>
      <c r="R71" s="53">
        <v>32076000</v>
      </c>
      <c r="S71" s="8">
        <f t="shared" si="16"/>
        <v>0</v>
      </c>
      <c r="U71" s="50">
        <f t="shared" si="12"/>
        <v>5346000</v>
      </c>
      <c r="V71" s="204">
        <v>0</v>
      </c>
      <c r="W71" s="131">
        <f t="shared" si="13"/>
        <v>26730000</v>
      </c>
      <c r="X71" s="209">
        <v>0</v>
      </c>
      <c r="AB71"/>
      <c r="AC71"/>
    </row>
    <row r="72" spans="1:29">
      <c r="A72" s="74" t="s">
        <v>4456</v>
      </c>
      <c r="B72" s="79" t="s">
        <v>3006</v>
      </c>
      <c r="C72" s="74">
        <v>2021</v>
      </c>
      <c r="D72" s="14" t="s">
        <v>600</v>
      </c>
      <c r="E72" s="14" t="s">
        <v>1127</v>
      </c>
      <c r="F72" s="14"/>
      <c r="G72" s="53">
        <v>2854348</v>
      </c>
      <c r="H72" s="53">
        <v>0</v>
      </c>
      <c r="I72" s="53">
        <v>0</v>
      </c>
      <c r="J72" s="53">
        <f t="shared" si="14"/>
        <v>2854348</v>
      </c>
      <c r="K72" s="14"/>
      <c r="L72" s="53">
        <v>2854348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4">
        <f t="shared" si="16"/>
        <v>0</v>
      </c>
      <c r="T72" s="82"/>
      <c r="U72" s="53">
        <v>0</v>
      </c>
      <c r="V72" s="204">
        <f t="shared" si="15"/>
        <v>0</v>
      </c>
      <c r="W72" s="131">
        <f t="shared" si="13"/>
        <v>0</v>
      </c>
      <c r="X72" s="209">
        <v>0</v>
      </c>
      <c r="AB72"/>
      <c r="AC72"/>
    </row>
    <row r="73" spans="1:29">
      <c r="A73" s="74">
        <f>A71+1</f>
        <v>66</v>
      </c>
      <c r="B73" s="79" t="s">
        <v>3006</v>
      </c>
      <c r="C73" s="74">
        <v>2021</v>
      </c>
      <c r="D73" s="14" t="s">
        <v>600</v>
      </c>
      <c r="E73" s="14" t="s">
        <v>2975</v>
      </c>
      <c r="F73" s="14"/>
      <c r="G73" s="53">
        <v>262575000</v>
      </c>
      <c r="H73" s="53">
        <v>26257500</v>
      </c>
      <c r="I73" s="53">
        <v>28883250</v>
      </c>
      <c r="J73" s="53">
        <f t="shared" ref="J73" si="17">G73+H73+I73</f>
        <v>317715750</v>
      </c>
      <c r="K73" s="14"/>
      <c r="L73" s="53">
        <v>0</v>
      </c>
      <c r="M73" s="53">
        <v>283055850</v>
      </c>
      <c r="N73" s="53">
        <v>0</v>
      </c>
      <c r="O73" s="53">
        <v>0</v>
      </c>
      <c r="P73" s="53">
        <v>0</v>
      </c>
      <c r="Q73" s="53">
        <v>0</v>
      </c>
      <c r="R73" s="53">
        <v>34659900</v>
      </c>
      <c r="S73" s="8">
        <f t="shared" ref="S73" si="18">J73-(SUM(L73:R73))</f>
        <v>0</v>
      </c>
      <c r="U73" s="50">
        <f t="shared" ref="U73" si="19">(G73+H73)*2%</f>
        <v>5776650</v>
      </c>
      <c r="V73" s="204">
        <v>0</v>
      </c>
      <c r="W73" s="131">
        <f t="shared" si="13"/>
        <v>28883250</v>
      </c>
      <c r="X73" s="209">
        <v>0</v>
      </c>
      <c r="AB73"/>
      <c r="AC73"/>
    </row>
    <row r="74" spans="1:29">
      <c r="A74" s="74">
        <f>+A73+1</f>
        <v>67</v>
      </c>
      <c r="B74" s="79" t="s">
        <v>3006</v>
      </c>
      <c r="C74" s="74">
        <v>2021</v>
      </c>
      <c r="D74" s="14" t="s">
        <v>600</v>
      </c>
      <c r="E74" s="14" t="s">
        <v>2976</v>
      </c>
      <c r="F74" s="14"/>
      <c r="G74" s="53">
        <v>373000000</v>
      </c>
      <c r="H74" s="53">
        <v>17904000</v>
      </c>
      <c r="I74" s="53">
        <v>1790400</v>
      </c>
      <c r="J74" s="53">
        <f t="shared" si="14"/>
        <v>392694400</v>
      </c>
      <c r="K74" s="14"/>
      <c r="L74" s="53">
        <v>0</v>
      </c>
      <c r="M74" s="53">
        <v>390545920</v>
      </c>
      <c r="N74" s="53">
        <v>0</v>
      </c>
      <c r="O74" s="53">
        <v>0</v>
      </c>
      <c r="P74" s="53">
        <v>0</v>
      </c>
      <c r="Q74" s="53">
        <v>0</v>
      </c>
      <c r="R74" s="53">
        <v>2148480</v>
      </c>
      <c r="S74" s="8">
        <f t="shared" si="16"/>
        <v>0</v>
      </c>
      <c r="U74" s="50">
        <f>(H74)*2%</f>
        <v>358080</v>
      </c>
      <c r="V74" s="204">
        <v>0</v>
      </c>
      <c r="W74" s="131">
        <f t="shared" si="13"/>
        <v>1790400</v>
      </c>
      <c r="X74" s="209">
        <v>0</v>
      </c>
      <c r="AB74"/>
      <c r="AC74"/>
    </row>
    <row r="75" spans="1:29" s="14" customFormat="1">
      <c r="A75" s="74">
        <f t="shared" ref="A75:A143" si="20">A74+1</f>
        <v>68</v>
      </c>
      <c r="B75" s="79" t="s">
        <v>3006</v>
      </c>
      <c r="C75" s="74">
        <v>2021</v>
      </c>
      <c r="D75" s="14" t="s">
        <v>600</v>
      </c>
      <c r="E75" s="14" t="s">
        <v>3044</v>
      </c>
      <c r="G75" s="53">
        <v>850000</v>
      </c>
      <c r="H75" s="53">
        <v>0</v>
      </c>
      <c r="I75" s="53">
        <v>8500</v>
      </c>
      <c r="J75" s="53">
        <f t="shared" si="14"/>
        <v>858500</v>
      </c>
      <c r="L75" s="53">
        <v>0</v>
      </c>
      <c r="M75" s="53">
        <v>0</v>
      </c>
      <c r="N75" s="53">
        <v>0</v>
      </c>
      <c r="O75" s="53">
        <v>0</v>
      </c>
      <c r="P75" s="53">
        <v>0</v>
      </c>
      <c r="Q75" s="53">
        <v>0</v>
      </c>
      <c r="R75" s="53">
        <v>0</v>
      </c>
      <c r="S75" s="8">
        <f t="shared" si="16"/>
        <v>858500</v>
      </c>
      <c r="T75" s="83"/>
      <c r="U75" s="53">
        <v>0</v>
      </c>
      <c r="V75" s="204">
        <v>0</v>
      </c>
      <c r="W75" s="131">
        <f>I75</f>
        <v>8500</v>
      </c>
      <c r="X75" s="209">
        <v>0</v>
      </c>
      <c r="Z75" s="84">
        <v>0</v>
      </c>
    </row>
    <row r="76" spans="1:29" s="14" customFormat="1">
      <c r="A76" s="74">
        <f t="shared" si="20"/>
        <v>69</v>
      </c>
      <c r="B76" s="79" t="s">
        <v>3007</v>
      </c>
      <c r="C76" s="74">
        <v>2021</v>
      </c>
      <c r="D76" s="14" t="s">
        <v>600</v>
      </c>
      <c r="E76" s="14" t="s">
        <v>4145</v>
      </c>
      <c r="G76" s="53">
        <v>36600000</v>
      </c>
      <c r="H76" s="53">
        <v>2525400</v>
      </c>
      <c r="I76" s="53">
        <v>3912540</v>
      </c>
      <c r="J76" s="53">
        <f t="shared" si="14"/>
        <v>43037940</v>
      </c>
      <c r="L76" s="53">
        <v>0</v>
      </c>
      <c r="M76" s="53">
        <v>38342892</v>
      </c>
      <c r="N76" s="53">
        <v>0</v>
      </c>
      <c r="O76" s="53">
        <v>0</v>
      </c>
      <c r="P76" s="53">
        <v>0</v>
      </c>
      <c r="Q76" s="53">
        <v>0</v>
      </c>
      <c r="R76" s="53">
        <v>4695048</v>
      </c>
      <c r="S76" s="8">
        <f t="shared" si="16"/>
        <v>0</v>
      </c>
      <c r="T76" s="83"/>
      <c r="U76" s="53">
        <f t="shared" ref="U76:U90" si="21">(G76+H76)*2%</f>
        <v>782508</v>
      </c>
      <c r="V76" s="204">
        <v>0</v>
      </c>
      <c r="W76" s="131">
        <f t="shared" si="13"/>
        <v>3912540</v>
      </c>
      <c r="X76" s="209">
        <v>0</v>
      </c>
    </row>
    <row r="77" spans="1:29" s="14" customFormat="1">
      <c r="A77" s="74">
        <f t="shared" si="20"/>
        <v>70</v>
      </c>
      <c r="B77" s="79" t="s">
        <v>3007</v>
      </c>
      <c r="C77" s="74">
        <v>2021</v>
      </c>
      <c r="D77" s="14" t="s">
        <v>428</v>
      </c>
      <c r="E77" s="14" t="s">
        <v>3036</v>
      </c>
      <c r="G77" s="53">
        <v>133200082</v>
      </c>
      <c r="H77" s="53">
        <v>13320008.200000001</v>
      </c>
      <c r="I77" s="53">
        <v>14652009.02</v>
      </c>
      <c r="J77" s="53">
        <f t="shared" si="14"/>
        <v>161172099.22</v>
      </c>
      <c r="L77" s="53">
        <v>0</v>
      </c>
      <c r="M77" s="53">
        <v>0</v>
      </c>
      <c r="N77" s="53">
        <v>0</v>
      </c>
      <c r="O77" s="53">
        <v>143589688.396</v>
      </c>
      <c r="P77" s="53">
        <v>0</v>
      </c>
      <c r="Q77" s="53">
        <v>0</v>
      </c>
      <c r="R77" s="53">
        <v>17582410.824000001</v>
      </c>
      <c r="S77" s="8">
        <f t="shared" si="16"/>
        <v>0</v>
      </c>
      <c r="T77" s="83"/>
      <c r="U77" s="53">
        <f t="shared" si="21"/>
        <v>2930401.804</v>
      </c>
      <c r="V77" s="204">
        <v>0</v>
      </c>
      <c r="W77" s="131">
        <f t="shared" si="13"/>
        <v>14652009.02</v>
      </c>
      <c r="X77" s="209">
        <v>0</v>
      </c>
    </row>
    <row r="78" spans="1:29" s="14" customFormat="1">
      <c r="A78" s="74">
        <f t="shared" si="20"/>
        <v>71</v>
      </c>
      <c r="B78" s="79" t="s">
        <v>3007</v>
      </c>
      <c r="C78" s="74">
        <v>2021</v>
      </c>
      <c r="D78" s="14" t="s">
        <v>428</v>
      </c>
      <c r="E78" s="14" t="s">
        <v>3037</v>
      </c>
      <c r="G78" s="53">
        <v>479383000</v>
      </c>
      <c r="H78" s="53">
        <v>47938300</v>
      </c>
      <c r="I78" s="53">
        <v>52732130</v>
      </c>
      <c r="J78" s="53">
        <f t="shared" si="14"/>
        <v>580053430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8">
        <f t="shared" si="16"/>
        <v>580053430</v>
      </c>
      <c r="T78" s="83"/>
      <c r="U78" s="53">
        <v>0</v>
      </c>
      <c r="V78" s="204">
        <f>(G78+H78)*2%</f>
        <v>10546426</v>
      </c>
      <c r="W78" s="131">
        <v>0</v>
      </c>
      <c r="X78" s="209">
        <f>I78</f>
        <v>52732130</v>
      </c>
      <c r="Z78" s="84">
        <f>S78-I78-V78</f>
        <v>516774874</v>
      </c>
      <c r="AB78" s="83">
        <v>857856363</v>
      </c>
      <c r="AC78" s="83">
        <f>AB78-Z78</f>
        <v>341081489</v>
      </c>
    </row>
    <row r="79" spans="1:29">
      <c r="A79" s="74">
        <f t="shared" si="20"/>
        <v>72</v>
      </c>
      <c r="B79" s="79" t="s">
        <v>3007</v>
      </c>
      <c r="C79" s="74">
        <v>2021</v>
      </c>
      <c r="D79" s="14" t="s">
        <v>428</v>
      </c>
      <c r="E79" s="14" t="s">
        <v>3041</v>
      </c>
      <c r="F79" s="14"/>
      <c r="G79" s="53">
        <v>17148760</v>
      </c>
      <c r="H79" s="53">
        <v>1714876</v>
      </c>
      <c r="I79" s="53">
        <v>1886363.6</v>
      </c>
      <c r="J79" s="53">
        <f t="shared" si="14"/>
        <v>20749999.600000001</v>
      </c>
      <c r="K79" s="14"/>
      <c r="L79" s="53">
        <v>0</v>
      </c>
      <c r="M79" s="53">
        <v>0</v>
      </c>
      <c r="N79" s="53">
        <v>0</v>
      </c>
      <c r="O79" s="53">
        <v>18486363</v>
      </c>
      <c r="P79" s="53">
        <v>0</v>
      </c>
      <c r="Q79" s="53">
        <v>0</v>
      </c>
      <c r="R79" s="53">
        <v>2263636.6000000015</v>
      </c>
      <c r="S79" s="8">
        <f t="shared" si="16"/>
        <v>0</v>
      </c>
      <c r="U79" s="50">
        <f>(G79+H79)*2%+0.28</f>
        <v>377273.00000000006</v>
      </c>
      <c r="V79" s="204">
        <v>0</v>
      </c>
      <c r="W79" s="131">
        <f t="shared" si="13"/>
        <v>1886363.6</v>
      </c>
      <c r="X79" s="209">
        <v>0</v>
      </c>
      <c r="AB79"/>
      <c r="AC79"/>
    </row>
    <row r="80" spans="1:29" s="14" customFormat="1">
      <c r="A80" s="51">
        <f t="shared" si="20"/>
        <v>73</v>
      </c>
      <c r="B80" s="79" t="s">
        <v>3007</v>
      </c>
      <c r="C80" s="51">
        <v>2021</v>
      </c>
      <c r="D80" s="14" t="s">
        <v>600</v>
      </c>
      <c r="E80" s="14" t="s">
        <v>3073</v>
      </c>
      <c r="F80" s="14" t="s">
        <v>64</v>
      </c>
      <c r="G80" s="53">
        <v>321264919</v>
      </c>
      <c r="H80" s="53">
        <v>0</v>
      </c>
      <c r="I80" s="53">
        <v>32126491.900000002</v>
      </c>
      <c r="J80" s="53">
        <f t="shared" si="14"/>
        <v>353391410.89999998</v>
      </c>
      <c r="L80" s="53">
        <v>0</v>
      </c>
      <c r="M80" s="53">
        <v>0</v>
      </c>
      <c r="N80" s="53">
        <v>0</v>
      </c>
      <c r="O80" s="53">
        <v>0</v>
      </c>
      <c r="P80" s="53">
        <v>0</v>
      </c>
      <c r="Q80" s="53">
        <v>0</v>
      </c>
      <c r="R80" s="53">
        <v>0</v>
      </c>
      <c r="S80" s="53">
        <f t="shared" si="16"/>
        <v>353391410.89999998</v>
      </c>
      <c r="T80" s="80"/>
      <c r="U80" s="53">
        <v>0</v>
      </c>
      <c r="V80" s="204">
        <f>(G80+H80)*2%</f>
        <v>6425298.3799999999</v>
      </c>
      <c r="W80" s="131">
        <v>0</v>
      </c>
      <c r="X80" s="209">
        <f>I80</f>
        <v>32126491.900000002</v>
      </c>
      <c r="Z80" s="84">
        <f>S80-I80-V80</f>
        <v>314839620.62</v>
      </c>
    </row>
    <row r="81" spans="1:29">
      <c r="A81" s="74">
        <f t="shared" si="20"/>
        <v>74</v>
      </c>
      <c r="B81" s="79" t="s">
        <v>3007</v>
      </c>
      <c r="C81" s="74">
        <v>2021</v>
      </c>
      <c r="D81" s="14" t="s">
        <v>2978</v>
      </c>
      <c r="E81" s="14" t="s">
        <v>2979</v>
      </c>
      <c r="F81" s="14"/>
      <c r="G81" s="53">
        <v>25000000</v>
      </c>
      <c r="H81" s="53">
        <v>0</v>
      </c>
      <c r="I81" s="53">
        <v>2500000</v>
      </c>
      <c r="J81" s="53">
        <f t="shared" si="14"/>
        <v>27500000</v>
      </c>
      <c r="K81" s="14"/>
      <c r="L81" s="53">
        <v>0</v>
      </c>
      <c r="M81" s="53">
        <v>0</v>
      </c>
      <c r="N81" s="53">
        <v>0</v>
      </c>
      <c r="O81" s="53">
        <v>0</v>
      </c>
      <c r="P81" s="53">
        <v>0</v>
      </c>
      <c r="Q81" s="53">
        <v>0</v>
      </c>
      <c r="R81" s="53">
        <v>0</v>
      </c>
      <c r="S81" s="8">
        <f t="shared" si="16"/>
        <v>27500000</v>
      </c>
      <c r="U81" s="50">
        <v>0</v>
      </c>
      <c r="V81" s="204">
        <f>(G81+H81)*2%</f>
        <v>500000</v>
      </c>
      <c r="W81" s="131">
        <f>I81</f>
        <v>2500000</v>
      </c>
      <c r="X81" s="209">
        <v>0</v>
      </c>
      <c r="Z81" s="84">
        <f>S81-I81-V81</f>
        <v>24500000</v>
      </c>
      <c r="AB81"/>
      <c r="AC81"/>
    </row>
    <row r="82" spans="1:29">
      <c r="A82" s="74">
        <f t="shared" si="20"/>
        <v>75</v>
      </c>
      <c r="B82" s="79" t="s">
        <v>3007</v>
      </c>
      <c r="C82" s="74">
        <v>2021</v>
      </c>
      <c r="D82" s="14" t="s">
        <v>2980</v>
      </c>
      <c r="E82" s="14" t="s">
        <v>3038</v>
      </c>
      <c r="F82" s="14"/>
      <c r="G82" s="53">
        <v>161157400</v>
      </c>
      <c r="H82" s="53">
        <v>16115740</v>
      </c>
      <c r="I82" s="53">
        <v>17727314</v>
      </c>
      <c r="J82" s="53">
        <f t="shared" si="14"/>
        <v>195000454</v>
      </c>
      <c r="K82" s="14"/>
      <c r="L82" s="53">
        <v>0</v>
      </c>
      <c r="M82" s="53">
        <v>0</v>
      </c>
      <c r="N82" s="53">
        <v>0</v>
      </c>
      <c r="O82" s="53">
        <v>191454991</v>
      </c>
      <c r="P82" s="53">
        <v>0</v>
      </c>
      <c r="Q82" s="53">
        <v>0</v>
      </c>
      <c r="R82" s="53">
        <v>3545463</v>
      </c>
      <c r="S82" s="8">
        <f t="shared" si="16"/>
        <v>0</v>
      </c>
      <c r="U82" s="53">
        <f>(G82+H82)*2%+0.2</f>
        <v>3545463.0000000005</v>
      </c>
      <c r="V82" s="204">
        <v>0</v>
      </c>
      <c r="W82" s="131">
        <f t="shared" si="13"/>
        <v>17727314</v>
      </c>
      <c r="X82" s="209">
        <v>0</v>
      </c>
      <c r="AB82"/>
      <c r="AC82"/>
    </row>
    <row r="83" spans="1:29">
      <c r="A83" s="74">
        <f t="shared" si="20"/>
        <v>76</v>
      </c>
      <c r="B83" s="79" t="s">
        <v>3007</v>
      </c>
      <c r="C83" s="74">
        <v>2021</v>
      </c>
      <c r="D83" s="14" t="s">
        <v>4457</v>
      </c>
      <c r="E83" s="14" t="s">
        <v>4457</v>
      </c>
      <c r="F83" s="14" t="s">
        <v>64</v>
      </c>
      <c r="G83" s="53">
        <v>0</v>
      </c>
      <c r="H83" s="53">
        <v>0</v>
      </c>
      <c r="I83" s="53">
        <v>0</v>
      </c>
      <c r="J83" s="53">
        <f t="shared" si="14"/>
        <v>0</v>
      </c>
      <c r="K83" s="14"/>
      <c r="L83" s="53">
        <v>0</v>
      </c>
      <c r="M83" s="53">
        <v>0</v>
      </c>
      <c r="N83" s="53">
        <v>0</v>
      </c>
      <c r="O83" s="53">
        <v>0</v>
      </c>
      <c r="P83" s="53">
        <v>0</v>
      </c>
      <c r="Q83" s="53">
        <v>0</v>
      </c>
      <c r="R83" s="53">
        <v>0</v>
      </c>
      <c r="S83" s="8">
        <f t="shared" si="16"/>
        <v>0</v>
      </c>
      <c r="U83" s="53">
        <f t="shared" si="21"/>
        <v>0</v>
      </c>
      <c r="V83" s="204">
        <f t="shared" si="15"/>
        <v>0</v>
      </c>
      <c r="W83" s="131">
        <f t="shared" si="13"/>
        <v>0</v>
      </c>
      <c r="X83" s="209">
        <v>0</v>
      </c>
      <c r="AB83"/>
      <c r="AC83"/>
    </row>
    <row r="84" spans="1:29">
      <c r="A84" s="74">
        <f t="shared" si="20"/>
        <v>77</v>
      </c>
      <c r="B84" s="79" t="s">
        <v>3007</v>
      </c>
      <c r="C84" s="74">
        <v>2021</v>
      </c>
      <c r="D84" s="14" t="s">
        <v>600</v>
      </c>
      <c r="E84" s="14" t="s">
        <v>2981</v>
      </c>
      <c r="F84" s="14"/>
      <c r="G84" s="53">
        <v>2500000</v>
      </c>
      <c r="H84" s="53">
        <v>0</v>
      </c>
      <c r="I84" s="53">
        <v>0</v>
      </c>
      <c r="J84" s="53">
        <f t="shared" si="14"/>
        <v>2500000</v>
      </c>
      <c r="K84" s="14"/>
      <c r="L84" s="53">
        <v>2500000</v>
      </c>
      <c r="M84" s="53">
        <v>0</v>
      </c>
      <c r="N84" s="53">
        <v>0</v>
      </c>
      <c r="O84" s="53">
        <v>0</v>
      </c>
      <c r="P84" s="53">
        <v>0</v>
      </c>
      <c r="Q84" s="53">
        <v>0</v>
      </c>
      <c r="R84" s="53">
        <v>0</v>
      </c>
      <c r="S84" s="8">
        <f t="shared" si="16"/>
        <v>0</v>
      </c>
      <c r="U84" s="53">
        <v>0</v>
      </c>
      <c r="V84" s="204">
        <f t="shared" si="15"/>
        <v>0</v>
      </c>
      <c r="W84" s="131">
        <f t="shared" si="13"/>
        <v>0</v>
      </c>
      <c r="X84" s="209">
        <v>0</v>
      </c>
      <c r="AB84"/>
      <c r="AC84"/>
    </row>
    <row r="85" spans="1:29">
      <c r="A85" s="74">
        <f t="shared" si="20"/>
        <v>78</v>
      </c>
      <c r="B85" s="79" t="s">
        <v>3007</v>
      </c>
      <c r="C85" s="74">
        <v>2021</v>
      </c>
      <c r="D85" s="14" t="s">
        <v>428</v>
      </c>
      <c r="E85" s="14" t="s">
        <v>2982</v>
      </c>
      <c r="F85" s="14"/>
      <c r="G85" s="53">
        <v>274162000</v>
      </c>
      <c r="H85" s="53">
        <v>27416200</v>
      </c>
      <c r="I85" s="53">
        <v>30157820</v>
      </c>
      <c r="J85" s="53">
        <f t="shared" si="14"/>
        <v>331736020</v>
      </c>
      <c r="K85" s="14"/>
      <c r="L85" s="53">
        <v>0</v>
      </c>
      <c r="M85" s="53">
        <v>0</v>
      </c>
      <c r="N85" s="53">
        <v>0</v>
      </c>
      <c r="O85" s="53">
        <v>295546636</v>
      </c>
      <c r="P85" s="53">
        <v>0</v>
      </c>
      <c r="Q85" s="53">
        <v>0</v>
      </c>
      <c r="R85" s="53">
        <v>36189384</v>
      </c>
      <c r="S85" s="8">
        <f t="shared" si="16"/>
        <v>0</v>
      </c>
      <c r="U85" s="50">
        <f t="shared" si="21"/>
        <v>6031564</v>
      </c>
      <c r="V85" s="204">
        <v>0</v>
      </c>
      <c r="W85" s="131">
        <f t="shared" si="13"/>
        <v>30157820</v>
      </c>
      <c r="X85" s="209">
        <v>0</v>
      </c>
      <c r="AB85"/>
      <c r="AC85"/>
    </row>
    <row r="86" spans="1:29">
      <c r="A86" s="74">
        <f t="shared" si="20"/>
        <v>79</v>
      </c>
      <c r="B86" s="79" t="s">
        <v>3008</v>
      </c>
      <c r="C86" s="74">
        <v>2021</v>
      </c>
      <c r="D86" s="14" t="s">
        <v>2983</v>
      </c>
      <c r="E86" s="14" t="s">
        <v>3039</v>
      </c>
      <c r="F86" s="14"/>
      <c r="G86" s="53">
        <v>230000000</v>
      </c>
      <c r="H86" s="53">
        <v>23000000</v>
      </c>
      <c r="I86" s="53">
        <v>25300000</v>
      </c>
      <c r="J86" s="53">
        <f t="shared" si="14"/>
        <v>278300000</v>
      </c>
      <c r="K86" s="14"/>
      <c r="L86" s="53">
        <v>0</v>
      </c>
      <c r="M86" s="53">
        <v>0</v>
      </c>
      <c r="N86" s="53">
        <v>0</v>
      </c>
      <c r="O86" s="53">
        <v>247937100</v>
      </c>
      <c r="P86" s="53">
        <v>0</v>
      </c>
      <c r="Q86" s="53">
        <v>0</v>
      </c>
      <c r="R86" s="53">
        <v>30362900</v>
      </c>
      <c r="S86" s="8">
        <f t="shared" si="16"/>
        <v>0</v>
      </c>
      <c r="U86" s="53">
        <f t="shared" si="21"/>
        <v>5060000</v>
      </c>
      <c r="V86" s="204">
        <v>0</v>
      </c>
      <c r="W86" s="131">
        <f t="shared" si="13"/>
        <v>25300000</v>
      </c>
      <c r="X86" s="209">
        <v>0</v>
      </c>
      <c r="AB86"/>
      <c r="AC86"/>
    </row>
    <row r="87" spans="1:29">
      <c r="A87" s="74">
        <f t="shared" si="20"/>
        <v>80</v>
      </c>
      <c r="B87" s="79" t="s">
        <v>3008</v>
      </c>
      <c r="C87" s="74">
        <v>2021</v>
      </c>
      <c r="D87" s="14" t="s">
        <v>428</v>
      </c>
      <c r="E87" s="14" t="s">
        <v>2984</v>
      </c>
      <c r="F87" s="14"/>
      <c r="G87" s="53">
        <v>246487000</v>
      </c>
      <c r="H87" s="53">
        <v>24648700</v>
      </c>
      <c r="I87" s="53">
        <v>27113570</v>
      </c>
      <c r="J87" s="53">
        <f t="shared" si="14"/>
        <v>298249270</v>
      </c>
      <c r="K87" s="14"/>
      <c r="L87" s="53">
        <v>0</v>
      </c>
      <c r="M87" s="53">
        <v>0</v>
      </c>
      <c r="N87" s="53">
        <v>0</v>
      </c>
      <c r="O87" s="53">
        <v>265712986</v>
      </c>
      <c r="P87" s="53">
        <v>0</v>
      </c>
      <c r="Q87" s="53">
        <v>0</v>
      </c>
      <c r="R87" s="53">
        <v>32536284</v>
      </c>
      <c r="S87" s="8">
        <f t="shared" si="16"/>
        <v>0</v>
      </c>
      <c r="U87" s="53">
        <f t="shared" si="21"/>
        <v>5422714</v>
      </c>
      <c r="V87" s="204">
        <v>0</v>
      </c>
      <c r="W87" s="131">
        <f t="shared" si="13"/>
        <v>27113570</v>
      </c>
      <c r="X87" s="209">
        <v>0</v>
      </c>
      <c r="AB87"/>
      <c r="AC87"/>
    </row>
    <row r="88" spans="1:29" s="14" customFormat="1">
      <c r="A88" s="74">
        <f t="shared" si="20"/>
        <v>81</v>
      </c>
      <c r="B88" s="79" t="s">
        <v>3008</v>
      </c>
      <c r="C88" s="74">
        <v>2021</v>
      </c>
      <c r="D88" s="14" t="s">
        <v>428</v>
      </c>
      <c r="E88" s="14" t="s">
        <v>2278</v>
      </c>
      <c r="G88" s="53">
        <v>568181818</v>
      </c>
      <c r="H88" s="53">
        <v>0</v>
      </c>
      <c r="I88" s="53">
        <v>56818181.800000004</v>
      </c>
      <c r="J88" s="53">
        <f t="shared" si="14"/>
        <v>624999999.79999995</v>
      </c>
      <c r="L88" s="53">
        <v>0</v>
      </c>
      <c r="M88" s="53">
        <v>0</v>
      </c>
      <c r="N88" s="53">
        <v>0</v>
      </c>
      <c r="O88" s="53">
        <v>556818182</v>
      </c>
      <c r="P88" s="53">
        <v>0</v>
      </c>
      <c r="Q88" s="53">
        <v>0</v>
      </c>
      <c r="R88" s="53">
        <v>68181817.799999952</v>
      </c>
      <c r="S88" s="54">
        <f t="shared" si="16"/>
        <v>0</v>
      </c>
      <c r="T88" s="80"/>
      <c r="U88" s="53">
        <f>(G88+H88)*2%-0.36</f>
        <v>11363636</v>
      </c>
      <c r="V88" s="204">
        <f t="shared" si="15"/>
        <v>0</v>
      </c>
      <c r="W88" s="131">
        <f t="shared" si="13"/>
        <v>56818181.800000004</v>
      </c>
      <c r="X88" s="209">
        <v>0</v>
      </c>
    </row>
    <row r="89" spans="1:29">
      <c r="A89" s="74">
        <f t="shared" si="20"/>
        <v>82</v>
      </c>
      <c r="B89" s="79" t="s">
        <v>3008</v>
      </c>
      <c r="C89" s="74">
        <v>2021</v>
      </c>
      <c r="D89" s="14" t="s">
        <v>428</v>
      </c>
      <c r="E89" s="14" t="s">
        <v>3018</v>
      </c>
      <c r="F89" s="14"/>
      <c r="G89" s="53">
        <v>271500000</v>
      </c>
      <c r="H89" s="53">
        <v>0</v>
      </c>
      <c r="I89" s="53">
        <v>27150000</v>
      </c>
      <c r="J89" s="53">
        <f t="shared" si="14"/>
        <v>298650000</v>
      </c>
      <c r="K89" s="14"/>
      <c r="L89" s="53">
        <v>0</v>
      </c>
      <c r="M89" s="53">
        <v>0</v>
      </c>
      <c r="N89" s="53">
        <v>0</v>
      </c>
      <c r="O89" s="53">
        <v>0</v>
      </c>
      <c r="P89" s="53">
        <v>0</v>
      </c>
      <c r="Q89" s="53">
        <v>0</v>
      </c>
      <c r="R89" s="53">
        <v>0</v>
      </c>
      <c r="S89" s="8">
        <f t="shared" si="16"/>
        <v>298650000</v>
      </c>
      <c r="U89" s="50">
        <v>0</v>
      </c>
      <c r="V89" s="204">
        <f>(G89+H89)*2%</f>
        <v>5430000</v>
      </c>
      <c r="W89" s="131">
        <v>0</v>
      </c>
      <c r="X89" s="209">
        <f>I89</f>
        <v>27150000</v>
      </c>
      <c r="Z89" s="84">
        <f>S89-I89-V89</f>
        <v>266070000</v>
      </c>
    </row>
    <row r="90" spans="1:29" s="14" customFormat="1">
      <c r="A90" s="74">
        <f t="shared" si="20"/>
        <v>83</v>
      </c>
      <c r="B90" s="79" t="s">
        <v>3008</v>
      </c>
      <c r="C90" s="74">
        <v>2021</v>
      </c>
      <c r="D90" s="14" t="s">
        <v>600</v>
      </c>
      <c r="E90" s="14" t="s">
        <v>2985</v>
      </c>
      <c r="G90" s="53">
        <v>636375000</v>
      </c>
      <c r="H90" s="53">
        <v>63637500</v>
      </c>
      <c r="I90" s="53">
        <v>70001250</v>
      </c>
      <c r="J90" s="53">
        <f t="shared" si="14"/>
        <v>770013750</v>
      </c>
      <c r="L90" s="53">
        <v>0</v>
      </c>
      <c r="M90" s="53">
        <v>686012250</v>
      </c>
      <c r="N90" s="53">
        <v>0</v>
      </c>
      <c r="O90" s="53">
        <v>0</v>
      </c>
      <c r="P90" s="53">
        <v>0</v>
      </c>
      <c r="Q90" s="53">
        <v>0</v>
      </c>
      <c r="R90" s="53">
        <v>84001500</v>
      </c>
      <c r="S90" s="8">
        <f t="shared" si="16"/>
        <v>0</v>
      </c>
      <c r="T90" s="83"/>
      <c r="U90" s="50">
        <f t="shared" si="21"/>
        <v>14000250</v>
      </c>
      <c r="V90" s="204">
        <v>0</v>
      </c>
      <c r="W90" s="131">
        <f t="shared" si="13"/>
        <v>70001250</v>
      </c>
      <c r="X90" s="209">
        <v>0</v>
      </c>
    </row>
    <row r="91" spans="1:29" s="14" customFormat="1">
      <c r="A91" s="74">
        <f t="shared" si="20"/>
        <v>84</v>
      </c>
      <c r="B91" s="79" t="s">
        <v>3008</v>
      </c>
      <c r="C91" s="74">
        <v>2021</v>
      </c>
      <c r="D91" s="14" t="s">
        <v>600</v>
      </c>
      <c r="E91" s="14" t="s">
        <v>2986</v>
      </c>
      <c r="G91" s="53">
        <v>113400000</v>
      </c>
      <c r="H91" s="53">
        <v>11340000</v>
      </c>
      <c r="I91" s="53">
        <v>12474000</v>
      </c>
      <c r="J91" s="53">
        <f t="shared" ref="J91:J112" si="22">G91+H91+I91</f>
        <v>137214000</v>
      </c>
      <c r="L91" s="53">
        <v>0</v>
      </c>
      <c r="M91" s="53">
        <v>0</v>
      </c>
      <c r="N91" s="53">
        <v>0</v>
      </c>
      <c r="O91" s="53">
        <v>0</v>
      </c>
      <c r="P91" s="53">
        <v>0</v>
      </c>
      <c r="Q91" s="53">
        <v>0</v>
      </c>
      <c r="R91" s="53">
        <v>0</v>
      </c>
      <c r="S91" s="8">
        <f t="shared" si="16"/>
        <v>137214000</v>
      </c>
      <c r="T91" s="83"/>
      <c r="U91" s="50">
        <v>0</v>
      </c>
      <c r="V91" s="204">
        <f>(G91+H91)*2%</f>
        <v>2494800</v>
      </c>
      <c r="W91" s="131">
        <v>0</v>
      </c>
      <c r="X91" s="209">
        <f>I91</f>
        <v>12474000</v>
      </c>
      <c r="Z91" s="84">
        <f>S91-I91-V91</f>
        <v>122245200</v>
      </c>
    </row>
    <row r="92" spans="1:29" s="14" customFormat="1">
      <c r="A92" s="74">
        <f t="shared" si="20"/>
        <v>85</v>
      </c>
      <c r="B92" s="79" t="s">
        <v>3008</v>
      </c>
      <c r="C92" s="74">
        <v>2021</v>
      </c>
      <c r="D92" s="14" t="s">
        <v>600</v>
      </c>
      <c r="E92" s="168" t="s">
        <v>4142</v>
      </c>
      <c r="G92" s="53">
        <v>23490000</v>
      </c>
      <c r="H92" s="53">
        <v>2349000</v>
      </c>
      <c r="I92" s="53">
        <v>2583900</v>
      </c>
      <c r="J92" s="53">
        <f t="shared" si="22"/>
        <v>28422900</v>
      </c>
      <c r="L92" s="53">
        <v>0</v>
      </c>
      <c r="M92" s="53">
        <v>0</v>
      </c>
      <c r="N92" s="53">
        <v>0</v>
      </c>
      <c r="O92" s="53">
        <v>0</v>
      </c>
      <c r="P92" s="53">
        <v>0</v>
      </c>
      <c r="Q92" s="53">
        <v>0</v>
      </c>
      <c r="R92" s="53">
        <v>0</v>
      </c>
      <c r="S92" s="8">
        <f t="shared" si="16"/>
        <v>28422900</v>
      </c>
      <c r="T92" s="83"/>
      <c r="U92" s="50">
        <v>0</v>
      </c>
      <c r="V92" s="204">
        <f>(G92+H92)*2%</f>
        <v>516780</v>
      </c>
      <c r="W92" s="131">
        <v>0</v>
      </c>
      <c r="X92" s="209">
        <f>I92</f>
        <v>2583900</v>
      </c>
      <c r="Z92" s="84">
        <f>S92-I92-V92</f>
        <v>25322220</v>
      </c>
    </row>
    <row r="93" spans="1:29" s="14" customFormat="1">
      <c r="A93" s="74">
        <f t="shared" si="20"/>
        <v>86</v>
      </c>
      <c r="B93" s="79" t="s">
        <v>3008</v>
      </c>
      <c r="C93" s="74">
        <v>2021</v>
      </c>
      <c r="D93" s="14" t="s">
        <v>4457</v>
      </c>
      <c r="E93" s="14" t="s">
        <v>4457</v>
      </c>
      <c r="G93" s="53">
        <v>0</v>
      </c>
      <c r="H93" s="53">
        <v>0</v>
      </c>
      <c r="I93" s="53">
        <v>0</v>
      </c>
      <c r="J93" s="53">
        <f t="shared" si="22"/>
        <v>0</v>
      </c>
      <c r="L93" s="53">
        <v>0</v>
      </c>
      <c r="M93" s="53">
        <v>0</v>
      </c>
      <c r="N93" s="53">
        <v>0</v>
      </c>
      <c r="O93" s="53">
        <v>0</v>
      </c>
      <c r="P93" s="53">
        <v>0</v>
      </c>
      <c r="Q93" s="53">
        <v>0</v>
      </c>
      <c r="R93" s="53">
        <v>0</v>
      </c>
      <c r="S93" s="8">
        <f t="shared" si="16"/>
        <v>0</v>
      </c>
      <c r="T93" s="83"/>
      <c r="U93" s="50">
        <f t="shared" ref="U93:U109" si="23">(G93+H93)*2%</f>
        <v>0</v>
      </c>
      <c r="V93" s="204">
        <f t="shared" ref="V93:V111" si="24">H93*2%</f>
        <v>0</v>
      </c>
      <c r="W93" s="131">
        <f t="shared" si="13"/>
        <v>0</v>
      </c>
      <c r="X93" s="209">
        <v>0</v>
      </c>
    </row>
    <row r="94" spans="1:29" s="14" customFormat="1">
      <c r="A94" s="74">
        <f t="shared" si="20"/>
        <v>87</v>
      </c>
      <c r="B94" s="79" t="s">
        <v>3008</v>
      </c>
      <c r="C94" s="74">
        <v>2021</v>
      </c>
      <c r="D94" s="14" t="s">
        <v>600</v>
      </c>
      <c r="E94" t="s">
        <v>4143</v>
      </c>
      <c r="G94" s="53">
        <v>720000000</v>
      </c>
      <c r="H94" s="53">
        <v>60576480</v>
      </c>
      <c r="I94" s="53">
        <v>78057648</v>
      </c>
      <c r="J94" s="53">
        <f t="shared" si="22"/>
        <v>858634128</v>
      </c>
      <c r="L94" s="53">
        <v>0</v>
      </c>
      <c r="M94" s="53">
        <v>0</v>
      </c>
      <c r="N94" s="53">
        <v>0</v>
      </c>
      <c r="O94" s="53">
        <v>0</v>
      </c>
      <c r="P94" s="53">
        <v>0</v>
      </c>
      <c r="Q94" s="53">
        <v>0</v>
      </c>
      <c r="R94" s="53">
        <v>0</v>
      </c>
      <c r="S94" s="8">
        <f t="shared" si="16"/>
        <v>858634128</v>
      </c>
      <c r="T94" s="83"/>
      <c r="U94" s="50">
        <v>0</v>
      </c>
      <c r="V94" s="204">
        <f>(G94+H94)*2%</f>
        <v>15611529.6</v>
      </c>
      <c r="W94" s="131">
        <v>0</v>
      </c>
      <c r="X94" s="209">
        <f>I94</f>
        <v>78057648</v>
      </c>
      <c r="Z94" s="84">
        <f>S94-I94-V94</f>
        <v>764964950.39999998</v>
      </c>
    </row>
    <row r="95" spans="1:29" s="14" customFormat="1">
      <c r="A95" s="74">
        <f t="shared" si="20"/>
        <v>88</v>
      </c>
      <c r="B95" s="79" t="s">
        <v>3008</v>
      </c>
      <c r="C95" s="74">
        <v>2021</v>
      </c>
      <c r="D95" s="14" t="s">
        <v>428</v>
      </c>
      <c r="E95" s="14" t="s">
        <v>2279</v>
      </c>
      <c r="G95" s="53">
        <v>1886939750</v>
      </c>
      <c r="H95" s="53">
        <v>188693975</v>
      </c>
      <c r="I95" s="53">
        <v>0</v>
      </c>
      <c r="J95" s="53">
        <f t="shared" si="22"/>
        <v>2075633725</v>
      </c>
      <c r="L95" s="53">
        <v>2075633728</v>
      </c>
      <c r="M95" s="53">
        <v>0</v>
      </c>
      <c r="N95" s="53">
        <v>0</v>
      </c>
      <c r="O95" s="53">
        <v>0</v>
      </c>
      <c r="P95" s="53">
        <v>0</v>
      </c>
      <c r="Q95" s="53">
        <v>0</v>
      </c>
      <c r="R95" s="53">
        <v>-3</v>
      </c>
      <c r="S95" s="8">
        <f t="shared" si="16"/>
        <v>0</v>
      </c>
      <c r="T95" s="83"/>
      <c r="U95" s="50">
        <v>0</v>
      </c>
      <c r="V95" s="204">
        <v>0</v>
      </c>
      <c r="W95" s="131">
        <f t="shared" si="13"/>
        <v>0</v>
      </c>
      <c r="X95" s="209">
        <v>0</v>
      </c>
    </row>
    <row r="96" spans="1:29" s="14" customFormat="1">
      <c r="A96" s="74">
        <f t="shared" si="20"/>
        <v>89</v>
      </c>
      <c r="B96" s="79" t="s">
        <v>3008</v>
      </c>
      <c r="C96" s="74">
        <v>2021</v>
      </c>
      <c r="D96" s="14" t="s">
        <v>428</v>
      </c>
      <c r="E96" t="s">
        <v>2988</v>
      </c>
      <c r="G96" s="53">
        <v>21000000</v>
      </c>
      <c r="H96" s="53">
        <v>0</v>
      </c>
      <c r="I96" s="53">
        <v>2100000</v>
      </c>
      <c r="J96" s="53">
        <f t="shared" si="22"/>
        <v>23100000</v>
      </c>
      <c r="L96" s="53">
        <v>0</v>
      </c>
      <c r="M96" s="53">
        <v>0</v>
      </c>
      <c r="N96" s="53">
        <v>0</v>
      </c>
      <c r="O96" s="53">
        <v>23100000</v>
      </c>
      <c r="P96" s="53">
        <v>0</v>
      </c>
      <c r="Q96" s="53">
        <v>0</v>
      </c>
      <c r="R96" s="53">
        <v>0</v>
      </c>
      <c r="S96" s="8">
        <f t="shared" si="16"/>
        <v>0</v>
      </c>
      <c r="T96" s="83"/>
      <c r="U96" s="50">
        <v>0</v>
      </c>
      <c r="V96" s="204">
        <f t="shared" si="24"/>
        <v>0</v>
      </c>
      <c r="W96" s="131">
        <v>0</v>
      </c>
      <c r="X96" s="209">
        <f>I96</f>
        <v>2100000</v>
      </c>
    </row>
    <row r="97" spans="1:29" s="14" customFormat="1">
      <c r="A97" s="74">
        <f t="shared" si="20"/>
        <v>90</v>
      </c>
      <c r="B97" s="79" t="s">
        <v>3008</v>
      </c>
      <c r="C97" s="74">
        <v>2021</v>
      </c>
      <c r="D97" s="14" t="s">
        <v>428</v>
      </c>
      <c r="E97" s="14" t="s">
        <v>2279</v>
      </c>
      <c r="F97" s="14" t="s">
        <v>2989</v>
      </c>
      <c r="G97" s="53">
        <v>286000000</v>
      </c>
      <c r="H97" s="53">
        <v>0</v>
      </c>
      <c r="I97" s="53">
        <v>0</v>
      </c>
      <c r="J97" s="53">
        <f t="shared" si="22"/>
        <v>286000000</v>
      </c>
      <c r="L97" s="53">
        <v>286000000</v>
      </c>
      <c r="M97" s="53">
        <v>0</v>
      </c>
      <c r="N97" s="53">
        <v>0</v>
      </c>
      <c r="O97" s="53">
        <v>0</v>
      </c>
      <c r="P97" s="53">
        <v>0</v>
      </c>
      <c r="Q97" s="53">
        <v>0</v>
      </c>
      <c r="R97" s="53">
        <v>0</v>
      </c>
      <c r="S97" s="8">
        <f t="shared" si="16"/>
        <v>0</v>
      </c>
      <c r="T97" s="83"/>
      <c r="U97" s="50">
        <v>0</v>
      </c>
      <c r="V97" s="204">
        <f t="shared" si="24"/>
        <v>0</v>
      </c>
      <c r="W97" s="131">
        <f t="shared" si="13"/>
        <v>0</v>
      </c>
      <c r="X97" s="209">
        <v>0</v>
      </c>
    </row>
    <row r="98" spans="1:29" s="14" customFormat="1">
      <c r="A98" s="74">
        <f t="shared" si="20"/>
        <v>91</v>
      </c>
      <c r="B98" s="79" t="s">
        <v>3008</v>
      </c>
      <c r="C98" s="74">
        <v>2021</v>
      </c>
      <c r="D98" s="14" t="s">
        <v>428</v>
      </c>
      <c r="E98" s="14" t="s">
        <v>3025</v>
      </c>
      <c r="G98" s="53">
        <v>84650000</v>
      </c>
      <c r="H98" s="53">
        <v>8465000</v>
      </c>
      <c r="I98" s="53">
        <v>9311500</v>
      </c>
      <c r="J98" s="53">
        <f t="shared" si="22"/>
        <v>102426500</v>
      </c>
      <c r="L98" s="53">
        <v>0</v>
      </c>
      <c r="M98" s="53">
        <v>0</v>
      </c>
      <c r="N98" s="53">
        <v>0</v>
      </c>
      <c r="O98" s="53">
        <v>91252700</v>
      </c>
      <c r="P98" s="53">
        <v>0</v>
      </c>
      <c r="Q98" s="53">
        <v>0</v>
      </c>
      <c r="R98" s="53">
        <v>11173800</v>
      </c>
      <c r="S98" s="8">
        <f t="shared" si="16"/>
        <v>0</v>
      </c>
      <c r="T98" s="83"/>
      <c r="U98" s="50">
        <f t="shared" si="23"/>
        <v>1862300</v>
      </c>
      <c r="V98" s="204">
        <v>0</v>
      </c>
      <c r="W98" s="131">
        <f t="shared" si="13"/>
        <v>9311500</v>
      </c>
      <c r="X98" s="209">
        <v>0</v>
      </c>
    </row>
    <row r="99" spans="1:29" s="14" customFormat="1">
      <c r="A99" s="74">
        <f t="shared" si="20"/>
        <v>92</v>
      </c>
      <c r="B99" s="79" t="s">
        <v>3008</v>
      </c>
      <c r="C99" s="74">
        <v>2021</v>
      </c>
      <c r="D99" s="14" t="s">
        <v>428</v>
      </c>
      <c r="E99" s="14" t="s">
        <v>2990</v>
      </c>
      <c r="G99" s="53">
        <v>37545000</v>
      </c>
      <c r="H99" s="53">
        <v>3754500</v>
      </c>
      <c r="I99" s="53">
        <v>4129950</v>
      </c>
      <c r="J99" s="53">
        <f t="shared" si="22"/>
        <v>45429450</v>
      </c>
      <c r="L99" s="53">
        <v>0</v>
      </c>
      <c r="M99" s="53">
        <v>0</v>
      </c>
      <c r="N99" s="53">
        <v>0</v>
      </c>
      <c r="O99" s="53">
        <v>40473510</v>
      </c>
      <c r="P99" s="53">
        <v>0</v>
      </c>
      <c r="Q99" s="53">
        <v>0</v>
      </c>
      <c r="R99" s="53">
        <v>4955940</v>
      </c>
      <c r="S99" s="8">
        <f t="shared" si="16"/>
        <v>0</v>
      </c>
      <c r="T99" s="83"/>
      <c r="U99" s="50">
        <f t="shared" si="23"/>
        <v>825990</v>
      </c>
      <c r="V99" s="204">
        <v>0</v>
      </c>
      <c r="W99" s="131">
        <f t="shared" si="13"/>
        <v>4129950</v>
      </c>
      <c r="X99" s="209">
        <v>0</v>
      </c>
    </row>
    <row r="100" spans="1:29" s="168" customFormat="1">
      <c r="A100" s="171">
        <f t="shared" si="20"/>
        <v>93</v>
      </c>
      <c r="B100" s="208" t="s">
        <v>3008</v>
      </c>
      <c r="C100" s="171">
        <v>2021</v>
      </c>
      <c r="D100" s="168" t="s">
        <v>428</v>
      </c>
      <c r="E100" s="168" t="s">
        <v>3045</v>
      </c>
      <c r="F100" s="168" t="s">
        <v>2995</v>
      </c>
      <c r="G100" s="170">
        <v>313417500</v>
      </c>
      <c r="H100" s="170">
        <v>0</v>
      </c>
      <c r="I100" s="170">
        <v>31341750</v>
      </c>
      <c r="J100" s="170">
        <f t="shared" si="22"/>
        <v>344759250</v>
      </c>
      <c r="L100" s="170">
        <v>0</v>
      </c>
      <c r="M100" s="170">
        <v>0</v>
      </c>
      <c r="N100" s="170">
        <v>0</v>
      </c>
      <c r="O100" s="170">
        <v>0</v>
      </c>
      <c r="P100" s="170">
        <v>0</v>
      </c>
      <c r="Q100" s="170">
        <v>0</v>
      </c>
      <c r="R100" s="170">
        <v>0</v>
      </c>
      <c r="S100" s="170">
        <f t="shared" si="16"/>
        <v>344759250</v>
      </c>
      <c r="T100" s="176"/>
      <c r="U100" s="170">
        <v>0</v>
      </c>
      <c r="V100" s="172">
        <f>(G100+H100)*2%</f>
        <v>6268350</v>
      </c>
      <c r="W100" s="172">
        <v>0</v>
      </c>
      <c r="X100" s="230">
        <f>I100</f>
        <v>31341750</v>
      </c>
      <c r="Z100" s="231">
        <f>S100-I100-V100</f>
        <v>307149150</v>
      </c>
      <c r="AB100" s="176"/>
      <c r="AC100" s="176"/>
    </row>
    <row r="101" spans="1:29" s="168" customFormat="1">
      <c r="A101" s="171" t="s">
        <v>5107</v>
      </c>
      <c r="B101" s="208" t="s">
        <v>3008</v>
      </c>
      <c r="C101" s="171">
        <v>2021</v>
      </c>
      <c r="D101" s="168" t="s">
        <v>428</v>
      </c>
      <c r="E101" s="168" t="s">
        <v>3045</v>
      </c>
      <c r="F101" s="168" t="s">
        <v>2997</v>
      </c>
      <c r="G101" s="170">
        <v>272727273</v>
      </c>
      <c r="H101" s="170">
        <v>0</v>
      </c>
      <c r="I101" s="170">
        <v>27272727</v>
      </c>
      <c r="J101" s="170">
        <f t="shared" ref="J101" si="25">G101+H101+I101</f>
        <v>300000000</v>
      </c>
      <c r="L101" s="170">
        <v>0</v>
      </c>
      <c r="M101" s="170">
        <v>0</v>
      </c>
      <c r="N101" s="170">
        <v>0</v>
      </c>
      <c r="O101" s="170">
        <v>0</v>
      </c>
      <c r="P101" s="170">
        <v>0</v>
      </c>
      <c r="Q101" s="170">
        <v>0</v>
      </c>
      <c r="R101" s="170">
        <v>0</v>
      </c>
      <c r="S101" s="170">
        <f t="shared" ref="S101" si="26">J101-(SUM(L101:R101))</f>
        <v>300000000</v>
      </c>
      <c r="T101" s="176"/>
      <c r="U101" s="170">
        <v>0</v>
      </c>
      <c r="V101" s="172">
        <f>(G101+H101)*2%</f>
        <v>5454545.46</v>
      </c>
      <c r="W101" s="172">
        <v>0</v>
      </c>
      <c r="X101" s="230">
        <f>I101</f>
        <v>27272727</v>
      </c>
      <c r="Z101" s="231">
        <f>S101-I101-V101</f>
        <v>267272727.53999999</v>
      </c>
      <c r="AB101" s="176"/>
      <c r="AC101" s="176"/>
    </row>
    <row r="102" spans="1:29" s="14" customFormat="1">
      <c r="A102" s="74">
        <f>A100+1</f>
        <v>94</v>
      </c>
      <c r="B102" s="79" t="s">
        <v>3008</v>
      </c>
      <c r="C102" s="74">
        <v>2021</v>
      </c>
      <c r="D102" s="14" t="s">
        <v>4457</v>
      </c>
      <c r="E102" s="14" t="s">
        <v>4457</v>
      </c>
      <c r="G102" s="53">
        <v>0</v>
      </c>
      <c r="H102" s="53">
        <v>0</v>
      </c>
      <c r="I102" s="53">
        <v>0</v>
      </c>
      <c r="J102" s="53">
        <f t="shared" si="22"/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8">
        <f t="shared" si="16"/>
        <v>0</v>
      </c>
      <c r="T102" s="83"/>
      <c r="U102" s="50">
        <f t="shared" si="23"/>
        <v>0</v>
      </c>
      <c r="V102" s="204">
        <f t="shared" si="24"/>
        <v>0</v>
      </c>
      <c r="W102" s="131">
        <f t="shared" si="13"/>
        <v>0</v>
      </c>
      <c r="X102" s="209">
        <v>0</v>
      </c>
    </row>
    <row r="103" spans="1:29" s="14" customFormat="1">
      <c r="A103" s="74">
        <f t="shared" si="20"/>
        <v>95</v>
      </c>
      <c r="B103" s="79" t="s">
        <v>3008</v>
      </c>
      <c r="C103" s="74">
        <v>2021</v>
      </c>
      <c r="D103" s="14" t="s">
        <v>600</v>
      </c>
      <c r="E103" s="14" t="s">
        <v>2991</v>
      </c>
      <c r="G103" s="53">
        <v>180000000</v>
      </c>
      <c r="H103" s="53">
        <v>12500000</v>
      </c>
      <c r="I103" s="53">
        <v>19250000</v>
      </c>
      <c r="J103" s="53">
        <f t="shared" si="22"/>
        <v>211750000</v>
      </c>
      <c r="L103" s="53">
        <v>0</v>
      </c>
      <c r="M103" s="53">
        <v>0</v>
      </c>
      <c r="N103" s="53">
        <v>0</v>
      </c>
      <c r="O103" s="53">
        <v>0</v>
      </c>
      <c r="P103" s="53">
        <v>0</v>
      </c>
      <c r="Q103" s="53">
        <v>0</v>
      </c>
      <c r="R103" s="53">
        <v>0</v>
      </c>
      <c r="S103" s="8">
        <f t="shared" si="16"/>
        <v>211750000</v>
      </c>
      <c r="T103" s="83"/>
      <c r="U103" s="50">
        <v>0</v>
      </c>
      <c r="V103" s="204">
        <f>(G103+H103)*2%</f>
        <v>3850000</v>
      </c>
      <c r="W103" s="131">
        <v>0</v>
      </c>
      <c r="X103" s="209">
        <f>I103</f>
        <v>19250000</v>
      </c>
      <c r="Z103" s="84">
        <f>S103-I103-V103</f>
        <v>188650000</v>
      </c>
    </row>
    <row r="104" spans="1:29" s="14" customFormat="1">
      <c r="A104" s="74">
        <f t="shared" si="20"/>
        <v>96</v>
      </c>
      <c r="B104" s="79" t="s">
        <v>3008</v>
      </c>
      <c r="C104" s="74">
        <v>2021</v>
      </c>
      <c r="D104" s="14" t="s">
        <v>600</v>
      </c>
      <c r="E104" s="14" t="s">
        <v>2992</v>
      </c>
      <c r="G104" s="53">
        <v>395000000</v>
      </c>
      <c r="H104" s="53">
        <v>23600000</v>
      </c>
      <c r="I104" s="53">
        <v>41860000</v>
      </c>
      <c r="J104" s="53">
        <f t="shared" si="22"/>
        <v>460460000</v>
      </c>
      <c r="L104" s="53">
        <v>0</v>
      </c>
      <c r="M104" s="53">
        <v>0</v>
      </c>
      <c r="N104" s="53">
        <v>0</v>
      </c>
      <c r="O104" s="53">
        <v>0</v>
      </c>
      <c r="P104" s="53">
        <v>0</v>
      </c>
      <c r="Q104" s="53">
        <v>0</v>
      </c>
      <c r="R104" s="53">
        <v>0</v>
      </c>
      <c r="S104" s="8">
        <f t="shared" si="16"/>
        <v>460460000</v>
      </c>
      <c r="T104" s="83"/>
      <c r="U104" s="50">
        <v>0</v>
      </c>
      <c r="V104" s="204">
        <f>(G104+H104)*2%</f>
        <v>8372000</v>
      </c>
      <c r="W104" s="131">
        <v>0</v>
      </c>
      <c r="X104" s="209">
        <f>I104</f>
        <v>41860000</v>
      </c>
      <c r="Z104" s="84">
        <f>S104-I104-V104</f>
        <v>410228000</v>
      </c>
    </row>
    <row r="105" spans="1:29" s="14" customFormat="1">
      <c r="A105" s="74">
        <f t="shared" si="20"/>
        <v>97</v>
      </c>
      <c r="B105" s="79" t="s">
        <v>3008</v>
      </c>
      <c r="C105" s="74">
        <v>2021</v>
      </c>
      <c r="D105" s="14" t="s">
        <v>2993</v>
      </c>
      <c r="E105" s="14" t="s">
        <v>2994</v>
      </c>
      <c r="F105" s="14" t="s">
        <v>2995</v>
      </c>
      <c r="G105" s="53">
        <v>75445545</v>
      </c>
      <c r="H105" s="53">
        <v>0</v>
      </c>
      <c r="I105" s="53">
        <v>754455.45000000007</v>
      </c>
      <c r="J105" s="53">
        <f t="shared" si="22"/>
        <v>76200000.450000003</v>
      </c>
      <c r="L105" s="53">
        <v>0</v>
      </c>
      <c r="M105" s="53">
        <v>76200000</v>
      </c>
      <c r="N105" s="53">
        <v>0</v>
      </c>
      <c r="O105" s="53">
        <v>0</v>
      </c>
      <c r="P105" s="53">
        <v>0</v>
      </c>
      <c r="Q105" s="53">
        <v>0</v>
      </c>
      <c r="R105" s="53">
        <v>0.45</v>
      </c>
      <c r="S105" s="8">
        <f t="shared" si="16"/>
        <v>0</v>
      </c>
      <c r="T105" s="83"/>
      <c r="U105" s="50">
        <v>0</v>
      </c>
      <c r="V105" s="204">
        <f t="shared" si="24"/>
        <v>0</v>
      </c>
      <c r="W105" s="131">
        <f t="shared" si="13"/>
        <v>754455.45000000007</v>
      </c>
      <c r="X105" s="209">
        <v>0</v>
      </c>
    </row>
    <row r="106" spans="1:29" s="14" customFormat="1">
      <c r="A106" s="74">
        <f t="shared" si="20"/>
        <v>98</v>
      </c>
      <c r="B106" s="79" t="s">
        <v>3008</v>
      </c>
      <c r="C106" s="74">
        <v>2021</v>
      </c>
      <c r="D106" s="14" t="s">
        <v>428</v>
      </c>
      <c r="E106" s="14" t="s">
        <v>2996</v>
      </c>
      <c r="G106" s="53">
        <v>25149525</v>
      </c>
      <c r="H106" s="53">
        <v>2514952.5</v>
      </c>
      <c r="I106" s="53">
        <v>2766447.75</v>
      </c>
      <c r="J106" s="53">
        <f t="shared" si="22"/>
        <v>30430925.25</v>
      </c>
      <c r="L106" s="53">
        <v>0</v>
      </c>
      <c r="M106" s="53">
        <v>0</v>
      </c>
      <c r="N106" s="53">
        <v>0</v>
      </c>
      <c r="O106" s="53">
        <v>27111187</v>
      </c>
      <c r="P106" s="53">
        <v>0</v>
      </c>
      <c r="Q106" s="53">
        <v>0</v>
      </c>
      <c r="R106" s="53">
        <v>3319738.25</v>
      </c>
      <c r="S106" s="8">
        <f t="shared" si="16"/>
        <v>0</v>
      </c>
      <c r="T106" s="83"/>
      <c r="U106" s="50">
        <f>(G106+H106)*2%+0.95</f>
        <v>553290.5</v>
      </c>
      <c r="V106" s="204">
        <v>0</v>
      </c>
      <c r="W106" s="131">
        <f t="shared" si="13"/>
        <v>2766447.75</v>
      </c>
      <c r="X106" s="209">
        <v>0</v>
      </c>
    </row>
    <row r="107" spans="1:29" s="14" customFormat="1">
      <c r="A107" s="74">
        <f t="shared" si="20"/>
        <v>99</v>
      </c>
      <c r="B107" s="79" t="s">
        <v>3009</v>
      </c>
      <c r="C107" s="74">
        <v>2021</v>
      </c>
      <c r="D107" s="14" t="s">
        <v>2993</v>
      </c>
      <c r="E107" s="14" t="s">
        <v>2994</v>
      </c>
      <c r="F107" s="14" t="s">
        <v>2997</v>
      </c>
      <c r="G107" s="53">
        <v>75445545</v>
      </c>
      <c r="H107" s="53">
        <v>0</v>
      </c>
      <c r="I107" s="53">
        <v>754455.45000000007</v>
      </c>
      <c r="J107" s="53">
        <f t="shared" si="22"/>
        <v>76200000.450000003</v>
      </c>
      <c r="L107" s="53">
        <v>0</v>
      </c>
      <c r="M107" s="53">
        <v>76200000</v>
      </c>
      <c r="N107" s="53">
        <v>0</v>
      </c>
      <c r="O107" s="53">
        <v>0</v>
      </c>
      <c r="P107" s="53">
        <v>0</v>
      </c>
      <c r="Q107" s="53">
        <v>0</v>
      </c>
      <c r="R107" s="53">
        <v>0.45000000298023224</v>
      </c>
      <c r="S107" s="8">
        <f t="shared" si="16"/>
        <v>0</v>
      </c>
      <c r="T107" s="83"/>
      <c r="U107" s="50">
        <v>0</v>
      </c>
      <c r="V107" s="204">
        <f t="shared" si="24"/>
        <v>0</v>
      </c>
      <c r="W107" s="131">
        <f t="shared" si="13"/>
        <v>754455.45000000007</v>
      </c>
      <c r="X107" s="209">
        <v>0</v>
      </c>
    </row>
    <row r="108" spans="1:29" s="14" customFormat="1">
      <c r="A108" s="74">
        <f t="shared" si="20"/>
        <v>100</v>
      </c>
      <c r="B108" s="79" t="s">
        <v>3009</v>
      </c>
      <c r="C108" s="74">
        <v>2021</v>
      </c>
      <c r="D108" s="14" t="s">
        <v>428</v>
      </c>
      <c r="E108" s="14" t="s">
        <v>3021</v>
      </c>
      <c r="G108" s="53">
        <v>289242800</v>
      </c>
      <c r="H108" s="53">
        <v>28924280</v>
      </c>
      <c r="I108" s="53">
        <v>31816708</v>
      </c>
      <c r="J108" s="53">
        <f t="shared" si="22"/>
        <v>349983788</v>
      </c>
      <c r="L108" s="53">
        <v>0</v>
      </c>
      <c r="M108" s="53">
        <v>0</v>
      </c>
      <c r="N108" s="53">
        <v>0</v>
      </c>
      <c r="O108" s="53">
        <v>311803738</v>
      </c>
      <c r="P108" s="53">
        <v>0</v>
      </c>
      <c r="Q108" s="53">
        <v>0</v>
      </c>
      <c r="R108" s="53">
        <v>38180050</v>
      </c>
      <c r="S108" s="8">
        <f t="shared" si="16"/>
        <v>0</v>
      </c>
      <c r="T108" s="83"/>
      <c r="U108" s="50">
        <f>(G108+H108)*2%+0.4</f>
        <v>6363342.0000000009</v>
      </c>
      <c r="V108" s="204">
        <v>0</v>
      </c>
      <c r="W108" s="131">
        <f t="shared" si="13"/>
        <v>31816708</v>
      </c>
      <c r="X108" s="209">
        <v>0</v>
      </c>
    </row>
    <row r="109" spans="1:29" s="14" customFormat="1">
      <c r="A109" s="74">
        <f t="shared" si="20"/>
        <v>101</v>
      </c>
      <c r="B109" s="79" t="s">
        <v>3009</v>
      </c>
      <c r="C109" s="74">
        <v>2021</v>
      </c>
      <c r="D109" s="14" t="s">
        <v>428</v>
      </c>
      <c r="E109" s="14" t="s">
        <v>2998</v>
      </c>
      <c r="G109" s="53">
        <v>45371716</v>
      </c>
      <c r="H109" s="53">
        <v>0</v>
      </c>
      <c r="I109" s="53">
        <v>0</v>
      </c>
      <c r="J109" s="53">
        <f t="shared" si="22"/>
        <v>45371716</v>
      </c>
      <c r="L109" s="53">
        <v>0</v>
      </c>
      <c r="M109" s="53">
        <v>0</v>
      </c>
      <c r="N109" s="53">
        <v>0</v>
      </c>
      <c r="O109" s="53">
        <v>44464281.68</v>
      </c>
      <c r="P109" s="53">
        <v>0</v>
      </c>
      <c r="Q109" s="53">
        <v>0</v>
      </c>
      <c r="R109" s="53">
        <v>907434.3200000003</v>
      </c>
      <c r="S109" s="8">
        <f t="shared" si="16"/>
        <v>0</v>
      </c>
      <c r="T109" s="83"/>
      <c r="U109" s="50">
        <f t="shared" si="23"/>
        <v>907434.32000000007</v>
      </c>
      <c r="V109" s="204">
        <f t="shared" si="24"/>
        <v>0</v>
      </c>
      <c r="W109" s="131">
        <f t="shared" si="13"/>
        <v>0</v>
      </c>
      <c r="X109" s="209">
        <v>0</v>
      </c>
    </row>
    <row r="110" spans="1:29" s="14" customFormat="1">
      <c r="A110" s="74">
        <f t="shared" si="20"/>
        <v>102</v>
      </c>
      <c r="B110" s="79" t="s">
        <v>3009</v>
      </c>
      <c r="C110" s="74">
        <v>2021</v>
      </c>
      <c r="D110" s="14" t="s">
        <v>428</v>
      </c>
      <c r="E110" s="14" t="s">
        <v>3010</v>
      </c>
      <c r="F110" s="14" t="s">
        <v>2995</v>
      </c>
      <c r="G110" s="53">
        <v>127167960</v>
      </c>
      <c r="H110" s="53">
        <v>12716796</v>
      </c>
      <c r="I110" s="53">
        <v>13988475.600000001</v>
      </c>
      <c r="J110" s="53">
        <f t="shared" si="22"/>
        <v>153873231.59999999</v>
      </c>
      <c r="L110" s="53">
        <v>0</v>
      </c>
      <c r="M110" s="53">
        <v>0</v>
      </c>
      <c r="N110" s="53">
        <v>0</v>
      </c>
      <c r="O110" s="53">
        <v>0</v>
      </c>
      <c r="P110" s="53">
        <v>0</v>
      </c>
      <c r="Q110" s="53">
        <v>0</v>
      </c>
      <c r="R110" s="53">
        <v>0</v>
      </c>
      <c r="S110" s="54">
        <f t="shared" si="16"/>
        <v>153873231.59999999</v>
      </c>
      <c r="T110" s="80"/>
      <c r="U110" s="53">
        <v>0</v>
      </c>
      <c r="V110" s="204">
        <f>(G110+H110)*2%</f>
        <v>2797695.12</v>
      </c>
      <c r="W110" s="131">
        <v>0</v>
      </c>
      <c r="X110" s="209">
        <f>I110</f>
        <v>13988475.600000001</v>
      </c>
      <c r="Z110" s="84">
        <f>S110-I110-V110</f>
        <v>137087060.88</v>
      </c>
      <c r="AB110" s="80">
        <v>302909091</v>
      </c>
      <c r="AC110" s="80">
        <f>AB110-Z110</f>
        <v>165822030.12</v>
      </c>
    </row>
    <row r="111" spans="1:29" s="14" customFormat="1">
      <c r="A111" s="74">
        <f t="shared" si="20"/>
        <v>103</v>
      </c>
      <c r="B111" s="79" t="s">
        <v>3009</v>
      </c>
      <c r="C111" s="74">
        <v>2021</v>
      </c>
      <c r="D111" s="14" t="s">
        <v>4136</v>
      </c>
      <c r="E111" s="14" t="s">
        <v>3000</v>
      </c>
      <c r="F111" s="14" t="s">
        <v>4136</v>
      </c>
      <c r="G111" s="53">
        <v>109160000</v>
      </c>
      <c r="H111" s="53">
        <v>0</v>
      </c>
      <c r="I111" s="53">
        <v>0</v>
      </c>
      <c r="J111" s="53">
        <f t="shared" si="22"/>
        <v>109160000</v>
      </c>
      <c r="L111" s="53">
        <v>0</v>
      </c>
      <c r="M111" s="53">
        <v>109160000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8">
        <f t="shared" si="16"/>
        <v>0</v>
      </c>
      <c r="T111" s="83"/>
      <c r="U111" s="50">
        <v>0</v>
      </c>
      <c r="V111" s="204">
        <f t="shared" si="24"/>
        <v>0</v>
      </c>
      <c r="W111" s="131">
        <f t="shared" si="13"/>
        <v>0</v>
      </c>
      <c r="X111" s="209">
        <v>0</v>
      </c>
    </row>
    <row r="112" spans="1:29" s="14" customFormat="1">
      <c r="A112" s="74" t="s">
        <v>5131</v>
      </c>
      <c r="B112" s="79" t="s">
        <v>3009</v>
      </c>
      <c r="C112" s="74">
        <v>2021</v>
      </c>
      <c r="D112" s="14" t="s">
        <v>600</v>
      </c>
      <c r="E112" s="14" t="s">
        <v>3001</v>
      </c>
      <c r="G112" s="53">
        <v>8014600</v>
      </c>
      <c r="H112" s="53">
        <v>801460</v>
      </c>
      <c r="I112" s="53">
        <v>969767</v>
      </c>
      <c r="J112" s="53">
        <f t="shared" si="22"/>
        <v>9785827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4">
        <f t="shared" si="16"/>
        <v>9785827</v>
      </c>
      <c r="T112" s="80"/>
      <c r="U112" s="53">
        <v>0</v>
      </c>
      <c r="V112" s="204">
        <f>(G112+H112)*2%-0.2</f>
        <v>176321</v>
      </c>
      <c r="W112" s="131">
        <v>0</v>
      </c>
      <c r="X112" s="209">
        <f>I112</f>
        <v>969767</v>
      </c>
      <c r="Z112" s="84">
        <f>S112-V112</f>
        <v>9609506</v>
      </c>
    </row>
    <row r="113" spans="1:29" s="14" customFormat="1">
      <c r="A113" s="74" t="s">
        <v>5132</v>
      </c>
      <c r="B113" s="79" t="s">
        <v>3009</v>
      </c>
      <c r="C113" s="74">
        <v>2021</v>
      </c>
      <c r="D113" s="14" t="s">
        <v>600</v>
      </c>
      <c r="E113" s="14" t="s">
        <v>3001</v>
      </c>
      <c r="G113" s="53">
        <v>7769610</v>
      </c>
      <c r="H113" s="53">
        <v>776961</v>
      </c>
      <c r="I113" s="53">
        <v>940123</v>
      </c>
      <c r="J113" s="53">
        <f t="shared" ref="J113" si="27">G113+H113+I113</f>
        <v>9486694</v>
      </c>
      <c r="L113" s="53">
        <v>0</v>
      </c>
      <c r="M113" s="53">
        <v>0</v>
      </c>
      <c r="N113" s="53">
        <v>0</v>
      </c>
      <c r="O113" s="53">
        <v>0</v>
      </c>
      <c r="P113" s="53">
        <v>0</v>
      </c>
      <c r="Q113" s="53">
        <v>0</v>
      </c>
      <c r="R113" s="53">
        <v>0</v>
      </c>
      <c r="S113" s="54">
        <f t="shared" ref="S113" si="28">J113-(SUM(L113:R113))</f>
        <v>9486694</v>
      </c>
      <c r="T113" s="80"/>
      <c r="U113" s="53">
        <v>0</v>
      </c>
      <c r="V113" s="204">
        <f>(G113+H113)*2%-0.42</f>
        <v>170931</v>
      </c>
      <c r="W113" s="131">
        <v>0</v>
      </c>
      <c r="X113" s="209">
        <f>I113</f>
        <v>940123</v>
      </c>
      <c r="Z113" s="84">
        <f>S113-V113</f>
        <v>9315763</v>
      </c>
    </row>
    <row r="114" spans="1:29" s="14" customFormat="1">
      <c r="A114" s="74">
        <f>104+1</f>
        <v>105</v>
      </c>
      <c r="B114" s="79" t="s">
        <v>3009</v>
      </c>
      <c r="C114" s="74">
        <v>2021</v>
      </c>
      <c r="D114" s="14" t="s">
        <v>3384</v>
      </c>
      <c r="E114" s="14" t="s">
        <v>3046</v>
      </c>
      <c r="F114" s="14" t="s">
        <v>2995</v>
      </c>
      <c r="G114" s="53">
        <v>101285000</v>
      </c>
      <c r="H114" s="53">
        <v>5064250</v>
      </c>
      <c r="I114" s="53">
        <v>10634925</v>
      </c>
      <c r="J114" s="53">
        <f t="shared" ref="J114" si="29">G114+H114+I114</f>
        <v>116984175</v>
      </c>
      <c r="L114" s="53">
        <v>0</v>
      </c>
      <c r="M114" s="53">
        <v>114857190</v>
      </c>
      <c r="N114" s="53">
        <v>0</v>
      </c>
      <c r="O114" s="53">
        <v>0</v>
      </c>
      <c r="P114" s="53">
        <v>0</v>
      </c>
      <c r="Q114" s="53">
        <v>0</v>
      </c>
      <c r="R114" s="53">
        <v>2126985</v>
      </c>
      <c r="S114" s="8">
        <f t="shared" ref="S114" si="30">J114-(SUM(L114:R114))</f>
        <v>0</v>
      </c>
      <c r="T114" s="83"/>
      <c r="U114" s="50">
        <f t="shared" ref="U114" si="31">(G114+H114)*2%</f>
        <v>2126985</v>
      </c>
      <c r="V114" s="204">
        <v>0</v>
      </c>
      <c r="W114" s="131">
        <f t="shared" si="13"/>
        <v>10634925</v>
      </c>
      <c r="X114" s="209">
        <v>0</v>
      </c>
    </row>
    <row r="115" spans="1:29" s="14" customFormat="1">
      <c r="A115" s="74">
        <f t="shared" si="20"/>
        <v>106</v>
      </c>
      <c r="B115" s="79" t="s">
        <v>3009</v>
      </c>
      <c r="C115" s="74">
        <v>2021</v>
      </c>
      <c r="D115" s="14" t="s">
        <v>3384</v>
      </c>
      <c r="E115" s="14" t="s">
        <v>3046</v>
      </c>
      <c r="F115" s="14" t="s">
        <v>2997</v>
      </c>
      <c r="G115" s="53">
        <v>212698500</v>
      </c>
      <c r="H115" s="53">
        <v>0</v>
      </c>
      <c r="I115" s="53">
        <v>21269850</v>
      </c>
      <c r="J115" s="53">
        <f t="shared" ref="J115:J130" si="32">G115+H115+I115</f>
        <v>233968350</v>
      </c>
      <c r="L115" s="53">
        <v>0</v>
      </c>
      <c r="M115" s="53">
        <v>0</v>
      </c>
      <c r="N115" s="53">
        <v>0</v>
      </c>
      <c r="O115" s="53">
        <v>0</v>
      </c>
      <c r="P115" s="53">
        <v>0</v>
      </c>
      <c r="Q115" s="53">
        <v>0</v>
      </c>
      <c r="R115" s="53">
        <v>0</v>
      </c>
      <c r="S115" s="54">
        <f t="shared" ref="S115:S130" si="33">J115-(SUM(L115:R115))</f>
        <v>233968350</v>
      </c>
      <c r="T115" s="80"/>
      <c r="U115" s="53">
        <v>0</v>
      </c>
      <c r="V115" s="204">
        <f>(G115+H115)*2%</f>
        <v>4253970</v>
      </c>
      <c r="W115" s="131">
        <v>0</v>
      </c>
      <c r="X115" s="209">
        <f>I115</f>
        <v>21269850</v>
      </c>
      <c r="Z115" s="84">
        <f>S115-I115-V115</f>
        <v>208444530</v>
      </c>
    </row>
    <row r="116" spans="1:29" s="14" customFormat="1">
      <c r="A116" s="74">
        <f t="shared" si="20"/>
        <v>107</v>
      </c>
      <c r="B116" s="79" t="s">
        <v>3009</v>
      </c>
      <c r="C116" s="74">
        <v>2021</v>
      </c>
      <c r="D116" s="14" t="s">
        <v>3384</v>
      </c>
      <c r="E116" s="14" t="s">
        <v>3046</v>
      </c>
      <c r="F116" s="14" t="s">
        <v>3388</v>
      </c>
      <c r="G116" s="53">
        <v>95802000</v>
      </c>
      <c r="H116" s="53">
        <v>0</v>
      </c>
      <c r="I116" s="53">
        <v>9580200</v>
      </c>
      <c r="J116" s="53">
        <f t="shared" si="32"/>
        <v>105382200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8">
        <f t="shared" si="33"/>
        <v>105382200</v>
      </c>
      <c r="T116" s="83"/>
      <c r="U116" s="50">
        <v>0</v>
      </c>
      <c r="V116" s="204">
        <f>(G116+H116)*2%</f>
        <v>1916040</v>
      </c>
      <c r="W116" s="131">
        <v>0</v>
      </c>
      <c r="X116" s="209">
        <f>I116</f>
        <v>9580200</v>
      </c>
      <c r="Z116" s="84">
        <f>S116-I116-V116</f>
        <v>93885960</v>
      </c>
    </row>
    <row r="117" spans="1:29" s="14" customFormat="1">
      <c r="A117" s="74">
        <f t="shared" si="20"/>
        <v>108</v>
      </c>
      <c r="B117" s="79" t="s">
        <v>3009</v>
      </c>
      <c r="C117" s="74">
        <v>2021</v>
      </c>
      <c r="D117" s="14" t="s">
        <v>428</v>
      </c>
      <c r="E117" s="14" t="s">
        <v>3010</v>
      </c>
      <c r="F117" s="14" t="s">
        <v>3389</v>
      </c>
      <c r="G117" s="53">
        <v>7400000</v>
      </c>
      <c r="H117" s="53">
        <v>0</v>
      </c>
      <c r="I117" s="53">
        <v>740000</v>
      </c>
      <c r="J117" s="53">
        <f t="shared" si="32"/>
        <v>8140000</v>
      </c>
      <c r="L117" s="53">
        <v>0</v>
      </c>
      <c r="M117" s="53">
        <v>0</v>
      </c>
      <c r="N117" s="53">
        <v>0</v>
      </c>
      <c r="O117" s="53">
        <v>7992000</v>
      </c>
      <c r="P117" s="53">
        <v>0</v>
      </c>
      <c r="Q117" s="53">
        <v>0</v>
      </c>
      <c r="R117" s="53">
        <v>148000</v>
      </c>
      <c r="S117" s="8">
        <f t="shared" si="33"/>
        <v>0</v>
      </c>
      <c r="T117" s="83"/>
      <c r="U117" s="50">
        <f t="shared" ref="U117:U128" si="34">(G117+H117)*2%</f>
        <v>148000</v>
      </c>
      <c r="V117" s="204">
        <f t="shared" ref="V117:V128" si="35">H117*2%</f>
        <v>0</v>
      </c>
      <c r="W117" s="131">
        <f t="shared" si="13"/>
        <v>740000</v>
      </c>
      <c r="X117" s="209">
        <v>0</v>
      </c>
    </row>
    <row r="118" spans="1:29" s="14" customFormat="1">
      <c r="A118" s="74">
        <f t="shared" si="20"/>
        <v>109</v>
      </c>
      <c r="B118" s="79" t="s">
        <v>3009</v>
      </c>
      <c r="C118" s="74">
        <v>2021</v>
      </c>
      <c r="D118" s="14" t="s">
        <v>4457</v>
      </c>
      <c r="E118" s="14" t="s">
        <v>4457</v>
      </c>
      <c r="G118" s="53">
        <v>0</v>
      </c>
      <c r="H118" s="53">
        <v>0</v>
      </c>
      <c r="I118" s="53">
        <v>0</v>
      </c>
      <c r="J118" s="53">
        <f t="shared" si="32"/>
        <v>0</v>
      </c>
      <c r="L118" s="53">
        <v>0</v>
      </c>
      <c r="M118" s="53">
        <v>0</v>
      </c>
      <c r="N118" s="53">
        <v>0</v>
      </c>
      <c r="O118" s="53">
        <v>0</v>
      </c>
      <c r="P118" s="53">
        <v>0</v>
      </c>
      <c r="Q118" s="53">
        <v>0</v>
      </c>
      <c r="R118" s="53">
        <v>0</v>
      </c>
      <c r="S118" s="8">
        <f t="shared" si="33"/>
        <v>0</v>
      </c>
      <c r="T118" s="83"/>
      <c r="U118" s="50">
        <f t="shared" si="34"/>
        <v>0</v>
      </c>
      <c r="V118" s="204">
        <f t="shared" si="35"/>
        <v>0</v>
      </c>
      <c r="W118" s="131">
        <f t="shared" si="13"/>
        <v>0</v>
      </c>
      <c r="X118" s="209">
        <v>0</v>
      </c>
    </row>
    <row r="119" spans="1:29" s="14" customFormat="1">
      <c r="A119" s="74">
        <f t="shared" si="20"/>
        <v>110</v>
      </c>
      <c r="B119" s="79" t="s">
        <v>3009</v>
      </c>
      <c r="C119" s="74">
        <v>2021</v>
      </c>
      <c r="D119" s="14" t="s">
        <v>3385</v>
      </c>
      <c r="E119" s="14" t="s">
        <v>3390</v>
      </c>
      <c r="F119" s="14" t="s">
        <v>2995</v>
      </c>
      <c r="G119" s="53">
        <v>74545455</v>
      </c>
      <c r="H119" s="53">
        <v>0</v>
      </c>
      <c r="I119" s="53">
        <v>7454545.5</v>
      </c>
      <c r="J119" s="53">
        <f t="shared" si="32"/>
        <v>82000000.5</v>
      </c>
      <c r="L119" s="53">
        <v>0</v>
      </c>
      <c r="M119" s="53">
        <v>73054546</v>
      </c>
      <c r="N119" s="53">
        <v>0</v>
      </c>
      <c r="O119" s="53">
        <v>0</v>
      </c>
      <c r="P119" s="53">
        <v>0</v>
      </c>
      <c r="Q119" s="53">
        <v>0</v>
      </c>
      <c r="R119" s="53">
        <v>8945454.5</v>
      </c>
      <c r="S119" s="54">
        <f t="shared" si="33"/>
        <v>0</v>
      </c>
      <c r="T119" s="80"/>
      <c r="U119" s="53">
        <f>(G119+H119)*2%-0.1</f>
        <v>1490909</v>
      </c>
      <c r="V119" s="204">
        <f t="shared" si="35"/>
        <v>0</v>
      </c>
      <c r="W119" s="131">
        <f t="shared" si="13"/>
        <v>7454545.5</v>
      </c>
      <c r="X119" s="209">
        <v>0</v>
      </c>
    </row>
    <row r="120" spans="1:29" s="14" customFormat="1">
      <c r="A120" s="74">
        <f t="shared" si="20"/>
        <v>111</v>
      </c>
      <c r="B120" s="79" t="s">
        <v>3009</v>
      </c>
      <c r="C120" s="74">
        <v>2021</v>
      </c>
      <c r="D120" s="14" t="s">
        <v>428</v>
      </c>
      <c r="E120" s="14" t="s">
        <v>3391</v>
      </c>
      <c r="G120" s="53">
        <v>235425000</v>
      </c>
      <c r="H120" s="53">
        <v>23542500</v>
      </c>
      <c r="I120" s="53">
        <v>25896750</v>
      </c>
      <c r="J120" s="53">
        <f t="shared" si="32"/>
        <v>284864250</v>
      </c>
      <c r="L120" s="53">
        <v>0</v>
      </c>
      <c r="M120" s="53">
        <v>0</v>
      </c>
      <c r="N120" s="53">
        <v>0</v>
      </c>
      <c r="O120" s="53">
        <v>0</v>
      </c>
      <c r="P120" s="53">
        <v>0</v>
      </c>
      <c r="Q120" s="53">
        <v>0</v>
      </c>
      <c r="R120" s="53">
        <v>0</v>
      </c>
      <c r="S120" s="54">
        <f t="shared" si="33"/>
        <v>284864250</v>
      </c>
      <c r="T120" s="80"/>
      <c r="U120" s="53">
        <v>0</v>
      </c>
      <c r="V120" s="204">
        <f>(G120+H120)*2%</f>
        <v>5179350</v>
      </c>
      <c r="W120" s="131">
        <v>0</v>
      </c>
      <c r="X120" s="209">
        <f>I120</f>
        <v>25896750</v>
      </c>
      <c r="Z120" s="84">
        <f>S120-I120-V120</f>
        <v>253788150</v>
      </c>
      <c r="AB120" s="80"/>
      <c r="AC120" s="80"/>
    </row>
    <row r="121" spans="1:29" s="14" customFormat="1">
      <c r="A121" s="74">
        <f t="shared" si="20"/>
        <v>112</v>
      </c>
      <c r="B121" s="79" t="s">
        <v>3383</v>
      </c>
      <c r="C121" s="74">
        <v>2021</v>
      </c>
      <c r="D121" s="14" t="s">
        <v>428</v>
      </c>
      <c r="E121" s="14" t="s">
        <v>3049</v>
      </c>
      <c r="G121" s="53">
        <v>1154545455</v>
      </c>
      <c r="H121" s="53">
        <v>0</v>
      </c>
      <c r="I121" s="53">
        <v>115454545.5</v>
      </c>
      <c r="J121" s="53">
        <f t="shared" si="32"/>
        <v>1270000000.5</v>
      </c>
      <c r="L121" s="53">
        <v>0</v>
      </c>
      <c r="M121" s="53">
        <v>0</v>
      </c>
      <c r="N121" s="53">
        <v>0</v>
      </c>
      <c r="O121" s="53">
        <v>1131454546</v>
      </c>
      <c r="P121" s="53">
        <v>0</v>
      </c>
      <c r="Q121" s="53">
        <v>0</v>
      </c>
      <c r="R121" s="53">
        <v>138545454.5</v>
      </c>
      <c r="S121" s="8">
        <f t="shared" si="33"/>
        <v>0</v>
      </c>
      <c r="T121" s="83"/>
      <c r="U121" s="50">
        <f>(G121+H121)*2%-0.1</f>
        <v>23090909</v>
      </c>
      <c r="V121" s="204">
        <f t="shared" si="35"/>
        <v>0</v>
      </c>
      <c r="W121" s="131">
        <f t="shared" si="13"/>
        <v>115454545.5</v>
      </c>
      <c r="X121" s="209">
        <v>0</v>
      </c>
    </row>
    <row r="122" spans="1:29" s="14" customFormat="1">
      <c r="A122" s="74">
        <f t="shared" si="20"/>
        <v>113</v>
      </c>
      <c r="B122" s="79" t="s">
        <v>3383</v>
      </c>
      <c r="C122" s="74">
        <v>2021</v>
      </c>
      <c r="D122" s="14" t="s">
        <v>3386</v>
      </c>
      <c r="E122" s="14" t="s">
        <v>2992</v>
      </c>
      <c r="G122" s="53">
        <v>5385824</v>
      </c>
      <c r="H122" s="53">
        <v>0</v>
      </c>
      <c r="I122" s="53">
        <v>538583</v>
      </c>
      <c r="J122" s="53">
        <f t="shared" si="32"/>
        <v>5924407</v>
      </c>
      <c r="L122" s="53">
        <v>0</v>
      </c>
      <c r="M122" s="53">
        <v>5816691</v>
      </c>
      <c r="N122" s="53">
        <v>0</v>
      </c>
      <c r="O122" s="53">
        <v>0</v>
      </c>
      <c r="P122" s="53">
        <v>0</v>
      </c>
      <c r="Q122" s="53">
        <v>0</v>
      </c>
      <c r="R122" s="53">
        <v>107716</v>
      </c>
      <c r="S122" s="54">
        <f t="shared" si="33"/>
        <v>0</v>
      </c>
      <c r="T122" s="80"/>
      <c r="U122" s="53">
        <f>(G122+H122)*2%-0.48</f>
        <v>107716</v>
      </c>
      <c r="V122" s="204">
        <f t="shared" si="35"/>
        <v>0</v>
      </c>
      <c r="W122" s="131">
        <f t="shared" si="13"/>
        <v>538583</v>
      </c>
      <c r="X122" s="209">
        <v>0</v>
      </c>
    </row>
    <row r="123" spans="1:29" s="14" customFormat="1">
      <c r="A123" s="74">
        <f t="shared" si="20"/>
        <v>114</v>
      </c>
      <c r="B123" s="79" t="s">
        <v>3008</v>
      </c>
      <c r="C123" s="74">
        <v>2021</v>
      </c>
      <c r="D123" s="14" t="s">
        <v>428</v>
      </c>
      <c r="E123" s="14" t="s">
        <v>2990</v>
      </c>
      <c r="F123" s="14" t="s">
        <v>2997</v>
      </c>
      <c r="G123" s="53">
        <v>6350000</v>
      </c>
      <c r="H123" s="53">
        <v>0</v>
      </c>
      <c r="I123" s="53">
        <v>635000</v>
      </c>
      <c r="J123" s="53">
        <f t="shared" si="32"/>
        <v>6985000</v>
      </c>
      <c r="L123" s="53">
        <v>0</v>
      </c>
      <c r="M123" s="53">
        <v>0</v>
      </c>
      <c r="N123" s="53">
        <v>0</v>
      </c>
      <c r="O123" s="53">
        <v>6223000</v>
      </c>
      <c r="P123" s="53">
        <v>0</v>
      </c>
      <c r="Q123" s="53">
        <v>0</v>
      </c>
      <c r="R123" s="53">
        <v>762000</v>
      </c>
      <c r="S123" s="54">
        <f t="shared" si="33"/>
        <v>0</v>
      </c>
      <c r="T123" s="80"/>
      <c r="U123" s="53">
        <f t="shared" si="34"/>
        <v>127000</v>
      </c>
      <c r="V123" s="204">
        <f t="shared" si="35"/>
        <v>0</v>
      </c>
      <c r="W123" s="131">
        <f t="shared" si="13"/>
        <v>635000</v>
      </c>
      <c r="X123" s="209">
        <v>0</v>
      </c>
      <c r="Z123" s="14" t="s">
        <v>5017</v>
      </c>
    </row>
    <row r="124" spans="1:29" s="14" customFormat="1">
      <c r="A124" s="74">
        <f t="shared" si="20"/>
        <v>115</v>
      </c>
      <c r="B124" s="79" t="s">
        <v>3008</v>
      </c>
      <c r="C124" s="74">
        <v>2021</v>
      </c>
      <c r="D124" s="14" t="s">
        <v>428</v>
      </c>
      <c r="E124" s="14" t="s">
        <v>3018</v>
      </c>
      <c r="F124" s="14" t="s">
        <v>2997</v>
      </c>
      <c r="G124" s="53">
        <v>77129820</v>
      </c>
      <c r="H124" s="53">
        <v>0</v>
      </c>
      <c r="I124" s="53">
        <v>7712982</v>
      </c>
      <c r="J124" s="53">
        <f t="shared" si="32"/>
        <v>84842802</v>
      </c>
      <c r="L124" s="53">
        <v>0</v>
      </c>
      <c r="M124" s="53">
        <v>0</v>
      </c>
      <c r="N124" s="53">
        <v>0</v>
      </c>
      <c r="O124" s="53">
        <v>0</v>
      </c>
      <c r="P124" s="53">
        <v>0</v>
      </c>
      <c r="Q124" s="53">
        <v>0</v>
      </c>
      <c r="R124" s="53">
        <v>0</v>
      </c>
      <c r="S124" s="54">
        <f t="shared" si="33"/>
        <v>84842802</v>
      </c>
      <c r="T124" s="80"/>
      <c r="U124" s="53">
        <v>0</v>
      </c>
      <c r="V124" s="204">
        <f>(G124+H124)*2%</f>
        <v>1542596.4000000001</v>
      </c>
      <c r="W124" s="131">
        <v>0</v>
      </c>
      <c r="X124" s="209">
        <f>I124</f>
        <v>7712982</v>
      </c>
      <c r="Z124" s="84">
        <f>S124-I124-V124</f>
        <v>75587223.599999994</v>
      </c>
      <c r="AB124" s="80"/>
      <c r="AC124" s="80"/>
    </row>
    <row r="125" spans="1:29" s="14" customFormat="1">
      <c r="A125" s="74">
        <f t="shared" si="20"/>
        <v>116</v>
      </c>
      <c r="B125" s="79" t="s">
        <v>3383</v>
      </c>
      <c r="C125" s="74">
        <v>2021</v>
      </c>
      <c r="D125" s="14" t="s">
        <v>3387</v>
      </c>
      <c r="E125" s="168" t="s">
        <v>4862</v>
      </c>
      <c r="F125" s="14" t="s">
        <v>3392</v>
      </c>
      <c r="G125" s="53">
        <v>18534000</v>
      </c>
      <c r="H125" s="53">
        <v>1297380.0000000002</v>
      </c>
      <c r="I125" s="53">
        <v>1983138</v>
      </c>
      <c r="J125" s="53">
        <f t="shared" si="32"/>
        <v>21814518</v>
      </c>
      <c r="L125" s="53">
        <v>0</v>
      </c>
      <c r="M125" s="53">
        <v>0</v>
      </c>
      <c r="N125" s="53">
        <v>0</v>
      </c>
      <c r="O125" s="53">
        <v>0</v>
      </c>
      <c r="P125" s="53">
        <v>0</v>
      </c>
      <c r="Q125" s="53">
        <v>0</v>
      </c>
      <c r="R125" s="53">
        <v>0</v>
      </c>
      <c r="S125" s="54">
        <f t="shared" si="33"/>
        <v>21814518</v>
      </c>
      <c r="T125" s="80"/>
      <c r="U125" s="53">
        <v>0</v>
      </c>
      <c r="V125" s="204">
        <f>(G125+H125)*2%</f>
        <v>396627.60000000003</v>
      </c>
      <c r="W125" s="131">
        <f t="shared" ref="W125" si="36">I125</f>
        <v>1983138</v>
      </c>
      <c r="X125" s="209">
        <v>0</v>
      </c>
      <c r="Z125" s="84">
        <f>S125-I125-V125</f>
        <v>19434752.399999999</v>
      </c>
    </row>
    <row r="126" spans="1:29" s="14" customFormat="1">
      <c r="A126" s="74">
        <f t="shared" si="20"/>
        <v>117</v>
      </c>
      <c r="B126" s="79" t="s">
        <v>3383</v>
      </c>
      <c r="C126" s="74">
        <v>2021</v>
      </c>
      <c r="D126" s="14" t="s">
        <v>3385</v>
      </c>
      <c r="E126" s="14" t="s">
        <v>3390</v>
      </c>
      <c r="F126" s="14" t="s">
        <v>2997</v>
      </c>
      <c r="G126" s="53">
        <v>89870000</v>
      </c>
      <c r="H126" s="53">
        <v>0</v>
      </c>
      <c r="I126" s="53">
        <v>8987000</v>
      </c>
      <c r="J126" s="53">
        <f t="shared" si="32"/>
        <v>98857000</v>
      </c>
      <c r="L126" s="53">
        <v>0</v>
      </c>
      <c r="M126" s="53">
        <v>88072600</v>
      </c>
      <c r="N126" s="53">
        <v>0</v>
      </c>
      <c r="O126" s="53">
        <v>0</v>
      </c>
      <c r="P126" s="53">
        <v>0</v>
      </c>
      <c r="Q126" s="53">
        <v>0</v>
      </c>
      <c r="R126" s="53">
        <v>10784400</v>
      </c>
      <c r="S126" s="54">
        <f t="shared" si="33"/>
        <v>0</v>
      </c>
      <c r="T126" s="80"/>
      <c r="U126" s="53">
        <f t="shared" si="34"/>
        <v>1797400</v>
      </c>
      <c r="V126" s="204">
        <f t="shared" si="35"/>
        <v>0</v>
      </c>
      <c r="W126" s="131">
        <f t="shared" si="13"/>
        <v>8987000</v>
      </c>
      <c r="X126" s="209">
        <v>0</v>
      </c>
    </row>
    <row r="127" spans="1:29" s="14" customFormat="1">
      <c r="A127" s="74">
        <f t="shared" si="20"/>
        <v>118</v>
      </c>
      <c r="B127" s="79" t="s">
        <v>3383</v>
      </c>
      <c r="C127" s="74">
        <v>2021</v>
      </c>
      <c r="D127" s="14" t="s">
        <v>3385</v>
      </c>
      <c r="E127" s="14" t="s">
        <v>3390</v>
      </c>
      <c r="F127" s="14" t="s">
        <v>3393</v>
      </c>
      <c r="G127" s="53">
        <v>74545455</v>
      </c>
      <c r="H127" s="53">
        <v>0</v>
      </c>
      <c r="I127" s="53">
        <v>7454545.5</v>
      </c>
      <c r="J127" s="53">
        <f t="shared" si="32"/>
        <v>82000000.5</v>
      </c>
      <c r="L127" s="53">
        <v>0</v>
      </c>
      <c r="M127" s="53">
        <v>73054546</v>
      </c>
      <c r="N127" s="53">
        <v>0</v>
      </c>
      <c r="O127" s="53">
        <v>0</v>
      </c>
      <c r="P127" s="53">
        <v>0</v>
      </c>
      <c r="Q127" s="53">
        <v>0</v>
      </c>
      <c r="R127" s="53">
        <v>8945454.5</v>
      </c>
      <c r="S127" s="54">
        <f t="shared" si="33"/>
        <v>0</v>
      </c>
      <c r="T127" s="80"/>
      <c r="U127" s="53">
        <f>(G127+H127)*2%-0.1</f>
        <v>1490909</v>
      </c>
      <c r="V127" s="204">
        <f t="shared" si="35"/>
        <v>0</v>
      </c>
      <c r="W127" s="131">
        <f t="shared" si="13"/>
        <v>7454545.5</v>
      </c>
      <c r="X127" s="209">
        <v>0</v>
      </c>
    </row>
    <row r="128" spans="1:29" s="14" customFormat="1">
      <c r="A128" s="74">
        <f t="shared" si="20"/>
        <v>119</v>
      </c>
      <c r="B128" s="79" t="s">
        <v>3383</v>
      </c>
      <c r="C128" s="74">
        <v>2021</v>
      </c>
      <c r="D128" s="14" t="s">
        <v>4457</v>
      </c>
      <c r="E128" s="14" t="s">
        <v>4457</v>
      </c>
      <c r="G128" s="53">
        <v>0</v>
      </c>
      <c r="H128" s="53">
        <v>0</v>
      </c>
      <c r="I128" s="53">
        <v>0</v>
      </c>
      <c r="J128" s="53">
        <f t="shared" si="32"/>
        <v>0</v>
      </c>
      <c r="L128" s="53">
        <v>0</v>
      </c>
      <c r="M128" s="53">
        <v>0</v>
      </c>
      <c r="N128" s="53">
        <v>0</v>
      </c>
      <c r="O128" s="53">
        <v>0</v>
      </c>
      <c r="P128" s="53">
        <v>0</v>
      </c>
      <c r="Q128" s="53">
        <v>0</v>
      </c>
      <c r="R128" s="53">
        <v>0</v>
      </c>
      <c r="S128" s="8">
        <f t="shared" si="33"/>
        <v>0</v>
      </c>
      <c r="T128" s="83"/>
      <c r="U128" s="50">
        <f t="shared" si="34"/>
        <v>0</v>
      </c>
      <c r="V128" s="204">
        <f t="shared" si="35"/>
        <v>0</v>
      </c>
      <c r="W128" s="131">
        <f t="shared" si="13"/>
        <v>0</v>
      </c>
      <c r="X128" s="209">
        <v>0</v>
      </c>
    </row>
    <row r="129" spans="1:29" s="14" customFormat="1">
      <c r="A129" s="74">
        <f t="shared" si="20"/>
        <v>120</v>
      </c>
      <c r="B129" s="79" t="s">
        <v>3383</v>
      </c>
      <c r="C129" s="74">
        <v>2021</v>
      </c>
      <c r="D129" s="14" t="s">
        <v>600</v>
      </c>
      <c r="E129" s="14" t="s">
        <v>3395</v>
      </c>
      <c r="G129" s="53">
        <v>676983000</v>
      </c>
      <c r="H129" s="53">
        <v>70181300</v>
      </c>
      <c r="I129" s="53">
        <v>82188073</v>
      </c>
      <c r="J129" s="53">
        <f t="shared" si="32"/>
        <v>829352373</v>
      </c>
      <c r="L129" s="53">
        <v>0</v>
      </c>
      <c r="M129" s="53">
        <v>0</v>
      </c>
      <c r="N129" s="53">
        <v>0</v>
      </c>
      <c r="O129" s="53">
        <v>0</v>
      </c>
      <c r="P129" s="53">
        <v>0</v>
      </c>
      <c r="Q129" s="53">
        <v>0</v>
      </c>
      <c r="R129" s="53">
        <v>0</v>
      </c>
      <c r="S129" s="8">
        <f t="shared" si="33"/>
        <v>829352373</v>
      </c>
      <c r="T129" s="83"/>
      <c r="U129" s="50">
        <v>0</v>
      </c>
      <c r="V129" s="204">
        <f t="shared" ref="V129:V135" si="37">(G129+H129)*2%</f>
        <v>14943286</v>
      </c>
      <c r="W129" s="131">
        <v>0</v>
      </c>
      <c r="X129" s="209">
        <f t="shared" ref="X129:X134" si="38">I129</f>
        <v>82188073</v>
      </c>
      <c r="Z129" s="84">
        <f t="shared" ref="Z129:Z135" si="39">S129-I129-V129</f>
        <v>732221014</v>
      </c>
    </row>
    <row r="130" spans="1:29" s="14" customFormat="1">
      <c r="A130" s="74">
        <f t="shared" si="20"/>
        <v>121</v>
      </c>
      <c r="B130" s="79" t="s">
        <v>3383</v>
      </c>
      <c r="C130" s="74">
        <v>2021</v>
      </c>
      <c r="D130" s="14" t="s">
        <v>4457</v>
      </c>
      <c r="E130" s="168" t="s">
        <v>4457</v>
      </c>
      <c r="F130" s="14" t="s">
        <v>4005</v>
      </c>
      <c r="G130" s="53">
        <v>0</v>
      </c>
      <c r="H130" s="53">
        <v>0</v>
      </c>
      <c r="I130" s="53">
        <v>0</v>
      </c>
      <c r="J130" s="53">
        <f t="shared" si="32"/>
        <v>0</v>
      </c>
      <c r="L130" s="53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8">
        <f t="shared" si="33"/>
        <v>0</v>
      </c>
      <c r="T130" s="83"/>
      <c r="U130" s="50">
        <v>0</v>
      </c>
      <c r="V130" s="204">
        <f t="shared" si="37"/>
        <v>0</v>
      </c>
      <c r="W130" s="131">
        <v>0</v>
      </c>
      <c r="X130" s="209">
        <f t="shared" si="38"/>
        <v>0</v>
      </c>
      <c r="Z130" s="84">
        <f t="shared" si="39"/>
        <v>0</v>
      </c>
    </row>
    <row r="131" spans="1:29" s="14" customFormat="1">
      <c r="A131" s="74">
        <f t="shared" si="20"/>
        <v>122</v>
      </c>
      <c r="B131" s="79" t="s">
        <v>3383</v>
      </c>
      <c r="C131" s="74">
        <v>2021</v>
      </c>
      <c r="D131" s="14" t="s">
        <v>2999</v>
      </c>
      <c r="E131" s="14" t="s">
        <v>3000</v>
      </c>
      <c r="F131" s="14" t="s">
        <v>3392</v>
      </c>
      <c r="G131" s="53">
        <v>696600000</v>
      </c>
      <c r="H131" s="53"/>
      <c r="I131" s="53">
        <v>69660000</v>
      </c>
      <c r="J131" s="53">
        <f t="shared" ref="J131" si="40">G131+H131+I131</f>
        <v>766260000</v>
      </c>
      <c r="L131" s="53">
        <v>0</v>
      </c>
      <c r="M131" s="53">
        <v>0</v>
      </c>
      <c r="N131" s="53">
        <v>0</v>
      </c>
      <c r="O131" s="53">
        <v>0</v>
      </c>
      <c r="P131" s="53">
        <v>0</v>
      </c>
      <c r="Q131" s="53">
        <v>0</v>
      </c>
      <c r="R131" s="53">
        <v>0</v>
      </c>
      <c r="S131" s="8">
        <f t="shared" ref="S131" si="41">J131-(SUM(L131:R131))</f>
        <v>766260000</v>
      </c>
      <c r="T131" s="83"/>
      <c r="U131" s="50">
        <v>0</v>
      </c>
      <c r="V131" s="204">
        <f t="shared" si="37"/>
        <v>13932000</v>
      </c>
      <c r="W131" s="131">
        <v>0</v>
      </c>
      <c r="X131" s="209">
        <f t="shared" si="38"/>
        <v>69660000</v>
      </c>
      <c r="Z131" s="84">
        <f t="shared" si="39"/>
        <v>682668000</v>
      </c>
    </row>
    <row r="132" spans="1:29" s="14" customFormat="1">
      <c r="A132" s="74">
        <f t="shared" si="20"/>
        <v>123</v>
      </c>
      <c r="B132" s="79" t="s">
        <v>3383</v>
      </c>
      <c r="C132" s="74">
        <v>2021</v>
      </c>
      <c r="D132" s="14" t="s">
        <v>600</v>
      </c>
      <c r="E132" s="14" t="s">
        <v>4137</v>
      </c>
      <c r="G132" s="53">
        <v>299900000</v>
      </c>
      <c r="H132" s="53">
        <v>29990000</v>
      </c>
      <c r="I132" s="53">
        <v>32989000</v>
      </c>
      <c r="J132" s="53">
        <f t="shared" ref="J132:J138" si="42">G132+H132+I132</f>
        <v>362879000</v>
      </c>
      <c r="L132" s="53">
        <v>0</v>
      </c>
      <c r="M132" s="53">
        <v>0</v>
      </c>
      <c r="N132" s="53">
        <v>0</v>
      </c>
      <c r="O132" s="53">
        <v>0</v>
      </c>
      <c r="P132" s="53">
        <v>0</v>
      </c>
      <c r="Q132" s="53">
        <v>0</v>
      </c>
      <c r="R132" s="53">
        <v>0</v>
      </c>
      <c r="S132" s="8">
        <f t="shared" ref="S132:S138" si="43">J132-(SUM(L132:R132))</f>
        <v>362879000</v>
      </c>
      <c r="T132" s="83"/>
      <c r="U132" s="50">
        <v>0</v>
      </c>
      <c r="V132" s="204">
        <f t="shared" si="37"/>
        <v>6597800</v>
      </c>
      <c r="W132" s="131">
        <v>0</v>
      </c>
      <c r="X132" s="209">
        <f t="shared" si="38"/>
        <v>32989000</v>
      </c>
      <c r="Z132" s="84">
        <f t="shared" si="39"/>
        <v>323292200</v>
      </c>
    </row>
    <row r="133" spans="1:29" s="14" customFormat="1">
      <c r="A133" s="74">
        <f t="shared" si="20"/>
        <v>124</v>
      </c>
      <c r="B133" s="79" t="s">
        <v>3383</v>
      </c>
      <c r="C133" s="74">
        <v>2021</v>
      </c>
      <c r="D133" s="14" t="s">
        <v>600</v>
      </c>
      <c r="E133" s="14" t="s">
        <v>4144</v>
      </c>
      <c r="G133" s="53">
        <v>97375000</v>
      </c>
      <c r="H133" s="53">
        <v>9737500</v>
      </c>
      <c r="I133" s="53">
        <v>10711250</v>
      </c>
      <c r="J133" s="53">
        <f t="shared" si="42"/>
        <v>117823750</v>
      </c>
      <c r="L133" s="53">
        <v>0</v>
      </c>
      <c r="M133" s="53">
        <v>0</v>
      </c>
      <c r="N133" s="53">
        <v>0</v>
      </c>
      <c r="O133" s="53">
        <v>0</v>
      </c>
      <c r="P133" s="53">
        <v>0</v>
      </c>
      <c r="Q133" s="53">
        <v>0</v>
      </c>
      <c r="R133" s="53">
        <v>0</v>
      </c>
      <c r="S133" s="8">
        <f t="shared" si="43"/>
        <v>117823750</v>
      </c>
      <c r="T133" s="83"/>
      <c r="U133" s="50">
        <v>0</v>
      </c>
      <c r="V133" s="204">
        <f t="shared" si="37"/>
        <v>2142250</v>
      </c>
      <c r="W133" s="131">
        <v>0</v>
      </c>
      <c r="X133" s="209">
        <f t="shared" si="38"/>
        <v>10711250</v>
      </c>
      <c r="Z133" s="84">
        <f t="shared" si="39"/>
        <v>104970250</v>
      </c>
    </row>
    <row r="134" spans="1:29" s="14" customFormat="1">
      <c r="A134" s="74">
        <f t="shared" si="20"/>
        <v>125</v>
      </c>
      <c r="B134" s="79" t="s">
        <v>3383</v>
      </c>
      <c r="C134" s="74">
        <v>2021</v>
      </c>
      <c r="D134" s="14" t="s">
        <v>428</v>
      </c>
      <c r="E134" s="14" t="s">
        <v>2996</v>
      </c>
      <c r="F134" s="14" t="s">
        <v>4138</v>
      </c>
      <c r="G134" s="53">
        <v>4772727</v>
      </c>
      <c r="H134" s="53">
        <v>0</v>
      </c>
      <c r="I134" s="53">
        <v>477273</v>
      </c>
      <c r="J134" s="53">
        <f t="shared" si="42"/>
        <v>5250000</v>
      </c>
      <c r="L134" s="53">
        <v>0</v>
      </c>
      <c r="M134" s="53">
        <v>0</v>
      </c>
      <c r="N134" s="53">
        <v>0</v>
      </c>
      <c r="O134" s="53">
        <v>0</v>
      </c>
      <c r="P134" s="53">
        <v>0</v>
      </c>
      <c r="Q134" s="53">
        <v>0</v>
      </c>
      <c r="R134" s="53">
        <v>0</v>
      </c>
      <c r="S134" s="8">
        <f t="shared" si="43"/>
        <v>5250000</v>
      </c>
      <c r="T134" s="83"/>
      <c r="U134" s="50">
        <v>0</v>
      </c>
      <c r="V134" s="204">
        <f t="shared" si="37"/>
        <v>95454.540000000008</v>
      </c>
      <c r="W134" s="131">
        <v>0</v>
      </c>
      <c r="X134" s="209">
        <f t="shared" si="38"/>
        <v>477273</v>
      </c>
      <c r="Z134" s="84">
        <f t="shared" si="39"/>
        <v>4677272.46</v>
      </c>
      <c r="AB134" s="83"/>
      <c r="AC134" s="83"/>
    </row>
    <row r="135" spans="1:29" s="14" customFormat="1">
      <c r="A135" s="74">
        <f t="shared" si="20"/>
        <v>126</v>
      </c>
      <c r="B135" s="79" t="s">
        <v>3383</v>
      </c>
      <c r="C135" s="74">
        <v>2021</v>
      </c>
      <c r="D135" s="14" t="s">
        <v>600</v>
      </c>
      <c r="E135" s="14" t="s">
        <v>3044</v>
      </c>
      <c r="F135" s="14" t="s">
        <v>2997</v>
      </c>
      <c r="G135" s="53">
        <v>750000</v>
      </c>
      <c r="H135" s="53">
        <v>0</v>
      </c>
      <c r="I135" s="53">
        <v>7500</v>
      </c>
      <c r="J135" s="53">
        <f t="shared" si="42"/>
        <v>757500</v>
      </c>
      <c r="L135" s="53">
        <v>0</v>
      </c>
      <c r="M135" s="53">
        <v>0</v>
      </c>
      <c r="N135" s="53">
        <v>0</v>
      </c>
      <c r="O135" s="53">
        <v>0</v>
      </c>
      <c r="P135" s="53">
        <v>0</v>
      </c>
      <c r="Q135" s="53">
        <v>0</v>
      </c>
      <c r="R135" s="53">
        <v>0</v>
      </c>
      <c r="S135" s="54">
        <f t="shared" si="43"/>
        <v>757500</v>
      </c>
      <c r="T135" s="80"/>
      <c r="U135" s="53">
        <v>0</v>
      </c>
      <c r="V135" s="204">
        <f t="shared" si="37"/>
        <v>15000</v>
      </c>
      <c r="W135" s="131">
        <f>I135</f>
        <v>7500</v>
      </c>
      <c r="X135" s="209">
        <v>0</v>
      </c>
      <c r="Z135" s="84">
        <f t="shared" si="39"/>
        <v>735000</v>
      </c>
    </row>
    <row r="136" spans="1:29" s="14" customFormat="1">
      <c r="A136" s="74">
        <f t="shared" si="20"/>
        <v>127</v>
      </c>
      <c r="B136" s="79" t="s">
        <v>3383</v>
      </c>
      <c r="C136" s="74">
        <v>2021</v>
      </c>
      <c r="D136" s="14" t="s">
        <v>4139</v>
      </c>
      <c r="E136" s="14" t="s">
        <v>3000</v>
      </c>
      <c r="F136" s="14" t="s">
        <v>3393</v>
      </c>
      <c r="G136" s="53">
        <v>250050000</v>
      </c>
      <c r="H136" s="53">
        <v>0</v>
      </c>
      <c r="I136" s="53">
        <v>0</v>
      </c>
      <c r="J136" s="53">
        <f t="shared" si="42"/>
        <v>250050000</v>
      </c>
      <c r="L136" s="53">
        <v>250050000</v>
      </c>
      <c r="M136" s="53">
        <v>0</v>
      </c>
      <c r="N136" s="53">
        <v>0</v>
      </c>
      <c r="O136" s="53">
        <v>0</v>
      </c>
      <c r="P136" s="53">
        <v>0</v>
      </c>
      <c r="Q136" s="53">
        <v>0</v>
      </c>
      <c r="R136" s="53">
        <v>0</v>
      </c>
      <c r="S136" s="54">
        <f t="shared" si="43"/>
        <v>0</v>
      </c>
      <c r="T136" s="80"/>
      <c r="U136" s="53">
        <v>0</v>
      </c>
      <c r="V136" s="204">
        <f t="shared" ref="V136" si="44">H136*2%</f>
        <v>0</v>
      </c>
      <c r="W136" s="131">
        <f t="shared" ref="W136" si="45">I136</f>
        <v>0</v>
      </c>
      <c r="X136" s="209">
        <v>0</v>
      </c>
    </row>
    <row r="137" spans="1:29" s="14" customFormat="1">
      <c r="A137" s="74">
        <f t="shared" si="20"/>
        <v>128</v>
      </c>
      <c r="B137" s="79" t="s">
        <v>3383</v>
      </c>
      <c r="C137" s="74">
        <v>2021</v>
      </c>
      <c r="D137" s="14" t="s">
        <v>428</v>
      </c>
      <c r="E137" s="14" t="s">
        <v>3391</v>
      </c>
      <c r="F137" s="14" t="s">
        <v>2997</v>
      </c>
      <c r="G137" s="53">
        <v>144500000</v>
      </c>
      <c r="H137" s="53">
        <v>14450000</v>
      </c>
      <c r="I137" s="53">
        <v>15895000</v>
      </c>
      <c r="J137" s="53">
        <f t="shared" si="42"/>
        <v>174845000</v>
      </c>
      <c r="L137" s="53">
        <v>0</v>
      </c>
      <c r="M137" s="53">
        <v>0</v>
      </c>
      <c r="N137" s="53">
        <v>0</v>
      </c>
      <c r="O137" s="53">
        <v>0</v>
      </c>
      <c r="P137" s="53">
        <v>0</v>
      </c>
      <c r="Q137" s="53">
        <v>0</v>
      </c>
      <c r="R137" s="53">
        <v>0</v>
      </c>
      <c r="S137" s="8">
        <f t="shared" si="43"/>
        <v>174845000</v>
      </c>
      <c r="T137" s="83"/>
      <c r="U137" s="50">
        <v>0</v>
      </c>
      <c r="V137" s="204">
        <f t="shared" ref="V137:V142" si="46">(G137+H137)*2%</f>
        <v>3179000</v>
      </c>
      <c r="W137" s="131">
        <v>0</v>
      </c>
      <c r="X137" s="209">
        <f t="shared" ref="X137:X148" si="47">I137</f>
        <v>15895000</v>
      </c>
      <c r="Z137" s="84">
        <f t="shared" ref="Z137:Z145" si="48">S137-I137-V137</f>
        <v>155771000</v>
      </c>
      <c r="AB137" s="83"/>
      <c r="AC137" s="83"/>
    </row>
    <row r="138" spans="1:29" s="14" customFormat="1">
      <c r="A138" s="74">
        <f t="shared" si="20"/>
        <v>129</v>
      </c>
      <c r="B138" s="79" t="s">
        <v>3383</v>
      </c>
      <c r="C138" s="74">
        <v>2021</v>
      </c>
      <c r="D138" s="14" t="s">
        <v>428</v>
      </c>
      <c r="E138" s="14" t="s">
        <v>3391</v>
      </c>
      <c r="F138" s="14" t="s">
        <v>3393</v>
      </c>
      <c r="G138" s="53">
        <v>26500000</v>
      </c>
      <c r="H138" s="53">
        <v>2650000</v>
      </c>
      <c r="I138" s="53">
        <v>2915000</v>
      </c>
      <c r="J138" s="53">
        <f t="shared" si="42"/>
        <v>32065000</v>
      </c>
      <c r="L138" s="53">
        <v>0</v>
      </c>
      <c r="M138" s="53">
        <v>0</v>
      </c>
      <c r="N138" s="53">
        <v>0</v>
      </c>
      <c r="O138" s="53">
        <v>0</v>
      </c>
      <c r="P138" s="53">
        <v>0</v>
      </c>
      <c r="Q138" s="53">
        <v>0</v>
      </c>
      <c r="R138" s="53">
        <v>0</v>
      </c>
      <c r="S138" s="8">
        <f t="shared" si="43"/>
        <v>32065000</v>
      </c>
      <c r="T138" s="83"/>
      <c r="U138" s="50">
        <v>0</v>
      </c>
      <c r="V138" s="204">
        <f t="shared" si="46"/>
        <v>583000</v>
      </c>
      <c r="W138" s="131">
        <v>0</v>
      </c>
      <c r="X138" s="209">
        <f t="shared" si="47"/>
        <v>2915000</v>
      </c>
      <c r="Z138" s="84">
        <f t="shared" si="48"/>
        <v>28567000</v>
      </c>
      <c r="AB138" s="83"/>
      <c r="AC138" s="83"/>
    </row>
    <row r="139" spans="1:29" s="14" customFormat="1">
      <c r="A139" s="74">
        <f t="shared" si="20"/>
        <v>130</v>
      </c>
      <c r="B139" s="79" t="s">
        <v>3383</v>
      </c>
      <c r="C139" s="74">
        <v>2021</v>
      </c>
      <c r="D139" s="14" t="s">
        <v>2993</v>
      </c>
      <c r="E139" s="14" t="s">
        <v>2994</v>
      </c>
      <c r="F139" s="14" t="s">
        <v>4458</v>
      </c>
      <c r="G139" s="53">
        <v>2300000</v>
      </c>
      <c r="H139" s="53"/>
      <c r="I139" s="53">
        <v>23000</v>
      </c>
      <c r="J139" s="53">
        <f t="shared" ref="J139" si="49">G139+H139+I139</f>
        <v>2323000</v>
      </c>
      <c r="L139" s="53">
        <v>0</v>
      </c>
      <c r="M139" s="53">
        <v>0</v>
      </c>
      <c r="N139" s="53">
        <v>0</v>
      </c>
      <c r="O139" s="53">
        <v>0</v>
      </c>
      <c r="P139" s="53">
        <v>0</v>
      </c>
      <c r="Q139" s="53">
        <v>0</v>
      </c>
      <c r="R139" s="53">
        <v>0</v>
      </c>
      <c r="S139" s="8">
        <f t="shared" ref="S139" si="50">J139-(SUM(L139:R139))</f>
        <v>2323000</v>
      </c>
      <c r="T139" s="83"/>
      <c r="U139" s="50">
        <v>0</v>
      </c>
      <c r="V139" s="204">
        <f t="shared" si="46"/>
        <v>46000</v>
      </c>
      <c r="W139" s="131">
        <v>0</v>
      </c>
      <c r="X139" s="209">
        <f t="shared" si="47"/>
        <v>23000</v>
      </c>
      <c r="Z139" s="84">
        <f t="shared" si="48"/>
        <v>2254000</v>
      </c>
    </row>
    <row r="140" spans="1:29" s="14" customFormat="1">
      <c r="A140" s="74">
        <f t="shared" si="20"/>
        <v>131</v>
      </c>
      <c r="B140" s="79" t="s">
        <v>3383</v>
      </c>
      <c r="C140" s="74">
        <v>2021</v>
      </c>
      <c r="D140" s="14" t="s">
        <v>4139</v>
      </c>
      <c r="E140" s="14" t="s">
        <v>3000</v>
      </c>
      <c r="F140" s="14" t="s">
        <v>4459</v>
      </c>
      <c r="G140" s="53">
        <v>143271517</v>
      </c>
      <c r="H140" s="53">
        <v>0</v>
      </c>
      <c r="I140" s="53">
        <v>0</v>
      </c>
      <c r="J140" s="53">
        <f t="shared" ref="J140:J148" si="51">G140+H140+I140</f>
        <v>143271517</v>
      </c>
      <c r="L140" s="53">
        <v>0</v>
      </c>
      <c r="M140" s="53">
        <v>0</v>
      </c>
      <c r="N140" s="53">
        <v>0</v>
      </c>
      <c r="O140" s="53">
        <v>0</v>
      </c>
      <c r="P140" s="53">
        <v>0</v>
      </c>
      <c r="Q140" s="53">
        <v>0</v>
      </c>
      <c r="R140" s="53">
        <v>0</v>
      </c>
      <c r="S140" s="54">
        <f t="shared" ref="S140:S148" si="52">J140-(SUM(L140:R140))</f>
        <v>143271517</v>
      </c>
      <c r="T140" s="80"/>
      <c r="U140" s="53">
        <v>0</v>
      </c>
      <c r="V140" s="204">
        <v>0</v>
      </c>
      <c r="W140" s="131">
        <v>0</v>
      </c>
      <c r="X140" s="209">
        <f t="shared" si="47"/>
        <v>0</v>
      </c>
      <c r="Z140" s="84">
        <f t="shared" si="48"/>
        <v>143271517</v>
      </c>
    </row>
    <row r="141" spans="1:29" s="234" customFormat="1">
      <c r="A141" s="232">
        <f t="shared" si="20"/>
        <v>132</v>
      </c>
      <c r="B141" s="233" t="s">
        <v>3383</v>
      </c>
      <c r="C141" s="232">
        <v>2021</v>
      </c>
      <c r="D141" s="234" t="s">
        <v>600</v>
      </c>
      <c r="E141" s="234" t="s">
        <v>2985</v>
      </c>
      <c r="F141" s="234" t="s">
        <v>5190</v>
      </c>
      <c r="G141" s="235">
        <v>0</v>
      </c>
      <c r="H141" s="235">
        <v>0</v>
      </c>
      <c r="I141" s="235">
        <v>0</v>
      </c>
      <c r="J141" s="235">
        <f t="shared" si="51"/>
        <v>0</v>
      </c>
      <c r="L141" s="235">
        <v>0</v>
      </c>
      <c r="M141" s="235">
        <v>0</v>
      </c>
      <c r="N141" s="235">
        <v>0</v>
      </c>
      <c r="O141" s="235">
        <v>0</v>
      </c>
      <c r="P141" s="235">
        <v>0</v>
      </c>
      <c r="Q141" s="235">
        <v>0</v>
      </c>
      <c r="R141" s="235">
        <v>0</v>
      </c>
      <c r="S141" s="235">
        <f t="shared" si="52"/>
        <v>0</v>
      </c>
      <c r="T141" s="236"/>
      <c r="U141" s="235">
        <v>0</v>
      </c>
      <c r="V141" s="237">
        <f t="shared" si="46"/>
        <v>0</v>
      </c>
      <c r="W141" s="237">
        <v>0</v>
      </c>
      <c r="X141" s="238">
        <f t="shared" si="47"/>
        <v>0</v>
      </c>
      <c r="Z141" s="239">
        <f t="shared" si="48"/>
        <v>0</v>
      </c>
    </row>
    <row r="142" spans="1:29" s="234" customFormat="1">
      <c r="A142" s="232">
        <f t="shared" si="20"/>
        <v>133</v>
      </c>
      <c r="B142" s="233" t="s">
        <v>3383</v>
      </c>
      <c r="C142" s="232">
        <v>2021</v>
      </c>
      <c r="D142" s="234" t="s">
        <v>600</v>
      </c>
      <c r="E142" s="234" t="s">
        <v>4137</v>
      </c>
      <c r="F142" s="234" t="s">
        <v>5192</v>
      </c>
      <c r="G142" s="235">
        <v>79454800</v>
      </c>
      <c r="H142" s="235">
        <v>0</v>
      </c>
      <c r="I142" s="235">
        <v>0</v>
      </c>
      <c r="J142" s="235">
        <f t="shared" ref="J142:J147" si="53">G142+H142+I142</f>
        <v>79454800</v>
      </c>
      <c r="L142" s="235">
        <v>0</v>
      </c>
      <c r="M142" s="235">
        <v>0</v>
      </c>
      <c r="N142" s="235">
        <v>0</v>
      </c>
      <c r="O142" s="235">
        <v>0</v>
      </c>
      <c r="P142" s="235">
        <v>0</v>
      </c>
      <c r="Q142" s="235">
        <v>0</v>
      </c>
      <c r="R142" s="235">
        <v>0</v>
      </c>
      <c r="S142" s="235">
        <f t="shared" ref="S142:S147" si="54">J142-(SUM(L142:R142))</f>
        <v>79454800</v>
      </c>
      <c r="T142" s="236"/>
      <c r="U142" s="235">
        <v>0</v>
      </c>
      <c r="V142" s="237">
        <f t="shared" si="46"/>
        <v>1589096</v>
      </c>
      <c r="W142" s="237">
        <v>0</v>
      </c>
      <c r="X142" s="238">
        <f t="shared" si="47"/>
        <v>0</v>
      </c>
      <c r="Z142" s="239">
        <f t="shared" si="48"/>
        <v>77865704</v>
      </c>
    </row>
    <row r="143" spans="1:29" s="14" customFormat="1">
      <c r="A143" s="74">
        <f t="shared" si="20"/>
        <v>134</v>
      </c>
      <c r="B143" s="208" t="s">
        <v>3383</v>
      </c>
      <c r="C143" s="171">
        <v>2021</v>
      </c>
      <c r="D143" s="14" t="s">
        <v>4951</v>
      </c>
      <c r="E143" s="14" t="s">
        <v>3000</v>
      </c>
      <c r="F143" s="14" t="s">
        <v>4952</v>
      </c>
      <c r="G143" s="170">
        <v>49450000</v>
      </c>
      <c r="H143" s="170">
        <v>0</v>
      </c>
      <c r="I143" s="170">
        <v>0</v>
      </c>
      <c r="J143" s="170">
        <f t="shared" si="53"/>
        <v>49450000</v>
      </c>
      <c r="K143" s="168"/>
      <c r="L143" s="170">
        <v>0</v>
      </c>
      <c r="M143" s="170">
        <v>0</v>
      </c>
      <c r="N143" s="170">
        <v>0</v>
      </c>
      <c r="O143" s="170">
        <v>0</v>
      </c>
      <c r="P143" s="170">
        <v>0</v>
      </c>
      <c r="Q143" s="170">
        <v>0</v>
      </c>
      <c r="R143" s="170">
        <v>0</v>
      </c>
      <c r="S143" s="170">
        <f t="shared" si="54"/>
        <v>49450000</v>
      </c>
      <c r="T143" s="176"/>
      <c r="U143" s="170">
        <v>0</v>
      </c>
      <c r="V143" s="204">
        <v>0</v>
      </c>
      <c r="W143" s="172">
        <v>0</v>
      </c>
      <c r="X143" s="211">
        <f t="shared" si="47"/>
        <v>0</v>
      </c>
      <c r="Y143" s="168"/>
      <c r="Z143" s="84">
        <f t="shared" si="48"/>
        <v>49450000</v>
      </c>
    </row>
    <row r="144" spans="1:29" s="168" customFormat="1">
      <c r="A144" s="74">
        <f t="shared" ref="A144:A148" si="55">A143+1</f>
        <v>135</v>
      </c>
      <c r="B144" s="208" t="s">
        <v>3383</v>
      </c>
      <c r="C144" s="171">
        <v>2021</v>
      </c>
      <c r="D144" s="168" t="s">
        <v>4953</v>
      </c>
      <c r="E144" s="168" t="s">
        <v>3000</v>
      </c>
      <c r="F144" s="168" t="s">
        <v>4954</v>
      </c>
      <c r="G144" s="170">
        <v>28112156</v>
      </c>
      <c r="H144" s="170">
        <v>0</v>
      </c>
      <c r="I144" s="170">
        <v>0</v>
      </c>
      <c r="J144" s="170">
        <f t="shared" si="53"/>
        <v>28112156</v>
      </c>
      <c r="L144" s="170">
        <v>0</v>
      </c>
      <c r="M144" s="170">
        <v>0</v>
      </c>
      <c r="N144" s="170">
        <v>0</v>
      </c>
      <c r="O144" s="170">
        <v>0</v>
      </c>
      <c r="P144" s="170">
        <v>0</v>
      </c>
      <c r="Q144" s="170">
        <v>0</v>
      </c>
      <c r="R144" s="170">
        <v>0</v>
      </c>
      <c r="S144" s="170">
        <f t="shared" si="54"/>
        <v>28112156</v>
      </c>
      <c r="T144" s="176"/>
      <c r="U144" s="170">
        <v>0</v>
      </c>
      <c r="V144" s="204">
        <v>0</v>
      </c>
      <c r="W144" s="172">
        <v>0</v>
      </c>
      <c r="X144" s="211">
        <f t="shared" ref="X144:X147" si="56">I144</f>
        <v>0</v>
      </c>
      <c r="Z144" s="84">
        <f t="shared" si="48"/>
        <v>28112156</v>
      </c>
    </row>
    <row r="145" spans="1:29" s="168" customFormat="1">
      <c r="A145" s="74">
        <f t="shared" si="55"/>
        <v>136</v>
      </c>
      <c r="B145" s="208" t="s">
        <v>3383</v>
      </c>
      <c r="C145" s="171">
        <v>2021</v>
      </c>
      <c r="D145" s="168" t="s">
        <v>428</v>
      </c>
      <c r="E145" s="168" t="s">
        <v>3391</v>
      </c>
      <c r="F145" s="168" t="s">
        <v>5019</v>
      </c>
      <c r="G145" s="170">
        <v>12000000</v>
      </c>
      <c r="H145" s="170">
        <v>1200000</v>
      </c>
      <c r="I145" s="170">
        <v>1320000</v>
      </c>
      <c r="J145" s="170">
        <f t="shared" si="53"/>
        <v>14520000</v>
      </c>
      <c r="L145" s="170">
        <v>0</v>
      </c>
      <c r="M145" s="170">
        <v>0</v>
      </c>
      <c r="N145" s="170">
        <v>0</v>
      </c>
      <c r="O145" s="170">
        <v>0</v>
      </c>
      <c r="P145" s="170">
        <v>0</v>
      </c>
      <c r="Q145" s="170">
        <v>0</v>
      </c>
      <c r="R145" s="170">
        <v>0</v>
      </c>
      <c r="S145" s="170">
        <f t="shared" si="54"/>
        <v>14520000</v>
      </c>
      <c r="T145" s="176"/>
      <c r="U145" s="170">
        <v>0</v>
      </c>
      <c r="V145" s="204">
        <f t="shared" ref="V145" si="57">(G145+H145)*2%</f>
        <v>264000</v>
      </c>
      <c r="W145" s="172">
        <v>0</v>
      </c>
      <c r="X145" s="211">
        <f t="shared" si="56"/>
        <v>1320000</v>
      </c>
      <c r="Z145" s="84">
        <f t="shared" si="48"/>
        <v>12936000</v>
      </c>
      <c r="AB145" s="176"/>
      <c r="AC145" s="176"/>
    </row>
    <row r="146" spans="1:29" s="168" customFormat="1">
      <c r="A146" s="74">
        <f t="shared" si="55"/>
        <v>137</v>
      </c>
      <c r="B146" s="208" t="s">
        <v>3383</v>
      </c>
      <c r="C146" s="171">
        <v>2021</v>
      </c>
      <c r="D146" s="168" t="s">
        <v>428</v>
      </c>
      <c r="E146" s="168" t="s">
        <v>2278</v>
      </c>
      <c r="F146" s="168" t="s">
        <v>5018</v>
      </c>
      <c r="G146" s="170">
        <v>123679218.31999999</v>
      </c>
      <c r="H146" s="170">
        <v>0</v>
      </c>
      <c r="I146" s="170">
        <v>0</v>
      </c>
      <c r="J146" s="170">
        <f t="shared" si="53"/>
        <v>123679218.31999999</v>
      </c>
      <c r="L146" s="170">
        <v>0</v>
      </c>
      <c r="M146" s="170">
        <v>0</v>
      </c>
      <c r="N146" s="170">
        <v>0</v>
      </c>
      <c r="O146" s="170">
        <v>123679218.31999999</v>
      </c>
      <c r="P146" s="170">
        <v>0</v>
      </c>
      <c r="Q146" s="170">
        <v>0</v>
      </c>
      <c r="R146" s="170">
        <v>0</v>
      </c>
      <c r="S146" s="170">
        <f t="shared" si="54"/>
        <v>0</v>
      </c>
      <c r="T146" s="176"/>
      <c r="U146" s="170">
        <v>0</v>
      </c>
      <c r="V146" s="204">
        <v>0</v>
      </c>
      <c r="W146" s="172">
        <v>0</v>
      </c>
      <c r="X146" s="211">
        <f t="shared" si="56"/>
        <v>0</v>
      </c>
    </row>
    <row r="147" spans="1:29" s="168" customFormat="1">
      <c r="A147" s="74">
        <f t="shared" si="55"/>
        <v>138</v>
      </c>
      <c r="B147" s="208">
        <v>44701</v>
      </c>
      <c r="C147" s="171">
        <v>2021</v>
      </c>
      <c r="D147" s="168" t="s">
        <v>5137</v>
      </c>
      <c r="E147" s="14" t="s">
        <v>2991</v>
      </c>
      <c r="F147" s="168" t="s">
        <v>5138</v>
      </c>
      <c r="G147" s="170">
        <v>13090909</v>
      </c>
      <c r="H147" s="170">
        <v>0</v>
      </c>
      <c r="I147" s="170">
        <v>0</v>
      </c>
      <c r="J147" s="170">
        <f t="shared" si="53"/>
        <v>13090909</v>
      </c>
      <c r="L147" s="170">
        <v>0</v>
      </c>
      <c r="M147" s="170">
        <v>0</v>
      </c>
      <c r="N147" s="170">
        <v>0</v>
      </c>
      <c r="O147" s="170">
        <v>0</v>
      </c>
      <c r="P147" s="170">
        <v>0</v>
      </c>
      <c r="Q147" s="170">
        <v>0</v>
      </c>
      <c r="R147" s="170">
        <v>0</v>
      </c>
      <c r="S147" s="170">
        <f t="shared" si="54"/>
        <v>13090909</v>
      </c>
      <c r="T147" s="176"/>
      <c r="U147" s="170">
        <v>0</v>
      </c>
      <c r="V147" s="204">
        <v>0</v>
      </c>
      <c r="W147" s="172">
        <v>0</v>
      </c>
      <c r="X147" s="211">
        <f t="shared" si="56"/>
        <v>0</v>
      </c>
    </row>
    <row r="148" spans="1:29" s="168" customFormat="1">
      <c r="A148" s="74">
        <f t="shared" si="55"/>
        <v>139</v>
      </c>
      <c r="B148" s="208" t="s">
        <v>64</v>
      </c>
      <c r="C148" s="171">
        <v>2021</v>
      </c>
      <c r="D148" s="168" t="s">
        <v>600</v>
      </c>
      <c r="E148" s="14" t="s">
        <v>3395</v>
      </c>
      <c r="F148" s="168" t="s">
        <v>5167</v>
      </c>
      <c r="G148" s="170">
        <v>25000000</v>
      </c>
      <c r="H148" s="170">
        <v>0</v>
      </c>
      <c r="I148" s="170">
        <v>0</v>
      </c>
      <c r="J148" s="170">
        <f t="shared" si="51"/>
        <v>25000000</v>
      </c>
      <c r="L148" s="170">
        <v>0</v>
      </c>
      <c r="M148" s="170">
        <v>0</v>
      </c>
      <c r="N148" s="170">
        <v>0</v>
      </c>
      <c r="O148" s="170">
        <v>0</v>
      </c>
      <c r="P148" s="170">
        <v>0</v>
      </c>
      <c r="Q148" s="170">
        <v>0</v>
      </c>
      <c r="R148" s="170">
        <v>0</v>
      </c>
      <c r="S148" s="170">
        <f t="shared" si="52"/>
        <v>25000000</v>
      </c>
      <c r="T148" s="176"/>
      <c r="U148" s="170">
        <v>0</v>
      </c>
      <c r="V148" s="204">
        <v>0</v>
      </c>
      <c r="W148" s="172">
        <v>0</v>
      </c>
      <c r="X148" s="211">
        <f t="shared" si="47"/>
        <v>0</v>
      </c>
    </row>
    <row r="149" spans="1:29">
      <c r="X149" s="210"/>
    </row>
    <row r="150" spans="1:29">
      <c r="G150" s="8">
        <f>SUBTOTAL(9,G5:G149)</f>
        <v>26158996479.683636</v>
      </c>
      <c r="H150" s="8">
        <f>SUBTOTAL(9,H5:H149)</f>
        <v>1507366336.0999999</v>
      </c>
      <c r="I150" s="8">
        <f>SUBTOTAL(9,I5:I149)</f>
        <v>2365129996.6463633</v>
      </c>
      <c r="J150" s="8">
        <f>SUBTOTAL(9,J5:J149)</f>
        <v>30031492812.429996</v>
      </c>
      <c r="L150" s="8">
        <f t="shared" ref="L150:S150" si="58">SUBTOTAL(9,L5:L149)</f>
        <v>2803634860</v>
      </c>
      <c r="M150" s="8">
        <f t="shared" si="58"/>
        <v>6837793128.6079998</v>
      </c>
      <c r="N150" s="8">
        <f t="shared" si="58"/>
        <v>0</v>
      </c>
      <c r="O150" s="8">
        <f t="shared" si="58"/>
        <v>9528512160.2799988</v>
      </c>
      <c r="P150" s="8">
        <f t="shared" si="58"/>
        <v>1223434602</v>
      </c>
      <c r="Q150" s="8">
        <f t="shared" si="58"/>
        <v>0</v>
      </c>
      <c r="R150" s="8">
        <f t="shared" si="58"/>
        <v>1959353715.4819999</v>
      </c>
      <c r="S150" s="8">
        <f t="shared" si="58"/>
        <v>7678764346.0599995</v>
      </c>
      <c r="U150" s="50">
        <f>SUBTOTAL(9,U5:U149)</f>
        <v>320488833.58127272</v>
      </c>
      <c r="V150" s="207">
        <f>SUBTOTAL(9,V5:V149)</f>
        <v>134901017.09200001</v>
      </c>
      <c r="W150" s="8">
        <f>SUBTOTAL(9,W5:W149)</f>
        <v>1669199656.1863635</v>
      </c>
      <c r="X150" s="8">
        <f>SUBTOTAL(9,X5:X149)</f>
        <v>671539740.46000004</v>
      </c>
    </row>
    <row r="151" spans="1:29">
      <c r="J151" s="8" t="s">
        <v>64</v>
      </c>
      <c r="X151" s="210"/>
    </row>
    <row r="152" spans="1:29">
      <c r="J152" s="8" t="e">
        <f>#REF!+#REF!</f>
        <v>#REF!</v>
      </c>
    </row>
    <row r="153" spans="1:29">
      <c r="Q153" s="8" t="s">
        <v>848</v>
      </c>
    </row>
    <row r="156" spans="1:29">
      <c r="F156">
        <v>0</v>
      </c>
    </row>
  </sheetData>
  <autoFilter ref="A4:X148" xr:uid="{E451E0A0-D3BE-494E-85E7-93C4986D90E8}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2E34-4D76-6843-89F9-5994A46AD2BB}">
  <sheetPr>
    <pageSetUpPr fitToPage="1"/>
  </sheetPr>
  <dimension ref="A1:AF1465"/>
  <sheetViews>
    <sheetView zoomScale="91" zoomScaleNormal="91" zoomScaleSheetLayoutView="100" workbookViewId="0">
      <selection activeCell="R162" sqref="R162"/>
    </sheetView>
  </sheetViews>
  <sheetFormatPr baseColWidth="10" defaultColWidth="9.1640625" defaultRowHeight="17"/>
  <cols>
    <col min="1" max="1" width="6" style="96" customWidth="1"/>
    <col min="2" max="2" width="22" style="41" customWidth="1"/>
    <col min="3" max="3" width="13.33203125" style="41" customWidth="1"/>
    <col min="4" max="4" width="44.1640625" style="16" customWidth="1"/>
    <col min="5" max="5" width="67.83203125" style="41" customWidth="1"/>
    <col min="6" max="6" width="22.5" style="106" customWidth="1"/>
    <col min="7" max="7" width="13.6640625" style="106" customWidth="1"/>
    <col min="8" max="8" width="18.1640625" style="99" customWidth="1"/>
    <col min="9" max="9" width="17.6640625" style="99" customWidth="1"/>
    <col min="10" max="10" width="20.6640625" style="99" customWidth="1"/>
    <col min="11" max="11" width="19.6640625" style="16" customWidth="1"/>
    <col min="12" max="12" width="20.1640625" style="16" customWidth="1"/>
    <col min="13" max="13" width="15.6640625" style="110" customWidth="1"/>
    <col min="14" max="14" width="21" style="16" customWidth="1"/>
    <col min="15" max="15" width="13.83203125" style="16" customWidth="1"/>
    <col min="16" max="16" width="12" style="16" customWidth="1"/>
    <col min="17" max="17" width="2.1640625" style="16" customWidth="1"/>
    <col min="18" max="18" width="19.83203125" style="16" customWidth="1"/>
    <col min="19" max="19" width="13.1640625" style="16" customWidth="1"/>
    <col min="20" max="20" width="2.33203125" style="16" customWidth="1"/>
    <col min="21" max="21" width="17.5" style="85" customWidth="1"/>
    <col min="22" max="22" width="14.83203125" style="85" bestFit="1" customWidth="1"/>
    <col min="23" max="23" width="20.1640625" style="16" customWidth="1"/>
    <col min="24" max="24" width="14.5" style="16" customWidth="1"/>
    <col min="25" max="30" width="9.1640625" style="16"/>
    <col min="31" max="32" width="9.1640625" style="91"/>
    <col min="33" max="16384" width="9.1640625" style="92"/>
  </cols>
  <sheetData>
    <row r="1" spans="1:32" s="89" customFormat="1" ht="16">
      <c r="A1" s="16" t="s">
        <v>606</v>
      </c>
      <c r="B1" s="16"/>
      <c r="C1" s="16"/>
      <c r="D1" s="16"/>
      <c r="E1" s="16"/>
      <c r="F1" s="85" t="s">
        <v>64</v>
      </c>
      <c r="G1" s="85" t="s">
        <v>64</v>
      </c>
      <c r="H1" s="86" t="s">
        <v>64</v>
      </c>
      <c r="I1" s="86" t="s">
        <v>64</v>
      </c>
      <c r="J1" s="66" t="s">
        <v>64</v>
      </c>
      <c r="K1" s="87" t="s">
        <v>64</v>
      </c>
      <c r="L1" s="66" t="s">
        <v>64</v>
      </c>
      <c r="M1" s="88" t="s">
        <v>64</v>
      </c>
      <c r="N1" s="66" t="s">
        <v>64</v>
      </c>
      <c r="O1" s="16"/>
      <c r="P1" s="16"/>
      <c r="Q1" s="16"/>
      <c r="R1" s="66" t="s">
        <v>64</v>
      </c>
      <c r="S1" s="16" t="s">
        <v>64</v>
      </c>
      <c r="T1" s="16"/>
      <c r="U1" s="85"/>
      <c r="V1" s="85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16">
      <c r="A2" s="16"/>
      <c r="B2" s="16"/>
      <c r="C2" s="16"/>
      <c r="E2" s="16" t="s">
        <v>64</v>
      </c>
      <c r="F2" s="90"/>
      <c r="G2" s="90"/>
      <c r="H2" s="16"/>
      <c r="I2" s="16"/>
      <c r="J2" s="16"/>
      <c r="M2" s="88"/>
    </row>
    <row r="3" spans="1:32" ht="16">
      <c r="A3" s="16"/>
      <c r="B3" s="16"/>
      <c r="C3" s="16"/>
      <c r="D3" s="16" t="s">
        <v>64</v>
      </c>
      <c r="E3" s="26" t="s">
        <v>607</v>
      </c>
      <c r="F3" s="241" t="s">
        <v>630</v>
      </c>
      <c r="G3" s="241"/>
      <c r="H3" s="93"/>
      <c r="I3" s="93"/>
      <c r="J3" s="242" t="s">
        <v>3054</v>
      </c>
      <c r="K3" s="242"/>
      <c r="L3" s="242"/>
      <c r="M3" s="242"/>
      <c r="N3" s="242"/>
      <c r="O3" s="242"/>
      <c r="P3" s="242"/>
      <c r="R3" s="242" t="s">
        <v>421</v>
      </c>
      <c r="S3" s="242"/>
      <c r="U3" s="243" t="s">
        <v>64</v>
      </c>
      <c r="V3" s="243"/>
    </row>
    <row r="4" spans="1:32" ht="16">
      <c r="A4" s="16"/>
      <c r="B4" s="16"/>
      <c r="C4" s="16"/>
      <c r="E4" s="16"/>
      <c r="F4" s="94" t="s">
        <v>426</v>
      </c>
      <c r="G4" s="94" t="s">
        <v>427</v>
      </c>
      <c r="H4" s="95">
        <v>14500</v>
      </c>
      <c r="I4" s="93"/>
      <c r="J4" s="30" t="s">
        <v>0</v>
      </c>
      <c r="K4" s="30" t="s">
        <v>61</v>
      </c>
      <c r="L4" s="30" t="s">
        <v>428</v>
      </c>
      <c r="M4" s="30" t="s">
        <v>429</v>
      </c>
      <c r="N4" s="30" t="s">
        <v>430</v>
      </c>
      <c r="O4" s="30" t="s">
        <v>431</v>
      </c>
      <c r="P4" s="30" t="s">
        <v>432</v>
      </c>
      <c r="R4" s="26" t="s">
        <v>426</v>
      </c>
      <c r="S4" s="26" t="s">
        <v>427</v>
      </c>
      <c r="U4" s="28" t="s">
        <v>426</v>
      </c>
      <c r="V4" s="28" t="s">
        <v>427</v>
      </c>
    </row>
    <row r="5" spans="1:32" s="16" customFormat="1">
      <c r="A5" s="96"/>
      <c r="B5" s="13" t="s">
        <v>118</v>
      </c>
      <c r="C5" s="41" t="s">
        <v>64</v>
      </c>
      <c r="D5" s="16" t="s">
        <v>458</v>
      </c>
      <c r="E5" s="13" t="s">
        <v>64</v>
      </c>
      <c r="F5" s="97">
        <v>0</v>
      </c>
      <c r="G5" s="97">
        <v>0</v>
      </c>
      <c r="H5" s="98">
        <f t="shared" ref="H5:H14" si="0">G5*$H$4/$E$162</f>
        <v>0</v>
      </c>
      <c r="I5" s="99"/>
      <c r="J5" s="100">
        <v>0</v>
      </c>
      <c r="K5" s="71">
        <v>0</v>
      </c>
      <c r="L5" s="71">
        <v>0</v>
      </c>
      <c r="M5" s="71">
        <v>0</v>
      </c>
      <c r="N5" s="71">
        <v>0</v>
      </c>
      <c r="O5" s="71">
        <v>0</v>
      </c>
      <c r="P5" s="71">
        <v>0</v>
      </c>
      <c r="R5" s="101">
        <f t="shared" ref="R5:R102" si="1">F5-J5-K5-L5-M5-N5</f>
        <v>0</v>
      </c>
      <c r="S5" s="101">
        <f t="shared" ref="S5:S102" si="2">H5-O5-P5</f>
        <v>0</v>
      </c>
      <c r="U5" s="70">
        <v>0</v>
      </c>
      <c r="V5" s="70">
        <v>0</v>
      </c>
      <c r="AE5" s="91"/>
      <c r="AF5" s="91"/>
    </row>
    <row r="6" spans="1:32" s="16" customFormat="1">
      <c r="A6" s="96"/>
      <c r="B6" s="13" t="s">
        <v>118</v>
      </c>
      <c r="C6" s="41" t="s">
        <v>64</v>
      </c>
      <c r="D6" s="16" t="s">
        <v>459</v>
      </c>
      <c r="E6" s="13" t="s">
        <v>64</v>
      </c>
      <c r="F6" s="97">
        <v>0</v>
      </c>
      <c r="G6" s="97">
        <v>0</v>
      </c>
      <c r="H6" s="98">
        <f t="shared" si="0"/>
        <v>0</v>
      </c>
      <c r="I6" s="99"/>
      <c r="J6" s="100">
        <v>0</v>
      </c>
      <c r="K6" s="71">
        <v>0</v>
      </c>
      <c r="L6" s="71">
        <v>0</v>
      </c>
      <c r="M6" s="71">
        <v>0</v>
      </c>
      <c r="N6" s="71">
        <v>0</v>
      </c>
      <c r="O6" s="71">
        <v>0</v>
      </c>
      <c r="P6" s="71">
        <v>0</v>
      </c>
      <c r="R6" s="101">
        <f t="shared" si="1"/>
        <v>0</v>
      </c>
      <c r="S6" s="101">
        <f t="shared" si="2"/>
        <v>0</v>
      </c>
      <c r="U6" s="70">
        <v>0</v>
      </c>
      <c r="V6" s="70">
        <v>0</v>
      </c>
      <c r="AE6" s="91"/>
      <c r="AF6" s="91"/>
    </row>
    <row r="7" spans="1:32" s="16" customFormat="1">
      <c r="A7" s="96"/>
      <c r="B7" s="13" t="s">
        <v>118</v>
      </c>
      <c r="C7" s="41" t="s">
        <v>64</v>
      </c>
      <c r="D7" s="16" t="s">
        <v>460</v>
      </c>
      <c r="E7" s="13" t="s">
        <v>64</v>
      </c>
      <c r="F7" s="97">
        <v>0</v>
      </c>
      <c r="G7" s="97">
        <v>0</v>
      </c>
      <c r="H7" s="98">
        <f t="shared" si="0"/>
        <v>0</v>
      </c>
      <c r="I7" s="99"/>
      <c r="J7" s="100">
        <v>0</v>
      </c>
      <c r="K7" s="71">
        <v>0</v>
      </c>
      <c r="L7" s="71">
        <v>0</v>
      </c>
      <c r="M7" s="71">
        <v>0</v>
      </c>
      <c r="N7" s="71">
        <v>0</v>
      </c>
      <c r="O7" s="71">
        <v>0</v>
      </c>
      <c r="P7" s="71">
        <v>0</v>
      </c>
      <c r="R7" s="101">
        <f t="shared" si="1"/>
        <v>0</v>
      </c>
      <c r="S7" s="101">
        <f t="shared" si="2"/>
        <v>0</v>
      </c>
      <c r="U7" s="70">
        <v>0</v>
      </c>
      <c r="V7" s="70">
        <v>0</v>
      </c>
      <c r="AE7" s="91"/>
      <c r="AF7" s="91"/>
    </row>
    <row r="8" spans="1:32" s="16" customFormat="1">
      <c r="A8" s="96"/>
      <c r="B8" s="13" t="s">
        <v>118</v>
      </c>
      <c r="C8" s="41" t="s">
        <v>64</v>
      </c>
      <c r="D8" s="16" t="s">
        <v>433</v>
      </c>
      <c r="E8" s="13" t="s">
        <v>64</v>
      </c>
      <c r="F8" s="102">
        <v>4843766</v>
      </c>
      <c r="G8" s="102">
        <v>0</v>
      </c>
      <c r="H8" s="103">
        <f t="shared" si="0"/>
        <v>0</v>
      </c>
      <c r="I8" s="99"/>
      <c r="J8" s="100">
        <v>0</v>
      </c>
      <c r="K8" s="100">
        <v>0</v>
      </c>
      <c r="L8" s="100">
        <v>0</v>
      </c>
      <c r="M8" s="100">
        <v>0</v>
      </c>
      <c r="N8" s="100">
        <v>4843766</v>
      </c>
      <c r="O8" s="100">
        <v>0</v>
      </c>
      <c r="P8" s="100">
        <v>0</v>
      </c>
      <c r="R8" s="101">
        <f t="shared" si="1"/>
        <v>0</v>
      </c>
      <c r="S8" s="101">
        <f t="shared" si="2"/>
        <v>0</v>
      </c>
      <c r="U8" s="104">
        <v>0</v>
      </c>
      <c r="V8" s="104">
        <v>0</v>
      </c>
      <c r="AE8" s="91"/>
      <c r="AF8" s="91"/>
    </row>
    <row r="9" spans="1:32" s="16" customFormat="1">
      <c r="A9" s="96"/>
      <c r="B9" s="13" t="s">
        <v>118</v>
      </c>
      <c r="C9" s="41" t="s">
        <v>64</v>
      </c>
      <c r="D9" s="16" t="s">
        <v>123</v>
      </c>
      <c r="E9" s="13" t="s">
        <v>64</v>
      </c>
      <c r="F9" s="102">
        <v>1646000</v>
      </c>
      <c r="G9" s="102">
        <v>0</v>
      </c>
      <c r="H9" s="103">
        <f t="shared" si="0"/>
        <v>0</v>
      </c>
      <c r="I9" s="99"/>
      <c r="J9" s="50">
        <v>1646000</v>
      </c>
      <c r="K9" s="71">
        <v>0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R9" s="101">
        <f t="shared" si="1"/>
        <v>0</v>
      </c>
      <c r="S9" s="101">
        <f t="shared" si="2"/>
        <v>0</v>
      </c>
      <c r="U9" s="104">
        <v>0</v>
      </c>
      <c r="V9" s="104">
        <v>0</v>
      </c>
      <c r="AE9" s="91"/>
      <c r="AF9" s="91"/>
    </row>
    <row r="10" spans="1:32" s="16" customFormat="1">
      <c r="A10" s="96"/>
      <c r="B10" s="13" t="s">
        <v>118</v>
      </c>
      <c r="C10" s="41" t="s">
        <v>64</v>
      </c>
      <c r="D10" s="16" t="s">
        <v>530</v>
      </c>
      <c r="E10" s="13" t="s">
        <v>64</v>
      </c>
      <c r="F10" s="102">
        <v>0</v>
      </c>
      <c r="G10" s="102">
        <v>0</v>
      </c>
      <c r="H10" s="103">
        <f t="shared" si="0"/>
        <v>0</v>
      </c>
      <c r="I10" s="99"/>
      <c r="J10" s="100">
        <v>0</v>
      </c>
      <c r="K10" s="100">
        <v>0</v>
      </c>
      <c r="L10" s="100">
        <v>0</v>
      </c>
      <c r="M10" s="100">
        <v>0</v>
      </c>
      <c r="N10" s="100">
        <v>0</v>
      </c>
      <c r="O10" s="100">
        <v>0</v>
      </c>
      <c r="P10" s="100">
        <v>0</v>
      </c>
      <c r="R10" s="101">
        <f t="shared" si="1"/>
        <v>0</v>
      </c>
      <c r="S10" s="101">
        <f t="shared" si="2"/>
        <v>0</v>
      </c>
      <c r="U10" s="104">
        <v>0</v>
      </c>
      <c r="V10" s="104">
        <v>0</v>
      </c>
      <c r="AE10" s="91"/>
      <c r="AF10" s="91"/>
    </row>
    <row r="11" spans="1:32" s="16" customFormat="1">
      <c r="A11" s="96"/>
      <c r="B11" s="13" t="s">
        <v>118</v>
      </c>
      <c r="C11" s="41" t="s">
        <v>64</v>
      </c>
      <c r="D11" s="16" t="s">
        <v>461</v>
      </c>
      <c r="E11" s="13" t="s">
        <v>64</v>
      </c>
      <c r="F11" s="97">
        <v>0</v>
      </c>
      <c r="G11" s="97">
        <v>0</v>
      </c>
      <c r="H11" s="98">
        <f t="shared" si="0"/>
        <v>0</v>
      </c>
      <c r="I11" s="99"/>
      <c r="J11" s="100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0</v>
      </c>
      <c r="R11" s="101">
        <f>F11-J11-K11-L11-M11-N11</f>
        <v>0</v>
      </c>
      <c r="S11" s="101">
        <f t="shared" si="2"/>
        <v>0</v>
      </c>
      <c r="U11" s="70">
        <v>0</v>
      </c>
      <c r="V11" s="70">
        <v>0</v>
      </c>
      <c r="AE11" s="91"/>
      <c r="AF11" s="91"/>
    </row>
    <row r="12" spans="1:32" s="16" customFormat="1">
      <c r="A12" s="96"/>
      <c r="B12" s="13" t="s">
        <v>118</v>
      </c>
      <c r="C12" s="41" t="s">
        <v>64</v>
      </c>
      <c r="D12" s="16" t="s">
        <v>462</v>
      </c>
      <c r="E12" s="13" t="s">
        <v>64</v>
      </c>
      <c r="F12" s="97">
        <v>0</v>
      </c>
      <c r="G12" s="97">
        <v>0</v>
      </c>
      <c r="H12" s="98">
        <f t="shared" si="0"/>
        <v>0</v>
      </c>
      <c r="I12" s="99"/>
      <c r="J12" s="100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R12" s="101">
        <f t="shared" si="1"/>
        <v>0</v>
      </c>
      <c r="S12" s="101">
        <f t="shared" si="2"/>
        <v>0</v>
      </c>
      <c r="U12" s="70">
        <v>0</v>
      </c>
      <c r="V12" s="70">
        <v>0</v>
      </c>
      <c r="AE12" s="91"/>
      <c r="AF12" s="91"/>
    </row>
    <row r="13" spans="1:32" s="16" customFormat="1">
      <c r="A13" s="96"/>
      <c r="B13" s="13" t="s">
        <v>118</v>
      </c>
      <c r="C13" s="41" t="s">
        <v>64</v>
      </c>
      <c r="D13" s="16" t="s">
        <v>174</v>
      </c>
      <c r="E13" s="13" t="s">
        <v>64</v>
      </c>
      <c r="F13" s="97">
        <v>0</v>
      </c>
      <c r="G13" s="97">
        <v>0</v>
      </c>
      <c r="H13" s="98">
        <f t="shared" si="0"/>
        <v>0</v>
      </c>
      <c r="I13" s="99"/>
      <c r="J13" s="100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R13" s="101">
        <f>F13-J13-K13-L13-M13-N13</f>
        <v>0</v>
      </c>
      <c r="S13" s="101">
        <f>H13-O13-P13</f>
        <v>0</v>
      </c>
      <c r="U13" s="70">
        <v>0</v>
      </c>
      <c r="V13" s="70">
        <v>0</v>
      </c>
      <c r="AE13" s="91"/>
      <c r="AF13" s="91"/>
    </row>
    <row r="14" spans="1:32" s="16" customFormat="1">
      <c r="A14" s="96"/>
      <c r="B14" s="13" t="s">
        <v>118</v>
      </c>
      <c r="C14" s="41" t="s">
        <v>64</v>
      </c>
      <c r="D14" s="16" t="s">
        <v>480</v>
      </c>
      <c r="E14" s="13" t="s">
        <v>64</v>
      </c>
      <c r="F14" s="97">
        <v>0</v>
      </c>
      <c r="G14" s="97">
        <v>0</v>
      </c>
      <c r="H14" s="98">
        <f t="shared" si="0"/>
        <v>0</v>
      </c>
      <c r="I14" s="99"/>
      <c r="J14" s="100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R14" s="101">
        <f t="shared" si="1"/>
        <v>0</v>
      </c>
      <c r="S14" s="101">
        <f t="shared" si="2"/>
        <v>0</v>
      </c>
      <c r="U14" s="70">
        <v>0</v>
      </c>
      <c r="V14" s="70">
        <v>0</v>
      </c>
      <c r="AE14" s="91"/>
      <c r="AF14" s="91"/>
    </row>
    <row r="15" spans="1:32" s="16" customFormat="1">
      <c r="A15" s="96"/>
      <c r="B15" s="13" t="s">
        <v>118</v>
      </c>
      <c r="C15" s="41" t="s">
        <v>64</v>
      </c>
      <c r="D15" s="16" t="s">
        <v>608</v>
      </c>
      <c r="E15" s="13" t="s">
        <v>64</v>
      </c>
      <c r="F15" s="102">
        <v>0</v>
      </c>
      <c r="G15" s="102">
        <v>128.69</v>
      </c>
      <c r="H15" s="103">
        <f>G15*H4</f>
        <v>1866005</v>
      </c>
      <c r="I15" s="99"/>
      <c r="J15" s="100">
        <v>1866005</v>
      </c>
      <c r="K15" s="100">
        <v>0</v>
      </c>
      <c r="L15" s="100">
        <v>0</v>
      </c>
      <c r="M15" s="100">
        <v>0</v>
      </c>
      <c r="N15" s="100">
        <v>0</v>
      </c>
      <c r="O15" s="100">
        <v>0</v>
      </c>
      <c r="P15" s="100">
        <v>0</v>
      </c>
      <c r="R15" s="101">
        <f>H15-J15</f>
        <v>0</v>
      </c>
      <c r="S15" s="101">
        <v>0</v>
      </c>
      <c r="U15" s="104">
        <v>0</v>
      </c>
      <c r="V15" s="104">
        <v>0</v>
      </c>
      <c r="AE15" s="91"/>
      <c r="AF15" s="91"/>
    </row>
    <row r="16" spans="1:32" s="16" customFormat="1">
      <c r="A16" s="96"/>
      <c r="B16" s="13" t="s">
        <v>118</v>
      </c>
      <c r="C16" s="41" t="s">
        <v>64</v>
      </c>
      <c r="D16" s="16" t="s">
        <v>553</v>
      </c>
      <c r="E16" s="13" t="s">
        <v>64</v>
      </c>
      <c r="F16" s="97">
        <v>141200</v>
      </c>
      <c r="G16" s="97">
        <v>0</v>
      </c>
      <c r="H16" s="98">
        <f t="shared" ref="H16:H32" si="3">G16*$H$4/$E$162</f>
        <v>0</v>
      </c>
      <c r="I16" s="99"/>
      <c r="J16" s="100">
        <v>141200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R16" s="101">
        <f t="shared" si="1"/>
        <v>0</v>
      </c>
      <c r="S16" s="101">
        <f t="shared" si="2"/>
        <v>0</v>
      </c>
      <c r="U16" s="70">
        <v>0</v>
      </c>
      <c r="V16" s="70">
        <v>0</v>
      </c>
      <c r="AE16" s="91"/>
      <c r="AF16" s="91"/>
    </row>
    <row r="17" spans="1:32" s="16" customFormat="1">
      <c r="A17" s="96"/>
      <c r="B17" s="13" t="s">
        <v>118</v>
      </c>
      <c r="C17" s="41" t="s">
        <v>64</v>
      </c>
      <c r="D17" s="16" t="s">
        <v>464</v>
      </c>
      <c r="E17" s="13" t="s">
        <v>64</v>
      </c>
      <c r="F17" s="97">
        <v>0</v>
      </c>
      <c r="G17" s="97">
        <v>0</v>
      </c>
      <c r="H17" s="98">
        <f t="shared" si="3"/>
        <v>0</v>
      </c>
      <c r="I17" s="99"/>
      <c r="J17" s="100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R17" s="101">
        <f>F17-J17-K17-L17-M17-N17</f>
        <v>0</v>
      </c>
      <c r="S17" s="101">
        <f>H17-O17-P17</f>
        <v>0</v>
      </c>
      <c r="U17" s="70">
        <v>0</v>
      </c>
      <c r="V17" s="70">
        <v>0</v>
      </c>
      <c r="AE17" s="91"/>
      <c r="AF17" s="91"/>
    </row>
    <row r="18" spans="1:32" s="16" customFormat="1">
      <c r="A18" s="96"/>
      <c r="B18" s="13" t="s">
        <v>118</v>
      </c>
      <c r="C18" s="41" t="s">
        <v>64</v>
      </c>
      <c r="D18" s="16" t="s">
        <v>126</v>
      </c>
      <c r="E18" s="13" t="s">
        <v>64</v>
      </c>
      <c r="F18" s="97">
        <v>0</v>
      </c>
      <c r="G18" s="97">
        <v>0</v>
      </c>
      <c r="H18" s="98">
        <f t="shared" si="3"/>
        <v>0</v>
      </c>
      <c r="I18" s="99"/>
      <c r="J18" s="100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R18" s="101">
        <f t="shared" si="1"/>
        <v>0</v>
      </c>
      <c r="S18" s="101">
        <f t="shared" si="2"/>
        <v>0</v>
      </c>
      <c r="U18" s="70">
        <v>0</v>
      </c>
      <c r="V18" s="70">
        <v>0</v>
      </c>
      <c r="AE18" s="91"/>
      <c r="AF18" s="91"/>
    </row>
    <row r="19" spans="1:32" s="16" customFormat="1">
      <c r="A19" s="96"/>
      <c r="B19" s="13" t="s">
        <v>118</v>
      </c>
      <c r="C19" s="41" t="s">
        <v>64</v>
      </c>
      <c r="D19" s="16" t="s">
        <v>128</v>
      </c>
      <c r="E19" s="13" t="s">
        <v>64</v>
      </c>
      <c r="F19" s="102">
        <v>1294849</v>
      </c>
      <c r="G19" s="102">
        <v>0</v>
      </c>
      <c r="H19" s="103">
        <f t="shared" si="3"/>
        <v>0</v>
      </c>
      <c r="I19" s="99"/>
      <c r="J19" s="100">
        <v>1294849</v>
      </c>
      <c r="K19" s="100">
        <v>0</v>
      </c>
      <c r="L19" s="100">
        <v>0</v>
      </c>
      <c r="M19" s="100">
        <v>0</v>
      </c>
      <c r="N19" s="100">
        <v>-60392</v>
      </c>
      <c r="O19" s="100">
        <v>0</v>
      </c>
      <c r="P19" s="100">
        <v>0</v>
      </c>
      <c r="R19" s="101">
        <f t="shared" si="1"/>
        <v>60392</v>
      </c>
      <c r="S19" s="101">
        <f t="shared" si="2"/>
        <v>0</v>
      </c>
      <c r="U19" s="104">
        <v>0</v>
      </c>
      <c r="V19" s="104">
        <v>0</v>
      </c>
      <c r="AE19" s="91"/>
      <c r="AF19" s="91"/>
    </row>
    <row r="20" spans="1:32" s="16" customFormat="1">
      <c r="A20" s="96"/>
      <c r="B20" s="13" t="s">
        <v>118</v>
      </c>
      <c r="C20" s="41" t="s">
        <v>64</v>
      </c>
      <c r="D20" s="16" t="s">
        <v>1109</v>
      </c>
      <c r="E20" s="13" t="s">
        <v>64</v>
      </c>
      <c r="F20" s="97">
        <v>2500000000</v>
      </c>
      <c r="G20" s="97">
        <v>0</v>
      </c>
      <c r="H20" s="98">
        <f t="shared" si="3"/>
        <v>0</v>
      </c>
      <c r="I20" s="99"/>
      <c r="J20" s="100">
        <v>265513966</v>
      </c>
      <c r="K20" s="71">
        <v>0</v>
      </c>
      <c r="L20" s="71">
        <v>-1788573863.2799997</v>
      </c>
      <c r="M20" s="71">
        <v>0</v>
      </c>
      <c r="N20" s="71">
        <v>-235631108</v>
      </c>
      <c r="O20" s="71">
        <v>0</v>
      </c>
      <c r="P20" s="71">
        <v>0</v>
      </c>
      <c r="R20" s="101">
        <f>F20-J20-K20-L20-M20-N20</f>
        <v>4258691005.2799997</v>
      </c>
      <c r="S20" s="101">
        <f>H20-O20-P20</f>
        <v>0</v>
      </c>
      <c r="U20" s="70">
        <v>0</v>
      </c>
      <c r="V20" s="70">
        <v>0</v>
      </c>
      <c r="AE20" s="91"/>
      <c r="AF20" s="91"/>
    </row>
    <row r="21" spans="1:32" s="16" customFormat="1">
      <c r="A21" s="96"/>
      <c r="B21" s="13" t="s">
        <v>111</v>
      </c>
      <c r="C21" s="41" t="s">
        <v>64</v>
      </c>
      <c r="D21" s="16" t="s">
        <v>247</v>
      </c>
      <c r="E21" s="13" t="s">
        <v>609</v>
      </c>
      <c r="F21" s="50">
        <v>22219177</v>
      </c>
      <c r="G21" s="97">
        <v>0</v>
      </c>
      <c r="H21" s="98">
        <f t="shared" si="3"/>
        <v>0</v>
      </c>
      <c r="I21" s="105" t="s">
        <v>64</v>
      </c>
      <c r="J21" s="50">
        <v>22219177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R21" s="101">
        <f t="shared" si="1"/>
        <v>0</v>
      </c>
      <c r="S21" s="101">
        <f t="shared" si="2"/>
        <v>0</v>
      </c>
      <c r="U21" s="70">
        <v>0</v>
      </c>
      <c r="V21" s="70">
        <v>0</v>
      </c>
      <c r="AE21" s="91"/>
      <c r="AF21" s="91"/>
    </row>
    <row r="22" spans="1:32" s="16" customFormat="1">
      <c r="A22" s="96"/>
      <c r="B22" s="13" t="s">
        <v>321</v>
      </c>
      <c r="C22" s="41" t="s">
        <v>64</v>
      </c>
      <c r="D22" s="16" t="s">
        <v>610</v>
      </c>
      <c r="E22" s="13" t="s">
        <v>5194</v>
      </c>
      <c r="F22" s="97">
        <v>0</v>
      </c>
      <c r="G22" s="97">
        <v>0</v>
      </c>
      <c r="H22" s="98">
        <f t="shared" si="3"/>
        <v>0</v>
      </c>
      <c r="I22" s="105" t="s">
        <v>64</v>
      </c>
      <c r="J22" s="100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R22" s="101">
        <f t="shared" si="1"/>
        <v>0</v>
      </c>
      <c r="S22" s="101">
        <f t="shared" si="2"/>
        <v>0</v>
      </c>
      <c r="U22" s="70">
        <v>0</v>
      </c>
      <c r="V22" s="70">
        <v>0</v>
      </c>
      <c r="AE22" s="91"/>
      <c r="AF22" s="91"/>
    </row>
    <row r="23" spans="1:32" s="16" customFormat="1">
      <c r="A23" s="96"/>
      <c r="B23" s="13" t="s">
        <v>321</v>
      </c>
      <c r="C23" s="41" t="s">
        <v>64</v>
      </c>
      <c r="D23" s="16" t="s">
        <v>610</v>
      </c>
      <c r="E23" s="13" t="s">
        <v>5194</v>
      </c>
      <c r="F23" s="97">
        <v>0</v>
      </c>
      <c r="G23" s="97">
        <v>0</v>
      </c>
      <c r="H23" s="98">
        <f t="shared" si="3"/>
        <v>0</v>
      </c>
      <c r="I23" s="105" t="s">
        <v>64</v>
      </c>
      <c r="J23" s="100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R23" s="101">
        <f t="shared" si="1"/>
        <v>0</v>
      </c>
      <c r="S23" s="101">
        <f t="shared" si="2"/>
        <v>0</v>
      </c>
      <c r="U23" s="70">
        <v>0</v>
      </c>
      <c r="V23" s="70">
        <v>0</v>
      </c>
      <c r="AE23" s="91"/>
      <c r="AF23" s="91"/>
    </row>
    <row r="24" spans="1:32" s="16" customFormat="1">
      <c r="A24" s="96"/>
      <c r="B24" s="13" t="s">
        <v>321</v>
      </c>
      <c r="C24" s="41" t="s">
        <v>64</v>
      </c>
      <c r="D24" s="16" t="s">
        <v>612</v>
      </c>
      <c r="E24" s="13" t="s">
        <v>5194</v>
      </c>
      <c r="F24" s="97">
        <v>500000</v>
      </c>
      <c r="G24" s="97">
        <v>0</v>
      </c>
      <c r="H24" s="98">
        <f t="shared" si="3"/>
        <v>0</v>
      </c>
      <c r="I24" s="105" t="s">
        <v>64</v>
      </c>
      <c r="J24" s="100">
        <v>500000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R24" s="101">
        <f t="shared" si="1"/>
        <v>0</v>
      </c>
      <c r="S24" s="101">
        <f t="shared" si="2"/>
        <v>0</v>
      </c>
      <c r="U24" s="70">
        <v>0</v>
      </c>
      <c r="V24" s="70">
        <v>0</v>
      </c>
      <c r="AE24" s="91"/>
      <c r="AF24" s="91"/>
    </row>
    <row r="25" spans="1:32" s="16" customFormat="1">
      <c r="A25" s="96"/>
      <c r="B25" s="13" t="s">
        <v>321</v>
      </c>
      <c r="C25" s="41" t="s">
        <v>64</v>
      </c>
      <c r="D25" s="16" t="s">
        <v>613</v>
      </c>
      <c r="E25" s="13" t="s">
        <v>5194</v>
      </c>
      <c r="F25" s="97">
        <v>0</v>
      </c>
      <c r="G25" s="97">
        <v>0</v>
      </c>
      <c r="H25" s="98">
        <f t="shared" si="3"/>
        <v>0</v>
      </c>
      <c r="I25" s="105" t="s">
        <v>64</v>
      </c>
      <c r="J25" s="100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R25" s="101">
        <f t="shared" si="1"/>
        <v>0</v>
      </c>
      <c r="S25" s="101">
        <f t="shared" si="2"/>
        <v>0</v>
      </c>
      <c r="U25" s="70">
        <v>0</v>
      </c>
      <c r="V25" s="70">
        <v>0</v>
      </c>
      <c r="AE25" s="91"/>
      <c r="AF25" s="91"/>
    </row>
    <row r="26" spans="1:32" s="16" customFormat="1">
      <c r="A26" s="96"/>
      <c r="B26" s="13" t="s">
        <v>321</v>
      </c>
      <c r="C26" s="41" t="s">
        <v>64</v>
      </c>
      <c r="D26" s="16" t="s">
        <v>613</v>
      </c>
      <c r="E26" s="13" t="s">
        <v>5194</v>
      </c>
      <c r="F26" s="97">
        <v>0</v>
      </c>
      <c r="G26" s="97">
        <v>0</v>
      </c>
      <c r="H26" s="98">
        <f t="shared" si="3"/>
        <v>0</v>
      </c>
      <c r="I26" s="105" t="s">
        <v>64</v>
      </c>
      <c r="J26" s="100">
        <v>0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R26" s="101">
        <f t="shared" si="1"/>
        <v>0</v>
      </c>
      <c r="S26" s="101">
        <f t="shared" si="2"/>
        <v>0</v>
      </c>
      <c r="U26" s="70">
        <v>0</v>
      </c>
      <c r="V26" s="70">
        <v>0</v>
      </c>
      <c r="AE26" s="91"/>
      <c r="AF26" s="91"/>
    </row>
    <row r="27" spans="1:32" s="16" customFormat="1">
      <c r="A27" s="96"/>
      <c r="B27" s="13" t="s">
        <v>111</v>
      </c>
      <c r="C27" s="41" t="s">
        <v>64</v>
      </c>
      <c r="D27" s="16" t="s">
        <v>614</v>
      </c>
      <c r="E27" s="13" t="s">
        <v>108</v>
      </c>
      <c r="F27" s="97">
        <v>25000000</v>
      </c>
      <c r="G27" s="97">
        <v>0</v>
      </c>
      <c r="H27" s="98">
        <f t="shared" si="3"/>
        <v>0</v>
      </c>
      <c r="I27" s="105" t="s">
        <v>64</v>
      </c>
      <c r="J27" s="100">
        <v>25000000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R27" s="101">
        <f t="shared" si="1"/>
        <v>0</v>
      </c>
      <c r="S27" s="101">
        <f t="shared" si="2"/>
        <v>0</v>
      </c>
      <c r="U27" s="70">
        <v>0</v>
      </c>
      <c r="V27" s="70">
        <v>0</v>
      </c>
      <c r="AE27" s="91"/>
      <c r="AF27" s="91"/>
    </row>
    <row r="28" spans="1:32" s="16" customFormat="1">
      <c r="A28" s="96"/>
      <c r="B28" s="13" t="s">
        <v>111</v>
      </c>
      <c r="C28" s="41" t="s">
        <v>64</v>
      </c>
      <c r="D28" s="16" t="s">
        <v>433</v>
      </c>
      <c r="E28" s="7" t="s">
        <v>615</v>
      </c>
      <c r="F28" s="97">
        <v>6000000</v>
      </c>
      <c r="G28" s="97">
        <v>0</v>
      </c>
      <c r="H28" s="98">
        <f t="shared" si="3"/>
        <v>0</v>
      </c>
      <c r="I28" s="105" t="s">
        <v>64</v>
      </c>
      <c r="J28" s="100">
        <v>0</v>
      </c>
      <c r="K28" s="71">
        <v>0</v>
      </c>
      <c r="L28" s="71">
        <v>0</v>
      </c>
      <c r="M28" s="71">
        <v>0</v>
      </c>
      <c r="N28" s="71">
        <v>6000000</v>
      </c>
      <c r="O28" s="71">
        <v>0</v>
      </c>
      <c r="P28" s="71">
        <v>0</v>
      </c>
      <c r="R28" s="101">
        <f t="shared" si="1"/>
        <v>0</v>
      </c>
      <c r="S28" s="101">
        <f t="shared" si="2"/>
        <v>0</v>
      </c>
      <c r="U28" s="70">
        <v>0</v>
      </c>
      <c r="V28" s="70">
        <v>0</v>
      </c>
      <c r="AE28" s="91"/>
      <c r="AF28" s="91"/>
    </row>
    <row r="29" spans="1:32" s="16" customFormat="1">
      <c r="A29" s="96"/>
      <c r="B29" s="13" t="s">
        <v>616</v>
      </c>
      <c r="C29" s="41" t="s">
        <v>617</v>
      </c>
      <c r="D29" s="16" t="s">
        <v>618</v>
      </c>
      <c r="E29" s="13" t="s">
        <v>64</v>
      </c>
      <c r="F29" s="102">
        <v>0</v>
      </c>
      <c r="G29" s="102">
        <v>0</v>
      </c>
      <c r="H29" s="103">
        <f t="shared" si="3"/>
        <v>0</v>
      </c>
      <c r="I29" s="99"/>
      <c r="J29" s="100">
        <v>0</v>
      </c>
      <c r="K29" s="100">
        <v>0</v>
      </c>
      <c r="L29" s="100">
        <v>0</v>
      </c>
      <c r="M29" s="100">
        <v>0</v>
      </c>
      <c r="N29" s="100">
        <v>0</v>
      </c>
      <c r="O29" s="100">
        <v>0</v>
      </c>
      <c r="P29" s="100">
        <v>0</v>
      </c>
      <c r="R29" s="101">
        <f t="shared" si="1"/>
        <v>0</v>
      </c>
      <c r="S29" s="101">
        <f t="shared" si="2"/>
        <v>0</v>
      </c>
      <c r="U29" s="104">
        <v>0</v>
      </c>
      <c r="V29" s="104">
        <v>0</v>
      </c>
      <c r="AE29" s="91"/>
      <c r="AF29" s="91"/>
    </row>
    <row r="30" spans="1:32" s="16" customFormat="1">
      <c r="A30" s="96"/>
      <c r="B30" s="13" t="s">
        <v>616</v>
      </c>
      <c r="C30" s="41" t="s">
        <v>617</v>
      </c>
      <c r="D30" s="16" t="s">
        <v>5124</v>
      </c>
      <c r="E30" s="13" t="s">
        <v>611</v>
      </c>
      <c r="F30" s="102">
        <v>0</v>
      </c>
      <c r="G30" s="102">
        <v>0</v>
      </c>
      <c r="H30" s="103">
        <f t="shared" si="3"/>
        <v>0</v>
      </c>
      <c r="I30" s="99"/>
      <c r="J30" s="100">
        <v>0</v>
      </c>
      <c r="K30" s="100">
        <v>-3490585</v>
      </c>
      <c r="L30" s="100">
        <v>0</v>
      </c>
      <c r="M30" s="100">
        <v>0</v>
      </c>
      <c r="N30" s="100">
        <v>0</v>
      </c>
      <c r="O30" s="100">
        <v>0</v>
      </c>
      <c r="P30" s="100">
        <v>0</v>
      </c>
      <c r="R30" s="101">
        <f t="shared" si="1"/>
        <v>3490585</v>
      </c>
      <c r="S30" s="101">
        <f t="shared" si="2"/>
        <v>0</v>
      </c>
      <c r="U30" s="104">
        <v>0</v>
      </c>
      <c r="V30" s="104">
        <v>0</v>
      </c>
      <c r="AE30" s="91"/>
      <c r="AF30" s="91"/>
    </row>
    <row r="31" spans="1:32" s="16" customFormat="1">
      <c r="A31" s="96"/>
      <c r="B31" s="13" t="s">
        <v>616</v>
      </c>
      <c r="C31" s="41" t="s">
        <v>617</v>
      </c>
      <c r="D31" s="16" t="s">
        <v>4621</v>
      </c>
      <c r="E31" s="13" t="s">
        <v>619</v>
      </c>
      <c r="F31" s="102">
        <v>2244959</v>
      </c>
      <c r="G31" s="102">
        <v>0</v>
      </c>
      <c r="H31" s="103">
        <f t="shared" si="3"/>
        <v>0</v>
      </c>
      <c r="I31" s="99"/>
      <c r="J31" s="100">
        <v>-26467347</v>
      </c>
      <c r="K31" s="100">
        <v>-6636363</v>
      </c>
      <c r="L31" s="100">
        <v>-400000</v>
      </c>
      <c r="M31" s="100">
        <v>0</v>
      </c>
      <c r="N31" s="100">
        <f>15393518</f>
        <v>15393518</v>
      </c>
      <c r="O31" s="100">
        <v>0</v>
      </c>
      <c r="P31" s="100">
        <v>0</v>
      </c>
      <c r="R31" s="101">
        <f t="shared" si="1"/>
        <v>20355151</v>
      </c>
      <c r="S31" s="101">
        <f t="shared" si="2"/>
        <v>0</v>
      </c>
      <c r="U31" s="104">
        <v>0</v>
      </c>
      <c r="V31" s="104">
        <v>0</v>
      </c>
      <c r="X31" s="201" t="s">
        <v>64</v>
      </c>
      <c r="AE31" s="91"/>
      <c r="AF31" s="91"/>
    </row>
    <row r="32" spans="1:32" s="16" customFormat="1">
      <c r="A32" s="96"/>
      <c r="B32" s="13" t="s">
        <v>616</v>
      </c>
      <c r="C32" s="41" t="s">
        <v>596</v>
      </c>
      <c r="D32" t="s">
        <v>442</v>
      </c>
      <c r="E32" s="13" t="s">
        <v>64</v>
      </c>
      <c r="F32" s="97">
        <v>0</v>
      </c>
      <c r="G32" s="97">
        <v>0</v>
      </c>
      <c r="H32" s="98">
        <f t="shared" si="3"/>
        <v>0</v>
      </c>
      <c r="I32" s="99"/>
      <c r="J32" s="100">
        <v>0</v>
      </c>
      <c r="K32" s="71">
        <v>0</v>
      </c>
      <c r="L32" s="71">
        <v>0</v>
      </c>
      <c r="M32" s="71">
        <v>0</v>
      </c>
      <c r="N32" s="71">
        <v>0</v>
      </c>
      <c r="O32" s="71">
        <v>0</v>
      </c>
      <c r="P32" s="71">
        <v>0</v>
      </c>
      <c r="R32" s="101">
        <f t="shared" si="1"/>
        <v>0</v>
      </c>
      <c r="S32" s="101">
        <f t="shared" si="2"/>
        <v>0</v>
      </c>
      <c r="U32" s="70">
        <v>0</v>
      </c>
      <c r="V32" s="70">
        <v>0</v>
      </c>
      <c r="AE32" s="91"/>
      <c r="AF32" s="91"/>
    </row>
    <row r="33" spans="1:32" s="16" customFormat="1">
      <c r="A33" s="96"/>
      <c r="B33" s="13" t="s">
        <v>620</v>
      </c>
      <c r="C33" s="41" t="s">
        <v>64</v>
      </c>
      <c r="D33" s="16" t="s">
        <v>621</v>
      </c>
      <c r="E33" s="13" t="s">
        <v>64</v>
      </c>
      <c r="F33" s="97">
        <v>0</v>
      </c>
      <c r="G33" s="97">
        <v>0</v>
      </c>
      <c r="H33" s="98">
        <v>0</v>
      </c>
      <c r="I33" s="99"/>
      <c r="J33" s="100">
        <v>0</v>
      </c>
      <c r="K33" s="71">
        <v>0</v>
      </c>
      <c r="L33" s="71">
        <v>0</v>
      </c>
      <c r="M33" s="71">
        <v>0</v>
      </c>
      <c r="N33" s="71">
        <v>0</v>
      </c>
      <c r="O33" s="71">
        <v>0</v>
      </c>
      <c r="P33" s="71">
        <v>0</v>
      </c>
      <c r="R33" s="101">
        <f t="shared" si="1"/>
        <v>0</v>
      </c>
      <c r="S33" s="101">
        <f t="shared" si="2"/>
        <v>0</v>
      </c>
      <c r="U33" s="70">
        <v>0</v>
      </c>
      <c r="V33" s="70">
        <v>0</v>
      </c>
      <c r="AE33" s="91"/>
      <c r="AF33" s="91"/>
    </row>
    <row r="34" spans="1:32" s="16" customFormat="1">
      <c r="A34" s="96"/>
      <c r="B34" s="13" t="s">
        <v>620</v>
      </c>
      <c r="C34" s="41" t="s">
        <v>64</v>
      </c>
      <c r="D34" s="16" t="s">
        <v>433</v>
      </c>
      <c r="E34" s="13" t="s">
        <v>64</v>
      </c>
      <c r="F34" s="97">
        <v>114701242</v>
      </c>
      <c r="G34" s="97">
        <v>0</v>
      </c>
      <c r="H34" s="98">
        <v>0</v>
      </c>
      <c r="I34" s="99"/>
      <c r="J34" s="100">
        <v>-200000000</v>
      </c>
      <c r="K34" s="71">
        <v>0</v>
      </c>
      <c r="L34" s="71">
        <v>0</v>
      </c>
      <c r="M34" s="71">
        <v>0</v>
      </c>
      <c r="N34" s="71">
        <v>-6377251</v>
      </c>
      <c r="O34" s="71">
        <v>0</v>
      </c>
      <c r="P34" s="71">
        <v>0</v>
      </c>
      <c r="R34" s="101">
        <f t="shared" si="1"/>
        <v>321078493</v>
      </c>
      <c r="S34" s="101">
        <f t="shared" si="2"/>
        <v>0</v>
      </c>
      <c r="U34" s="70">
        <v>0</v>
      </c>
      <c r="V34" s="70">
        <v>0</v>
      </c>
      <c r="AE34" s="91"/>
      <c r="AF34" s="91"/>
    </row>
    <row r="35" spans="1:32" s="16" customFormat="1">
      <c r="A35" s="96"/>
      <c r="B35" s="13" t="s">
        <v>620</v>
      </c>
      <c r="C35" s="41" t="s">
        <v>64</v>
      </c>
      <c r="D35" s="16" t="s">
        <v>123</v>
      </c>
      <c r="E35" s="13" t="s">
        <v>64</v>
      </c>
      <c r="F35" s="106">
        <v>0</v>
      </c>
      <c r="G35" s="106">
        <v>0</v>
      </c>
      <c r="H35" s="107">
        <f t="shared" ref="H35:H66" si="4">G35*$H$4/$E$162</f>
        <v>0</v>
      </c>
      <c r="I35" s="99"/>
      <c r="J35" s="100">
        <v>0</v>
      </c>
      <c r="K35" s="71">
        <v>0</v>
      </c>
      <c r="L35" s="71">
        <v>0</v>
      </c>
      <c r="M35" s="71">
        <v>0</v>
      </c>
      <c r="N35" s="71">
        <v>-262706</v>
      </c>
      <c r="O35" s="71">
        <v>0</v>
      </c>
      <c r="P35" s="71">
        <v>0</v>
      </c>
      <c r="R35" s="101">
        <f t="shared" si="1"/>
        <v>262706</v>
      </c>
      <c r="S35" s="101">
        <f t="shared" si="2"/>
        <v>0</v>
      </c>
      <c r="U35" s="85">
        <v>0</v>
      </c>
      <c r="V35" s="85">
        <v>0</v>
      </c>
      <c r="AE35" s="91"/>
      <c r="AF35" s="91"/>
    </row>
    <row r="36" spans="1:32" s="16" customFormat="1">
      <c r="A36" s="96"/>
      <c r="B36" s="13" t="s">
        <v>620</v>
      </c>
      <c r="C36" s="41" t="s">
        <v>64</v>
      </c>
      <c r="D36" s="16" t="s">
        <v>530</v>
      </c>
      <c r="E36" s="13" t="s">
        <v>64</v>
      </c>
      <c r="F36" s="106">
        <v>0</v>
      </c>
      <c r="G36" s="106">
        <v>0</v>
      </c>
      <c r="H36" s="107">
        <f t="shared" si="4"/>
        <v>0</v>
      </c>
      <c r="I36" s="99"/>
      <c r="J36" s="100">
        <v>0</v>
      </c>
      <c r="K36" s="71">
        <v>0</v>
      </c>
      <c r="L36" s="71">
        <v>0</v>
      </c>
      <c r="M36" s="71">
        <v>0</v>
      </c>
      <c r="N36" s="71">
        <v>0</v>
      </c>
      <c r="O36" s="71">
        <v>0</v>
      </c>
      <c r="P36" s="71">
        <v>0</v>
      </c>
      <c r="R36" s="101">
        <f t="shared" si="1"/>
        <v>0</v>
      </c>
      <c r="S36" s="101">
        <f t="shared" si="2"/>
        <v>0</v>
      </c>
      <c r="U36" s="85">
        <v>0</v>
      </c>
      <c r="V36" s="85">
        <v>0</v>
      </c>
      <c r="AE36" s="91"/>
      <c r="AF36" s="91"/>
    </row>
    <row r="37" spans="1:32" s="16" customFormat="1">
      <c r="A37" s="96"/>
      <c r="B37" s="13" t="s">
        <v>620</v>
      </c>
      <c r="C37" s="41" t="s">
        <v>64</v>
      </c>
      <c r="D37" s="16" t="s">
        <v>461</v>
      </c>
      <c r="E37" s="13" t="s">
        <v>64</v>
      </c>
      <c r="F37" s="97">
        <v>0</v>
      </c>
      <c r="G37" s="97">
        <v>0</v>
      </c>
      <c r="H37" s="98">
        <f t="shared" si="4"/>
        <v>0</v>
      </c>
      <c r="I37" s="99"/>
      <c r="J37" s="100">
        <v>0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1">
        <v>0</v>
      </c>
      <c r="R37" s="101">
        <f t="shared" si="1"/>
        <v>0</v>
      </c>
      <c r="S37" s="101">
        <f t="shared" si="2"/>
        <v>0</v>
      </c>
      <c r="U37" s="70">
        <v>0</v>
      </c>
      <c r="V37" s="70">
        <v>0</v>
      </c>
      <c r="AE37" s="91"/>
      <c r="AF37" s="91"/>
    </row>
    <row r="38" spans="1:32" s="16" customFormat="1">
      <c r="A38" s="96"/>
      <c r="B38" s="13" t="s">
        <v>620</v>
      </c>
      <c r="C38" s="41" t="s">
        <v>64</v>
      </c>
      <c r="D38" s="16" t="s">
        <v>462</v>
      </c>
      <c r="E38" s="13" t="s">
        <v>64</v>
      </c>
      <c r="F38" s="97">
        <v>0</v>
      </c>
      <c r="G38" s="97">
        <v>0</v>
      </c>
      <c r="H38" s="98">
        <f t="shared" si="4"/>
        <v>0</v>
      </c>
      <c r="I38" s="99"/>
      <c r="J38" s="100">
        <v>0</v>
      </c>
      <c r="K38" s="71">
        <v>0</v>
      </c>
      <c r="L38" s="71">
        <v>0</v>
      </c>
      <c r="M38" s="71">
        <v>0</v>
      </c>
      <c r="N38" s="71">
        <v>0</v>
      </c>
      <c r="O38" s="71">
        <v>0</v>
      </c>
      <c r="P38" s="71">
        <v>0</v>
      </c>
      <c r="R38" s="101">
        <f t="shared" si="1"/>
        <v>0</v>
      </c>
      <c r="S38" s="101">
        <f t="shared" si="2"/>
        <v>0</v>
      </c>
      <c r="U38" s="70">
        <v>0</v>
      </c>
      <c r="V38" s="70">
        <v>0</v>
      </c>
      <c r="AE38" s="91"/>
      <c r="AF38" s="91"/>
    </row>
    <row r="39" spans="1:32" s="16" customFormat="1">
      <c r="A39" s="96"/>
      <c r="B39" s="13" t="s">
        <v>620</v>
      </c>
      <c r="C39" s="41" t="s">
        <v>64</v>
      </c>
      <c r="D39" s="16" t="s">
        <v>480</v>
      </c>
      <c r="E39" s="13" t="s">
        <v>64</v>
      </c>
      <c r="F39" s="97">
        <v>0</v>
      </c>
      <c r="G39" s="97">
        <v>0</v>
      </c>
      <c r="H39" s="98">
        <f t="shared" si="4"/>
        <v>0</v>
      </c>
      <c r="I39" s="99"/>
      <c r="J39" s="100">
        <v>0</v>
      </c>
      <c r="K39" s="71">
        <v>0</v>
      </c>
      <c r="L39" s="71">
        <v>0</v>
      </c>
      <c r="M39" s="71">
        <v>0</v>
      </c>
      <c r="N39" s="71">
        <v>0</v>
      </c>
      <c r="O39" s="71">
        <v>0</v>
      </c>
      <c r="P39" s="71">
        <v>0</v>
      </c>
      <c r="R39" s="101">
        <f t="shared" si="1"/>
        <v>0</v>
      </c>
      <c r="S39" s="101">
        <f t="shared" si="2"/>
        <v>0</v>
      </c>
      <c r="U39" s="70">
        <v>0</v>
      </c>
      <c r="V39" s="70">
        <v>0</v>
      </c>
      <c r="AE39" s="91"/>
      <c r="AF39" s="91"/>
    </row>
    <row r="40" spans="1:32" s="16" customFormat="1">
      <c r="A40" s="96"/>
      <c r="B40" s="13" t="s">
        <v>620</v>
      </c>
      <c r="C40" s="41" t="s">
        <v>64</v>
      </c>
      <c r="D40" s="16" t="s">
        <v>553</v>
      </c>
      <c r="E40" s="13" t="s">
        <v>64</v>
      </c>
      <c r="F40" s="97">
        <v>0</v>
      </c>
      <c r="G40" s="97">
        <v>0</v>
      </c>
      <c r="H40" s="98">
        <f t="shared" si="4"/>
        <v>0</v>
      </c>
      <c r="I40" s="99"/>
      <c r="J40" s="100">
        <v>0</v>
      </c>
      <c r="K40" s="71">
        <v>0</v>
      </c>
      <c r="L40" s="71">
        <v>0</v>
      </c>
      <c r="M40" s="71">
        <v>0</v>
      </c>
      <c r="N40" s="71">
        <v>0</v>
      </c>
      <c r="O40" s="71">
        <v>0</v>
      </c>
      <c r="P40" s="71">
        <v>0</v>
      </c>
      <c r="R40" s="101">
        <f t="shared" si="1"/>
        <v>0</v>
      </c>
      <c r="S40" s="101">
        <f t="shared" si="2"/>
        <v>0</v>
      </c>
      <c r="U40" s="70">
        <v>0</v>
      </c>
      <c r="V40" s="70">
        <v>0</v>
      </c>
      <c r="AE40" s="91"/>
      <c r="AF40" s="91"/>
    </row>
    <row r="41" spans="1:32" s="16" customFormat="1">
      <c r="A41" s="96"/>
      <c r="B41" s="13" t="s">
        <v>620</v>
      </c>
      <c r="C41" s="41" t="s">
        <v>64</v>
      </c>
      <c r="D41" s="16" t="s">
        <v>622</v>
      </c>
      <c r="E41" s="13" t="s">
        <v>64</v>
      </c>
      <c r="F41" s="97">
        <v>0</v>
      </c>
      <c r="G41" s="97">
        <v>0</v>
      </c>
      <c r="H41" s="98">
        <f t="shared" si="4"/>
        <v>0</v>
      </c>
      <c r="I41" s="99"/>
      <c r="J41" s="100">
        <v>0</v>
      </c>
      <c r="K41" s="71">
        <v>0</v>
      </c>
      <c r="L41" s="71">
        <v>0</v>
      </c>
      <c r="M41" s="71">
        <v>0</v>
      </c>
      <c r="N41" s="71">
        <v>0</v>
      </c>
      <c r="O41" s="71">
        <v>0</v>
      </c>
      <c r="P41" s="71">
        <v>0</v>
      </c>
      <c r="R41" s="101">
        <f t="shared" si="1"/>
        <v>0</v>
      </c>
      <c r="S41" s="101">
        <f t="shared" si="2"/>
        <v>0</v>
      </c>
      <c r="U41" s="70">
        <v>0</v>
      </c>
      <c r="V41" s="70">
        <v>0</v>
      </c>
      <c r="AE41" s="91"/>
      <c r="AF41" s="91"/>
    </row>
    <row r="42" spans="1:32" s="16" customFormat="1">
      <c r="A42" s="96"/>
      <c r="B42" s="13" t="s">
        <v>620</v>
      </c>
      <c r="C42" s="41" t="s">
        <v>64</v>
      </c>
      <c r="D42" s="16" t="s">
        <v>623</v>
      </c>
      <c r="E42" s="13" t="s">
        <v>64</v>
      </c>
      <c r="F42" s="97">
        <v>0</v>
      </c>
      <c r="G42" s="97">
        <v>0</v>
      </c>
      <c r="H42" s="98">
        <f t="shared" si="4"/>
        <v>0</v>
      </c>
      <c r="I42" s="99"/>
      <c r="J42" s="100">
        <v>-10000000</v>
      </c>
      <c r="K42" s="71">
        <v>0</v>
      </c>
      <c r="L42" s="71">
        <v>0</v>
      </c>
      <c r="M42" s="71">
        <v>0</v>
      </c>
      <c r="N42" s="71">
        <v>0</v>
      </c>
      <c r="O42" s="71">
        <v>0</v>
      </c>
      <c r="P42" s="71">
        <v>0</v>
      </c>
      <c r="R42" s="101">
        <f t="shared" si="1"/>
        <v>10000000</v>
      </c>
      <c r="S42" s="101">
        <f t="shared" si="2"/>
        <v>0</v>
      </c>
      <c r="U42" s="70">
        <v>0</v>
      </c>
      <c r="V42" s="70">
        <v>0</v>
      </c>
      <c r="AE42" s="91"/>
      <c r="AF42" s="91"/>
    </row>
    <row r="43" spans="1:32" s="16" customFormat="1">
      <c r="A43" s="96"/>
      <c r="B43" s="13" t="s">
        <v>620</v>
      </c>
      <c r="C43" s="41" t="s">
        <v>64</v>
      </c>
      <c r="D43" s="16" t="s">
        <v>624</v>
      </c>
      <c r="E43" s="13" t="s">
        <v>64</v>
      </c>
      <c r="F43" s="97">
        <v>1200000</v>
      </c>
      <c r="G43" s="97">
        <v>0</v>
      </c>
      <c r="H43" s="98">
        <f t="shared" si="4"/>
        <v>0</v>
      </c>
      <c r="I43" s="99"/>
      <c r="J43" s="100">
        <v>1200000</v>
      </c>
      <c r="K43" s="71">
        <v>0</v>
      </c>
      <c r="L43" s="71">
        <v>0</v>
      </c>
      <c r="M43" s="71">
        <v>0</v>
      </c>
      <c r="N43" s="71">
        <v>0</v>
      </c>
      <c r="O43" s="71">
        <v>0</v>
      </c>
      <c r="P43" s="71">
        <v>0</v>
      </c>
      <c r="R43" s="101">
        <f>F43-J43-K43-L43-M43-N43</f>
        <v>0</v>
      </c>
      <c r="S43" s="101">
        <f>H43-O43-P43</f>
        <v>0</v>
      </c>
      <c r="U43" s="70">
        <v>0</v>
      </c>
      <c r="V43" s="70">
        <v>0</v>
      </c>
      <c r="AE43" s="91"/>
      <c r="AF43" s="91"/>
    </row>
    <row r="44" spans="1:32" s="16" customFormat="1">
      <c r="A44" s="96"/>
      <c r="B44" s="13" t="s">
        <v>620</v>
      </c>
      <c r="C44" s="41" t="s">
        <v>64</v>
      </c>
      <c r="D44" s="16" t="s">
        <v>126</v>
      </c>
      <c r="E44" s="13" t="s">
        <v>64</v>
      </c>
      <c r="F44" s="97">
        <v>0</v>
      </c>
      <c r="G44" s="97">
        <v>0</v>
      </c>
      <c r="H44" s="98">
        <f t="shared" si="4"/>
        <v>0</v>
      </c>
      <c r="I44" s="99"/>
      <c r="J44" s="100">
        <v>0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R44" s="101">
        <f t="shared" si="1"/>
        <v>0</v>
      </c>
      <c r="S44" s="101">
        <f t="shared" si="2"/>
        <v>0</v>
      </c>
      <c r="U44" s="70">
        <v>0</v>
      </c>
      <c r="V44" s="70">
        <v>0</v>
      </c>
      <c r="AE44" s="91"/>
      <c r="AF44" s="91"/>
    </row>
    <row r="45" spans="1:32" s="16" customFormat="1">
      <c r="A45" s="96"/>
      <c r="B45" s="13" t="s">
        <v>620</v>
      </c>
      <c r="C45" s="41" t="s">
        <v>64</v>
      </c>
      <c r="D45" s="16" t="s">
        <v>625</v>
      </c>
      <c r="E45" s="13" t="s">
        <v>64</v>
      </c>
      <c r="F45" s="97">
        <v>1000000</v>
      </c>
      <c r="G45" s="97">
        <v>0</v>
      </c>
      <c r="H45" s="98">
        <f t="shared" si="4"/>
        <v>0</v>
      </c>
      <c r="I45" s="99"/>
      <c r="J45" s="100">
        <v>1000000</v>
      </c>
      <c r="K45" s="71">
        <v>0</v>
      </c>
      <c r="L45" s="71">
        <v>0</v>
      </c>
      <c r="M45" s="71">
        <v>0</v>
      </c>
      <c r="N45" s="71">
        <v>0</v>
      </c>
      <c r="O45" s="71">
        <v>0</v>
      </c>
      <c r="P45" s="71">
        <v>0</v>
      </c>
      <c r="R45" s="101">
        <f t="shared" si="1"/>
        <v>0</v>
      </c>
      <c r="S45" s="101">
        <f t="shared" si="2"/>
        <v>0</v>
      </c>
      <c r="U45" s="70">
        <v>0</v>
      </c>
      <c r="V45" s="70">
        <v>0</v>
      </c>
      <c r="AE45" s="91"/>
      <c r="AF45" s="91"/>
    </row>
    <row r="46" spans="1:32" s="16" customFormat="1">
      <c r="A46" s="96"/>
      <c r="B46" s="13" t="s">
        <v>620</v>
      </c>
      <c r="C46" s="41" t="s">
        <v>64</v>
      </c>
      <c r="D46" s="16" t="s">
        <v>128</v>
      </c>
      <c r="E46" s="13" t="s">
        <v>64</v>
      </c>
      <c r="F46" s="97">
        <v>0</v>
      </c>
      <c r="G46" s="97">
        <v>0</v>
      </c>
      <c r="H46" s="98">
        <f t="shared" si="4"/>
        <v>0</v>
      </c>
      <c r="I46" s="99"/>
      <c r="J46" s="100">
        <v>0</v>
      </c>
      <c r="K46" s="71">
        <v>0</v>
      </c>
      <c r="L46" s="71">
        <v>0</v>
      </c>
      <c r="M46" s="71">
        <v>0</v>
      </c>
      <c r="N46" s="71">
        <v>0</v>
      </c>
      <c r="O46" s="71">
        <v>0</v>
      </c>
      <c r="P46" s="71">
        <v>0</v>
      </c>
      <c r="R46" s="101">
        <f t="shared" si="1"/>
        <v>0</v>
      </c>
      <c r="S46" s="101">
        <f>H46-O46-P46</f>
        <v>0</v>
      </c>
      <c r="U46" s="70">
        <v>0</v>
      </c>
      <c r="V46" s="70">
        <v>0</v>
      </c>
      <c r="AE46" s="91"/>
      <c r="AF46" s="91"/>
    </row>
    <row r="47" spans="1:32" s="16" customFormat="1">
      <c r="A47" s="96"/>
      <c r="B47" s="13" t="s">
        <v>321</v>
      </c>
      <c r="C47" s="41" t="s">
        <v>64</v>
      </c>
      <c r="D47" s="16" t="s">
        <v>626</v>
      </c>
      <c r="E47" s="13" t="s">
        <v>5195</v>
      </c>
      <c r="F47" s="97">
        <v>0</v>
      </c>
      <c r="G47" s="97">
        <v>0</v>
      </c>
      <c r="H47" s="98">
        <f t="shared" si="4"/>
        <v>0</v>
      </c>
      <c r="I47" s="99"/>
      <c r="J47" s="100">
        <v>0</v>
      </c>
      <c r="K47" s="71">
        <v>0</v>
      </c>
      <c r="L47" s="71">
        <v>0</v>
      </c>
      <c r="M47" s="71">
        <v>0</v>
      </c>
      <c r="N47" s="71">
        <v>0</v>
      </c>
      <c r="O47" s="71">
        <v>0</v>
      </c>
      <c r="P47" s="71">
        <v>0</v>
      </c>
      <c r="R47" s="101">
        <f t="shared" si="1"/>
        <v>0</v>
      </c>
      <c r="S47" s="101">
        <f t="shared" si="2"/>
        <v>0</v>
      </c>
      <c r="U47" s="70">
        <v>0</v>
      </c>
      <c r="V47" s="70">
        <v>0</v>
      </c>
      <c r="AE47" s="91"/>
      <c r="AF47" s="91"/>
    </row>
    <row r="48" spans="1:32" s="16" customFormat="1">
      <c r="A48" s="96"/>
      <c r="B48" s="13" t="s">
        <v>321</v>
      </c>
      <c r="C48" s="41" t="s">
        <v>64</v>
      </c>
      <c r="D48" s="16" t="s">
        <v>152</v>
      </c>
      <c r="E48" s="13" t="s">
        <v>3371</v>
      </c>
      <c r="F48" s="97">
        <v>3500000</v>
      </c>
      <c r="G48" s="97">
        <v>0</v>
      </c>
      <c r="H48" s="98">
        <f t="shared" si="4"/>
        <v>0</v>
      </c>
      <c r="I48" s="99"/>
      <c r="J48" s="100">
        <v>0</v>
      </c>
      <c r="K48" s="71">
        <v>0</v>
      </c>
      <c r="L48" s="71">
        <v>0</v>
      </c>
      <c r="M48" s="71">
        <v>0</v>
      </c>
      <c r="N48" s="97">
        <v>3500000</v>
      </c>
      <c r="O48" s="71">
        <v>0</v>
      </c>
      <c r="P48" s="71">
        <v>0</v>
      </c>
      <c r="R48" s="101">
        <f t="shared" ref="R48" si="5">F48-J48-K48-L48-M48-N48</f>
        <v>0</v>
      </c>
      <c r="S48" s="101">
        <f t="shared" ref="S48" si="6">H48-O48-P48</f>
        <v>0</v>
      </c>
      <c r="U48" s="70">
        <v>0</v>
      </c>
      <c r="V48" s="70">
        <v>0</v>
      </c>
      <c r="AE48" s="91"/>
      <c r="AF48" s="91"/>
    </row>
    <row r="49" spans="1:32" s="16" customFormat="1">
      <c r="A49" s="96"/>
      <c r="B49" s="13" t="s">
        <v>321</v>
      </c>
      <c r="C49" s="41" t="s">
        <v>64</v>
      </c>
      <c r="D49" s="16" t="s">
        <v>152</v>
      </c>
      <c r="E49" s="13" t="s">
        <v>3372</v>
      </c>
      <c r="F49" s="97">
        <v>1001000</v>
      </c>
      <c r="G49" s="97">
        <v>0</v>
      </c>
      <c r="H49" s="98">
        <f t="shared" si="4"/>
        <v>0</v>
      </c>
      <c r="I49" s="99"/>
      <c r="J49" s="100">
        <v>0</v>
      </c>
      <c r="K49" s="71">
        <v>0</v>
      </c>
      <c r="L49" s="71">
        <v>0</v>
      </c>
      <c r="M49" s="71">
        <v>0</v>
      </c>
      <c r="N49" s="97">
        <v>1001000</v>
      </c>
      <c r="O49" s="71">
        <v>0</v>
      </c>
      <c r="P49" s="71">
        <v>0</v>
      </c>
      <c r="R49" s="101">
        <f t="shared" ref="R49:R57" si="7">F49-J49-K49-L49-M49-N49</f>
        <v>0</v>
      </c>
      <c r="S49" s="101">
        <f t="shared" ref="S49:S57" si="8">H49-O49-P49</f>
        <v>0</v>
      </c>
      <c r="U49" s="70">
        <v>0</v>
      </c>
      <c r="V49" s="70">
        <v>0</v>
      </c>
      <c r="AE49" s="91"/>
      <c r="AF49" s="91"/>
    </row>
    <row r="50" spans="1:32" s="16" customFormat="1">
      <c r="A50" s="96"/>
      <c r="B50" s="13" t="s">
        <v>321</v>
      </c>
      <c r="C50" s="41" t="s">
        <v>64</v>
      </c>
      <c r="D50" s="16" t="s">
        <v>152</v>
      </c>
      <c r="E50" s="13" t="s">
        <v>3373</v>
      </c>
      <c r="F50" s="97">
        <v>1001000</v>
      </c>
      <c r="G50" s="97">
        <v>0</v>
      </c>
      <c r="H50" s="98">
        <f t="shared" si="4"/>
        <v>0</v>
      </c>
      <c r="I50" s="99"/>
      <c r="J50" s="100">
        <v>0</v>
      </c>
      <c r="K50" s="71">
        <v>0</v>
      </c>
      <c r="L50" s="71">
        <v>0</v>
      </c>
      <c r="M50" s="71">
        <v>0</v>
      </c>
      <c r="N50" s="97">
        <v>1001000</v>
      </c>
      <c r="O50" s="71">
        <v>0</v>
      </c>
      <c r="P50" s="71">
        <v>0</v>
      </c>
      <c r="R50" s="101">
        <f t="shared" si="7"/>
        <v>0</v>
      </c>
      <c r="S50" s="101">
        <f t="shared" si="8"/>
        <v>0</v>
      </c>
      <c r="U50" s="70">
        <v>0</v>
      </c>
      <c r="V50" s="70">
        <v>0</v>
      </c>
      <c r="AE50" s="91"/>
      <c r="AF50" s="91"/>
    </row>
    <row r="51" spans="1:32" s="16" customFormat="1">
      <c r="A51" s="96"/>
      <c r="B51" s="13" t="s">
        <v>321</v>
      </c>
      <c r="C51" s="41" t="s">
        <v>64</v>
      </c>
      <c r="D51" s="16" t="s">
        <v>152</v>
      </c>
      <c r="E51" s="13" t="s">
        <v>3374</v>
      </c>
      <c r="F51" s="97">
        <v>1001000</v>
      </c>
      <c r="G51" s="97">
        <v>0</v>
      </c>
      <c r="H51" s="98">
        <f t="shared" si="4"/>
        <v>0</v>
      </c>
      <c r="I51" s="99"/>
      <c r="J51" s="100">
        <v>0</v>
      </c>
      <c r="K51" s="71">
        <v>0</v>
      </c>
      <c r="L51" s="71">
        <v>0</v>
      </c>
      <c r="M51" s="71">
        <v>0</v>
      </c>
      <c r="N51" s="97">
        <v>1001000</v>
      </c>
      <c r="O51" s="71">
        <v>0</v>
      </c>
      <c r="P51" s="71">
        <v>0</v>
      </c>
      <c r="R51" s="101">
        <f t="shared" si="7"/>
        <v>0</v>
      </c>
      <c r="S51" s="101">
        <f t="shared" si="8"/>
        <v>0</v>
      </c>
      <c r="U51" s="70">
        <v>0</v>
      </c>
      <c r="V51" s="70">
        <v>0</v>
      </c>
      <c r="AE51" s="91"/>
      <c r="AF51" s="91"/>
    </row>
    <row r="52" spans="1:32" s="16" customFormat="1">
      <c r="A52" s="96"/>
      <c r="B52" s="13" t="s">
        <v>321</v>
      </c>
      <c r="C52" s="41" t="s">
        <v>64</v>
      </c>
      <c r="D52" s="16" t="s">
        <v>152</v>
      </c>
      <c r="E52" s="13" t="s">
        <v>3375</v>
      </c>
      <c r="F52" s="97">
        <v>1001000</v>
      </c>
      <c r="G52" s="97">
        <v>0</v>
      </c>
      <c r="H52" s="98">
        <f t="shared" si="4"/>
        <v>0</v>
      </c>
      <c r="I52" s="99"/>
      <c r="J52" s="100">
        <v>0</v>
      </c>
      <c r="K52" s="71">
        <v>0</v>
      </c>
      <c r="L52" s="71">
        <v>0</v>
      </c>
      <c r="M52" s="71">
        <v>0</v>
      </c>
      <c r="N52" s="97">
        <v>1001000</v>
      </c>
      <c r="O52" s="71">
        <v>0</v>
      </c>
      <c r="P52" s="71">
        <v>0</v>
      </c>
      <c r="R52" s="101">
        <f t="shared" si="7"/>
        <v>0</v>
      </c>
      <c r="S52" s="101">
        <f t="shared" si="8"/>
        <v>0</v>
      </c>
      <c r="U52" s="70">
        <v>0</v>
      </c>
      <c r="V52" s="70">
        <v>0</v>
      </c>
      <c r="AE52" s="91"/>
      <c r="AF52" s="91"/>
    </row>
    <row r="53" spans="1:32" s="16" customFormat="1">
      <c r="A53" s="96"/>
      <c r="B53" s="13" t="s">
        <v>321</v>
      </c>
      <c r="C53" s="41" t="s">
        <v>64</v>
      </c>
      <c r="D53" s="16" t="s">
        <v>152</v>
      </c>
      <c r="E53" s="13" t="s">
        <v>3376</v>
      </c>
      <c r="F53" s="97">
        <v>1001000</v>
      </c>
      <c r="G53" s="97">
        <v>0</v>
      </c>
      <c r="H53" s="98">
        <f t="shared" si="4"/>
        <v>0</v>
      </c>
      <c r="I53" s="99"/>
      <c r="J53" s="100">
        <v>0</v>
      </c>
      <c r="K53" s="71">
        <v>0</v>
      </c>
      <c r="L53" s="71">
        <v>0</v>
      </c>
      <c r="M53" s="71">
        <v>0</v>
      </c>
      <c r="N53" s="97">
        <v>1001000</v>
      </c>
      <c r="O53" s="71">
        <v>0</v>
      </c>
      <c r="P53" s="71">
        <v>0</v>
      </c>
      <c r="R53" s="101">
        <f t="shared" si="7"/>
        <v>0</v>
      </c>
      <c r="S53" s="101">
        <f t="shared" si="8"/>
        <v>0</v>
      </c>
      <c r="U53" s="70">
        <v>0</v>
      </c>
      <c r="V53" s="70">
        <v>0</v>
      </c>
      <c r="AE53" s="91"/>
      <c r="AF53" s="91"/>
    </row>
    <row r="54" spans="1:32" s="16" customFormat="1">
      <c r="A54" s="96"/>
      <c r="B54" s="13" t="s">
        <v>321</v>
      </c>
      <c r="C54" s="41" t="s">
        <v>64</v>
      </c>
      <c r="D54" s="16" t="s">
        <v>152</v>
      </c>
      <c r="E54" s="13" t="s">
        <v>3377</v>
      </c>
      <c r="F54" s="97">
        <v>1001000</v>
      </c>
      <c r="G54" s="97">
        <v>0</v>
      </c>
      <c r="H54" s="98">
        <f t="shared" si="4"/>
        <v>0</v>
      </c>
      <c r="I54" s="99"/>
      <c r="J54" s="100">
        <v>0</v>
      </c>
      <c r="K54" s="71">
        <v>0</v>
      </c>
      <c r="L54" s="71">
        <v>0</v>
      </c>
      <c r="M54" s="71">
        <v>0</v>
      </c>
      <c r="N54" s="97">
        <v>1001000</v>
      </c>
      <c r="O54" s="71">
        <v>0</v>
      </c>
      <c r="P54" s="71">
        <v>0</v>
      </c>
      <c r="R54" s="101">
        <f t="shared" si="7"/>
        <v>0</v>
      </c>
      <c r="S54" s="101">
        <f t="shared" si="8"/>
        <v>0</v>
      </c>
      <c r="U54" s="70">
        <v>0</v>
      </c>
      <c r="V54" s="70">
        <v>0</v>
      </c>
      <c r="AE54" s="91"/>
      <c r="AF54" s="91"/>
    </row>
    <row r="55" spans="1:32" s="16" customFormat="1">
      <c r="A55" s="96"/>
      <c r="B55" s="13" t="s">
        <v>321</v>
      </c>
      <c r="C55" s="41" t="s">
        <v>64</v>
      </c>
      <c r="D55" s="16" t="s">
        <v>152</v>
      </c>
      <c r="E55" s="13" t="s">
        <v>3378</v>
      </c>
      <c r="F55" s="97">
        <v>1001000</v>
      </c>
      <c r="G55" s="97">
        <v>0</v>
      </c>
      <c r="H55" s="98">
        <f t="shared" si="4"/>
        <v>0</v>
      </c>
      <c r="I55" s="99"/>
      <c r="J55" s="100">
        <v>0</v>
      </c>
      <c r="K55" s="71">
        <v>0</v>
      </c>
      <c r="L55" s="71">
        <v>0</v>
      </c>
      <c r="M55" s="71">
        <v>0</v>
      </c>
      <c r="N55" s="97">
        <v>1001000</v>
      </c>
      <c r="O55" s="71">
        <v>0</v>
      </c>
      <c r="P55" s="71">
        <v>0</v>
      </c>
      <c r="R55" s="101">
        <f t="shared" si="7"/>
        <v>0</v>
      </c>
      <c r="S55" s="101">
        <f t="shared" si="8"/>
        <v>0</v>
      </c>
      <c r="U55" s="70">
        <v>0</v>
      </c>
      <c r="V55" s="70">
        <v>0</v>
      </c>
      <c r="AE55" s="91"/>
      <c r="AF55" s="91"/>
    </row>
    <row r="56" spans="1:32" s="16" customFormat="1">
      <c r="A56" s="96"/>
      <c r="B56" s="13" t="s">
        <v>321</v>
      </c>
      <c r="C56" s="41" t="s">
        <v>64</v>
      </c>
      <c r="D56" s="16" t="s">
        <v>152</v>
      </c>
      <c r="E56" s="13" t="s">
        <v>3379</v>
      </c>
      <c r="F56" s="97">
        <v>1001000</v>
      </c>
      <c r="G56" s="97">
        <v>0</v>
      </c>
      <c r="H56" s="98">
        <f t="shared" si="4"/>
        <v>0</v>
      </c>
      <c r="I56" s="99"/>
      <c r="J56" s="100">
        <v>0</v>
      </c>
      <c r="K56" s="71">
        <v>0</v>
      </c>
      <c r="L56" s="71">
        <v>0</v>
      </c>
      <c r="M56" s="71">
        <v>0</v>
      </c>
      <c r="N56" s="97">
        <v>1001000</v>
      </c>
      <c r="O56" s="71">
        <v>0</v>
      </c>
      <c r="P56" s="71">
        <v>0</v>
      </c>
      <c r="R56" s="101">
        <f t="shared" si="7"/>
        <v>0</v>
      </c>
      <c r="S56" s="101">
        <f t="shared" si="8"/>
        <v>0</v>
      </c>
      <c r="U56" s="70">
        <v>0</v>
      </c>
      <c r="V56" s="70">
        <v>0</v>
      </c>
      <c r="AE56" s="91"/>
      <c r="AF56" s="91"/>
    </row>
    <row r="57" spans="1:32" s="16" customFormat="1">
      <c r="A57" s="96"/>
      <c r="B57" s="13" t="s">
        <v>321</v>
      </c>
      <c r="C57" s="41" t="s">
        <v>64</v>
      </c>
      <c r="D57" s="16" t="s">
        <v>152</v>
      </c>
      <c r="E57" s="13" t="s">
        <v>3380</v>
      </c>
      <c r="F57" s="97">
        <v>1001000</v>
      </c>
      <c r="G57" s="97">
        <v>0</v>
      </c>
      <c r="H57" s="98">
        <f t="shared" si="4"/>
        <v>0</v>
      </c>
      <c r="I57" s="99"/>
      <c r="J57" s="100">
        <v>0</v>
      </c>
      <c r="K57" s="71">
        <v>0</v>
      </c>
      <c r="L57" s="71">
        <v>0</v>
      </c>
      <c r="M57" s="71">
        <v>0</v>
      </c>
      <c r="N57" s="97">
        <v>1001000</v>
      </c>
      <c r="O57" s="71">
        <v>0</v>
      </c>
      <c r="P57" s="71">
        <v>0</v>
      </c>
      <c r="R57" s="101">
        <f t="shared" si="7"/>
        <v>0</v>
      </c>
      <c r="S57" s="101">
        <f t="shared" si="8"/>
        <v>0</v>
      </c>
      <c r="U57" s="70">
        <v>0</v>
      </c>
      <c r="V57" s="70">
        <v>0</v>
      </c>
      <c r="AE57" s="91"/>
      <c r="AF57" s="91"/>
    </row>
    <row r="58" spans="1:32" s="16" customFormat="1">
      <c r="A58" s="96"/>
      <c r="B58" s="13" t="s">
        <v>321</v>
      </c>
      <c r="C58" s="41" t="s">
        <v>64</v>
      </c>
      <c r="D58" s="16" t="s">
        <v>152</v>
      </c>
      <c r="E58" s="14" t="s">
        <v>3381</v>
      </c>
      <c r="F58" s="97">
        <v>123750</v>
      </c>
      <c r="G58" s="97">
        <v>0</v>
      </c>
      <c r="H58" s="98">
        <f t="shared" si="4"/>
        <v>0</v>
      </c>
      <c r="I58" s="99"/>
      <c r="J58" s="100">
        <v>0</v>
      </c>
      <c r="K58" s="71">
        <v>0</v>
      </c>
      <c r="L58" s="71">
        <v>0</v>
      </c>
      <c r="M58" s="71">
        <v>0</v>
      </c>
      <c r="N58" s="97">
        <v>123750</v>
      </c>
      <c r="O58" s="71">
        <v>0</v>
      </c>
      <c r="P58" s="71">
        <v>0</v>
      </c>
      <c r="R58" s="101">
        <f t="shared" ref="R58" si="9">F58-J58-K58-L58-M58-N58</f>
        <v>0</v>
      </c>
      <c r="S58" s="101">
        <f t="shared" ref="S58" si="10">H58-O58-P58</f>
        <v>0</v>
      </c>
      <c r="U58" s="70">
        <v>0</v>
      </c>
      <c r="V58" s="70">
        <v>0</v>
      </c>
      <c r="AE58" s="91"/>
      <c r="AF58" s="91"/>
    </row>
    <row r="59" spans="1:32" s="16" customFormat="1">
      <c r="A59" s="96"/>
      <c r="B59" s="13" t="s">
        <v>321</v>
      </c>
      <c r="C59" s="41" t="s">
        <v>64</v>
      </c>
      <c r="D59" s="16" t="s">
        <v>599</v>
      </c>
      <c r="E59" t="s">
        <v>627</v>
      </c>
      <c r="F59" s="8">
        <v>200029725</v>
      </c>
      <c r="G59" s="97">
        <v>0</v>
      </c>
      <c r="H59" s="98">
        <f t="shared" si="4"/>
        <v>0</v>
      </c>
      <c r="I59" s="99"/>
      <c r="J59" s="100">
        <v>0</v>
      </c>
      <c r="K59" s="71">
        <v>0</v>
      </c>
      <c r="L59" s="71">
        <v>0</v>
      </c>
      <c r="M59" s="71">
        <v>0</v>
      </c>
      <c r="N59" s="71">
        <v>0</v>
      </c>
      <c r="O59" s="71">
        <v>0</v>
      </c>
      <c r="P59" s="71">
        <v>0</v>
      </c>
      <c r="R59" s="101">
        <f t="shared" ref="R59:R64" si="11">F59-J59-K59-L59-M59-N59</f>
        <v>200029725</v>
      </c>
      <c r="S59" s="101">
        <f t="shared" ref="S59:S64" si="12">H59-O59-P59</f>
        <v>0</v>
      </c>
      <c r="U59" s="70">
        <v>0</v>
      </c>
      <c r="V59" s="70">
        <v>0</v>
      </c>
      <c r="AE59" s="91"/>
      <c r="AF59" s="91"/>
    </row>
    <row r="60" spans="1:32" s="16" customFormat="1">
      <c r="A60" s="96"/>
      <c r="B60" s="13" t="s">
        <v>321</v>
      </c>
      <c r="C60" s="41" t="s">
        <v>64</v>
      </c>
      <c r="D60" s="16" t="s">
        <v>4393</v>
      </c>
      <c r="E60" s="49" t="s">
        <v>4394</v>
      </c>
      <c r="F60" s="8">
        <v>0</v>
      </c>
      <c r="G60" s="97">
        <v>0</v>
      </c>
      <c r="H60" s="98">
        <f t="shared" si="4"/>
        <v>0</v>
      </c>
      <c r="I60" s="99"/>
      <c r="J60" s="100">
        <v>-23400000</v>
      </c>
      <c r="K60" s="71">
        <v>0</v>
      </c>
      <c r="L60" s="71">
        <v>0</v>
      </c>
      <c r="M60" s="71">
        <v>0</v>
      </c>
      <c r="N60" s="71">
        <v>0</v>
      </c>
      <c r="O60" s="71">
        <v>0</v>
      </c>
      <c r="P60" s="71">
        <v>0</v>
      </c>
      <c r="R60" s="101">
        <f t="shared" si="11"/>
        <v>23400000</v>
      </c>
      <c r="S60" s="101">
        <f t="shared" si="12"/>
        <v>0</v>
      </c>
      <c r="U60" s="70">
        <v>0</v>
      </c>
      <c r="V60" s="70">
        <v>0</v>
      </c>
      <c r="AE60" s="91"/>
      <c r="AF60" s="91"/>
    </row>
    <row r="61" spans="1:32" s="16" customFormat="1">
      <c r="A61" s="96"/>
      <c r="B61" s="13" t="s">
        <v>321</v>
      </c>
      <c r="C61" s="41" t="s">
        <v>64</v>
      </c>
      <c r="D61" s="16" t="s">
        <v>4387</v>
      </c>
      <c r="E61" s="7" t="s">
        <v>4057</v>
      </c>
      <c r="F61" s="8">
        <v>0</v>
      </c>
      <c r="G61" s="97">
        <v>0</v>
      </c>
      <c r="H61" s="98">
        <f t="shared" si="4"/>
        <v>0</v>
      </c>
      <c r="I61" s="99"/>
      <c r="J61" s="100">
        <v>-18000000</v>
      </c>
      <c r="K61" s="71">
        <v>0</v>
      </c>
      <c r="L61" s="71">
        <v>0</v>
      </c>
      <c r="M61" s="71">
        <v>0</v>
      </c>
      <c r="N61" s="71">
        <v>0</v>
      </c>
      <c r="O61" s="71">
        <v>0</v>
      </c>
      <c r="P61" s="71">
        <v>0</v>
      </c>
      <c r="R61" s="101">
        <f t="shared" si="11"/>
        <v>18000000</v>
      </c>
      <c r="S61" s="101">
        <f t="shared" si="12"/>
        <v>0</v>
      </c>
      <c r="U61" s="70">
        <v>0</v>
      </c>
      <c r="V61" s="70">
        <v>0</v>
      </c>
      <c r="AE61" s="91"/>
      <c r="AF61" s="91"/>
    </row>
    <row r="62" spans="1:32" s="16" customFormat="1">
      <c r="A62" s="96"/>
      <c r="B62" s="13" t="s">
        <v>321</v>
      </c>
      <c r="C62" s="41" t="s">
        <v>64</v>
      </c>
      <c r="D62" s="16" t="s">
        <v>4481</v>
      </c>
      <c r="E62" s="7" t="s">
        <v>4167</v>
      </c>
      <c r="F62" s="8">
        <v>0</v>
      </c>
      <c r="G62" s="97">
        <v>0</v>
      </c>
      <c r="H62" s="98">
        <f t="shared" si="4"/>
        <v>0</v>
      </c>
      <c r="I62" s="99"/>
      <c r="J62" s="100">
        <v>-18500000</v>
      </c>
      <c r="K62" s="71">
        <v>0</v>
      </c>
      <c r="L62" s="71">
        <v>0</v>
      </c>
      <c r="M62" s="71">
        <v>0</v>
      </c>
      <c r="N62" s="71">
        <v>0</v>
      </c>
      <c r="O62" s="71">
        <v>0</v>
      </c>
      <c r="P62" s="71">
        <v>0</v>
      </c>
      <c r="R62" s="101">
        <f t="shared" si="11"/>
        <v>18500000</v>
      </c>
      <c r="S62" s="101">
        <f t="shared" si="12"/>
        <v>0</v>
      </c>
      <c r="U62" s="70">
        <v>0</v>
      </c>
      <c r="V62" s="70">
        <v>0</v>
      </c>
      <c r="AE62" s="91"/>
      <c r="AF62" s="91"/>
    </row>
    <row r="63" spans="1:32" s="16" customFormat="1">
      <c r="A63" s="96"/>
      <c r="B63" s="13" t="s">
        <v>321</v>
      </c>
      <c r="C63" s="41" t="s">
        <v>64</v>
      </c>
      <c r="D63" s="14" t="s">
        <v>3394</v>
      </c>
      <c r="E63" s="7" t="s">
        <v>3939</v>
      </c>
      <c r="F63" s="8">
        <v>0</v>
      </c>
      <c r="G63" s="97">
        <v>0</v>
      </c>
      <c r="H63" s="98">
        <f t="shared" si="4"/>
        <v>0</v>
      </c>
      <c r="I63" s="99"/>
      <c r="J63" s="100">
        <v>-4826829</v>
      </c>
      <c r="K63" s="71">
        <v>0</v>
      </c>
      <c r="L63" s="71">
        <v>0</v>
      </c>
      <c r="M63" s="71">
        <v>0</v>
      </c>
      <c r="N63" s="71">
        <v>0</v>
      </c>
      <c r="O63" s="71">
        <v>0</v>
      </c>
      <c r="P63" s="71">
        <v>0</v>
      </c>
      <c r="R63" s="101">
        <f>F63-J63-K63-L63-M63-N63</f>
        <v>4826829</v>
      </c>
      <c r="S63" s="101">
        <f>H63-O63-P63</f>
        <v>0</v>
      </c>
      <c r="U63" s="70">
        <v>0</v>
      </c>
      <c r="V63" s="70">
        <v>0</v>
      </c>
      <c r="AE63" s="91"/>
      <c r="AF63" s="91"/>
    </row>
    <row r="64" spans="1:32" s="16" customFormat="1">
      <c r="A64" s="96"/>
      <c r="B64" s="13" t="s">
        <v>321</v>
      </c>
      <c r="C64" s="41" t="s">
        <v>64</v>
      </c>
      <c r="D64" s="16" t="s">
        <v>2987</v>
      </c>
      <c r="E64" s="7" t="s">
        <v>5030</v>
      </c>
      <c r="F64" s="8">
        <v>0</v>
      </c>
      <c r="G64" s="97">
        <v>0</v>
      </c>
      <c r="H64" s="98">
        <f t="shared" si="4"/>
        <v>0</v>
      </c>
      <c r="I64" s="99"/>
      <c r="J64" s="100">
        <v>0</v>
      </c>
      <c r="K64" s="71">
        <v>0</v>
      </c>
      <c r="L64" s="71">
        <v>0</v>
      </c>
      <c r="M64" s="71">
        <v>0</v>
      </c>
      <c r="N64" s="71">
        <v>-7830000</v>
      </c>
      <c r="O64" s="71">
        <v>0</v>
      </c>
      <c r="P64" s="71">
        <v>0</v>
      </c>
      <c r="R64" s="101">
        <f t="shared" si="11"/>
        <v>7830000</v>
      </c>
      <c r="S64" s="101">
        <f t="shared" si="12"/>
        <v>0</v>
      </c>
      <c r="U64" s="70">
        <v>0</v>
      </c>
      <c r="V64" s="70">
        <v>0</v>
      </c>
      <c r="AE64" s="91"/>
      <c r="AF64" s="91"/>
    </row>
    <row r="65" spans="1:32" s="16" customFormat="1">
      <c r="A65" s="96"/>
      <c r="B65" s="13" t="s">
        <v>321</v>
      </c>
      <c r="C65" s="41" t="s">
        <v>64</v>
      </c>
      <c r="D65" s="14" t="s">
        <v>5002</v>
      </c>
      <c r="E65" s="7" t="s">
        <v>4995</v>
      </c>
      <c r="F65" s="8">
        <v>0</v>
      </c>
      <c r="G65" s="97">
        <v>0</v>
      </c>
      <c r="H65" s="98">
        <f t="shared" si="4"/>
        <v>0</v>
      </c>
      <c r="I65" s="99"/>
      <c r="J65" s="100">
        <v>0</v>
      </c>
      <c r="K65" s="71">
        <v>0</v>
      </c>
      <c r="L65" s="71">
        <v>0</v>
      </c>
      <c r="M65" s="71">
        <v>0</v>
      </c>
      <c r="N65" s="71">
        <v>-156400</v>
      </c>
      <c r="O65" s="71">
        <v>0</v>
      </c>
      <c r="P65" s="71">
        <v>0</v>
      </c>
      <c r="R65" s="101">
        <f t="shared" ref="R65:R66" si="13">F65-J65-K65-L65-M65-N65</f>
        <v>156400</v>
      </c>
      <c r="S65" s="101">
        <f t="shared" ref="S65:S66" si="14">H65-O65-P65</f>
        <v>0</v>
      </c>
      <c r="U65" s="70">
        <v>0</v>
      </c>
      <c r="V65" s="70">
        <v>0</v>
      </c>
      <c r="AE65" s="91"/>
      <c r="AF65" s="91"/>
    </row>
    <row r="66" spans="1:32" s="16" customFormat="1">
      <c r="A66" s="96"/>
      <c r="B66" s="13" t="s">
        <v>321</v>
      </c>
      <c r="C66" s="41" t="s">
        <v>64</v>
      </c>
      <c r="D66" s="14" t="s">
        <v>5002</v>
      </c>
      <c r="E66" s="7" t="s">
        <v>4996</v>
      </c>
      <c r="F66" s="8">
        <v>0</v>
      </c>
      <c r="G66" s="97">
        <v>0</v>
      </c>
      <c r="H66" s="98">
        <f t="shared" si="4"/>
        <v>0</v>
      </c>
      <c r="I66" s="99"/>
      <c r="J66" s="100">
        <v>0</v>
      </c>
      <c r="K66" s="71">
        <v>0</v>
      </c>
      <c r="L66" s="71">
        <v>0</v>
      </c>
      <c r="M66" s="71">
        <v>0</v>
      </c>
      <c r="N66" s="71">
        <v>-251000</v>
      </c>
      <c r="O66" s="71">
        <v>0</v>
      </c>
      <c r="P66" s="71">
        <v>0</v>
      </c>
      <c r="R66" s="101">
        <f t="shared" si="13"/>
        <v>251000</v>
      </c>
      <c r="S66" s="101">
        <f t="shared" si="14"/>
        <v>0</v>
      </c>
      <c r="U66" s="70">
        <v>0</v>
      </c>
      <c r="V66" s="70">
        <v>0</v>
      </c>
      <c r="AE66" s="91"/>
      <c r="AF66" s="91"/>
    </row>
    <row r="67" spans="1:32" s="16" customFormat="1">
      <c r="A67" s="96"/>
      <c r="B67" s="13" t="s">
        <v>321</v>
      </c>
      <c r="C67" s="41" t="s">
        <v>64</v>
      </c>
      <c r="D67" s="14" t="s">
        <v>5002</v>
      </c>
      <c r="E67" s="7" t="s">
        <v>4997</v>
      </c>
      <c r="F67" s="8">
        <v>0</v>
      </c>
      <c r="G67" s="97">
        <v>0</v>
      </c>
      <c r="H67" s="98">
        <f t="shared" ref="H67:H98" si="15">G67*$H$4/$E$162</f>
        <v>0</v>
      </c>
      <c r="I67" s="99"/>
      <c r="J67" s="100">
        <v>0</v>
      </c>
      <c r="K67" s="71">
        <v>0</v>
      </c>
      <c r="L67" s="71">
        <v>0</v>
      </c>
      <c r="M67" s="71">
        <v>0</v>
      </c>
      <c r="N67" s="71">
        <v>-10000000</v>
      </c>
      <c r="O67" s="71">
        <v>0</v>
      </c>
      <c r="P67" s="71">
        <v>0</v>
      </c>
      <c r="R67" s="101">
        <f t="shared" ref="R67:R68" si="16">F67-J67-K67-L67-M67-N67</f>
        <v>10000000</v>
      </c>
      <c r="S67" s="101">
        <f t="shared" ref="S67:S68" si="17">H67-O67-P67</f>
        <v>0</v>
      </c>
      <c r="U67" s="70">
        <v>0</v>
      </c>
      <c r="V67" s="70">
        <v>0</v>
      </c>
      <c r="AE67" s="91"/>
      <c r="AF67" s="91"/>
    </row>
    <row r="68" spans="1:32" s="16" customFormat="1">
      <c r="A68" s="96"/>
      <c r="B68" s="13" t="s">
        <v>321</v>
      </c>
      <c r="C68" s="41" t="s">
        <v>64</v>
      </c>
      <c r="D68" s="14" t="s">
        <v>5002</v>
      </c>
      <c r="E68" s="7" t="s">
        <v>4970</v>
      </c>
      <c r="F68" s="8">
        <v>0</v>
      </c>
      <c r="G68" s="97">
        <v>0</v>
      </c>
      <c r="H68" s="98">
        <f t="shared" si="15"/>
        <v>0</v>
      </c>
      <c r="I68" s="99"/>
      <c r="J68" s="100">
        <v>0</v>
      </c>
      <c r="K68" s="71">
        <v>0</v>
      </c>
      <c r="L68" s="71">
        <v>0</v>
      </c>
      <c r="M68" s="71">
        <v>0</v>
      </c>
      <c r="N68" s="71">
        <v>-110000</v>
      </c>
      <c r="O68" s="71">
        <v>0</v>
      </c>
      <c r="P68" s="71">
        <v>0</v>
      </c>
      <c r="R68" s="101">
        <f t="shared" si="16"/>
        <v>110000</v>
      </c>
      <c r="S68" s="101">
        <f t="shared" si="17"/>
        <v>0</v>
      </c>
      <c r="U68" s="70">
        <v>0</v>
      </c>
      <c r="V68" s="70">
        <v>0</v>
      </c>
      <c r="AE68" s="91"/>
      <c r="AF68" s="91"/>
    </row>
    <row r="69" spans="1:32" s="16" customFormat="1">
      <c r="A69" s="96"/>
      <c r="B69" s="13" t="s">
        <v>321</v>
      </c>
      <c r="C69" s="41" t="s">
        <v>64</v>
      </c>
      <c r="D69" s="14" t="s">
        <v>5002</v>
      </c>
      <c r="E69" s="7" t="s">
        <v>4972</v>
      </c>
      <c r="F69" s="8">
        <v>0</v>
      </c>
      <c r="G69" s="97">
        <v>0</v>
      </c>
      <c r="H69" s="98">
        <f t="shared" si="15"/>
        <v>0</v>
      </c>
      <c r="I69" s="99"/>
      <c r="J69" s="100">
        <v>0</v>
      </c>
      <c r="K69" s="71">
        <v>0</v>
      </c>
      <c r="L69" s="71">
        <v>0</v>
      </c>
      <c r="M69" s="71">
        <v>0</v>
      </c>
      <c r="N69" s="71">
        <v>-655000</v>
      </c>
      <c r="O69" s="71">
        <v>0</v>
      </c>
      <c r="P69" s="71">
        <v>0</v>
      </c>
      <c r="R69" s="101">
        <f t="shared" ref="R69:R75" si="18">F69-J69-K69-L69-M69-N69</f>
        <v>655000</v>
      </c>
      <c r="S69" s="101">
        <f t="shared" ref="S69:S75" si="19">H69-O69-P69</f>
        <v>0</v>
      </c>
      <c r="U69" s="70">
        <v>0</v>
      </c>
      <c r="V69" s="70">
        <v>0</v>
      </c>
      <c r="AE69" s="91"/>
      <c r="AF69" s="91"/>
    </row>
    <row r="70" spans="1:32" s="16" customFormat="1">
      <c r="A70" s="96"/>
      <c r="B70" s="13" t="s">
        <v>321</v>
      </c>
      <c r="C70" s="41" t="s">
        <v>64</v>
      </c>
      <c r="D70" s="14" t="s">
        <v>5046</v>
      </c>
      <c r="E70" s="7" t="s">
        <v>4973</v>
      </c>
      <c r="F70" s="8">
        <v>0</v>
      </c>
      <c r="G70" s="97">
        <v>0</v>
      </c>
      <c r="H70" s="98">
        <f t="shared" si="15"/>
        <v>0</v>
      </c>
      <c r="I70" s="99"/>
      <c r="J70" s="100">
        <v>0</v>
      </c>
      <c r="K70" s="71">
        <v>0</v>
      </c>
      <c r="L70" s="71">
        <v>0</v>
      </c>
      <c r="M70" s="71">
        <v>0</v>
      </c>
      <c r="N70" s="71">
        <v>-1289000</v>
      </c>
      <c r="O70" s="71">
        <v>0</v>
      </c>
      <c r="P70" s="71">
        <v>0</v>
      </c>
      <c r="R70" s="101">
        <f t="shared" si="18"/>
        <v>1289000</v>
      </c>
      <c r="S70" s="101">
        <f t="shared" si="19"/>
        <v>0</v>
      </c>
      <c r="U70" s="70">
        <v>0</v>
      </c>
      <c r="V70" s="70">
        <v>0</v>
      </c>
      <c r="AE70" s="91"/>
      <c r="AF70" s="91"/>
    </row>
    <row r="71" spans="1:32" s="16" customFormat="1">
      <c r="A71" s="96"/>
      <c r="B71" s="13" t="s">
        <v>321</v>
      </c>
      <c r="C71" s="41" t="s">
        <v>64</v>
      </c>
      <c r="D71" s="14" t="s">
        <v>5002</v>
      </c>
      <c r="E71" s="7" t="s">
        <v>4980</v>
      </c>
      <c r="F71" s="8">
        <v>0</v>
      </c>
      <c r="G71" s="97">
        <v>0</v>
      </c>
      <c r="H71" s="98">
        <f t="shared" si="15"/>
        <v>0</v>
      </c>
      <c r="I71" s="99"/>
      <c r="J71" s="100">
        <v>0</v>
      </c>
      <c r="K71" s="71">
        <v>0</v>
      </c>
      <c r="L71" s="71">
        <v>0</v>
      </c>
      <c r="M71" s="71">
        <v>0</v>
      </c>
      <c r="N71" s="71">
        <v>-23000</v>
      </c>
      <c r="O71" s="71">
        <v>0</v>
      </c>
      <c r="P71" s="71">
        <v>0</v>
      </c>
      <c r="R71" s="101">
        <f t="shared" si="18"/>
        <v>23000</v>
      </c>
      <c r="S71" s="101">
        <f t="shared" si="19"/>
        <v>0</v>
      </c>
      <c r="U71" s="70">
        <v>0</v>
      </c>
      <c r="V71" s="70">
        <v>0</v>
      </c>
      <c r="AE71" s="91"/>
      <c r="AF71" s="91"/>
    </row>
    <row r="72" spans="1:32" s="16" customFormat="1">
      <c r="A72" s="96"/>
      <c r="B72" s="13" t="s">
        <v>321</v>
      </c>
      <c r="C72" s="41" t="s">
        <v>64</v>
      </c>
      <c r="D72" s="14" t="s">
        <v>5002</v>
      </c>
      <c r="E72" s="7" t="s">
        <v>4980</v>
      </c>
      <c r="F72" s="8">
        <v>0</v>
      </c>
      <c r="G72" s="97">
        <v>0</v>
      </c>
      <c r="H72" s="98">
        <f t="shared" si="15"/>
        <v>0</v>
      </c>
      <c r="I72" s="99"/>
      <c r="J72" s="100">
        <v>0</v>
      </c>
      <c r="K72" s="71">
        <v>0</v>
      </c>
      <c r="L72" s="71">
        <v>0</v>
      </c>
      <c r="M72" s="71">
        <v>0</v>
      </c>
      <c r="N72" s="71">
        <v>-151000</v>
      </c>
      <c r="O72" s="71">
        <v>0</v>
      </c>
      <c r="P72" s="71">
        <v>0</v>
      </c>
      <c r="R72" s="101">
        <f t="shared" si="18"/>
        <v>151000</v>
      </c>
      <c r="S72" s="101">
        <f t="shared" si="19"/>
        <v>0</v>
      </c>
      <c r="U72" s="70">
        <v>0</v>
      </c>
      <c r="V72" s="70">
        <v>0</v>
      </c>
      <c r="AE72" s="91"/>
      <c r="AF72" s="91"/>
    </row>
    <row r="73" spans="1:32" s="16" customFormat="1">
      <c r="A73" s="96"/>
      <c r="B73" s="13" t="s">
        <v>321</v>
      </c>
      <c r="C73" s="41" t="s">
        <v>64</v>
      </c>
      <c r="D73" s="14" t="s">
        <v>5002</v>
      </c>
      <c r="E73" s="7" t="s">
        <v>4984</v>
      </c>
      <c r="F73" s="8">
        <v>0</v>
      </c>
      <c r="G73" s="97">
        <v>0</v>
      </c>
      <c r="H73" s="98">
        <f t="shared" si="15"/>
        <v>0</v>
      </c>
      <c r="I73" s="99"/>
      <c r="J73" s="100">
        <v>0</v>
      </c>
      <c r="K73" s="71">
        <v>0</v>
      </c>
      <c r="L73" s="71">
        <v>0</v>
      </c>
      <c r="M73" s="71">
        <v>0</v>
      </c>
      <c r="N73" s="71">
        <v>-239500</v>
      </c>
      <c r="O73" s="71">
        <v>0</v>
      </c>
      <c r="P73" s="71">
        <v>0</v>
      </c>
      <c r="R73" s="101">
        <f t="shared" si="18"/>
        <v>239500</v>
      </c>
      <c r="S73" s="101">
        <f t="shared" si="19"/>
        <v>0</v>
      </c>
      <c r="U73" s="70">
        <v>0</v>
      </c>
      <c r="V73" s="70">
        <v>0</v>
      </c>
      <c r="AE73" s="91"/>
      <c r="AF73" s="91"/>
    </row>
    <row r="74" spans="1:32" s="16" customFormat="1">
      <c r="A74" s="96"/>
      <c r="B74" s="13" t="s">
        <v>321</v>
      </c>
      <c r="C74" s="41" t="s">
        <v>64</v>
      </c>
      <c r="D74" s="14" t="s">
        <v>5002</v>
      </c>
      <c r="E74" s="7" t="s">
        <v>4970</v>
      </c>
      <c r="F74" s="8">
        <v>0</v>
      </c>
      <c r="G74" s="97">
        <v>0</v>
      </c>
      <c r="H74" s="98">
        <f t="shared" si="15"/>
        <v>0</v>
      </c>
      <c r="I74" s="99"/>
      <c r="J74" s="100">
        <v>0</v>
      </c>
      <c r="K74" s="71">
        <v>0</v>
      </c>
      <c r="L74" s="71">
        <v>0</v>
      </c>
      <c r="M74" s="71">
        <v>0</v>
      </c>
      <c r="N74" s="71">
        <v>-115000</v>
      </c>
      <c r="O74" s="71">
        <v>0</v>
      </c>
      <c r="P74" s="71">
        <v>0</v>
      </c>
      <c r="R74" s="101">
        <f t="shared" si="18"/>
        <v>115000</v>
      </c>
      <c r="S74" s="101">
        <f t="shared" si="19"/>
        <v>0</v>
      </c>
      <c r="U74" s="70">
        <v>0</v>
      </c>
      <c r="V74" s="70">
        <v>0</v>
      </c>
      <c r="AE74" s="91"/>
      <c r="AF74" s="91"/>
    </row>
    <row r="75" spans="1:32" s="16" customFormat="1">
      <c r="A75" s="96"/>
      <c r="B75" s="13" t="s">
        <v>321</v>
      </c>
      <c r="C75" s="41" t="s">
        <v>64</v>
      </c>
      <c r="D75" s="14" t="s">
        <v>5002</v>
      </c>
      <c r="E75" s="7" t="s">
        <v>4985</v>
      </c>
      <c r="F75" s="8">
        <v>0</v>
      </c>
      <c r="G75" s="97">
        <v>0</v>
      </c>
      <c r="H75" s="98">
        <f t="shared" si="15"/>
        <v>0</v>
      </c>
      <c r="I75" s="99"/>
      <c r="J75" s="100">
        <v>0</v>
      </c>
      <c r="K75" s="71">
        <v>0</v>
      </c>
      <c r="L75" s="71">
        <v>0</v>
      </c>
      <c r="M75" s="71">
        <v>0</v>
      </c>
      <c r="N75" s="71">
        <v>-121300</v>
      </c>
      <c r="O75" s="71">
        <v>0</v>
      </c>
      <c r="P75" s="71">
        <v>0</v>
      </c>
      <c r="R75" s="101">
        <f t="shared" si="18"/>
        <v>121300</v>
      </c>
      <c r="S75" s="101">
        <f t="shared" si="19"/>
        <v>0</v>
      </c>
      <c r="U75" s="70">
        <v>0</v>
      </c>
      <c r="V75" s="70">
        <v>0</v>
      </c>
      <c r="AE75" s="91"/>
      <c r="AF75" s="91"/>
    </row>
    <row r="76" spans="1:32" s="16" customFormat="1">
      <c r="A76" s="96"/>
      <c r="B76" s="13" t="s">
        <v>321</v>
      </c>
      <c r="C76" s="41" t="s">
        <v>64</v>
      </c>
      <c r="D76" s="14" t="s">
        <v>5002</v>
      </c>
      <c r="E76" s="7" t="s">
        <v>4980</v>
      </c>
      <c r="F76" s="8">
        <v>0</v>
      </c>
      <c r="G76" s="97">
        <v>0</v>
      </c>
      <c r="H76" s="98">
        <f t="shared" si="15"/>
        <v>0</v>
      </c>
      <c r="I76" s="99"/>
      <c r="J76" s="100">
        <v>0</v>
      </c>
      <c r="K76" s="71">
        <v>0</v>
      </c>
      <c r="L76" s="71">
        <v>0</v>
      </c>
      <c r="M76" s="71">
        <v>0</v>
      </c>
      <c r="N76" s="71">
        <v>-1484000</v>
      </c>
      <c r="O76" s="71">
        <v>0</v>
      </c>
      <c r="P76" s="71">
        <v>0</v>
      </c>
      <c r="R76" s="101">
        <f t="shared" ref="R76" si="20">F76-J76-K76-L76-M76-N76</f>
        <v>1484000</v>
      </c>
      <c r="S76" s="101">
        <f t="shared" ref="S76" si="21">H76-O76-P76</f>
        <v>0</v>
      </c>
      <c r="U76" s="70">
        <v>0</v>
      </c>
      <c r="V76" s="70">
        <v>0</v>
      </c>
      <c r="AE76" s="91"/>
      <c r="AF76" s="91"/>
    </row>
    <row r="77" spans="1:32" s="16" customFormat="1">
      <c r="A77" s="96"/>
      <c r="B77" s="13" t="s">
        <v>321</v>
      </c>
      <c r="C77" s="41" t="s">
        <v>64</v>
      </c>
      <c r="D77" s="14" t="s">
        <v>5067</v>
      </c>
      <c r="E77" s="7" t="s">
        <v>5051</v>
      </c>
      <c r="F77" s="8">
        <v>0</v>
      </c>
      <c r="G77" s="97">
        <v>0</v>
      </c>
      <c r="H77" s="98">
        <f t="shared" si="15"/>
        <v>0</v>
      </c>
      <c r="I77" s="99"/>
      <c r="J77" s="100">
        <v>0</v>
      </c>
      <c r="K77" s="71">
        <v>0</v>
      </c>
      <c r="L77" s="71">
        <v>0</v>
      </c>
      <c r="M77" s="71">
        <v>0</v>
      </c>
      <c r="N77" s="71">
        <v>-364870</v>
      </c>
      <c r="O77" s="71">
        <v>0</v>
      </c>
      <c r="P77" s="71">
        <v>0</v>
      </c>
      <c r="R77" s="101">
        <f t="shared" ref="R77:R78" si="22">F77-J77-K77-L77-M77-N77</f>
        <v>364870</v>
      </c>
      <c r="S77" s="101">
        <f t="shared" ref="S77:S78" si="23">H77-O77-P77</f>
        <v>0</v>
      </c>
      <c r="U77" s="70">
        <v>0</v>
      </c>
      <c r="V77" s="70">
        <v>0</v>
      </c>
      <c r="AE77" s="91"/>
      <c r="AF77" s="91"/>
    </row>
    <row r="78" spans="1:32" s="16" customFormat="1">
      <c r="A78" s="96"/>
      <c r="B78" s="13" t="s">
        <v>321</v>
      </c>
      <c r="C78" s="41" t="s">
        <v>64</v>
      </c>
      <c r="D78" s="14" t="s">
        <v>5067</v>
      </c>
      <c r="E78" s="7" t="s">
        <v>4997</v>
      </c>
      <c r="F78" s="8">
        <v>0</v>
      </c>
      <c r="G78" s="97">
        <v>0</v>
      </c>
      <c r="H78" s="98">
        <f t="shared" si="15"/>
        <v>0</v>
      </c>
      <c r="I78" s="99"/>
      <c r="J78" s="100">
        <v>0</v>
      </c>
      <c r="K78" s="71">
        <v>0</v>
      </c>
      <c r="L78" s="71">
        <v>0</v>
      </c>
      <c r="M78" s="71">
        <v>0</v>
      </c>
      <c r="N78" s="71">
        <v>-935000</v>
      </c>
      <c r="O78" s="71">
        <v>0</v>
      </c>
      <c r="P78" s="71">
        <v>0</v>
      </c>
      <c r="R78" s="101">
        <f t="shared" si="22"/>
        <v>935000</v>
      </c>
      <c r="S78" s="101">
        <f t="shared" si="23"/>
        <v>0</v>
      </c>
      <c r="U78" s="70">
        <v>0</v>
      </c>
      <c r="V78" s="70">
        <v>0</v>
      </c>
      <c r="AE78" s="91"/>
      <c r="AF78" s="91"/>
    </row>
    <row r="79" spans="1:32" s="16" customFormat="1">
      <c r="A79" s="96"/>
      <c r="B79" s="13" t="s">
        <v>321</v>
      </c>
      <c r="C79" s="41" t="s">
        <v>64</v>
      </c>
      <c r="D79" s="14" t="s">
        <v>5068</v>
      </c>
      <c r="E79" s="7" t="s">
        <v>5052</v>
      </c>
      <c r="F79" s="8">
        <v>0</v>
      </c>
      <c r="G79" s="97">
        <v>0</v>
      </c>
      <c r="H79" s="98">
        <f t="shared" si="15"/>
        <v>0</v>
      </c>
      <c r="I79" s="99"/>
      <c r="J79" s="100">
        <v>0</v>
      </c>
      <c r="K79" s="71">
        <v>0</v>
      </c>
      <c r="L79" s="71">
        <v>0</v>
      </c>
      <c r="M79" s="71">
        <v>0</v>
      </c>
      <c r="N79" s="71">
        <v>-217000</v>
      </c>
      <c r="O79" s="71">
        <v>0</v>
      </c>
      <c r="P79" s="71">
        <v>0</v>
      </c>
      <c r="R79" s="101">
        <f t="shared" ref="R79:R86" si="24">F79-J79-K79-L79-M79-N79</f>
        <v>217000</v>
      </c>
      <c r="S79" s="101">
        <f t="shared" ref="S79:S86" si="25">H79-O79-P79</f>
        <v>0</v>
      </c>
      <c r="U79" s="70">
        <v>0</v>
      </c>
      <c r="V79" s="70">
        <v>0</v>
      </c>
      <c r="AE79" s="91"/>
      <c r="AF79" s="91"/>
    </row>
    <row r="80" spans="1:32" s="16" customFormat="1">
      <c r="A80" s="96"/>
      <c r="B80" s="13" t="s">
        <v>321</v>
      </c>
      <c r="C80" s="41" t="s">
        <v>64</v>
      </c>
      <c r="D80" s="14" t="s">
        <v>5067</v>
      </c>
      <c r="E80" s="7" t="s">
        <v>5053</v>
      </c>
      <c r="F80" s="8">
        <v>0</v>
      </c>
      <c r="G80" s="97">
        <v>0</v>
      </c>
      <c r="H80" s="98">
        <f t="shared" si="15"/>
        <v>0</v>
      </c>
      <c r="I80" s="99"/>
      <c r="J80" s="100">
        <v>0</v>
      </c>
      <c r="K80" s="71">
        <v>0</v>
      </c>
      <c r="L80" s="71">
        <v>0</v>
      </c>
      <c r="M80" s="71">
        <v>0</v>
      </c>
      <c r="N80" s="71">
        <v>-123000</v>
      </c>
      <c r="O80" s="71">
        <v>0</v>
      </c>
      <c r="P80" s="71">
        <v>0</v>
      </c>
      <c r="R80" s="101">
        <f t="shared" si="24"/>
        <v>123000</v>
      </c>
      <c r="S80" s="101">
        <f t="shared" si="25"/>
        <v>0</v>
      </c>
      <c r="U80" s="70">
        <v>0</v>
      </c>
      <c r="V80" s="70">
        <v>0</v>
      </c>
      <c r="AE80" s="91"/>
      <c r="AF80" s="91"/>
    </row>
    <row r="81" spans="1:32" s="16" customFormat="1">
      <c r="A81" s="96"/>
      <c r="B81" s="13" t="s">
        <v>321</v>
      </c>
      <c r="C81" s="41" t="s">
        <v>64</v>
      </c>
      <c r="D81" s="14" t="s">
        <v>5068</v>
      </c>
      <c r="E81" s="7" t="s">
        <v>5054</v>
      </c>
      <c r="F81" s="8">
        <v>0</v>
      </c>
      <c r="G81" s="97">
        <v>0</v>
      </c>
      <c r="H81" s="98">
        <f t="shared" si="15"/>
        <v>0</v>
      </c>
      <c r="I81" s="99"/>
      <c r="J81" s="100">
        <v>0</v>
      </c>
      <c r="K81" s="71">
        <v>0</v>
      </c>
      <c r="L81" s="71">
        <v>0</v>
      </c>
      <c r="M81" s="71">
        <v>0</v>
      </c>
      <c r="N81" s="71">
        <v>-820000</v>
      </c>
      <c r="O81" s="71">
        <v>0</v>
      </c>
      <c r="P81" s="71">
        <v>0</v>
      </c>
      <c r="R81" s="101">
        <f t="shared" si="24"/>
        <v>820000</v>
      </c>
      <c r="S81" s="101">
        <f t="shared" si="25"/>
        <v>0</v>
      </c>
      <c r="U81" s="70">
        <v>0</v>
      </c>
      <c r="V81" s="70">
        <v>0</v>
      </c>
      <c r="AE81" s="91"/>
      <c r="AF81" s="91"/>
    </row>
    <row r="82" spans="1:32" s="16" customFormat="1">
      <c r="A82" s="96"/>
      <c r="B82" s="13" t="s">
        <v>321</v>
      </c>
      <c r="C82" s="41" t="s">
        <v>64</v>
      </c>
      <c r="D82" s="14" t="s">
        <v>5067</v>
      </c>
      <c r="E82" s="7" t="s">
        <v>4702</v>
      </c>
      <c r="F82" s="8">
        <v>0</v>
      </c>
      <c r="G82" s="97">
        <v>0</v>
      </c>
      <c r="H82" s="98">
        <f t="shared" si="15"/>
        <v>0</v>
      </c>
      <c r="I82" s="99"/>
      <c r="J82" s="100">
        <v>0</v>
      </c>
      <c r="K82" s="71">
        <v>0</v>
      </c>
      <c r="L82" s="71">
        <v>0</v>
      </c>
      <c r="M82" s="71">
        <v>0</v>
      </c>
      <c r="N82" s="71">
        <v>-135300</v>
      </c>
      <c r="O82" s="71">
        <v>0</v>
      </c>
      <c r="P82" s="71">
        <v>0</v>
      </c>
      <c r="R82" s="101">
        <f t="shared" si="24"/>
        <v>135300</v>
      </c>
      <c r="S82" s="101">
        <f t="shared" si="25"/>
        <v>0</v>
      </c>
      <c r="U82" s="70">
        <v>0</v>
      </c>
      <c r="V82" s="70">
        <v>0</v>
      </c>
      <c r="AE82" s="91"/>
      <c r="AF82" s="91"/>
    </row>
    <row r="83" spans="1:32" s="16" customFormat="1">
      <c r="A83" s="96"/>
      <c r="B83" s="13" t="s">
        <v>321</v>
      </c>
      <c r="C83" s="41" t="s">
        <v>64</v>
      </c>
      <c r="D83" s="14" t="s">
        <v>5067</v>
      </c>
      <c r="E83" s="7" t="s">
        <v>4702</v>
      </c>
      <c r="F83" s="8">
        <v>0</v>
      </c>
      <c r="G83" s="97">
        <v>0</v>
      </c>
      <c r="H83" s="98">
        <f t="shared" si="15"/>
        <v>0</v>
      </c>
      <c r="I83" s="99"/>
      <c r="J83" s="100">
        <v>0</v>
      </c>
      <c r="K83" s="71">
        <v>0</v>
      </c>
      <c r="L83" s="71">
        <v>0</v>
      </c>
      <c r="M83" s="71">
        <v>0</v>
      </c>
      <c r="N83" s="71">
        <v>-148000</v>
      </c>
      <c r="O83" s="71">
        <v>0</v>
      </c>
      <c r="P83" s="71">
        <v>0</v>
      </c>
      <c r="R83" s="101">
        <f t="shared" si="24"/>
        <v>148000</v>
      </c>
      <c r="S83" s="101">
        <f t="shared" si="25"/>
        <v>0</v>
      </c>
      <c r="U83" s="70">
        <v>0</v>
      </c>
      <c r="V83" s="70">
        <v>0</v>
      </c>
      <c r="AE83" s="91"/>
      <c r="AF83" s="91"/>
    </row>
    <row r="84" spans="1:32" s="16" customFormat="1">
      <c r="A84" s="96"/>
      <c r="B84" s="13" t="s">
        <v>321</v>
      </c>
      <c r="C84" s="41" t="s">
        <v>64</v>
      </c>
      <c r="D84" s="14" t="s">
        <v>5067</v>
      </c>
      <c r="E84" s="7" t="s">
        <v>4702</v>
      </c>
      <c r="F84" s="8">
        <v>0</v>
      </c>
      <c r="G84" s="97">
        <v>0</v>
      </c>
      <c r="H84" s="98">
        <f t="shared" si="15"/>
        <v>0</v>
      </c>
      <c r="I84" s="99"/>
      <c r="J84" s="100">
        <v>0</v>
      </c>
      <c r="K84" s="71">
        <v>0</v>
      </c>
      <c r="L84" s="71">
        <v>0</v>
      </c>
      <c r="M84" s="71">
        <v>0</v>
      </c>
      <c r="N84" s="71">
        <v>-168899</v>
      </c>
      <c r="O84" s="71">
        <v>0</v>
      </c>
      <c r="P84" s="71">
        <v>0</v>
      </c>
      <c r="R84" s="101">
        <f t="shared" si="24"/>
        <v>168899</v>
      </c>
      <c r="S84" s="101">
        <f t="shared" si="25"/>
        <v>0</v>
      </c>
      <c r="U84" s="70">
        <v>0</v>
      </c>
      <c r="V84" s="70">
        <v>0</v>
      </c>
      <c r="AE84" s="91"/>
      <c r="AF84" s="91"/>
    </row>
    <row r="85" spans="1:32" s="16" customFormat="1">
      <c r="A85" s="96"/>
      <c r="B85" s="13" t="s">
        <v>321</v>
      </c>
      <c r="C85" s="41" t="s">
        <v>64</v>
      </c>
      <c r="D85" s="14" t="s">
        <v>5067</v>
      </c>
      <c r="E85" s="7" t="s">
        <v>5053</v>
      </c>
      <c r="F85" s="8">
        <v>0</v>
      </c>
      <c r="G85" s="97">
        <v>0</v>
      </c>
      <c r="H85" s="98">
        <f t="shared" si="15"/>
        <v>0</v>
      </c>
      <c r="I85" s="99"/>
      <c r="J85" s="100">
        <v>0</v>
      </c>
      <c r="K85" s="71">
        <v>0</v>
      </c>
      <c r="L85" s="71">
        <v>0</v>
      </c>
      <c r="M85" s="71">
        <v>0</v>
      </c>
      <c r="N85" s="71">
        <v>-341200</v>
      </c>
      <c r="O85" s="71">
        <v>0</v>
      </c>
      <c r="P85" s="71">
        <v>0</v>
      </c>
      <c r="R85" s="101">
        <f t="shared" si="24"/>
        <v>341200</v>
      </c>
      <c r="S85" s="101">
        <f t="shared" si="25"/>
        <v>0</v>
      </c>
      <c r="U85" s="70">
        <v>0</v>
      </c>
      <c r="V85" s="70">
        <v>0</v>
      </c>
      <c r="AE85" s="91"/>
      <c r="AF85" s="91"/>
    </row>
    <row r="86" spans="1:32" s="16" customFormat="1">
      <c r="A86" s="96"/>
      <c r="B86" s="13" t="s">
        <v>321</v>
      </c>
      <c r="C86" s="41" t="s">
        <v>64</v>
      </c>
      <c r="D86" s="14" t="s">
        <v>5067</v>
      </c>
      <c r="E86" s="7" t="s">
        <v>5055</v>
      </c>
      <c r="F86" s="8">
        <v>0</v>
      </c>
      <c r="G86" s="97">
        <v>0</v>
      </c>
      <c r="H86" s="98">
        <f t="shared" si="15"/>
        <v>0</v>
      </c>
      <c r="I86" s="99"/>
      <c r="J86" s="100">
        <v>0</v>
      </c>
      <c r="K86" s="71">
        <v>0</v>
      </c>
      <c r="L86" s="71">
        <v>0</v>
      </c>
      <c r="M86" s="71">
        <v>0</v>
      </c>
      <c r="N86" s="71">
        <v>-181700</v>
      </c>
      <c r="O86" s="71">
        <v>0</v>
      </c>
      <c r="P86" s="71">
        <v>0</v>
      </c>
      <c r="R86" s="101">
        <f t="shared" si="24"/>
        <v>181700</v>
      </c>
      <c r="S86" s="101">
        <f t="shared" si="25"/>
        <v>0</v>
      </c>
      <c r="U86" s="70">
        <v>0</v>
      </c>
      <c r="V86" s="70">
        <v>0</v>
      </c>
      <c r="AE86" s="91"/>
      <c r="AF86" s="91"/>
    </row>
    <row r="87" spans="1:32" s="16" customFormat="1">
      <c r="A87" s="96"/>
      <c r="B87" s="13" t="s">
        <v>321</v>
      </c>
      <c r="C87" s="41" t="s">
        <v>64</v>
      </c>
      <c r="D87" s="14" t="s">
        <v>5067</v>
      </c>
      <c r="E87" s="7" t="s">
        <v>5055</v>
      </c>
      <c r="F87" s="8">
        <v>0</v>
      </c>
      <c r="G87" s="97">
        <v>0</v>
      </c>
      <c r="H87" s="98">
        <f t="shared" si="15"/>
        <v>0</v>
      </c>
      <c r="I87" s="99"/>
      <c r="J87" s="100">
        <v>0</v>
      </c>
      <c r="K87" s="71">
        <v>0</v>
      </c>
      <c r="L87" s="71">
        <v>0</v>
      </c>
      <c r="M87" s="71">
        <v>0</v>
      </c>
      <c r="N87" s="71">
        <v>-220000</v>
      </c>
      <c r="O87" s="71">
        <v>0</v>
      </c>
      <c r="P87" s="71">
        <v>0</v>
      </c>
      <c r="R87" s="101">
        <f t="shared" ref="R87:R101" si="26">F87-J87-K87-L87-M87-N87</f>
        <v>220000</v>
      </c>
      <c r="S87" s="101">
        <f t="shared" ref="S87:S101" si="27">H87-O87-P87</f>
        <v>0</v>
      </c>
      <c r="U87" s="70">
        <v>0</v>
      </c>
      <c r="V87" s="70">
        <v>0</v>
      </c>
      <c r="AE87" s="91"/>
      <c r="AF87" s="91"/>
    </row>
    <row r="88" spans="1:32" s="16" customFormat="1">
      <c r="A88" s="96"/>
      <c r="B88" s="13" t="s">
        <v>321</v>
      </c>
      <c r="C88" s="41" t="s">
        <v>64</v>
      </c>
      <c r="D88" s="14" t="s">
        <v>5068</v>
      </c>
      <c r="E88" s="7" t="s">
        <v>5056</v>
      </c>
      <c r="F88" s="8">
        <v>0</v>
      </c>
      <c r="G88" s="97">
        <v>0</v>
      </c>
      <c r="H88" s="98">
        <f t="shared" si="15"/>
        <v>0</v>
      </c>
      <c r="I88" s="99"/>
      <c r="J88" s="100">
        <v>0</v>
      </c>
      <c r="K88" s="71">
        <v>0</v>
      </c>
      <c r="L88" s="71">
        <v>0</v>
      </c>
      <c r="M88" s="71">
        <v>0</v>
      </c>
      <c r="N88" s="71">
        <v>-250200</v>
      </c>
      <c r="O88" s="71">
        <v>0</v>
      </c>
      <c r="P88" s="71">
        <v>0</v>
      </c>
      <c r="R88" s="101">
        <f t="shared" si="26"/>
        <v>250200</v>
      </c>
      <c r="S88" s="101">
        <f t="shared" si="27"/>
        <v>0</v>
      </c>
      <c r="U88" s="70">
        <v>0</v>
      </c>
      <c r="V88" s="70">
        <v>0</v>
      </c>
      <c r="AE88" s="91"/>
      <c r="AF88" s="91"/>
    </row>
    <row r="89" spans="1:32" s="16" customFormat="1">
      <c r="A89" s="96"/>
      <c r="B89" s="13" t="s">
        <v>321</v>
      </c>
      <c r="C89" s="41" t="s">
        <v>64</v>
      </c>
      <c r="D89" s="14" t="s">
        <v>5067</v>
      </c>
      <c r="E89" s="7" t="s">
        <v>4702</v>
      </c>
      <c r="F89" s="8">
        <v>0</v>
      </c>
      <c r="G89" s="97">
        <v>0</v>
      </c>
      <c r="H89" s="98">
        <f t="shared" si="15"/>
        <v>0</v>
      </c>
      <c r="I89" s="99"/>
      <c r="J89" s="100">
        <v>0</v>
      </c>
      <c r="K89" s="71">
        <v>0</v>
      </c>
      <c r="L89" s="71">
        <v>0</v>
      </c>
      <c r="M89" s="71">
        <v>0</v>
      </c>
      <c r="N89" s="71">
        <v>-220800</v>
      </c>
      <c r="O89" s="71">
        <v>0</v>
      </c>
      <c r="P89" s="71">
        <v>0</v>
      </c>
      <c r="R89" s="101">
        <f t="shared" si="26"/>
        <v>220800</v>
      </c>
      <c r="S89" s="101">
        <f t="shared" si="27"/>
        <v>0</v>
      </c>
      <c r="U89" s="70">
        <v>0</v>
      </c>
      <c r="V89" s="70">
        <v>0</v>
      </c>
      <c r="AE89" s="91"/>
      <c r="AF89" s="91"/>
    </row>
    <row r="90" spans="1:32" s="16" customFormat="1">
      <c r="A90" s="96"/>
      <c r="B90" s="13" t="s">
        <v>321</v>
      </c>
      <c r="C90" s="41" t="s">
        <v>64</v>
      </c>
      <c r="D90" s="14" t="s">
        <v>5067</v>
      </c>
      <c r="E90" s="7" t="s">
        <v>5057</v>
      </c>
      <c r="F90" s="8">
        <v>0</v>
      </c>
      <c r="G90" s="97">
        <v>0</v>
      </c>
      <c r="H90" s="98">
        <f t="shared" si="15"/>
        <v>0</v>
      </c>
      <c r="I90" s="99"/>
      <c r="J90" s="100">
        <v>0</v>
      </c>
      <c r="K90" s="71">
        <v>0</v>
      </c>
      <c r="L90" s="71">
        <v>0</v>
      </c>
      <c r="M90" s="71">
        <v>0</v>
      </c>
      <c r="N90" s="71">
        <v>-27060000</v>
      </c>
      <c r="O90" s="71">
        <v>0</v>
      </c>
      <c r="P90" s="71">
        <v>0</v>
      </c>
      <c r="R90" s="101">
        <f t="shared" si="26"/>
        <v>27060000</v>
      </c>
      <c r="S90" s="101">
        <f t="shared" si="27"/>
        <v>0</v>
      </c>
      <c r="U90" s="70">
        <v>0</v>
      </c>
      <c r="V90" s="70">
        <v>0</v>
      </c>
      <c r="AE90" s="91"/>
      <c r="AF90" s="91"/>
    </row>
    <row r="91" spans="1:32" s="16" customFormat="1">
      <c r="A91" s="96"/>
      <c r="B91" s="13" t="s">
        <v>321</v>
      </c>
      <c r="C91" s="41" t="s">
        <v>64</v>
      </c>
      <c r="D91" s="14" t="s">
        <v>5067</v>
      </c>
      <c r="E91" s="7" t="s">
        <v>5058</v>
      </c>
      <c r="F91" s="8">
        <v>0</v>
      </c>
      <c r="G91" s="97">
        <v>0</v>
      </c>
      <c r="H91" s="98">
        <f t="shared" si="15"/>
        <v>0</v>
      </c>
      <c r="I91" s="99"/>
      <c r="J91" s="100">
        <v>0</v>
      </c>
      <c r="K91" s="71">
        <v>0</v>
      </c>
      <c r="L91" s="71">
        <v>0</v>
      </c>
      <c r="M91" s="71">
        <v>0</v>
      </c>
      <c r="N91" s="71">
        <v>-500000</v>
      </c>
      <c r="O91" s="71">
        <v>0</v>
      </c>
      <c r="P91" s="71">
        <v>0</v>
      </c>
      <c r="R91" s="101">
        <f t="shared" si="26"/>
        <v>500000</v>
      </c>
      <c r="S91" s="101">
        <f t="shared" si="27"/>
        <v>0</v>
      </c>
      <c r="U91" s="70">
        <v>0</v>
      </c>
      <c r="V91" s="70">
        <v>0</v>
      </c>
      <c r="AE91" s="91"/>
      <c r="AF91" s="91"/>
    </row>
    <row r="92" spans="1:32" s="16" customFormat="1">
      <c r="A92" s="96"/>
      <c r="B92" s="13" t="s">
        <v>321</v>
      </c>
      <c r="C92" s="41" t="s">
        <v>64</v>
      </c>
      <c r="D92" s="14" t="s">
        <v>5067</v>
      </c>
      <c r="E92" s="7" t="s">
        <v>5059</v>
      </c>
      <c r="F92" s="8">
        <v>0</v>
      </c>
      <c r="G92" s="97">
        <v>0</v>
      </c>
      <c r="H92" s="98">
        <f t="shared" si="15"/>
        <v>0</v>
      </c>
      <c r="I92" s="99"/>
      <c r="J92" s="100">
        <v>0</v>
      </c>
      <c r="K92" s="71">
        <v>0</v>
      </c>
      <c r="L92" s="71">
        <v>0</v>
      </c>
      <c r="M92" s="71">
        <v>0</v>
      </c>
      <c r="N92" s="71">
        <v>-100000</v>
      </c>
      <c r="O92" s="71">
        <v>0</v>
      </c>
      <c r="P92" s="71">
        <v>0</v>
      </c>
      <c r="R92" s="101">
        <f t="shared" si="26"/>
        <v>100000</v>
      </c>
      <c r="S92" s="101">
        <f t="shared" si="27"/>
        <v>0</v>
      </c>
      <c r="U92" s="70">
        <v>0</v>
      </c>
      <c r="V92" s="70">
        <v>0</v>
      </c>
      <c r="AE92" s="91"/>
      <c r="AF92" s="91"/>
    </row>
    <row r="93" spans="1:32" s="16" customFormat="1">
      <c r="A93" s="96"/>
      <c r="B93" s="13" t="s">
        <v>321</v>
      </c>
      <c r="C93" s="41" t="s">
        <v>64</v>
      </c>
      <c r="D93" s="14" t="s">
        <v>5067</v>
      </c>
      <c r="E93" s="7" t="s">
        <v>5060</v>
      </c>
      <c r="F93" s="8">
        <v>0</v>
      </c>
      <c r="G93" s="97">
        <v>0</v>
      </c>
      <c r="H93" s="98">
        <f t="shared" si="15"/>
        <v>0</v>
      </c>
      <c r="I93" s="99"/>
      <c r="J93" s="100">
        <v>0</v>
      </c>
      <c r="K93" s="71">
        <v>0</v>
      </c>
      <c r="L93" s="71">
        <v>0</v>
      </c>
      <c r="M93" s="71">
        <v>0</v>
      </c>
      <c r="N93" s="71">
        <v>-456000</v>
      </c>
      <c r="O93" s="71">
        <v>0</v>
      </c>
      <c r="P93" s="71">
        <v>0</v>
      </c>
      <c r="R93" s="101">
        <f t="shared" si="26"/>
        <v>456000</v>
      </c>
      <c r="S93" s="101">
        <f t="shared" si="27"/>
        <v>0</v>
      </c>
      <c r="U93" s="70">
        <v>0</v>
      </c>
      <c r="V93" s="70">
        <v>0</v>
      </c>
      <c r="AE93" s="91"/>
      <c r="AF93" s="91"/>
    </row>
    <row r="94" spans="1:32" s="16" customFormat="1">
      <c r="A94" s="96"/>
      <c r="B94" s="13" t="s">
        <v>321</v>
      </c>
      <c r="C94" s="41" t="s">
        <v>64</v>
      </c>
      <c r="D94" s="14" t="s">
        <v>5067</v>
      </c>
      <c r="E94" s="7" t="s">
        <v>5061</v>
      </c>
      <c r="F94" s="8">
        <v>0</v>
      </c>
      <c r="G94" s="97">
        <v>0</v>
      </c>
      <c r="H94" s="98">
        <f t="shared" si="15"/>
        <v>0</v>
      </c>
      <c r="I94" s="99"/>
      <c r="J94" s="100">
        <v>0</v>
      </c>
      <c r="K94" s="71">
        <v>0</v>
      </c>
      <c r="L94" s="71">
        <v>0</v>
      </c>
      <c r="M94" s="71">
        <v>0</v>
      </c>
      <c r="N94" s="71">
        <v>-7797245</v>
      </c>
      <c r="O94" s="71">
        <v>0</v>
      </c>
      <c r="P94" s="71">
        <v>0</v>
      </c>
      <c r="R94" s="101">
        <f t="shared" si="26"/>
        <v>7797245</v>
      </c>
      <c r="S94" s="101">
        <f t="shared" si="27"/>
        <v>0</v>
      </c>
      <c r="U94" s="70">
        <v>0</v>
      </c>
      <c r="V94" s="70">
        <v>0</v>
      </c>
      <c r="AE94" s="91"/>
      <c r="AF94" s="91"/>
    </row>
    <row r="95" spans="1:32" s="16" customFormat="1">
      <c r="A95" s="96"/>
      <c r="B95" s="13" t="s">
        <v>321</v>
      </c>
      <c r="C95" s="41" t="s">
        <v>64</v>
      </c>
      <c r="D95" s="14" t="s">
        <v>5067</v>
      </c>
      <c r="E95" s="7" t="s">
        <v>5062</v>
      </c>
      <c r="F95" s="8">
        <v>0</v>
      </c>
      <c r="G95" s="97">
        <v>0</v>
      </c>
      <c r="H95" s="98">
        <f t="shared" si="15"/>
        <v>0</v>
      </c>
      <c r="I95" s="99"/>
      <c r="J95" s="100">
        <v>0</v>
      </c>
      <c r="K95" s="71">
        <v>0</v>
      </c>
      <c r="L95" s="71">
        <v>0</v>
      </c>
      <c r="M95" s="71">
        <v>0</v>
      </c>
      <c r="N95" s="71">
        <v>-57000000</v>
      </c>
      <c r="O95" s="71">
        <v>0</v>
      </c>
      <c r="P95" s="71">
        <v>0</v>
      </c>
      <c r="R95" s="101">
        <f t="shared" si="26"/>
        <v>57000000</v>
      </c>
      <c r="S95" s="101">
        <f t="shared" si="27"/>
        <v>0</v>
      </c>
      <c r="U95" s="70">
        <v>0</v>
      </c>
      <c r="V95" s="70">
        <v>0</v>
      </c>
      <c r="AE95" s="91"/>
      <c r="AF95" s="91"/>
    </row>
    <row r="96" spans="1:32" s="16" customFormat="1">
      <c r="A96" s="96"/>
      <c r="B96" s="13" t="s">
        <v>321</v>
      </c>
      <c r="C96" s="41" t="s">
        <v>64</v>
      </c>
      <c r="D96" s="14" t="s">
        <v>5067</v>
      </c>
      <c r="E96" s="7" t="s">
        <v>5063</v>
      </c>
      <c r="F96" s="8">
        <v>0</v>
      </c>
      <c r="G96" s="97">
        <v>0</v>
      </c>
      <c r="H96" s="98">
        <f t="shared" si="15"/>
        <v>0</v>
      </c>
      <c r="I96" s="99"/>
      <c r="J96" s="100">
        <v>0</v>
      </c>
      <c r="K96" s="71">
        <v>0</v>
      </c>
      <c r="L96" s="71">
        <v>0</v>
      </c>
      <c r="M96" s="71">
        <v>0</v>
      </c>
      <c r="N96" s="71">
        <v>-202000</v>
      </c>
      <c r="O96" s="71">
        <v>0</v>
      </c>
      <c r="P96" s="71">
        <v>0</v>
      </c>
      <c r="R96" s="101">
        <f t="shared" si="26"/>
        <v>202000</v>
      </c>
      <c r="S96" s="101">
        <f t="shared" si="27"/>
        <v>0</v>
      </c>
      <c r="U96" s="70">
        <v>0</v>
      </c>
      <c r="V96" s="70">
        <v>0</v>
      </c>
      <c r="AE96" s="91"/>
      <c r="AF96" s="91"/>
    </row>
    <row r="97" spans="1:32" s="16" customFormat="1">
      <c r="A97" s="96"/>
      <c r="B97" s="13" t="s">
        <v>321</v>
      </c>
      <c r="C97" s="41" t="s">
        <v>64</v>
      </c>
      <c r="D97" s="14" t="s">
        <v>5067</v>
      </c>
      <c r="E97" s="7" t="s">
        <v>5064</v>
      </c>
      <c r="F97" s="8">
        <v>0</v>
      </c>
      <c r="G97" s="97">
        <v>0</v>
      </c>
      <c r="H97" s="98">
        <f t="shared" si="15"/>
        <v>0</v>
      </c>
      <c r="I97" s="99"/>
      <c r="J97" s="100">
        <v>0</v>
      </c>
      <c r="K97" s="71">
        <v>0</v>
      </c>
      <c r="L97" s="71">
        <v>0</v>
      </c>
      <c r="M97" s="71">
        <v>0</v>
      </c>
      <c r="N97" s="71">
        <v>-241110</v>
      </c>
      <c r="O97" s="71">
        <v>0</v>
      </c>
      <c r="P97" s="71">
        <v>0</v>
      </c>
      <c r="R97" s="101">
        <f t="shared" si="26"/>
        <v>241110</v>
      </c>
      <c r="S97" s="101">
        <f t="shared" si="27"/>
        <v>0</v>
      </c>
      <c r="U97" s="70">
        <v>0</v>
      </c>
      <c r="V97" s="70">
        <v>0</v>
      </c>
      <c r="AE97" s="91"/>
      <c r="AF97" s="91"/>
    </row>
    <row r="98" spans="1:32" s="16" customFormat="1">
      <c r="A98" s="96"/>
      <c r="B98" s="13" t="s">
        <v>321</v>
      </c>
      <c r="C98" s="41" t="s">
        <v>64</v>
      </c>
      <c r="D98" s="14" t="s">
        <v>5067</v>
      </c>
      <c r="E98" s="7" t="s">
        <v>5065</v>
      </c>
      <c r="F98" s="8">
        <v>0</v>
      </c>
      <c r="G98" s="97">
        <v>0</v>
      </c>
      <c r="H98" s="98">
        <f t="shared" si="15"/>
        <v>0</v>
      </c>
      <c r="I98" s="99"/>
      <c r="J98" s="100">
        <v>0</v>
      </c>
      <c r="K98" s="71">
        <v>0</v>
      </c>
      <c r="L98" s="71">
        <v>0</v>
      </c>
      <c r="M98" s="71">
        <v>0</v>
      </c>
      <c r="N98" s="71">
        <f>-147000</f>
        <v>-147000</v>
      </c>
      <c r="O98" s="71">
        <v>0</v>
      </c>
      <c r="P98" s="71">
        <v>0</v>
      </c>
      <c r="R98" s="101">
        <f t="shared" si="26"/>
        <v>147000</v>
      </c>
      <c r="S98" s="101">
        <f t="shared" si="27"/>
        <v>0</v>
      </c>
      <c r="U98" s="70">
        <v>0</v>
      </c>
      <c r="V98" s="70">
        <v>0</v>
      </c>
      <c r="AE98" s="91"/>
      <c r="AF98" s="91"/>
    </row>
    <row r="99" spans="1:32" s="16" customFormat="1">
      <c r="A99" s="96"/>
      <c r="B99" s="13" t="s">
        <v>321</v>
      </c>
      <c r="C99" s="41" t="s">
        <v>64</v>
      </c>
      <c r="D99" s="14" t="s">
        <v>5067</v>
      </c>
      <c r="E99" s="7" t="s">
        <v>5063</v>
      </c>
      <c r="F99" s="8">
        <v>0</v>
      </c>
      <c r="G99" s="97">
        <v>0</v>
      </c>
      <c r="H99" s="98">
        <f t="shared" ref="H99:H130" si="28">G99*$H$4/$E$162</f>
        <v>0</v>
      </c>
      <c r="I99" s="99"/>
      <c r="J99" s="100">
        <v>0</v>
      </c>
      <c r="K99" s="71">
        <v>0</v>
      </c>
      <c r="L99" s="71">
        <v>0</v>
      </c>
      <c r="M99" s="71">
        <v>0</v>
      </c>
      <c r="N99" s="71">
        <v>-125000</v>
      </c>
      <c r="O99" s="71">
        <v>0</v>
      </c>
      <c r="P99" s="71">
        <v>0</v>
      </c>
      <c r="R99" s="101">
        <f t="shared" si="26"/>
        <v>125000</v>
      </c>
      <c r="S99" s="101">
        <f t="shared" si="27"/>
        <v>0</v>
      </c>
      <c r="U99" s="70">
        <v>0</v>
      </c>
      <c r="V99" s="70">
        <v>0</v>
      </c>
      <c r="AE99" s="91"/>
      <c r="AF99" s="91"/>
    </row>
    <row r="100" spans="1:32" s="16" customFormat="1">
      <c r="A100" s="96"/>
      <c r="B100" s="13" t="s">
        <v>321</v>
      </c>
      <c r="C100" s="41" t="s">
        <v>64</v>
      </c>
      <c r="D100" s="14" t="s">
        <v>5067</v>
      </c>
      <c r="E100" s="7" t="s">
        <v>5065</v>
      </c>
      <c r="F100" s="8">
        <v>0</v>
      </c>
      <c r="G100" s="97">
        <v>0</v>
      </c>
      <c r="H100" s="98">
        <f t="shared" si="28"/>
        <v>0</v>
      </c>
      <c r="I100" s="99"/>
      <c r="J100" s="100">
        <v>0</v>
      </c>
      <c r="K100" s="71">
        <v>0</v>
      </c>
      <c r="L100" s="71">
        <v>0</v>
      </c>
      <c r="M100" s="71">
        <v>0</v>
      </c>
      <c r="N100" s="71">
        <v>-194000</v>
      </c>
      <c r="O100" s="71">
        <v>0</v>
      </c>
      <c r="P100" s="71">
        <v>0</v>
      </c>
      <c r="R100" s="101">
        <f t="shared" si="26"/>
        <v>194000</v>
      </c>
      <c r="S100" s="101">
        <f t="shared" si="27"/>
        <v>0</v>
      </c>
      <c r="U100" s="70">
        <v>0</v>
      </c>
      <c r="V100" s="70">
        <v>0</v>
      </c>
      <c r="AE100" s="91"/>
      <c r="AF100" s="91"/>
    </row>
    <row r="101" spans="1:32" s="16" customFormat="1">
      <c r="A101" s="96"/>
      <c r="B101" s="13" t="s">
        <v>321</v>
      </c>
      <c r="C101" s="41" t="s">
        <v>64</v>
      </c>
      <c r="D101" s="14" t="s">
        <v>5067</v>
      </c>
      <c r="E101" s="7" t="s">
        <v>4997</v>
      </c>
      <c r="F101" s="8">
        <v>0</v>
      </c>
      <c r="G101" s="97">
        <v>0</v>
      </c>
      <c r="H101" s="98">
        <f t="shared" si="28"/>
        <v>0</v>
      </c>
      <c r="I101" s="99"/>
      <c r="J101" s="100">
        <v>0</v>
      </c>
      <c r="K101" s="71">
        <v>0</v>
      </c>
      <c r="L101" s="71">
        <v>0</v>
      </c>
      <c r="M101" s="71">
        <v>0</v>
      </c>
      <c r="N101" s="71">
        <v>-93783000</v>
      </c>
      <c r="O101" s="71">
        <v>0</v>
      </c>
      <c r="P101" s="71">
        <v>0</v>
      </c>
      <c r="R101" s="101">
        <f t="shared" si="26"/>
        <v>93783000</v>
      </c>
      <c r="S101" s="101">
        <f t="shared" si="27"/>
        <v>0</v>
      </c>
      <c r="U101" s="70">
        <v>0</v>
      </c>
      <c r="V101" s="70">
        <v>0</v>
      </c>
      <c r="AE101" s="91"/>
      <c r="AF101" s="91"/>
    </row>
    <row r="102" spans="1:32" s="16" customFormat="1">
      <c r="A102" s="96"/>
      <c r="B102" s="13" t="s">
        <v>628</v>
      </c>
      <c r="C102" s="41" t="s">
        <v>64</v>
      </c>
      <c r="D102" s="16" t="s">
        <v>247</v>
      </c>
      <c r="E102" s="13" t="s">
        <v>64</v>
      </c>
      <c r="F102" s="97">
        <v>0</v>
      </c>
      <c r="G102" s="97">
        <v>0</v>
      </c>
      <c r="H102" s="98">
        <f t="shared" si="28"/>
        <v>0</v>
      </c>
      <c r="I102" s="99"/>
      <c r="J102" s="100">
        <v>0</v>
      </c>
      <c r="K102" s="71">
        <v>0</v>
      </c>
      <c r="L102" s="71">
        <v>0</v>
      </c>
      <c r="M102" s="71">
        <v>0</v>
      </c>
      <c r="N102" s="71">
        <v>0</v>
      </c>
      <c r="O102" s="71">
        <v>0</v>
      </c>
      <c r="P102" s="71">
        <v>0</v>
      </c>
      <c r="R102" s="101">
        <f t="shared" si="1"/>
        <v>0</v>
      </c>
      <c r="S102" s="101">
        <f t="shared" si="2"/>
        <v>0</v>
      </c>
      <c r="U102" s="70">
        <v>0</v>
      </c>
      <c r="V102" s="70">
        <v>0</v>
      </c>
      <c r="AE102" s="91"/>
      <c r="AF102" s="91"/>
    </row>
    <row r="103" spans="1:32" s="16" customFormat="1">
      <c r="A103" s="96"/>
      <c r="B103" s="13" t="s">
        <v>629</v>
      </c>
      <c r="C103" s="41" t="s">
        <v>64</v>
      </c>
      <c r="D103" s="13" t="s">
        <v>4488</v>
      </c>
      <c r="E103" t="s">
        <v>2076</v>
      </c>
      <c r="F103" s="106">
        <v>18199000</v>
      </c>
      <c r="G103" s="106">
        <v>0</v>
      </c>
      <c r="H103" s="107">
        <f t="shared" si="28"/>
        <v>0</v>
      </c>
      <c r="I103" s="99"/>
      <c r="J103" s="100">
        <v>0</v>
      </c>
      <c r="K103" s="71">
        <v>18199000</v>
      </c>
      <c r="L103" s="71">
        <v>0</v>
      </c>
      <c r="M103" s="71">
        <v>0</v>
      </c>
      <c r="N103" s="71">
        <v>0</v>
      </c>
      <c r="O103" s="71">
        <v>0</v>
      </c>
      <c r="P103" s="71">
        <v>0</v>
      </c>
      <c r="R103" s="101">
        <f>F103-J103-K103-L103-M103-N103</f>
        <v>0</v>
      </c>
      <c r="S103" s="101">
        <f>H103-O103-P103</f>
        <v>0</v>
      </c>
      <c r="U103" s="85">
        <v>0</v>
      </c>
      <c r="V103" s="85">
        <v>0</v>
      </c>
      <c r="AE103" s="91"/>
      <c r="AF103" s="91"/>
    </row>
    <row r="104" spans="1:32" s="16" customFormat="1">
      <c r="A104" s="96"/>
      <c r="B104" s="13" t="s">
        <v>629</v>
      </c>
      <c r="C104" s="41" t="s">
        <v>64</v>
      </c>
      <c r="D104" s="13" t="s">
        <v>143</v>
      </c>
      <c r="E104" t="s">
        <v>416</v>
      </c>
      <c r="F104" s="106">
        <v>16988000</v>
      </c>
      <c r="G104" s="106">
        <v>0</v>
      </c>
      <c r="H104" s="107">
        <f t="shared" si="28"/>
        <v>0</v>
      </c>
      <c r="I104" s="99"/>
      <c r="J104" s="100">
        <v>0</v>
      </c>
      <c r="K104" s="71">
        <v>0</v>
      </c>
      <c r="L104" s="71">
        <v>0</v>
      </c>
      <c r="M104" s="71">
        <v>0</v>
      </c>
      <c r="N104" s="71">
        <v>0</v>
      </c>
      <c r="O104" s="71">
        <v>0</v>
      </c>
      <c r="P104" s="71">
        <v>0</v>
      </c>
      <c r="R104" s="101">
        <f>F104-J104-K104-L104-M104-N104</f>
        <v>16988000</v>
      </c>
      <c r="S104" s="101">
        <f>H104-O104-P104</f>
        <v>0</v>
      </c>
      <c r="U104" s="85">
        <v>0</v>
      </c>
      <c r="V104" s="85">
        <v>0</v>
      </c>
      <c r="AE104" s="91"/>
      <c r="AF104" s="91"/>
    </row>
    <row r="105" spans="1:32" s="16" customFormat="1">
      <c r="A105" s="96"/>
      <c r="B105" s="13" t="s">
        <v>188</v>
      </c>
      <c r="C105" s="41">
        <v>2019</v>
      </c>
      <c r="D105" s="13">
        <v>159</v>
      </c>
      <c r="E105" s="13" t="s">
        <v>447</v>
      </c>
      <c r="F105" s="108">
        <v>18434442</v>
      </c>
      <c r="G105" s="106">
        <v>0</v>
      </c>
      <c r="H105" s="107">
        <f t="shared" si="28"/>
        <v>0</v>
      </c>
      <c r="I105" s="109" t="s">
        <v>64</v>
      </c>
      <c r="J105" s="100">
        <v>0</v>
      </c>
      <c r="K105" s="71">
        <v>0</v>
      </c>
      <c r="L105" s="71">
        <v>0</v>
      </c>
      <c r="M105" s="71">
        <v>0</v>
      </c>
      <c r="N105" s="71">
        <v>18434442</v>
      </c>
      <c r="O105" s="71">
        <v>0</v>
      </c>
      <c r="P105" s="71">
        <v>0</v>
      </c>
      <c r="R105" s="101">
        <f t="shared" ref="R105:R118" si="29">F105-J105-K105-L105-M105-N105</f>
        <v>0</v>
      </c>
      <c r="S105" s="101">
        <f t="shared" ref="S105:S118" si="30">H105-O105-P105</f>
        <v>0</v>
      </c>
      <c r="U105" s="85">
        <v>0</v>
      </c>
      <c r="V105" s="85">
        <v>0</v>
      </c>
      <c r="AE105" s="91"/>
      <c r="AF105" s="91"/>
    </row>
    <row r="106" spans="1:32" s="16" customFormat="1">
      <c r="A106" s="96"/>
      <c r="B106" s="13" t="s">
        <v>188</v>
      </c>
      <c r="C106" s="41">
        <v>2020</v>
      </c>
      <c r="D106" s="13">
        <v>11</v>
      </c>
      <c r="E106" s="13" t="s">
        <v>322</v>
      </c>
      <c r="F106" s="108">
        <v>100000000</v>
      </c>
      <c r="G106" s="106">
        <v>0</v>
      </c>
      <c r="H106" s="107">
        <f t="shared" si="28"/>
        <v>0</v>
      </c>
      <c r="I106" s="109" t="s">
        <v>64</v>
      </c>
      <c r="J106" s="100">
        <v>100000000</v>
      </c>
      <c r="K106" s="71">
        <v>0</v>
      </c>
      <c r="L106" s="71">
        <v>0</v>
      </c>
      <c r="M106" s="71">
        <v>0</v>
      </c>
      <c r="N106" s="71">
        <v>0</v>
      </c>
      <c r="O106" s="71">
        <v>0</v>
      </c>
      <c r="P106" s="71">
        <v>0</v>
      </c>
      <c r="R106" s="101">
        <f t="shared" si="29"/>
        <v>0</v>
      </c>
      <c r="S106" s="101">
        <f t="shared" si="30"/>
        <v>0</v>
      </c>
      <c r="U106" s="85">
        <v>0</v>
      </c>
      <c r="V106" s="85">
        <v>0</v>
      </c>
      <c r="AE106" s="91"/>
      <c r="AF106" s="91"/>
    </row>
    <row r="107" spans="1:32" s="16" customFormat="1">
      <c r="A107" s="96"/>
      <c r="B107" s="13" t="s">
        <v>188</v>
      </c>
      <c r="C107" s="41">
        <v>2020</v>
      </c>
      <c r="D107" s="13">
        <v>51</v>
      </c>
      <c r="E107" s="13" t="s">
        <v>134</v>
      </c>
      <c r="F107" s="108">
        <v>99171600</v>
      </c>
      <c r="G107" s="106">
        <v>0</v>
      </c>
      <c r="H107" s="107">
        <f t="shared" si="28"/>
        <v>0</v>
      </c>
      <c r="I107" s="109" t="s">
        <v>64</v>
      </c>
      <c r="J107" s="100">
        <v>0</v>
      </c>
      <c r="K107" s="71">
        <v>88352880</v>
      </c>
      <c r="L107" s="71">
        <v>0</v>
      </c>
      <c r="M107" s="71">
        <v>0</v>
      </c>
      <c r="N107" s="71">
        <v>10818720</v>
      </c>
      <c r="O107" s="71">
        <v>0</v>
      </c>
      <c r="P107" s="71">
        <v>0</v>
      </c>
      <c r="R107" s="101">
        <f t="shared" si="29"/>
        <v>0</v>
      </c>
      <c r="S107" s="101">
        <f t="shared" si="30"/>
        <v>0</v>
      </c>
      <c r="U107" s="85">
        <v>0</v>
      </c>
      <c r="V107" s="85">
        <v>0</v>
      </c>
      <c r="AE107" s="91"/>
      <c r="AF107" s="91"/>
    </row>
    <row r="108" spans="1:32" s="16" customFormat="1">
      <c r="A108" s="96"/>
      <c r="B108" s="13" t="s">
        <v>188</v>
      </c>
      <c r="C108" s="41">
        <v>2020</v>
      </c>
      <c r="D108" s="13">
        <v>57</v>
      </c>
      <c r="E108" s="13" t="s">
        <v>124</v>
      </c>
      <c r="F108" s="108">
        <v>483999999.99999994</v>
      </c>
      <c r="G108" s="106">
        <v>0</v>
      </c>
      <c r="H108" s="107">
        <f t="shared" si="28"/>
        <v>0</v>
      </c>
      <c r="I108" s="109" t="s">
        <v>64</v>
      </c>
      <c r="J108" s="100">
        <v>0</v>
      </c>
      <c r="K108" s="71">
        <v>0</v>
      </c>
      <c r="L108" s="71">
        <v>431200000</v>
      </c>
      <c r="M108" s="71">
        <v>0</v>
      </c>
      <c r="N108" s="71">
        <v>52799999.99999994</v>
      </c>
      <c r="O108" s="71">
        <v>0</v>
      </c>
      <c r="P108" s="71">
        <v>0</v>
      </c>
      <c r="R108" s="101">
        <f t="shared" si="29"/>
        <v>0</v>
      </c>
      <c r="S108" s="101">
        <f t="shared" si="30"/>
        <v>0</v>
      </c>
      <c r="U108" s="85">
        <v>0</v>
      </c>
      <c r="V108" s="85">
        <v>0</v>
      </c>
      <c r="AE108" s="91"/>
      <c r="AF108" s="91"/>
    </row>
    <row r="109" spans="1:32" s="16" customFormat="1">
      <c r="A109" s="96"/>
      <c r="B109" s="13" t="s">
        <v>188</v>
      </c>
      <c r="C109" s="41">
        <v>2020</v>
      </c>
      <c r="D109" s="13">
        <v>64</v>
      </c>
      <c r="E109" s="13" t="s">
        <v>282</v>
      </c>
      <c r="F109" s="108">
        <v>113619000</v>
      </c>
      <c r="G109" s="106">
        <v>0</v>
      </c>
      <c r="H109" s="107">
        <f t="shared" si="28"/>
        <v>0</v>
      </c>
      <c r="I109" s="109" t="s">
        <v>64</v>
      </c>
      <c r="J109" s="100">
        <v>0</v>
      </c>
      <c r="K109" s="8">
        <v>113619000</v>
      </c>
      <c r="L109" s="71">
        <v>0</v>
      </c>
      <c r="M109" s="71">
        <v>0</v>
      </c>
      <c r="N109" s="71">
        <v>0</v>
      </c>
      <c r="O109" s="71">
        <v>0</v>
      </c>
      <c r="P109" s="71">
        <v>0</v>
      </c>
      <c r="R109" s="101">
        <f t="shared" si="29"/>
        <v>0</v>
      </c>
      <c r="S109" s="101">
        <f t="shared" si="30"/>
        <v>0</v>
      </c>
      <c r="U109" s="85">
        <v>0</v>
      </c>
      <c r="V109" s="85">
        <v>0</v>
      </c>
      <c r="AE109" s="91"/>
      <c r="AF109" s="91"/>
    </row>
    <row r="110" spans="1:32" s="16" customFormat="1">
      <c r="A110" s="96"/>
      <c r="B110" s="13" t="s">
        <v>188</v>
      </c>
      <c r="C110" s="41">
        <v>2020</v>
      </c>
      <c r="D110" s="13">
        <v>68</v>
      </c>
      <c r="E110" s="13" t="s">
        <v>151</v>
      </c>
      <c r="F110" s="108">
        <v>786670500</v>
      </c>
      <c r="G110" s="106">
        <v>0</v>
      </c>
      <c r="H110" s="107">
        <f t="shared" si="28"/>
        <v>0</v>
      </c>
      <c r="I110" s="109" t="s">
        <v>64</v>
      </c>
      <c r="J110" s="100">
        <v>770937090</v>
      </c>
      <c r="K110" s="71">
        <v>0</v>
      </c>
      <c r="L110" s="71">
        <v>0</v>
      </c>
      <c r="M110" s="71">
        <v>0</v>
      </c>
      <c r="N110" s="71">
        <v>15733410</v>
      </c>
      <c r="O110" s="71">
        <v>0</v>
      </c>
      <c r="P110" s="71">
        <v>0</v>
      </c>
      <c r="R110" s="101">
        <f t="shared" si="29"/>
        <v>0</v>
      </c>
      <c r="S110" s="101">
        <f t="shared" si="30"/>
        <v>0</v>
      </c>
      <c r="U110" s="85">
        <v>0</v>
      </c>
      <c r="V110" s="85">
        <v>0</v>
      </c>
      <c r="AE110" s="91"/>
      <c r="AF110" s="91"/>
    </row>
    <row r="111" spans="1:32" s="16" customFormat="1">
      <c r="A111" s="96"/>
      <c r="B111" s="13" t="s">
        <v>188</v>
      </c>
      <c r="C111" s="41">
        <v>2020</v>
      </c>
      <c r="D111" s="13">
        <v>69</v>
      </c>
      <c r="E111" s="13" t="s">
        <v>133</v>
      </c>
      <c r="F111" s="108">
        <v>928351380</v>
      </c>
      <c r="G111" s="106">
        <v>0</v>
      </c>
      <c r="H111" s="107">
        <f t="shared" si="28"/>
        <v>0</v>
      </c>
      <c r="I111" s="109" t="s">
        <v>64</v>
      </c>
      <c r="J111" s="100">
        <v>0</v>
      </c>
      <c r="K111" s="71">
        <v>0</v>
      </c>
      <c r="L111" s="71">
        <v>1202720272</v>
      </c>
      <c r="M111" s="71">
        <v>0</v>
      </c>
      <c r="N111" s="71">
        <v>-274368892</v>
      </c>
      <c r="O111" s="71">
        <v>0</v>
      </c>
      <c r="P111" s="71">
        <v>0</v>
      </c>
      <c r="R111" s="101">
        <f t="shared" si="29"/>
        <v>0</v>
      </c>
      <c r="S111" s="101">
        <f t="shared" si="30"/>
        <v>0</v>
      </c>
      <c r="U111" s="85">
        <v>0</v>
      </c>
      <c r="V111" s="85">
        <v>0</v>
      </c>
      <c r="AE111" s="91"/>
      <c r="AF111" s="91"/>
    </row>
    <row r="112" spans="1:32" s="16" customFormat="1">
      <c r="A112" s="96"/>
      <c r="B112" s="13" t="s">
        <v>188</v>
      </c>
      <c r="C112" s="41">
        <v>2020</v>
      </c>
      <c r="D112" s="13">
        <v>70</v>
      </c>
      <c r="E112" s="13" t="s">
        <v>132</v>
      </c>
      <c r="F112" s="108">
        <v>120187140.7</v>
      </c>
      <c r="G112" s="106">
        <v>0</v>
      </c>
      <c r="H112" s="107">
        <f t="shared" si="28"/>
        <v>0</v>
      </c>
      <c r="I112" s="109" t="s">
        <v>64</v>
      </c>
      <c r="J112" s="100">
        <v>0</v>
      </c>
      <c r="K112" s="71">
        <v>0</v>
      </c>
      <c r="L112" s="71">
        <v>107075818</v>
      </c>
      <c r="M112" s="71">
        <v>0</v>
      </c>
      <c r="N112" s="71">
        <v>13111322.700000003</v>
      </c>
      <c r="O112" s="71">
        <v>0</v>
      </c>
      <c r="P112" s="71">
        <v>0</v>
      </c>
      <c r="R112" s="101">
        <f t="shared" si="29"/>
        <v>0</v>
      </c>
      <c r="S112" s="101">
        <f t="shared" si="30"/>
        <v>0</v>
      </c>
      <c r="U112" s="85">
        <v>0</v>
      </c>
      <c r="V112" s="85">
        <v>0</v>
      </c>
      <c r="AE112" s="91"/>
      <c r="AF112" s="91"/>
    </row>
    <row r="113" spans="1:32" s="16" customFormat="1">
      <c r="A113" s="96"/>
      <c r="B113" s="13" t="s">
        <v>188</v>
      </c>
      <c r="C113" s="41">
        <v>2020</v>
      </c>
      <c r="D113" s="13">
        <v>71</v>
      </c>
      <c r="E113" s="13" t="s">
        <v>371</v>
      </c>
      <c r="F113" s="108">
        <v>840000000.39999998</v>
      </c>
      <c r="G113" s="106">
        <v>0</v>
      </c>
      <c r="H113" s="107">
        <f t="shared" si="28"/>
        <v>0</v>
      </c>
      <c r="I113" s="109" t="s">
        <v>64</v>
      </c>
      <c r="J113" s="100">
        <v>0</v>
      </c>
      <c r="K113" s="71">
        <v>0</v>
      </c>
      <c r="L113" s="71">
        <v>748363637</v>
      </c>
      <c r="M113" s="71">
        <v>0</v>
      </c>
      <c r="N113" s="71">
        <v>91636363.399999976</v>
      </c>
      <c r="O113" s="71">
        <v>0</v>
      </c>
      <c r="P113" s="71">
        <v>0</v>
      </c>
      <c r="R113" s="101">
        <f t="shared" si="29"/>
        <v>0</v>
      </c>
      <c r="S113" s="101">
        <f t="shared" si="30"/>
        <v>0</v>
      </c>
      <c r="U113" s="85">
        <v>0</v>
      </c>
      <c r="V113" s="85">
        <v>0</v>
      </c>
      <c r="AE113" s="91"/>
      <c r="AF113" s="91"/>
    </row>
    <row r="114" spans="1:32" s="16" customFormat="1">
      <c r="A114" s="96"/>
      <c r="B114" s="13" t="s">
        <v>188</v>
      </c>
      <c r="C114" s="41">
        <v>2020</v>
      </c>
      <c r="D114" s="13">
        <v>77</v>
      </c>
      <c r="E114" s="13" t="s">
        <v>127</v>
      </c>
      <c r="F114" s="108">
        <v>956740950</v>
      </c>
      <c r="G114" s="106">
        <v>0</v>
      </c>
      <c r="H114" s="107">
        <f t="shared" si="28"/>
        <v>0</v>
      </c>
      <c r="I114" s="109" t="s">
        <v>64</v>
      </c>
      <c r="J114" s="100">
        <v>0</v>
      </c>
      <c r="K114" s="71">
        <v>852369210</v>
      </c>
      <c r="L114" s="71">
        <v>0</v>
      </c>
      <c r="M114" s="71">
        <v>0</v>
      </c>
      <c r="N114" s="71">
        <v>104371740</v>
      </c>
      <c r="O114" s="71">
        <v>0</v>
      </c>
      <c r="P114" s="71">
        <v>0</v>
      </c>
      <c r="R114" s="101">
        <f t="shared" si="29"/>
        <v>0</v>
      </c>
      <c r="S114" s="101">
        <f t="shared" si="30"/>
        <v>0</v>
      </c>
      <c r="U114" s="85">
        <v>0</v>
      </c>
      <c r="V114" s="85">
        <v>0</v>
      </c>
      <c r="AE114" s="91"/>
      <c r="AF114" s="91"/>
    </row>
    <row r="115" spans="1:32" s="16" customFormat="1">
      <c r="A115" s="96"/>
      <c r="B115" s="13" t="s">
        <v>188</v>
      </c>
      <c r="C115" s="41">
        <v>2020</v>
      </c>
      <c r="D115" s="13">
        <v>79</v>
      </c>
      <c r="E115" s="13" t="s">
        <v>121</v>
      </c>
      <c r="F115" s="108">
        <v>108778999.99999999</v>
      </c>
      <c r="G115" s="106">
        <v>0</v>
      </c>
      <c r="H115" s="107">
        <f t="shared" si="28"/>
        <v>0</v>
      </c>
      <c r="I115" s="109" t="s">
        <v>64</v>
      </c>
      <c r="J115" s="100">
        <v>0</v>
      </c>
      <c r="K115" s="71">
        <v>0</v>
      </c>
      <c r="L115" s="71">
        <v>96912200</v>
      </c>
      <c r="M115" s="71">
        <v>0</v>
      </c>
      <c r="N115" s="71">
        <v>11866799.999999985</v>
      </c>
      <c r="O115" s="71">
        <v>0</v>
      </c>
      <c r="P115" s="71">
        <v>0</v>
      </c>
      <c r="R115" s="101">
        <f t="shared" si="29"/>
        <v>0</v>
      </c>
      <c r="S115" s="101">
        <f t="shared" si="30"/>
        <v>0</v>
      </c>
      <c r="U115" s="85">
        <v>0</v>
      </c>
      <c r="V115" s="85">
        <v>0</v>
      </c>
      <c r="AE115" s="91"/>
      <c r="AF115" s="91"/>
    </row>
    <row r="116" spans="1:32" s="16" customFormat="1">
      <c r="A116" s="96"/>
      <c r="B116" s="13" t="s">
        <v>188</v>
      </c>
      <c r="C116" s="41">
        <v>2020</v>
      </c>
      <c r="D116" s="13">
        <v>80</v>
      </c>
      <c r="E116" s="13" t="s">
        <v>576</v>
      </c>
      <c r="F116" s="108">
        <v>583023627.88999999</v>
      </c>
      <c r="G116" s="106">
        <v>0</v>
      </c>
      <c r="H116" s="107">
        <f t="shared" si="28"/>
        <v>0</v>
      </c>
      <c r="I116" s="109" t="s">
        <v>64</v>
      </c>
      <c r="J116" s="100">
        <v>0</v>
      </c>
      <c r="K116" s="71">
        <v>519421051</v>
      </c>
      <c r="L116" s="71">
        <v>0</v>
      </c>
      <c r="M116" s="71">
        <v>0</v>
      </c>
      <c r="N116" s="71">
        <v>63602576.889999986</v>
      </c>
      <c r="O116" s="71">
        <v>0</v>
      </c>
      <c r="P116" s="71">
        <v>0</v>
      </c>
      <c r="R116" s="101">
        <f t="shared" si="29"/>
        <v>0</v>
      </c>
      <c r="S116" s="101">
        <f t="shared" si="30"/>
        <v>0</v>
      </c>
      <c r="U116" s="85">
        <v>0</v>
      </c>
      <c r="V116" s="85">
        <v>0</v>
      </c>
      <c r="AE116" s="91"/>
      <c r="AF116" s="91"/>
    </row>
    <row r="117" spans="1:32" s="16" customFormat="1">
      <c r="A117" s="96"/>
      <c r="B117" s="13" t="s">
        <v>188</v>
      </c>
      <c r="C117" s="41">
        <v>2020</v>
      </c>
      <c r="D117" s="13">
        <v>81</v>
      </c>
      <c r="E117" s="13" t="s">
        <v>371</v>
      </c>
      <c r="F117" s="108">
        <v>495000000</v>
      </c>
      <c r="G117" s="106">
        <v>0</v>
      </c>
      <c r="H117" s="107">
        <f t="shared" si="28"/>
        <v>0</v>
      </c>
      <c r="I117" s="109" t="s">
        <v>64</v>
      </c>
      <c r="J117" s="100">
        <v>0</v>
      </c>
      <c r="K117" s="71">
        <v>0</v>
      </c>
      <c r="L117" s="71">
        <v>441000000</v>
      </c>
      <c r="M117" s="71">
        <v>0</v>
      </c>
      <c r="N117" s="71">
        <v>54000000</v>
      </c>
      <c r="O117" s="71">
        <v>0</v>
      </c>
      <c r="P117" s="71">
        <v>0</v>
      </c>
      <c r="R117" s="101">
        <f t="shared" si="29"/>
        <v>0</v>
      </c>
      <c r="S117" s="101">
        <f t="shared" si="30"/>
        <v>0</v>
      </c>
      <c r="U117" s="85">
        <v>0</v>
      </c>
      <c r="V117" s="85">
        <v>0</v>
      </c>
      <c r="AE117" s="91"/>
      <c r="AF117" s="91"/>
    </row>
    <row r="118" spans="1:32" s="16" customFormat="1">
      <c r="A118" s="96"/>
      <c r="B118" s="13" t="s">
        <v>188</v>
      </c>
      <c r="C118" s="41">
        <v>2020</v>
      </c>
      <c r="D118" s="13">
        <v>83</v>
      </c>
      <c r="E118" s="13" t="s">
        <v>371</v>
      </c>
      <c r="F118" s="108">
        <v>26800000</v>
      </c>
      <c r="G118" s="106">
        <v>0</v>
      </c>
      <c r="H118" s="107">
        <f t="shared" si="28"/>
        <v>0</v>
      </c>
      <c r="I118" s="109" t="s">
        <v>64</v>
      </c>
      <c r="J118" s="100">
        <v>26800000</v>
      </c>
      <c r="K118" s="71">
        <v>0</v>
      </c>
      <c r="L118" s="71">
        <v>0</v>
      </c>
      <c r="M118" s="71">
        <v>0</v>
      </c>
      <c r="N118" s="71">
        <v>0</v>
      </c>
      <c r="O118" s="71">
        <v>0</v>
      </c>
      <c r="P118" s="71">
        <v>0</v>
      </c>
      <c r="R118" s="101">
        <f t="shared" si="29"/>
        <v>0</v>
      </c>
      <c r="S118" s="101">
        <f t="shared" si="30"/>
        <v>0</v>
      </c>
      <c r="U118" s="85">
        <v>0</v>
      </c>
      <c r="V118" s="85">
        <v>0</v>
      </c>
      <c r="AE118" s="91"/>
      <c r="AF118" s="91"/>
    </row>
    <row r="119" spans="1:32" s="16" customFormat="1">
      <c r="A119" s="96"/>
      <c r="B119" s="13" t="s">
        <v>188</v>
      </c>
      <c r="C119" s="41">
        <v>2021</v>
      </c>
      <c r="D119" s="13">
        <v>55</v>
      </c>
      <c r="E119" s="13" t="s">
        <v>2965</v>
      </c>
      <c r="F119" s="108">
        <v>207303250</v>
      </c>
      <c r="G119" s="106">
        <v>0</v>
      </c>
      <c r="H119" s="107">
        <f t="shared" si="28"/>
        <v>0</v>
      </c>
      <c r="I119" s="109" t="s">
        <v>64</v>
      </c>
      <c r="J119" s="100">
        <v>0</v>
      </c>
      <c r="K119" s="71">
        <v>0</v>
      </c>
      <c r="L119" s="71">
        <v>0</v>
      </c>
      <c r="M119" s="71">
        <v>0</v>
      </c>
      <c r="N119" s="71">
        <v>0</v>
      </c>
      <c r="O119" s="71">
        <v>0</v>
      </c>
      <c r="P119" s="71">
        <v>0</v>
      </c>
      <c r="R119" s="101">
        <f t="shared" ref="R119" si="31">F119-J119-K119-L119-M119-N119</f>
        <v>207303250</v>
      </c>
      <c r="S119" s="101">
        <f t="shared" ref="S119" si="32">H119-O119-P119</f>
        <v>0</v>
      </c>
      <c r="U119" s="85">
        <v>0</v>
      </c>
      <c r="V119" s="85">
        <v>0</v>
      </c>
      <c r="AE119" s="91"/>
      <c r="AF119" s="91"/>
    </row>
    <row r="120" spans="1:32" s="16" customFormat="1">
      <c r="A120" s="96"/>
      <c r="B120" s="13" t="s">
        <v>188</v>
      </c>
      <c r="C120" s="41">
        <v>2021</v>
      </c>
      <c r="D120" s="13">
        <v>56</v>
      </c>
      <c r="E120" s="13" t="s">
        <v>3030</v>
      </c>
      <c r="F120" s="108">
        <v>186174999.56</v>
      </c>
      <c r="G120" s="106">
        <v>0</v>
      </c>
      <c r="H120" s="107">
        <f t="shared" si="28"/>
        <v>0</v>
      </c>
      <c r="I120" s="109" t="s">
        <v>64</v>
      </c>
      <c r="J120" s="100">
        <v>0</v>
      </c>
      <c r="K120" s="71">
        <v>0</v>
      </c>
      <c r="L120" s="71">
        <v>0</v>
      </c>
      <c r="M120" s="71">
        <v>0</v>
      </c>
      <c r="N120" s="71">
        <v>0</v>
      </c>
      <c r="O120" s="71">
        <v>0</v>
      </c>
      <c r="P120" s="71">
        <v>0</v>
      </c>
      <c r="R120" s="101">
        <f t="shared" ref="R120:R158" si="33">F120-J120-K120-L120-M120-N120</f>
        <v>186174999.56</v>
      </c>
      <c r="S120" s="101">
        <f t="shared" ref="S120:S158" si="34">H120-O120-P120</f>
        <v>0</v>
      </c>
      <c r="U120" s="85">
        <v>0</v>
      </c>
      <c r="V120" s="85">
        <v>0</v>
      </c>
      <c r="AE120" s="91"/>
      <c r="AF120" s="91"/>
    </row>
    <row r="121" spans="1:32" s="16" customFormat="1">
      <c r="A121" s="96"/>
      <c r="B121" s="13" t="s">
        <v>188</v>
      </c>
      <c r="C121" s="41">
        <v>2021</v>
      </c>
      <c r="D121" s="13">
        <v>59</v>
      </c>
      <c r="E121" s="13" t="s">
        <v>2972</v>
      </c>
      <c r="F121" s="108">
        <v>135119600</v>
      </c>
      <c r="G121" s="106">
        <v>0</v>
      </c>
      <c r="H121" s="107">
        <f t="shared" si="28"/>
        <v>0</v>
      </c>
      <c r="I121" s="109" t="s">
        <v>64</v>
      </c>
      <c r="J121" s="100">
        <v>0</v>
      </c>
      <c r="K121" s="71">
        <v>0</v>
      </c>
      <c r="L121" s="71">
        <v>0</v>
      </c>
      <c r="M121" s="71">
        <v>0</v>
      </c>
      <c r="N121" s="71">
        <v>0</v>
      </c>
      <c r="O121" s="71">
        <v>0</v>
      </c>
      <c r="P121" s="71">
        <v>0</v>
      </c>
      <c r="R121" s="101">
        <f t="shared" si="33"/>
        <v>135119600</v>
      </c>
      <c r="S121" s="101">
        <f t="shared" si="34"/>
        <v>0</v>
      </c>
      <c r="U121" s="85">
        <v>0</v>
      </c>
      <c r="V121" s="85">
        <v>0</v>
      </c>
      <c r="AE121" s="91"/>
      <c r="AF121" s="91"/>
    </row>
    <row r="122" spans="1:32" s="16" customFormat="1">
      <c r="A122" s="96"/>
      <c r="B122" s="13" t="s">
        <v>188</v>
      </c>
      <c r="C122" s="41">
        <v>2021</v>
      </c>
      <c r="D122" s="13">
        <v>68</v>
      </c>
      <c r="E122" s="13" t="s">
        <v>3044</v>
      </c>
      <c r="F122" s="108">
        <v>858500</v>
      </c>
      <c r="G122" s="106">
        <v>0</v>
      </c>
      <c r="H122" s="107">
        <f t="shared" si="28"/>
        <v>0</v>
      </c>
      <c r="I122" s="109" t="s">
        <v>64</v>
      </c>
      <c r="J122" s="100">
        <v>0</v>
      </c>
      <c r="K122" s="71">
        <v>0</v>
      </c>
      <c r="L122" s="71">
        <v>0</v>
      </c>
      <c r="M122" s="71">
        <v>0</v>
      </c>
      <c r="N122" s="71">
        <v>0</v>
      </c>
      <c r="O122" s="71">
        <v>0</v>
      </c>
      <c r="P122" s="71">
        <v>0</v>
      </c>
      <c r="R122" s="101">
        <f t="shared" si="33"/>
        <v>858500</v>
      </c>
      <c r="S122" s="101">
        <f t="shared" si="34"/>
        <v>0</v>
      </c>
      <c r="U122" s="85">
        <v>0</v>
      </c>
      <c r="V122" s="85">
        <v>0</v>
      </c>
      <c r="AE122" s="91"/>
      <c r="AF122" s="91"/>
    </row>
    <row r="123" spans="1:32" s="16" customFormat="1">
      <c r="A123" s="96"/>
      <c r="B123" s="13" t="s">
        <v>188</v>
      </c>
      <c r="C123" s="41">
        <v>2021</v>
      </c>
      <c r="D123" s="13">
        <v>71</v>
      </c>
      <c r="E123" s="13" t="s">
        <v>3037</v>
      </c>
      <c r="F123" s="108">
        <v>580053430</v>
      </c>
      <c r="G123" s="106">
        <v>0</v>
      </c>
      <c r="H123" s="107">
        <f t="shared" si="28"/>
        <v>0</v>
      </c>
      <c r="I123" s="109" t="s">
        <v>64</v>
      </c>
      <c r="J123" s="100">
        <v>0</v>
      </c>
      <c r="K123" s="71">
        <v>0</v>
      </c>
      <c r="L123" s="71">
        <v>0</v>
      </c>
      <c r="M123" s="71">
        <v>0</v>
      </c>
      <c r="N123" s="71">
        <v>0</v>
      </c>
      <c r="O123" s="71">
        <v>0</v>
      </c>
      <c r="P123" s="71">
        <v>0</v>
      </c>
      <c r="R123" s="101">
        <f t="shared" si="33"/>
        <v>580053430</v>
      </c>
      <c r="S123" s="101">
        <f t="shared" si="34"/>
        <v>0</v>
      </c>
      <c r="U123" s="85">
        <v>0</v>
      </c>
      <c r="V123" s="85">
        <v>0</v>
      </c>
      <c r="AE123" s="91"/>
      <c r="AF123" s="91"/>
    </row>
    <row r="124" spans="1:32" s="16" customFormat="1">
      <c r="A124" s="96"/>
      <c r="B124" s="13" t="s">
        <v>188</v>
      </c>
      <c r="C124" s="41">
        <v>2021</v>
      </c>
      <c r="D124" s="13">
        <v>73</v>
      </c>
      <c r="E124" s="13" t="s">
        <v>3073</v>
      </c>
      <c r="F124" s="108">
        <v>353391410.89999998</v>
      </c>
      <c r="G124" s="106">
        <v>0</v>
      </c>
      <c r="H124" s="107">
        <f t="shared" si="28"/>
        <v>0</v>
      </c>
      <c r="I124" s="109" t="s">
        <v>64</v>
      </c>
      <c r="J124" s="100">
        <v>0</v>
      </c>
      <c r="K124" s="71">
        <v>0</v>
      </c>
      <c r="L124" s="71">
        <v>0</v>
      </c>
      <c r="M124" s="71">
        <v>0</v>
      </c>
      <c r="N124" s="71">
        <v>0</v>
      </c>
      <c r="O124" s="71">
        <v>0</v>
      </c>
      <c r="P124" s="71">
        <v>0</v>
      </c>
      <c r="R124" s="101">
        <f t="shared" si="33"/>
        <v>353391410.89999998</v>
      </c>
      <c r="S124" s="101">
        <f t="shared" si="34"/>
        <v>0</v>
      </c>
      <c r="U124" s="85">
        <v>0</v>
      </c>
      <c r="V124" s="85">
        <v>0</v>
      </c>
      <c r="AE124" s="91"/>
      <c r="AF124" s="91"/>
    </row>
    <row r="125" spans="1:32" s="16" customFormat="1">
      <c r="A125" s="96"/>
      <c r="B125" s="13" t="s">
        <v>188</v>
      </c>
      <c r="C125" s="41">
        <v>2021</v>
      </c>
      <c r="D125" s="13">
        <v>74</v>
      </c>
      <c r="E125" s="13" t="s">
        <v>2979</v>
      </c>
      <c r="F125" s="108">
        <v>27500000</v>
      </c>
      <c r="G125" s="106">
        <v>0</v>
      </c>
      <c r="H125" s="107">
        <f t="shared" si="28"/>
        <v>0</v>
      </c>
      <c r="I125" s="109" t="s">
        <v>64</v>
      </c>
      <c r="J125" s="100">
        <v>0</v>
      </c>
      <c r="K125" s="71">
        <v>0</v>
      </c>
      <c r="L125" s="71">
        <v>0</v>
      </c>
      <c r="M125" s="71">
        <v>0</v>
      </c>
      <c r="N125" s="71">
        <v>0</v>
      </c>
      <c r="O125" s="71">
        <v>0</v>
      </c>
      <c r="P125" s="71">
        <v>0</v>
      </c>
      <c r="R125" s="101">
        <f t="shared" si="33"/>
        <v>27500000</v>
      </c>
      <c r="S125" s="101">
        <f t="shared" si="34"/>
        <v>0</v>
      </c>
      <c r="U125" s="85">
        <v>0</v>
      </c>
      <c r="V125" s="85">
        <v>0</v>
      </c>
      <c r="AE125" s="91"/>
      <c r="AF125" s="91"/>
    </row>
    <row r="126" spans="1:32" s="16" customFormat="1">
      <c r="A126" s="96"/>
      <c r="B126" s="13" t="s">
        <v>188</v>
      </c>
      <c r="C126" s="41">
        <v>2021</v>
      </c>
      <c r="D126" s="13">
        <v>82</v>
      </c>
      <c r="E126" s="13" t="s">
        <v>3018</v>
      </c>
      <c r="F126" s="108">
        <v>298650000</v>
      </c>
      <c r="G126" s="106">
        <v>0</v>
      </c>
      <c r="H126" s="107">
        <f t="shared" si="28"/>
        <v>0</v>
      </c>
      <c r="I126" s="109" t="s">
        <v>64</v>
      </c>
      <c r="J126" s="100">
        <v>0</v>
      </c>
      <c r="K126" s="71">
        <v>0</v>
      </c>
      <c r="L126" s="71">
        <v>0</v>
      </c>
      <c r="M126" s="71">
        <v>0</v>
      </c>
      <c r="N126" s="71">
        <v>0</v>
      </c>
      <c r="O126" s="71">
        <v>0</v>
      </c>
      <c r="P126" s="71">
        <v>0</v>
      </c>
      <c r="R126" s="101">
        <f t="shared" si="33"/>
        <v>298650000</v>
      </c>
      <c r="S126" s="101">
        <f t="shared" si="34"/>
        <v>0</v>
      </c>
      <c r="U126" s="85">
        <v>0</v>
      </c>
      <c r="V126" s="85">
        <v>0</v>
      </c>
      <c r="AE126" s="91"/>
      <c r="AF126" s="91"/>
    </row>
    <row r="127" spans="1:32" s="16" customFormat="1">
      <c r="A127" s="96"/>
      <c r="B127" s="13" t="s">
        <v>188</v>
      </c>
      <c r="C127" s="41">
        <v>2021</v>
      </c>
      <c r="D127" s="13">
        <v>84</v>
      </c>
      <c r="E127" s="13" t="s">
        <v>2986</v>
      </c>
      <c r="F127" s="108">
        <v>137214000</v>
      </c>
      <c r="G127" s="106">
        <v>0</v>
      </c>
      <c r="H127" s="107">
        <f t="shared" si="28"/>
        <v>0</v>
      </c>
      <c r="I127" s="109" t="s">
        <v>64</v>
      </c>
      <c r="J127" s="100">
        <v>0</v>
      </c>
      <c r="K127" s="71">
        <v>0</v>
      </c>
      <c r="L127" s="71">
        <v>0</v>
      </c>
      <c r="M127" s="71">
        <v>0</v>
      </c>
      <c r="N127" s="71">
        <v>0</v>
      </c>
      <c r="O127" s="71">
        <v>0</v>
      </c>
      <c r="P127" s="71">
        <v>0</v>
      </c>
      <c r="R127" s="101">
        <f t="shared" si="33"/>
        <v>137214000</v>
      </c>
      <c r="S127" s="101">
        <f t="shared" si="34"/>
        <v>0</v>
      </c>
      <c r="U127" s="85">
        <v>0</v>
      </c>
      <c r="V127" s="85">
        <v>0</v>
      </c>
      <c r="AE127" s="91"/>
      <c r="AF127" s="91"/>
    </row>
    <row r="128" spans="1:32" s="16" customFormat="1">
      <c r="A128" s="96"/>
      <c r="B128" s="13" t="s">
        <v>188</v>
      </c>
      <c r="C128" s="41">
        <v>2021</v>
      </c>
      <c r="D128" s="13">
        <v>85</v>
      </c>
      <c r="E128" s="13" t="s">
        <v>4142</v>
      </c>
      <c r="F128" s="108">
        <v>28422900</v>
      </c>
      <c r="G128" s="106">
        <v>0</v>
      </c>
      <c r="H128" s="107">
        <f t="shared" si="28"/>
        <v>0</v>
      </c>
      <c r="I128" s="109" t="s">
        <v>64</v>
      </c>
      <c r="J128" s="100">
        <v>0</v>
      </c>
      <c r="K128" s="71">
        <v>0</v>
      </c>
      <c r="L128" s="71">
        <v>0</v>
      </c>
      <c r="M128" s="71">
        <v>0</v>
      </c>
      <c r="N128" s="71">
        <v>0</v>
      </c>
      <c r="O128" s="71">
        <v>0</v>
      </c>
      <c r="P128" s="71">
        <v>0</v>
      </c>
      <c r="R128" s="101">
        <f t="shared" si="33"/>
        <v>28422900</v>
      </c>
      <c r="S128" s="101">
        <f t="shared" si="34"/>
        <v>0</v>
      </c>
      <c r="U128" s="85">
        <v>0</v>
      </c>
      <c r="V128" s="85">
        <v>0</v>
      </c>
      <c r="AE128" s="91"/>
      <c r="AF128" s="91"/>
    </row>
    <row r="129" spans="1:32" s="16" customFormat="1">
      <c r="A129" s="96"/>
      <c r="B129" s="13" t="s">
        <v>188</v>
      </c>
      <c r="C129" s="41">
        <v>2021</v>
      </c>
      <c r="D129" s="13">
        <v>87</v>
      </c>
      <c r="E129" s="13" t="s">
        <v>4143</v>
      </c>
      <c r="F129" s="108">
        <v>858634128</v>
      </c>
      <c r="G129" s="106">
        <v>0</v>
      </c>
      <c r="H129" s="107">
        <f t="shared" si="28"/>
        <v>0</v>
      </c>
      <c r="I129" s="109" t="s">
        <v>64</v>
      </c>
      <c r="J129" s="100">
        <v>0</v>
      </c>
      <c r="K129" s="71">
        <v>0</v>
      </c>
      <c r="L129" s="71">
        <v>0</v>
      </c>
      <c r="M129" s="71">
        <v>0</v>
      </c>
      <c r="N129" s="71">
        <v>0</v>
      </c>
      <c r="O129" s="71">
        <v>0</v>
      </c>
      <c r="P129" s="71">
        <v>0</v>
      </c>
      <c r="R129" s="101">
        <f t="shared" si="33"/>
        <v>858634128</v>
      </c>
      <c r="S129" s="101">
        <f t="shared" si="34"/>
        <v>0</v>
      </c>
      <c r="U129" s="85">
        <v>0</v>
      </c>
      <c r="V129" s="85">
        <v>0</v>
      </c>
      <c r="AE129" s="91"/>
      <c r="AF129" s="91"/>
    </row>
    <row r="130" spans="1:32" s="16" customFormat="1">
      <c r="A130" s="96"/>
      <c r="B130" s="13" t="s">
        <v>188</v>
      </c>
      <c r="C130" s="41">
        <v>2021</v>
      </c>
      <c r="D130" s="13">
        <v>93</v>
      </c>
      <c r="E130" s="13" t="s">
        <v>3045</v>
      </c>
      <c r="F130" s="108">
        <v>344759250</v>
      </c>
      <c r="G130" s="106">
        <v>0</v>
      </c>
      <c r="H130" s="107">
        <f t="shared" si="28"/>
        <v>0</v>
      </c>
      <c r="I130" s="109" t="s">
        <v>64</v>
      </c>
      <c r="J130" s="100">
        <v>0</v>
      </c>
      <c r="K130" s="71">
        <v>0</v>
      </c>
      <c r="L130" s="71">
        <v>0</v>
      </c>
      <c r="M130" s="71">
        <v>0</v>
      </c>
      <c r="N130" s="71">
        <v>0</v>
      </c>
      <c r="O130" s="71">
        <v>0</v>
      </c>
      <c r="P130" s="71">
        <v>0</v>
      </c>
      <c r="R130" s="101">
        <f t="shared" si="33"/>
        <v>344759250</v>
      </c>
      <c r="S130" s="101">
        <f t="shared" si="34"/>
        <v>0</v>
      </c>
      <c r="U130" s="85">
        <v>0</v>
      </c>
      <c r="V130" s="85">
        <v>0</v>
      </c>
      <c r="AE130" s="91"/>
      <c r="AF130" s="91"/>
    </row>
    <row r="131" spans="1:32" s="16" customFormat="1">
      <c r="A131" s="96"/>
      <c r="B131" s="13" t="s">
        <v>188</v>
      </c>
      <c r="C131" s="41">
        <v>2021</v>
      </c>
      <c r="D131" s="13" t="s">
        <v>5107</v>
      </c>
      <c r="E131" s="13" t="s">
        <v>3045</v>
      </c>
      <c r="F131" s="108">
        <v>300000000</v>
      </c>
      <c r="G131" s="106">
        <v>0</v>
      </c>
      <c r="H131" s="107">
        <f t="shared" ref="H131:H158" si="35">G131*$H$4/$E$162</f>
        <v>0</v>
      </c>
      <c r="I131" s="109" t="s">
        <v>64</v>
      </c>
      <c r="J131" s="100">
        <v>0</v>
      </c>
      <c r="K131" s="71">
        <v>0</v>
      </c>
      <c r="L131" s="71">
        <v>0</v>
      </c>
      <c r="M131" s="71">
        <v>0</v>
      </c>
      <c r="N131" s="71">
        <v>0</v>
      </c>
      <c r="O131" s="71">
        <v>0</v>
      </c>
      <c r="P131" s="71">
        <v>0</v>
      </c>
      <c r="R131" s="101">
        <f t="shared" ref="R131" si="36">F131-J131-K131-L131-M131-N131</f>
        <v>300000000</v>
      </c>
      <c r="S131" s="101">
        <f t="shared" ref="S131" si="37">H131-O131-P131</f>
        <v>0</v>
      </c>
      <c r="U131" s="85">
        <v>0</v>
      </c>
      <c r="V131" s="85">
        <v>0</v>
      </c>
      <c r="AE131" s="91"/>
      <c r="AF131" s="91"/>
    </row>
    <row r="132" spans="1:32" s="16" customFormat="1">
      <c r="A132" s="96"/>
      <c r="B132" s="13" t="s">
        <v>188</v>
      </c>
      <c r="C132" s="41">
        <v>2021</v>
      </c>
      <c r="D132" s="13">
        <v>95</v>
      </c>
      <c r="E132" s="13" t="s">
        <v>2991</v>
      </c>
      <c r="F132" s="108">
        <v>211750000</v>
      </c>
      <c r="G132" s="106">
        <v>0</v>
      </c>
      <c r="H132" s="107">
        <f t="shared" si="35"/>
        <v>0</v>
      </c>
      <c r="I132" s="109" t="s">
        <v>64</v>
      </c>
      <c r="J132" s="100">
        <v>0</v>
      </c>
      <c r="K132" s="71">
        <v>0</v>
      </c>
      <c r="L132" s="71">
        <v>0</v>
      </c>
      <c r="M132" s="71">
        <v>0</v>
      </c>
      <c r="N132" s="71">
        <v>0</v>
      </c>
      <c r="O132" s="71">
        <v>0</v>
      </c>
      <c r="P132" s="71">
        <v>0</v>
      </c>
      <c r="R132" s="101">
        <f t="shared" si="33"/>
        <v>211750000</v>
      </c>
      <c r="S132" s="101">
        <f t="shared" si="34"/>
        <v>0</v>
      </c>
      <c r="U132" s="85">
        <v>0</v>
      </c>
      <c r="V132" s="85">
        <v>0</v>
      </c>
      <c r="AE132" s="91"/>
      <c r="AF132" s="91"/>
    </row>
    <row r="133" spans="1:32" s="16" customFormat="1">
      <c r="A133" s="96"/>
      <c r="B133" s="13" t="s">
        <v>188</v>
      </c>
      <c r="C133" s="41">
        <v>2021</v>
      </c>
      <c r="D133" s="13">
        <v>96</v>
      </c>
      <c r="E133" s="13" t="s">
        <v>2992</v>
      </c>
      <c r="F133" s="108">
        <v>460460000</v>
      </c>
      <c r="G133" s="106">
        <v>0</v>
      </c>
      <c r="H133" s="107">
        <f t="shared" si="35"/>
        <v>0</v>
      </c>
      <c r="I133" s="109" t="s">
        <v>64</v>
      </c>
      <c r="J133" s="100">
        <v>0</v>
      </c>
      <c r="K133" s="71">
        <v>0</v>
      </c>
      <c r="L133" s="71">
        <v>0</v>
      </c>
      <c r="M133" s="71">
        <v>0</v>
      </c>
      <c r="N133" s="71">
        <v>0</v>
      </c>
      <c r="O133" s="71">
        <v>0</v>
      </c>
      <c r="P133" s="71">
        <v>0</v>
      </c>
      <c r="R133" s="101">
        <f t="shared" si="33"/>
        <v>460460000</v>
      </c>
      <c r="S133" s="101">
        <f t="shared" si="34"/>
        <v>0</v>
      </c>
      <c r="U133" s="85">
        <v>0</v>
      </c>
      <c r="V133" s="85">
        <v>0</v>
      </c>
      <c r="AE133" s="91"/>
      <c r="AF133" s="91"/>
    </row>
    <row r="134" spans="1:32" s="16" customFormat="1">
      <c r="A134" s="96"/>
      <c r="B134" s="13" t="s">
        <v>188</v>
      </c>
      <c r="C134" s="41">
        <v>2021</v>
      </c>
      <c r="D134" s="13">
        <v>102</v>
      </c>
      <c r="E134" s="13" t="s">
        <v>3010</v>
      </c>
      <c r="F134" s="108">
        <v>153873231.59999999</v>
      </c>
      <c r="G134" s="106">
        <v>0</v>
      </c>
      <c r="H134" s="107">
        <f t="shared" si="35"/>
        <v>0</v>
      </c>
      <c r="I134" s="109" t="s">
        <v>64</v>
      </c>
      <c r="J134" s="100">
        <v>0</v>
      </c>
      <c r="K134" s="71">
        <v>0</v>
      </c>
      <c r="L134" s="71">
        <v>0</v>
      </c>
      <c r="M134" s="71">
        <v>0</v>
      </c>
      <c r="N134" s="71">
        <v>0</v>
      </c>
      <c r="O134" s="71">
        <v>0</v>
      </c>
      <c r="P134" s="71">
        <v>0</v>
      </c>
      <c r="R134" s="101">
        <f t="shared" si="33"/>
        <v>153873231.59999999</v>
      </c>
      <c r="S134" s="101">
        <f t="shared" si="34"/>
        <v>0</v>
      </c>
      <c r="U134" s="85">
        <v>0</v>
      </c>
      <c r="V134" s="85">
        <v>0</v>
      </c>
      <c r="AE134" s="91"/>
      <c r="AF134" s="91"/>
    </row>
    <row r="135" spans="1:32" s="16" customFormat="1">
      <c r="A135" s="96"/>
      <c r="B135" s="13" t="s">
        <v>188</v>
      </c>
      <c r="C135" s="41">
        <v>2021</v>
      </c>
      <c r="D135" s="13" t="s">
        <v>5131</v>
      </c>
      <c r="E135" s="13" t="s">
        <v>3001</v>
      </c>
      <c r="F135" s="108">
        <v>9785827</v>
      </c>
      <c r="G135" s="106">
        <v>0</v>
      </c>
      <c r="H135" s="107">
        <f t="shared" si="35"/>
        <v>0</v>
      </c>
      <c r="I135" s="109" t="s">
        <v>64</v>
      </c>
      <c r="J135" s="100">
        <v>0</v>
      </c>
      <c r="K135" s="71">
        <v>0</v>
      </c>
      <c r="L135" s="71">
        <v>0</v>
      </c>
      <c r="M135" s="71">
        <v>0</v>
      </c>
      <c r="N135" s="71">
        <v>0</v>
      </c>
      <c r="O135" s="71">
        <v>0</v>
      </c>
      <c r="P135" s="71">
        <v>0</v>
      </c>
      <c r="R135" s="101">
        <f t="shared" ref="R135:R142" si="38">F135-J135-K135-L135-M135-N135</f>
        <v>9785827</v>
      </c>
      <c r="S135" s="101">
        <f t="shared" ref="S135:S142" si="39">H135-O135-P135</f>
        <v>0</v>
      </c>
      <c r="U135" s="85">
        <v>0</v>
      </c>
      <c r="V135" s="85">
        <v>0</v>
      </c>
      <c r="AE135" s="91"/>
      <c r="AF135" s="91"/>
    </row>
    <row r="136" spans="1:32" s="16" customFormat="1">
      <c r="A136" s="96"/>
      <c r="B136" s="13" t="s">
        <v>188</v>
      </c>
      <c r="C136" s="41">
        <v>2021</v>
      </c>
      <c r="D136" s="13" t="s">
        <v>5132</v>
      </c>
      <c r="E136" s="13" t="s">
        <v>3001</v>
      </c>
      <c r="F136" s="108">
        <v>9486694</v>
      </c>
      <c r="G136" s="106">
        <v>0</v>
      </c>
      <c r="H136" s="107">
        <f t="shared" si="35"/>
        <v>0</v>
      </c>
      <c r="I136" s="109" t="s">
        <v>64</v>
      </c>
      <c r="J136" s="100">
        <v>0</v>
      </c>
      <c r="K136" s="71">
        <v>0</v>
      </c>
      <c r="L136" s="71">
        <v>0</v>
      </c>
      <c r="M136" s="71">
        <v>0</v>
      </c>
      <c r="N136" s="71">
        <v>0</v>
      </c>
      <c r="O136" s="71">
        <v>0</v>
      </c>
      <c r="P136" s="71">
        <v>0</v>
      </c>
      <c r="R136" s="101">
        <f t="shared" ref="R136" si="40">F136-J136-K136-L136-M136-N136</f>
        <v>9486694</v>
      </c>
      <c r="S136" s="101">
        <f t="shared" ref="S136" si="41">H136-O136-P136</f>
        <v>0</v>
      </c>
      <c r="U136" s="85">
        <v>0</v>
      </c>
      <c r="V136" s="85">
        <v>0</v>
      </c>
      <c r="AE136" s="91"/>
      <c r="AF136" s="91"/>
    </row>
    <row r="137" spans="1:32" s="16" customFormat="1">
      <c r="A137" s="96"/>
      <c r="B137" s="13" t="s">
        <v>188</v>
      </c>
      <c r="C137" s="41">
        <v>2021</v>
      </c>
      <c r="D137" s="13">
        <v>106</v>
      </c>
      <c r="E137" s="13" t="s">
        <v>3046</v>
      </c>
      <c r="F137" s="108">
        <v>233968350</v>
      </c>
      <c r="G137" s="106">
        <v>0</v>
      </c>
      <c r="H137" s="107">
        <f t="shared" si="35"/>
        <v>0</v>
      </c>
      <c r="I137" s="109" t="s">
        <v>64</v>
      </c>
      <c r="J137" s="100">
        <v>0</v>
      </c>
      <c r="K137" s="71">
        <v>0</v>
      </c>
      <c r="L137" s="71">
        <v>0</v>
      </c>
      <c r="M137" s="71">
        <v>0</v>
      </c>
      <c r="N137" s="71">
        <v>0</v>
      </c>
      <c r="O137" s="71">
        <v>0</v>
      </c>
      <c r="P137" s="71">
        <v>0</v>
      </c>
      <c r="R137" s="101">
        <f t="shared" si="38"/>
        <v>233968350</v>
      </c>
      <c r="S137" s="101">
        <f t="shared" si="39"/>
        <v>0</v>
      </c>
      <c r="U137" s="85">
        <v>0</v>
      </c>
      <c r="V137" s="85">
        <v>0</v>
      </c>
      <c r="AE137" s="91"/>
      <c r="AF137" s="91"/>
    </row>
    <row r="138" spans="1:32" s="16" customFormat="1">
      <c r="A138" s="96"/>
      <c r="B138" s="13" t="s">
        <v>188</v>
      </c>
      <c r="C138" s="41">
        <v>2021</v>
      </c>
      <c r="D138" s="13">
        <v>107</v>
      </c>
      <c r="E138" s="13" t="s">
        <v>3046</v>
      </c>
      <c r="F138" s="108">
        <v>105382200</v>
      </c>
      <c r="G138" s="106">
        <v>0</v>
      </c>
      <c r="H138" s="107">
        <f t="shared" si="35"/>
        <v>0</v>
      </c>
      <c r="I138" s="109" t="s">
        <v>64</v>
      </c>
      <c r="J138" s="100">
        <v>0</v>
      </c>
      <c r="K138" s="71">
        <v>0</v>
      </c>
      <c r="L138" s="71">
        <v>0</v>
      </c>
      <c r="M138" s="71">
        <v>0</v>
      </c>
      <c r="N138" s="71">
        <v>0</v>
      </c>
      <c r="O138" s="71">
        <v>0</v>
      </c>
      <c r="P138" s="71">
        <v>0</v>
      </c>
      <c r="R138" s="101">
        <f t="shared" si="38"/>
        <v>105382200</v>
      </c>
      <c r="S138" s="101">
        <f t="shared" si="39"/>
        <v>0</v>
      </c>
      <c r="U138" s="85">
        <v>0</v>
      </c>
      <c r="V138" s="85">
        <v>0</v>
      </c>
      <c r="AE138" s="91"/>
      <c r="AF138" s="91"/>
    </row>
    <row r="139" spans="1:32" s="16" customFormat="1">
      <c r="A139" s="96"/>
      <c r="B139" s="13" t="s">
        <v>188</v>
      </c>
      <c r="C139" s="41">
        <v>2021</v>
      </c>
      <c r="D139" s="13">
        <v>111</v>
      </c>
      <c r="E139" s="13" t="s">
        <v>3391</v>
      </c>
      <c r="F139" s="108">
        <v>284864250</v>
      </c>
      <c r="G139" s="106">
        <v>0</v>
      </c>
      <c r="H139" s="107">
        <f t="shared" si="35"/>
        <v>0</v>
      </c>
      <c r="I139" s="109" t="s">
        <v>64</v>
      </c>
      <c r="J139" s="100">
        <v>0</v>
      </c>
      <c r="K139" s="71">
        <v>0</v>
      </c>
      <c r="L139" s="71">
        <v>0</v>
      </c>
      <c r="M139" s="71">
        <v>0</v>
      </c>
      <c r="N139" s="71">
        <v>0</v>
      </c>
      <c r="O139" s="71">
        <v>0</v>
      </c>
      <c r="P139" s="71">
        <v>0</v>
      </c>
      <c r="R139" s="101">
        <f t="shared" si="38"/>
        <v>284864250</v>
      </c>
      <c r="S139" s="101">
        <f t="shared" si="39"/>
        <v>0</v>
      </c>
      <c r="U139" s="85">
        <v>0</v>
      </c>
      <c r="V139" s="85">
        <v>0</v>
      </c>
      <c r="AE139" s="91"/>
      <c r="AF139" s="91"/>
    </row>
    <row r="140" spans="1:32" s="16" customFormat="1">
      <c r="A140" s="96"/>
      <c r="B140" s="13" t="s">
        <v>188</v>
      </c>
      <c r="C140" s="41">
        <v>2021</v>
      </c>
      <c r="D140" s="13">
        <v>115</v>
      </c>
      <c r="E140" s="13" t="s">
        <v>3018</v>
      </c>
      <c r="F140" s="108">
        <v>84842802</v>
      </c>
      <c r="G140" s="106">
        <v>0</v>
      </c>
      <c r="H140" s="107">
        <f t="shared" si="35"/>
        <v>0</v>
      </c>
      <c r="I140" s="109" t="s">
        <v>64</v>
      </c>
      <c r="J140" s="100">
        <v>0</v>
      </c>
      <c r="K140" s="71">
        <v>0</v>
      </c>
      <c r="L140" s="71">
        <v>0</v>
      </c>
      <c r="M140" s="71">
        <v>0</v>
      </c>
      <c r="N140" s="71">
        <v>0</v>
      </c>
      <c r="O140" s="71">
        <v>0</v>
      </c>
      <c r="P140" s="71">
        <v>0</v>
      </c>
      <c r="R140" s="101">
        <f t="shared" si="38"/>
        <v>84842802</v>
      </c>
      <c r="S140" s="101">
        <f t="shared" si="39"/>
        <v>0</v>
      </c>
      <c r="U140" s="85">
        <v>0</v>
      </c>
      <c r="V140" s="85">
        <v>0</v>
      </c>
      <c r="AE140" s="91"/>
      <c r="AF140" s="91"/>
    </row>
    <row r="141" spans="1:32" s="16" customFormat="1">
      <c r="A141" s="96"/>
      <c r="B141" s="13" t="s">
        <v>188</v>
      </c>
      <c r="C141" s="41">
        <v>2021</v>
      </c>
      <c r="D141" s="13">
        <v>116</v>
      </c>
      <c r="E141" s="13" t="s">
        <v>4862</v>
      </c>
      <c r="F141" s="108">
        <v>21814518</v>
      </c>
      <c r="G141" s="106">
        <v>0</v>
      </c>
      <c r="H141" s="107">
        <f t="shared" si="35"/>
        <v>0</v>
      </c>
      <c r="I141" s="109" t="s">
        <v>64</v>
      </c>
      <c r="J141" s="100">
        <v>0</v>
      </c>
      <c r="K141" s="71">
        <v>0</v>
      </c>
      <c r="L141" s="71">
        <v>0</v>
      </c>
      <c r="M141" s="71">
        <v>0</v>
      </c>
      <c r="N141" s="71">
        <v>0</v>
      </c>
      <c r="O141" s="71">
        <v>0</v>
      </c>
      <c r="P141" s="71">
        <v>0</v>
      </c>
      <c r="R141" s="101">
        <f t="shared" si="38"/>
        <v>21814518</v>
      </c>
      <c r="S141" s="101">
        <f t="shared" si="39"/>
        <v>0</v>
      </c>
      <c r="U141" s="85">
        <v>0</v>
      </c>
      <c r="V141" s="85">
        <v>0</v>
      </c>
      <c r="AE141" s="91"/>
      <c r="AF141" s="91"/>
    </row>
    <row r="142" spans="1:32" s="16" customFormat="1">
      <c r="A142" s="96"/>
      <c r="B142" s="13" t="s">
        <v>188</v>
      </c>
      <c r="C142" s="41">
        <v>2021</v>
      </c>
      <c r="D142" s="13">
        <v>120</v>
      </c>
      <c r="E142" s="13" t="s">
        <v>3395</v>
      </c>
      <c r="F142" s="108">
        <v>829352373</v>
      </c>
      <c r="G142" s="106">
        <v>0</v>
      </c>
      <c r="H142" s="107">
        <f t="shared" si="35"/>
        <v>0</v>
      </c>
      <c r="I142" s="109" t="s">
        <v>64</v>
      </c>
      <c r="J142" s="100">
        <v>0</v>
      </c>
      <c r="K142" s="71">
        <v>0</v>
      </c>
      <c r="L142" s="71">
        <v>0</v>
      </c>
      <c r="M142" s="71">
        <v>0</v>
      </c>
      <c r="N142" s="71">
        <v>0</v>
      </c>
      <c r="O142" s="71">
        <v>0</v>
      </c>
      <c r="P142" s="71">
        <v>0</v>
      </c>
      <c r="R142" s="101">
        <f t="shared" si="38"/>
        <v>829352373</v>
      </c>
      <c r="S142" s="101">
        <f t="shared" si="39"/>
        <v>0</v>
      </c>
      <c r="U142" s="85">
        <v>0</v>
      </c>
      <c r="V142" s="85">
        <v>0</v>
      </c>
      <c r="AE142" s="91"/>
      <c r="AF142" s="91"/>
    </row>
    <row r="143" spans="1:32" s="16" customFormat="1">
      <c r="A143" s="96"/>
      <c r="B143" s="13" t="s">
        <v>188</v>
      </c>
      <c r="C143" s="41">
        <v>2021</v>
      </c>
      <c r="D143" s="13">
        <v>122</v>
      </c>
      <c r="E143" s="13" t="s">
        <v>3000</v>
      </c>
      <c r="F143" s="108">
        <v>766260000</v>
      </c>
      <c r="G143" s="106">
        <v>0</v>
      </c>
      <c r="H143" s="107">
        <f t="shared" si="35"/>
        <v>0</v>
      </c>
      <c r="I143" s="109" t="s">
        <v>64</v>
      </c>
      <c r="J143" s="100">
        <v>0</v>
      </c>
      <c r="K143" s="71">
        <v>0</v>
      </c>
      <c r="L143" s="71">
        <v>0</v>
      </c>
      <c r="M143" s="71">
        <v>0</v>
      </c>
      <c r="N143" s="71">
        <v>0</v>
      </c>
      <c r="O143" s="71">
        <v>0</v>
      </c>
      <c r="P143" s="71">
        <v>0</v>
      </c>
      <c r="R143" s="101">
        <f t="shared" si="33"/>
        <v>766260000</v>
      </c>
      <c r="S143" s="101">
        <f t="shared" si="34"/>
        <v>0</v>
      </c>
      <c r="U143" s="85">
        <v>0</v>
      </c>
      <c r="V143" s="85">
        <v>0</v>
      </c>
      <c r="AE143" s="91"/>
      <c r="AF143" s="91"/>
    </row>
    <row r="144" spans="1:32" s="16" customFormat="1">
      <c r="A144" s="96"/>
      <c r="B144" s="13" t="s">
        <v>188</v>
      </c>
      <c r="C144" s="41">
        <v>2021</v>
      </c>
      <c r="D144" s="13">
        <v>123</v>
      </c>
      <c r="E144" s="13" t="s">
        <v>4137</v>
      </c>
      <c r="F144" s="108">
        <v>362879000</v>
      </c>
      <c r="G144" s="106">
        <v>0</v>
      </c>
      <c r="H144" s="107">
        <f t="shared" si="35"/>
        <v>0</v>
      </c>
      <c r="I144" s="109" t="s">
        <v>64</v>
      </c>
      <c r="J144" s="100">
        <v>0</v>
      </c>
      <c r="K144" s="71">
        <v>0</v>
      </c>
      <c r="L144" s="71">
        <v>0</v>
      </c>
      <c r="M144" s="71">
        <v>0</v>
      </c>
      <c r="N144" s="71">
        <v>0</v>
      </c>
      <c r="O144" s="71">
        <v>0</v>
      </c>
      <c r="P144" s="71">
        <v>0</v>
      </c>
      <c r="R144" s="101">
        <f t="shared" si="33"/>
        <v>362879000</v>
      </c>
      <c r="S144" s="101">
        <f t="shared" si="34"/>
        <v>0</v>
      </c>
      <c r="U144" s="85">
        <v>0</v>
      </c>
      <c r="V144" s="85">
        <v>0</v>
      </c>
      <c r="AE144" s="91"/>
      <c r="AF144" s="91"/>
    </row>
    <row r="145" spans="1:32" s="16" customFormat="1">
      <c r="A145" s="96"/>
      <c r="B145" s="13" t="s">
        <v>188</v>
      </c>
      <c r="C145" s="41">
        <v>2021</v>
      </c>
      <c r="D145" s="13">
        <v>124</v>
      </c>
      <c r="E145" s="13" t="s">
        <v>4144</v>
      </c>
      <c r="F145" s="108">
        <v>117823750</v>
      </c>
      <c r="G145" s="106">
        <v>0</v>
      </c>
      <c r="H145" s="107">
        <f t="shared" si="35"/>
        <v>0</v>
      </c>
      <c r="I145" s="109" t="s">
        <v>64</v>
      </c>
      <c r="J145" s="100">
        <v>0</v>
      </c>
      <c r="K145" s="71">
        <v>0</v>
      </c>
      <c r="L145" s="71">
        <v>0</v>
      </c>
      <c r="M145" s="71">
        <v>0</v>
      </c>
      <c r="N145" s="71">
        <v>0</v>
      </c>
      <c r="O145" s="71">
        <v>0</v>
      </c>
      <c r="P145" s="71">
        <v>0</v>
      </c>
      <c r="R145" s="101">
        <f t="shared" si="33"/>
        <v>117823750</v>
      </c>
      <c r="S145" s="101">
        <f t="shared" si="34"/>
        <v>0</v>
      </c>
      <c r="U145" s="85">
        <v>0</v>
      </c>
      <c r="V145" s="85">
        <v>0</v>
      </c>
      <c r="AE145" s="91"/>
      <c r="AF145" s="91"/>
    </row>
    <row r="146" spans="1:32" s="16" customFormat="1">
      <c r="A146" s="96"/>
      <c r="B146" s="13" t="s">
        <v>188</v>
      </c>
      <c r="C146" s="41">
        <v>2021</v>
      </c>
      <c r="D146" s="13">
        <v>125</v>
      </c>
      <c r="E146" s="13" t="s">
        <v>2996</v>
      </c>
      <c r="F146" s="108">
        <v>5249999.7</v>
      </c>
      <c r="G146" s="106">
        <v>0</v>
      </c>
      <c r="H146" s="107">
        <f t="shared" si="35"/>
        <v>0</v>
      </c>
      <c r="I146" s="109" t="s">
        <v>64</v>
      </c>
      <c r="J146" s="100">
        <v>0</v>
      </c>
      <c r="K146" s="71">
        <v>0</v>
      </c>
      <c r="L146" s="71">
        <v>0</v>
      </c>
      <c r="M146" s="71">
        <v>0</v>
      </c>
      <c r="N146" s="71">
        <v>0</v>
      </c>
      <c r="O146" s="71">
        <v>0</v>
      </c>
      <c r="P146" s="71">
        <v>0</v>
      </c>
      <c r="R146" s="101">
        <f t="shared" si="33"/>
        <v>5249999.7</v>
      </c>
      <c r="S146" s="101">
        <f t="shared" si="34"/>
        <v>0</v>
      </c>
      <c r="U146" s="85">
        <v>0</v>
      </c>
      <c r="V146" s="85">
        <v>0</v>
      </c>
      <c r="AE146" s="91"/>
      <c r="AF146" s="91"/>
    </row>
    <row r="147" spans="1:32" s="16" customFormat="1">
      <c r="A147" s="96"/>
      <c r="B147" s="13" t="s">
        <v>188</v>
      </c>
      <c r="C147" s="41">
        <v>2021</v>
      </c>
      <c r="D147" s="13">
        <v>126</v>
      </c>
      <c r="E147" s="13" t="s">
        <v>3044</v>
      </c>
      <c r="F147" s="108">
        <v>757500</v>
      </c>
      <c r="G147" s="106">
        <v>0</v>
      </c>
      <c r="H147" s="107">
        <f t="shared" si="35"/>
        <v>0</v>
      </c>
      <c r="I147" s="109" t="s">
        <v>64</v>
      </c>
      <c r="J147" s="100">
        <v>0</v>
      </c>
      <c r="K147" s="71">
        <v>0</v>
      </c>
      <c r="L147" s="71">
        <v>0</v>
      </c>
      <c r="M147" s="71">
        <v>0</v>
      </c>
      <c r="N147" s="71">
        <v>0</v>
      </c>
      <c r="O147" s="71">
        <v>0</v>
      </c>
      <c r="P147" s="71">
        <v>0</v>
      </c>
      <c r="R147" s="101">
        <f t="shared" si="33"/>
        <v>757500</v>
      </c>
      <c r="S147" s="101">
        <f t="shared" si="34"/>
        <v>0</v>
      </c>
      <c r="U147" s="85">
        <v>0</v>
      </c>
      <c r="V147" s="85">
        <v>0</v>
      </c>
      <c r="AE147" s="91"/>
      <c r="AF147" s="91"/>
    </row>
    <row r="148" spans="1:32" s="16" customFormat="1">
      <c r="A148" s="96"/>
      <c r="B148" s="13" t="s">
        <v>188</v>
      </c>
      <c r="C148" s="41">
        <v>2021</v>
      </c>
      <c r="D148" s="13">
        <v>128</v>
      </c>
      <c r="E148" s="13" t="s">
        <v>3391</v>
      </c>
      <c r="F148" s="108">
        <v>174845000</v>
      </c>
      <c r="G148" s="106">
        <v>0</v>
      </c>
      <c r="H148" s="107">
        <f t="shared" si="35"/>
        <v>0</v>
      </c>
      <c r="I148" s="109" t="s">
        <v>64</v>
      </c>
      <c r="J148" s="100">
        <v>0</v>
      </c>
      <c r="K148" s="71">
        <v>0</v>
      </c>
      <c r="L148" s="71">
        <v>0</v>
      </c>
      <c r="M148" s="71">
        <v>0</v>
      </c>
      <c r="N148" s="71">
        <v>0</v>
      </c>
      <c r="O148" s="71">
        <v>0</v>
      </c>
      <c r="P148" s="71">
        <v>0</v>
      </c>
      <c r="R148" s="101">
        <f t="shared" si="33"/>
        <v>174845000</v>
      </c>
      <c r="S148" s="101">
        <f t="shared" si="34"/>
        <v>0</v>
      </c>
      <c r="U148" s="85">
        <v>0</v>
      </c>
      <c r="V148" s="85">
        <v>0</v>
      </c>
      <c r="AE148" s="91"/>
      <c r="AF148" s="91"/>
    </row>
    <row r="149" spans="1:32" s="16" customFormat="1">
      <c r="A149" s="96"/>
      <c r="B149" s="13" t="s">
        <v>188</v>
      </c>
      <c r="C149" s="41">
        <v>2021</v>
      </c>
      <c r="D149" s="13">
        <v>129</v>
      </c>
      <c r="E149" s="13" t="s">
        <v>3391</v>
      </c>
      <c r="F149" s="108">
        <v>32065000</v>
      </c>
      <c r="G149" s="106">
        <v>0</v>
      </c>
      <c r="H149" s="107">
        <f t="shared" si="35"/>
        <v>0</v>
      </c>
      <c r="I149" s="109" t="s">
        <v>64</v>
      </c>
      <c r="J149" s="100">
        <v>0</v>
      </c>
      <c r="K149" s="71">
        <v>0</v>
      </c>
      <c r="L149" s="71">
        <v>0</v>
      </c>
      <c r="M149" s="71">
        <v>0</v>
      </c>
      <c r="N149" s="71">
        <v>0</v>
      </c>
      <c r="O149" s="71">
        <v>0</v>
      </c>
      <c r="P149" s="71">
        <v>0</v>
      </c>
      <c r="R149" s="101">
        <f t="shared" si="33"/>
        <v>32065000</v>
      </c>
      <c r="S149" s="101">
        <f t="shared" si="34"/>
        <v>0</v>
      </c>
      <c r="U149" s="85">
        <v>0</v>
      </c>
      <c r="V149" s="85">
        <v>0</v>
      </c>
      <c r="AE149" s="91"/>
      <c r="AF149" s="91"/>
    </row>
    <row r="150" spans="1:32" s="16" customFormat="1">
      <c r="A150" s="96"/>
      <c r="B150" s="13" t="s">
        <v>188</v>
      </c>
      <c r="C150" s="41">
        <v>2021</v>
      </c>
      <c r="D150" s="13">
        <v>130</v>
      </c>
      <c r="E150" s="13" t="s">
        <v>2994</v>
      </c>
      <c r="F150" s="108">
        <v>2323000</v>
      </c>
      <c r="G150" s="106">
        <v>0</v>
      </c>
      <c r="H150" s="107">
        <f t="shared" si="35"/>
        <v>0</v>
      </c>
      <c r="I150" s="109" t="s">
        <v>64</v>
      </c>
      <c r="J150" s="100">
        <v>0</v>
      </c>
      <c r="K150" s="71">
        <v>0</v>
      </c>
      <c r="L150" s="71">
        <v>0</v>
      </c>
      <c r="M150" s="71">
        <v>0</v>
      </c>
      <c r="N150" s="71">
        <v>0</v>
      </c>
      <c r="O150" s="71">
        <v>0</v>
      </c>
      <c r="P150" s="71">
        <v>0</v>
      </c>
      <c r="R150" s="101">
        <f t="shared" si="33"/>
        <v>2323000</v>
      </c>
      <c r="S150" s="101">
        <f t="shared" si="34"/>
        <v>0</v>
      </c>
      <c r="U150" s="85">
        <v>0</v>
      </c>
      <c r="V150" s="85">
        <v>0</v>
      </c>
      <c r="AE150" s="91"/>
      <c r="AF150" s="91"/>
    </row>
    <row r="151" spans="1:32" s="16" customFormat="1">
      <c r="A151" s="96"/>
      <c r="B151" s="13" t="s">
        <v>188</v>
      </c>
      <c r="C151" s="41">
        <v>2021</v>
      </c>
      <c r="D151" s="13">
        <v>131</v>
      </c>
      <c r="E151" s="13" t="s">
        <v>3000</v>
      </c>
      <c r="F151" s="108">
        <v>143271517</v>
      </c>
      <c r="G151" s="106">
        <v>0</v>
      </c>
      <c r="H151" s="107">
        <f t="shared" si="35"/>
        <v>0</v>
      </c>
      <c r="I151" s="109" t="s">
        <v>64</v>
      </c>
      <c r="J151" s="100">
        <v>0</v>
      </c>
      <c r="K151" s="71">
        <v>0</v>
      </c>
      <c r="L151" s="71">
        <v>0</v>
      </c>
      <c r="M151" s="71">
        <v>0</v>
      </c>
      <c r="N151" s="71">
        <v>0</v>
      </c>
      <c r="O151" s="71">
        <v>0</v>
      </c>
      <c r="P151" s="71">
        <v>0</v>
      </c>
      <c r="R151" s="101">
        <f t="shared" si="33"/>
        <v>143271517</v>
      </c>
      <c r="S151" s="101">
        <f t="shared" si="34"/>
        <v>0</v>
      </c>
      <c r="U151" s="85">
        <v>0</v>
      </c>
      <c r="V151" s="85">
        <v>0</v>
      </c>
      <c r="AE151" s="91"/>
      <c r="AF151" s="91"/>
    </row>
    <row r="152" spans="1:32" s="16" customFormat="1">
      <c r="A152" s="96"/>
      <c r="B152" s="13" t="s">
        <v>188</v>
      </c>
      <c r="C152" s="41">
        <v>2021</v>
      </c>
      <c r="D152" s="13">
        <v>132</v>
      </c>
      <c r="E152" s="13" t="s">
        <v>5191</v>
      </c>
      <c r="F152" s="108">
        <v>0</v>
      </c>
      <c r="G152" s="106">
        <v>0</v>
      </c>
      <c r="H152" s="107">
        <f t="shared" si="35"/>
        <v>0</v>
      </c>
      <c r="I152" s="109" t="s">
        <v>64</v>
      </c>
      <c r="J152" s="100">
        <v>0</v>
      </c>
      <c r="K152" s="71">
        <v>0</v>
      </c>
      <c r="L152" s="71">
        <v>0</v>
      </c>
      <c r="M152" s="71">
        <v>0</v>
      </c>
      <c r="N152" s="71">
        <v>0</v>
      </c>
      <c r="O152" s="71">
        <v>0</v>
      </c>
      <c r="P152" s="71">
        <v>0</v>
      </c>
      <c r="R152" s="101">
        <f t="shared" si="33"/>
        <v>0</v>
      </c>
      <c r="S152" s="101">
        <f t="shared" si="34"/>
        <v>0</v>
      </c>
      <c r="U152" s="85">
        <v>0</v>
      </c>
      <c r="V152" s="85">
        <v>0</v>
      </c>
      <c r="AE152" s="91"/>
      <c r="AF152" s="91"/>
    </row>
    <row r="153" spans="1:32" s="16" customFormat="1">
      <c r="A153" s="96"/>
      <c r="B153" s="13" t="s">
        <v>188</v>
      </c>
      <c r="C153" s="41">
        <v>2021</v>
      </c>
      <c r="D153" s="13">
        <v>133</v>
      </c>
      <c r="E153" s="13" t="s">
        <v>5193</v>
      </c>
      <c r="F153" s="108">
        <v>79454800</v>
      </c>
      <c r="G153" s="106">
        <v>0</v>
      </c>
      <c r="H153" s="107">
        <f t="shared" si="35"/>
        <v>0</v>
      </c>
      <c r="I153" s="109" t="s">
        <v>64</v>
      </c>
      <c r="J153" s="100">
        <v>0</v>
      </c>
      <c r="K153" s="71">
        <v>0</v>
      </c>
      <c r="L153" s="71">
        <v>0</v>
      </c>
      <c r="M153" s="71">
        <v>0</v>
      </c>
      <c r="N153" s="71">
        <v>0</v>
      </c>
      <c r="O153" s="71">
        <v>0</v>
      </c>
      <c r="P153" s="71">
        <v>0</v>
      </c>
      <c r="R153" s="101">
        <f t="shared" ref="R153:R157" si="42">F153-J153-K153-L153-M153-N153</f>
        <v>79454800</v>
      </c>
      <c r="S153" s="101">
        <f t="shared" ref="S153:S157" si="43">H153-O153-P153</f>
        <v>0</v>
      </c>
      <c r="U153" s="85">
        <v>0</v>
      </c>
      <c r="V153" s="85">
        <v>0</v>
      </c>
      <c r="AE153" s="91"/>
      <c r="AF153" s="91"/>
    </row>
    <row r="154" spans="1:32" s="16" customFormat="1">
      <c r="A154" s="96"/>
      <c r="B154" s="13" t="s">
        <v>188</v>
      </c>
      <c r="C154" s="41">
        <v>2021</v>
      </c>
      <c r="D154" s="13">
        <v>134</v>
      </c>
      <c r="E154" s="13" t="s">
        <v>3000</v>
      </c>
      <c r="F154" s="108">
        <v>49450000</v>
      </c>
      <c r="G154" s="106">
        <v>0</v>
      </c>
      <c r="H154" s="107">
        <f t="shared" si="35"/>
        <v>0</v>
      </c>
      <c r="I154" s="109" t="s">
        <v>64</v>
      </c>
      <c r="J154" s="100">
        <v>0</v>
      </c>
      <c r="K154" s="71">
        <v>0</v>
      </c>
      <c r="L154" s="71">
        <v>0</v>
      </c>
      <c r="M154" s="71">
        <v>0</v>
      </c>
      <c r="N154" s="71">
        <v>0</v>
      </c>
      <c r="O154" s="71">
        <v>0</v>
      </c>
      <c r="P154" s="71">
        <v>0</v>
      </c>
      <c r="R154" s="101">
        <f t="shared" si="42"/>
        <v>49450000</v>
      </c>
      <c r="S154" s="101">
        <f t="shared" si="43"/>
        <v>0</v>
      </c>
      <c r="U154" s="85">
        <v>0</v>
      </c>
      <c r="V154" s="85">
        <v>0</v>
      </c>
      <c r="AE154" s="91"/>
      <c r="AF154" s="91"/>
    </row>
    <row r="155" spans="1:32" s="16" customFormat="1">
      <c r="A155" s="96"/>
      <c r="B155" s="13" t="s">
        <v>188</v>
      </c>
      <c r="C155" s="41">
        <v>2021</v>
      </c>
      <c r="D155" s="13">
        <v>135</v>
      </c>
      <c r="E155" s="13" t="s">
        <v>3000</v>
      </c>
      <c r="F155" s="170">
        <v>28112156</v>
      </c>
      <c r="G155" s="106">
        <v>0</v>
      </c>
      <c r="H155" s="107">
        <f t="shared" si="35"/>
        <v>0</v>
      </c>
      <c r="I155" s="109" t="s">
        <v>64</v>
      </c>
      <c r="J155" s="100">
        <v>0</v>
      </c>
      <c r="K155" s="71">
        <v>0</v>
      </c>
      <c r="L155" s="71">
        <v>0</v>
      </c>
      <c r="M155" s="71">
        <v>0</v>
      </c>
      <c r="N155" s="71">
        <v>0</v>
      </c>
      <c r="O155" s="71">
        <v>0</v>
      </c>
      <c r="P155" s="71">
        <v>0</v>
      </c>
      <c r="R155" s="101">
        <f t="shared" si="42"/>
        <v>28112156</v>
      </c>
      <c r="S155" s="101">
        <f t="shared" si="43"/>
        <v>0</v>
      </c>
      <c r="U155" s="85">
        <v>0</v>
      </c>
      <c r="V155" s="85">
        <v>0</v>
      </c>
      <c r="AE155" s="91"/>
      <c r="AF155" s="91"/>
    </row>
    <row r="156" spans="1:32" s="16" customFormat="1">
      <c r="A156" s="96"/>
      <c r="B156" s="13" t="s">
        <v>188</v>
      </c>
      <c r="C156" s="41">
        <v>2021</v>
      </c>
      <c r="D156" s="13">
        <v>136</v>
      </c>
      <c r="E156" s="13" t="s">
        <v>3391</v>
      </c>
      <c r="F156" s="108">
        <v>14520000</v>
      </c>
      <c r="G156" s="106">
        <v>0</v>
      </c>
      <c r="H156" s="107">
        <f t="shared" si="35"/>
        <v>0</v>
      </c>
      <c r="I156" s="109" t="s">
        <v>64</v>
      </c>
      <c r="J156" s="100">
        <v>0</v>
      </c>
      <c r="K156" s="71">
        <v>0</v>
      </c>
      <c r="L156" s="71">
        <v>0</v>
      </c>
      <c r="M156" s="71">
        <v>0</v>
      </c>
      <c r="N156" s="71">
        <v>0</v>
      </c>
      <c r="O156" s="71">
        <v>0</v>
      </c>
      <c r="P156" s="71">
        <v>0</v>
      </c>
      <c r="R156" s="101">
        <f t="shared" si="42"/>
        <v>14520000</v>
      </c>
      <c r="S156" s="101">
        <f t="shared" si="43"/>
        <v>0</v>
      </c>
      <c r="U156" s="85">
        <v>0</v>
      </c>
      <c r="V156" s="85">
        <v>0</v>
      </c>
      <c r="AE156" s="91"/>
      <c r="AF156" s="91"/>
    </row>
    <row r="157" spans="1:32" s="16" customFormat="1">
      <c r="A157" s="96"/>
      <c r="B157" s="13" t="s">
        <v>188</v>
      </c>
      <c r="C157" s="41">
        <v>2021</v>
      </c>
      <c r="D157" s="13">
        <v>138</v>
      </c>
      <c r="E157" s="13" t="s">
        <v>2991</v>
      </c>
      <c r="F157" s="108">
        <v>13090909</v>
      </c>
      <c r="G157" s="106">
        <v>0</v>
      </c>
      <c r="H157" s="107">
        <f t="shared" si="35"/>
        <v>0</v>
      </c>
      <c r="I157" s="109" t="s">
        <v>64</v>
      </c>
      <c r="J157" s="100">
        <v>0</v>
      </c>
      <c r="K157" s="71">
        <v>0</v>
      </c>
      <c r="L157" s="71">
        <v>0</v>
      </c>
      <c r="M157" s="71">
        <v>0</v>
      </c>
      <c r="N157" s="71">
        <v>0</v>
      </c>
      <c r="O157" s="71">
        <v>0</v>
      </c>
      <c r="P157" s="71">
        <v>0</v>
      </c>
      <c r="R157" s="101">
        <f t="shared" si="42"/>
        <v>13090909</v>
      </c>
      <c r="S157" s="101">
        <f t="shared" si="43"/>
        <v>0</v>
      </c>
      <c r="U157" s="85">
        <v>0</v>
      </c>
      <c r="V157" s="85">
        <v>0</v>
      </c>
      <c r="AE157" s="91"/>
      <c r="AF157" s="91"/>
    </row>
    <row r="158" spans="1:32" s="16" customFormat="1">
      <c r="A158" s="96"/>
      <c r="B158" s="13" t="s">
        <v>188</v>
      </c>
      <c r="C158" s="41">
        <v>2021</v>
      </c>
      <c r="D158" s="13">
        <v>139</v>
      </c>
      <c r="E158" s="13" t="s">
        <v>3395</v>
      </c>
      <c r="F158" s="108">
        <v>25000000</v>
      </c>
      <c r="G158" s="106">
        <v>0</v>
      </c>
      <c r="H158" s="107">
        <f t="shared" si="35"/>
        <v>0</v>
      </c>
      <c r="I158" s="109" t="s">
        <v>64</v>
      </c>
      <c r="J158" s="100">
        <v>0</v>
      </c>
      <c r="K158" s="71">
        <v>0</v>
      </c>
      <c r="L158" s="71">
        <v>0</v>
      </c>
      <c r="M158" s="71">
        <v>0</v>
      </c>
      <c r="N158" s="71">
        <v>0</v>
      </c>
      <c r="O158" s="71">
        <v>0</v>
      </c>
      <c r="P158" s="71">
        <v>0</v>
      </c>
      <c r="R158" s="101">
        <f t="shared" si="33"/>
        <v>25000000</v>
      </c>
      <c r="S158" s="101">
        <f t="shared" si="34"/>
        <v>0</v>
      </c>
      <c r="U158" s="85">
        <v>0</v>
      </c>
      <c r="V158" s="85">
        <v>0</v>
      </c>
      <c r="AE158" s="91"/>
      <c r="AF158" s="91"/>
    </row>
    <row r="159" spans="1:32" s="16" customFormat="1">
      <c r="A159" s="96"/>
      <c r="B159" s="41"/>
      <c r="C159" s="41"/>
      <c r="E159" s="41"/>
      <c r="F159" s="106"/>
      <c r="G159" s="106"/>
      <c r="H159" s="99"/>
      <c r="I159" s="99"/>
      <c r="J159" s="99"/>
      <c r="L159" s="110"/>
      <c r="M159" s="110"/>
      <c r="U159" s="111"/>
      <c r="V159" s="111"/>
      <c r="W159" s="62"/>
      <c r="AE159" s="91"/>
      <c r="AF159" s="91"/>
    </row>
    <row r="160" spans="1:32" s="16" customFormat="1">
      <c r="A160" s="96"/>
      <c r="B160" s="41"/>
      <c r="C160" s="41"/>
      <c r="E160" s="41"/>
      <c r="F160" s="106">
        <f>SUBTOTAL(9,F5:F159)</f>
        <v>16268182654.75</v>
      </c>
      <c r="G160" s="106">
        <f>SUBTOTAL(9,G5:G159)</f>
        <v>128.69</v>
      </c>
      <c r="H160" s="106">
        <f>SUBTOTAL(9,H5:H159)</f>
        <v>1866005</v>
      </c>
      <c r="I160" s="99"/>
      <c r="J160" s="106">
        <f t="shared" ref="J160:P160" si="44">SUBTOTAL(9,J5:J159)</f>
        <v>916924111</v>
      </c>
      <c r="K160" s="106">
        <f t="shared" si="44"/>
        <v>1581834193</v>
      </c>
      <c r="L160" s="106">
        <f t="shared" si="44"/>
        <v>1238298063.7200003</v>
      </c>
      <c r="M160" s="106">
        <f t="shared" si="44"/>
        <v>0</v>
      </c>
      <c r="N160" s="106">
        <f t="shared" si="44"/>
        <v>-255611464.00999999</v>
      </c>
      <c r="O160" s="106">
        <f t="shared" si="44"/>
        <v>0</v>
      </c>
      <c r="P160" s="106">
        <f t="shared" si="44"/>
        <v>0</v>
      </c>
      <c r="R160" s="68">
        <f>SUBTOTAL(9,R5:R159)</f>
        <v>12788603756.040001</v>
      </c>
      <c r="S160" s="112">
        <f>SUBTOTAL(9,S5:S159)</f>
        <v>0</v>
      </c>
      <c r="U160" s="85">
        <f>SUBTOTAL(9,U5:U159)</f>
        <v>0</v>
      </c>
      <c r="V160" s="85">
        <f>SUBTOTAL(9,V5:V159)</f>
        <v>0</v>
      </c>
      <c r="AE160" s="91"/>
      <c r="AF160" s="91"/>
    </row>
    <row r="162" spans="1:32" s="16" customFormat="1">
      <c r="A162" s="96"/>
      <c r="B162" s="41"/>
      <c r="C162" s="41"/>
      <c r="E162" s="113">
        <v>14500</v>
      </c>
      <c r="F162" s="106">
        <f>F160+(G160*E162)</f>
        <v>16270048659.75</v>
      </c>
      <c r="G162" s="106"/>
      <c r="H162" s="99"/>
      <c r="I162" s="99"/>
      <c r="J162" s="106" t="s">
        <v>64</v>
      </c>
      <c r="K162" s="85" t="s">
        <v>64</v>
      </c>
      <c r="L162" s="101" t="s">
        <v>64</v>
      </c>
      <c r="M162" s="114" t="s">
        <v>64</v>
      </c>
      <c r="N162" s="70" t="s">
        <v>64</v>
      </c>
      <c r="O162" s="101"/>
      <c r="P162" s="101" t="s">
        <v>64</v>
      </c>
      <c r="Q162" s="101"/>
      <c r="R162" s="106">
        <f>R160+(S160*E162)</f>
        <v>12788603756.040001</v>
      </c>
      <c r="U162" s="106">
        <f>U160+(V160*E162)</f>
        <v>0</v>
      </c>
      <c r="V162" s="85"/>
      <c r="AE162" s="91"/>
      <c r="AF162" s="91"/>
    </row>
    <row r="163" spans="1:32" s="16" customFormat="1">
      <c r="A163" s="96"/>
      <c r="B163" s="41"/>
      <c r="C163" s="41"/>
      <c r="E163" s="41"/>
      <c r="F163" s="106"/>
      <c r="G163" s="106"/>
      <c r="H163" s="99"/>
      <c r="I163" s="99"/>
      <c r="J163" s="115" t="s">
        <v>64</v>
      </c>
      <c r="K163" s="113" t="s">
        <v>64</v>
      </c>
      <c r="L163" s="115" t="s">
        <v>64</v>
      </c>
      <c r="M163" s="106" t="s">
        <v>64</v>
      </c>
      <c r="N163" s="113" t="s">
        <v>64</v>
      </c>
      <c r="O163" s="115" t="s">
        <v>64</v>
      </c>
      <c r="P163" s="115" t="s">
        <v>64</v>
      </c>
      <c r="U163" s="85"/>
      <c r="V163" s="85"/>
      <c r="AE163" s="91"/>
      <c r="AF163" s="91"/>
    </row>
    <row r="164" spans="1:32" s="16" customFormat="1">
      <c r="A164" s="96"/>
      <c r="B164" s="41"/>
      <c r="C164" s="41"/>
      <c r="E164" s="41"/>
      <c r="F164" s="106"/>
      <c r="G164" s="106"/>
      <c r="H164" s="99"/>
      <c r="I164" s="99"/>
      <c r="J164" s="99"/>
      <c r="M164" s="110"/>
      <c r="N164" s="66" t="s">
        <v>64</v>
      </c>
      <c r="R164" s="85" t="s">
        <v>64</v>
      </c>
      <c r="U164" s="85"/>
      <c r="V164" s="85"/>
      <c r="AE164" s="91"/>
      <c r="AF164" s="91"/>
    </row>
    <row r="165" spans="1:32" s="16" customFormat="1">
      <c r="A165" s="96"/>
      <c r="B165" s="41"/>
      <c r="C165" s="41"/>
      <c r="E165" s="41"/>
      <c r="F165" s="106"/>
      <c r="G165" s="106"/>
      <c r="H165" s="99"/>
      <c r="I165" s="99"/>
      <c r="J165" s="99"/>
      <c r="M165" s="110"/>
      <c r="R165" s="85" t="s">
        <v>64</v>
      </c>
      <c r="U165" s="85"/>
      <c r="V165" s="85"/>
      <c r="AE165" s="91"/>
      <c r="AF165" s="91"/>
    </row>
    <row r="1444" spans="1:32" s="123" customFormat="1">
      <c r="A1444" s="116"/>
      <c r="B1444" s="117"/>
      <c r="C1444" s="117"/>
      <c r="D1444" s="58"/>
      <c r="E1444" s="117"/>
      <c r="F1444" s="118"/>
      <c r="G1444" s="118"/>
      <c r="H1444" s="119"/>
      <c r="I1444" s="119"/>
      <c r="J1444" s="119"/>
      <c r="K1444" s="58"/>
      <c r="L1444" s="58"/>
      <c r="M1444" s="120"/>
      <c r="N1444" s="58"/>
      <c r="O1444" s="58"/>
      <c r="P1444" s="58"/>
      <c r="Q1444" s="58"/>
      <c r="R1444" s="58"/>
      <c r="S1444" s="58"/>
      <c r="T1444" s="58"/>
      <c r="U1444" s="121"/>
      <c r="V1444" s="121"/>
      <c r="W1444" s="58"/>
      <c r="X1444" s="58"/>
      <c r="Y1444" s="58"/>
      <c r="Z1444" s="58"/>
      <c r="AA1444" s="58"/>
      <c r="AB1444" s="58"/>
      <c r="AC1444" s="58"/>
      <c r="AD1444" s="58"/>
      <c r="AE1444" s="122"/>
      <c r="AF1444" s="122"/>
    </row>
    <row r="1448" spans="1:32" s="123" customFormat="1">
      <c r="A1448" s="116"/>
      <c r="B1448" s="117"/>
      <c r="C1448" s="117"/>
      <c r="D1448" s="58"/>
      <c r="E1448" s="117"/>
      <c r="F1448" s="118"/>
      <c r="G1448" s="118"/>
      <c r="H1448" s="119"/>
      <c r="I1448" s="119"/>
      <c r="J1448" s="119"/>
      <c r="K1448" s="58"/>
      <c r="L1448" s="58"/>
      <c r="M1448" s="120"/>
      <c r="N1448" s="58"/>
      <c r="O1448" s="58"/>
      <c r="P1448" s="58"/>
      <c r="Q1448" s="58"/>
      <c r="R1448" s="58"/>
      <c r="S1448" s="58"/>
      <c r="T1448" s="58"/>
      <c r="U1448" s="121"/>
      <c r="V1448" s="121"/>
      <c r="W1448" s="58"/>
      <c r="X1448" s="58"/>
      <c r="Y1448" s="58"/>
      <c r="Z1448" s="58"/>
      <c r="AA1448" s="58"/>
      <c r="AB1448" s="58"/>
      <c r="AC1448" s="58"/>
      <c r="AD1448" s="58"/>
      <c r="AE1448" s="122"/>
      <c r="AF1448" s="122"/>
    </row>
    <row r="1457" spans="1:32" s="123" customFormat="1">
      <c r="A1457" s="116"/>
      <c r="B1457" s="117"/>
      <c r="C1457" s="117"/>
      <c r="D1457" s="58"/>
      <c r="E1457" s="117"/>
      <c r="F1457" s="118"/>
      <c r="G1457" s="118"/>
      <c r="H1457" s="119"/>
      <c r="I1457" s="119"/>
      <c r="J1457" s="119"/>
      <c r="K1457" s="58"/>
      <c r="L1457" s="58"/>
      <c r="M1457" s="120"/>
      <c r="N1457" s="58"/>
      <c r="O1457" s="58"/>
      <c r="P1457" s="58"/>
      <c r="Q1457" s="58"/>
      <c r="R1457" s="58"/>
      <c r="S1457" s="58"/>
      <c r="T1457" s="58"/>
      <c r="U1457" s="121"/>
      <c r="V1457" s="121"/>
      <c r="W1457" s="58"/>
      <c r="X1457" s="58"/>
      <c r="Y1457" s="58"/>
      <c r="Z1457" s="58"/>
      <c r="AA1457" s="58"/>
      <c r="AB1457" s="58"/>
      <c r="AC1457" s="58"/>
      <c r="AD1457" s="58"/>
      <c r="AE1457" s="122"/>
      <c r="AF1457" s="122"/>
    </row>
    <row r="1461" spans="1:32" s="123" customFormat="1">
      <c r="A1461" s="116"/>
      <c r="B1461" s="117"/>
      <c r="C1461" s="117"/>
      <c r="D1461" s="58"/>
      <c r="E1461" s="117"/>
      <c r="F1461" s="118"/>
      <c r="G1461" s="118"/>
      <c r="H1461" s="119"/>
      <c r="I1461" s="119"/>
      <c r="J1461" s="119"/>
      <c r="K1461" s="58"/>
      <c r="L1461" s="58"/>
      <c r="M1461" s="120"/>
      <c r="N1461" s="58"/>
      <c r="O1461" s="58"/>
      <c r="P1461" s="58"/>
      <c r="Q1461" s="58"/>
      <c r="R1461" s="58"/>
      <c r="S1461" s="58"/>
      <c r="T1461" s="58"/>
      <c r="U1461" s="121"/>
      <c r="V1461" s="121"/>
      <c r="W1461" s="58"/>
      <c r="X1461" s="58"/>
      <c r="Y1461" s="58"/>
      <c r="Z1461" s="58"/>
      <c r="AA1461" s="58"/>
      <c r="AB1461" s="58"/>
      <c r="AC1461" s="58"/>
      <c r="AD1461" s="58"/>
      <c r="AE1461" s="122"/>
      <c r="AF1461" s="122"/>
    </row>
    <row r="1465" spans="1:32" s="123" customFormat="1">
      <c r="A1465" s="116"/>
      <c r="B1465" s="117"/>
      <c r="C1465" s="117"/>
      <c r="D1465" s="58"/>
      <c r="E1465" s="117"/>
      <c r="F1465" s="118"/>
      <c r="G1465" s="118"/>
      <c r="H1465" s="119"/>
      <c r="I1465" s="119"/>
      <c r="J1465" s="119"/>
      <c r="K1465" s="58"/>
      <c r="L1465" s="58"/>
      <c r="M1465" s="120"/>
      <c r="N1465" s="58"/>
      <c r="O1465" s="58"/>
      <c r="P1465" s="58"/>
      <c r="Q1465" s="58"/>
      <c r="R1465" s="58"/>
      <c r="S1465" s="58"/>
      <c r="T1465" s="58"/>
      <c r="U1465" s="121"/>
      <c r="V1465" s="121"/>
      <c r="W1465" s="58"/>
      <c r="X1465" s="58"/>
      <c r="Y1465" s="58"/>
      <c r="Z1465" s="58"/>
      <c r="AA1465" s="58"/>
      <c r="AB1465" s="58"/>
      <c r="AC1465" s="58"/>
      <c r="AD1465" s="58"/>
      <c r="AE1465" s="122"/>
      <c r="AF1465" s="122"/>
    </row>
  </sheetData>
  <autoFilter ref="B4:W158" xr:uid="{00000000-0009-0000-0000-000009000000}"/>
  <mergeCells count="4">
    <mergeCell ref="F3:G3"/>
    <mergeCell ref="J3:P3"/>
    <mergeCell ref="R3:S3"/>
    <mergeCell ref="U3:V3"/>
  </mergeCells>
  <printOptions horizontalCentered="1"/>
  <pageMargins left="0.75000000000000011" right="0.75000000000000011" top="1" bottom="1" header="0.5" footer="0.5"/>
  <pageSetup scale="1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E7FA-965E-AB4D-905C-3F47EC8AAFF8}">
  <sheetPr>
    <pageSetUpPr fitToPage="1"/>
  </sheetPr>
  <dimension ref="A1:X545"/>
  <sheetViews>
    <sheetView zoomScale="98" zoomScaleNormal="98" workbookViewId="0">
      <selection activeCell="D262" sqref="D262"/>
    </sheetView>
  </sheetViews>
  <sheetFormatPr baseColWidth="10" defaultColWidth="9.1640625" defaultRowHeight="16"/>
  <cols>
    <col min="1" max="1" width="23" style="15" customWidth="1"/>
    <col min="2" max="2" width="11.1640625" style="15" customWidth="1"/>
    <col min="3" max="3" width="29.33203125" style="16" customWidth="1"/>
    <col min="4" max="4" width="67" style="16" customWidth="1"/>
    <col min="5" max="5" width="19.1640625" style="17" customWidth="1"/>
    <col min="6" max="6" width="12.6640625" style="18" customWidth="1"/>
    <col min="7" max="7" width="19.33203125" style="18" customWidth="1"/>
    <col min="8" max="8" width="24.6640625" style="16" customWidth="1"/>
    <col min="9" max="9" width="75.1640625" style="16" customWidth="1"/>
    <col min="10" max="10" width="2.83203125" style="19" customWidth="1"/>
    <col min="11" max="11" width="20.33203125" style="20" customWidth="1"/>
    <col min="12" max="12" width="20.83203125" style="20" customWidth="1"/>
    <col min="13" max="13" width="17" style="20" customWidth="1"/>
    <col min="14" max="14" width="19.33203125" style="20" customWidth="1"/>
    <col min="15" max="15" width="17" style="20" customWidth="1"/>
    <col min="16" max="16" width="19.6640625" style="20" customWidth="1"/>
    <col min="17" max="18" width="17" style="20" customWidth="1"/>
    <col min="19" max="19" width="1.83203125" style="20" customWidth="1"/>
    <col min="20" max="20" width="19.83203125" style="20" customWidth="1"/>
    <col min="21" max="21" width="18.83203125" style="20" customWidth="1"/>
    <col min="22" max="22" width="29.6640625" style="22" customWidth="1"/>
    <col min="23" max="23" width="19.1640625" style="21" customWidth="1"/>
    <col min="24" max="24" width="22.5" style="19" customWidth="1"/>
    <col min="25" max="16384" width="9.1640625" style="19"/>
  </cols>
  <sheetData>
    <row r="1" spans="1:24">
      <c r="E1" s="17">
        <v>570109297.56900001</v>
      </c>
      <c r="G1" s="18">
        <f>E534-E1</f>
        <v>12675005334.210999</v>
      </c>
    </row>
    <row r="2" spans="1:24">
      <c r="A2" s="23"/>
      <c r="B2" s="23"/>
      <c r="E2" s="24"/>
      <c r="K2" s="240" t="s">
        <v>420</v>
      </c>
      <c r="L2" s="240"/>
      <c r="M2" s="240"/>
      <c r="N2" s="240"/>
      <c r="O2" s="240"/>
      <c r="P2" s="240"/>
      <c r="Q2" s="240"/>
      <c r="R2" s="240"/>
      <c r="T2" s="240" t="s">
        <v>421</v>
      </c>
      <c r="U2" s="240"/>
    </row>
    <row r="3" spans="1:24" s="29" customFormat="1">
      <c r="A3" s="25" t="s">
        <v>422</v>
      </c>
      <c r="B3" s="25" t="s">
        <v>423</v>
      </c>
      <c r="C3" s="26" t="s">
        <v>424</v>
      </c>
      <c r="D3" s="26" t="s">
        <v>425</v>
      </c>
      <c r="E3" s="27" t="s">
        <v>426</v>
      </c>
      <c r="F3" s="28" t="s">
        <v>427</v>
      </c>
      <c r="G3" s="28">
        <v>14500</v>
      </c>
      <c r="H3" s="26"/>
      <c r="I3" s="26"/>
      <c r="K3" s="30" t="s">
        <v>0</v>
      </c>
      <c r="L3" s="30" t="s">
        <v>61</v>
      </c>
      <c r="M3" s="30" t="s">
        <v>1125</v>
      </c>
      <c r="N3" s="30" t="s">
        <v>428</v>
      </c>
      <c r="O3" s="30" t="s">
        <v>429</v>
      </c>
      <c r="P3" s="30" t="s">
        <v>430</v>
      </c>
      <c r="Q3" s="30" t="s">
        <v>431</v>
      </c>
      <c r="R3" s="30" t="s">
        <v>432</v>
      </c>
      <c r="S3" s="31"/>
      <c r="T3" s="30" t="s">
        <v>426</v>
      </c>
      <c r="U3" s="30" t="s">
        <v>427</v>
      </c>
      <c r="V3" s="32"/>
      <c r="W3" s="25" t="s">
        <v>5003</v>
      </c>
      <c r="X3" s="29" t="s">
        <v>5004</v>
      </c>
    </row>
    <row r="4" spans="1:24" s="34" customFormat="1" ht="15" customHeight="1">
      <c r="A4" s="33" t="s">
        <v>122</v>
      </c>
      <c r="B4" s="15" t="s">
        <v>64</v>
      </c>
      <c r="C4" s="16" t="s">
        <v>433</v>
      </c>
      <c r="D4" s="16" t="s">
        <v>434</v>
      </c>
      <c r="E4" s="17">
        <v>0</v>
      </c>
      <c r="F4" s="18">
        <v>0</v>
      </c>
      <c r="G4" s="18">
        <f t="shared" ref="G4:G35" si="0">(F4*$G$3)/$D$536</f>
        <v>0</v>
      </c>
      <c r="H4" s="16"/>
      <c r="I4" s="16"/>
      <c r="K4" s="20">
        <v>0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35"/>
      <c r="T4" s="20">
        <f>E4+K4+L4+M4+N4+O4+P4</f>
        <v>0</v>
      </c>
      <c r="U4" s="20">
        <f>G4+Q4+R4</f>
        <v>0</v>
      </c>
      <c r="V4" s="36"/>
      <c r="W4" s="36"/>
    </row>
    <row r="5" spans="1:24" s="34" customFormat="1" ht="15" customHeight="1">
      <c r="A5" s="33" t="s">
        <v>122</v>
      </c>
      <c r="B5" s="15" t="s">
        <v>64</v>
      </c>
      <c r="C5" s="16" t="s">
        <v>123</v>
      </c>
      <c r="D5" s="16" t="s">
        <v>434</v>
      </c>
      <c r="E5" s="17">
        <v>0</v>
      </c>
      <c r="F5" s="18">
        <v>0</v>
      </c>
      <c r="G5" s="18">
        <f t="shared" si="0"/>
        <v>0</v>
      </c>
      <c r="H5" s="16"/>
      <c r="I5" s="16"/>
      <c r="K5" s="20">
        <v>30400000</v>
      </c>
      <c r="L5" s="20">
        <v>92577735</v>
      </c>
      <c r="M5" s="20">
        <v>0</v>
      </c>
      <c r="N5" s="20">
        <v>0</v>
      </c>
      <c r="O5" s="20">
        <v>0</v>
      </c>
      <c r="P5" s="20">
        <v>153963300</v>
      </c>
      <c r="Q5" s="20">
        <v>0</v>
      </c>
      <c r="R5" s="20">
        <v>0</v>
      </c>
      <c r="S5" s="35"/>
      <c r="T5" s="20">
        <f t="shared" ref="T5:T114" si="1">E5+K5+L5+M5+N5+O5+P5</f>
        <v>276941035</v>
      </c>
      <c r="U5" s="20">
        <f t="shared" ref="U5:U25" si="2">G5+Q5+R5</f>
        <v>0</v>
      </c>
      <c r="V5" s="37" t="s">
        <v>64</v>
      </c>
      <c r="W5" s="36"/>
    </row>
    <row r="6" spans="1:24" s="34" customFormat="1" ht="15" customHeight="1">
      <c r="A6" s="33" t="s">
        <v>122</v>
      </c>
      <c r="B6" s="15" t="s">
        <v>64</v>
      </c>
      <c r="C6" s="16" t="s">
        <v>435</v>
      </c>
      <c r="D6" s="16" t="s">
        <v>434</v>
      </c>
      <c r="E6" s="38">
        <v>0</v>
      </c>
      <c r="F6" s="20">
        <v>0</v>
      </c>
      <c r="G6" s="18">
        <f t="shared" si="0"/>
        <v>0</v>
      </c>
      <c r="H6" s="16"/>
      <c r="I6" s="16"/>
      <c r="K6" s="20">
        <v>0</v>
      </c>
      <c r="L6" s="20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35"/>
      <c r="T6" s="20">
        <f t="shared" si="1"/>
        <v>0</v>
      </c>
      <c r="U6" s="20">
        <f t="shared" si="2"/>
        <v>0</v>
      </c>
      <c r="V6" s="39" t="s">
        <v>64</v>
      </c>
      <c r="W6" s="36"/>
    </row>
    <row r="7" spans="1:24" ht="16" customHeight="1">
      <c r="A7" s="33" t="s">
        <v>122</v>
      </c>
      <c r="B7" s="15" t="s">
        <v>64</v>
      </c>
      <c r="C7" s="16" t="s">
        <v>436</v>
      </c>
      <c r="D7" s="16" t="s">
        <v>434</v>
      </c>
      <c r="E7" s="38">
        <v>400000000</v>
      </c>
      <c r="F7" s="20">
        <v>0</v>
      </c>
      <c r="G7" s="18">
        <f t="shared" si="0"/>
        <v>0</v>
      </c>
      <c r="H7" s="16" t="s">
        <v>64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T7" s="20">
        <f t="shared" si="1"/>
        <v>400000000</v>
      </c>
      <c r="U7" s="20">
        <f t="shared" si="2"/>
        <v>0</v>
      </c>
      <c r="V7" s="21"/>
    </row>
    <row r="8" spans="1:24" s="34" customFormat="1" ht="15" customHeight="1">
      <c r="A8" s="33" t="s">
        <v>122</v>
      </c>
      <c r="B8" s="15" t="s">
        <v>64</v>
      </c>
      <c r="C8" s="16" t="s">
        <v>437</v>
      </c>
      <c r="D8" s="16" t="s">
        <v>434</v>
      </c>
      <c r="E8" s="20">
        <v>1500000000</v>
      </c>
      <c r="F8" s="20">
        <v>0</v>
      </c>
      <c r="G8" s="18">
        <f t="shared" si="0"/>
        <v>0</v>
      </c>
      <c r="H8" s="16"/>
      <c r="I8" s="16"/>
      <c r="K8" s="20">
        <v>350000000</v>
      </c>
      <c r="L8" s="20">
        <v>1550000000</v>
      </c>
      <c r="M8" s="20">
        <v>0</v>
      </c>
      <c r="N8" s="20">
        <v>-3400000000</v>
      </c>
      <c r="O8" s="20">
        <v>0</v>
      </c>
      <c r="P8" s="20">
        <v>0</v>
      </c>
      <c r="Q8" s="20">
        <v>0</v>
      </c>
      <c r="R8" s="20">
        <v>0</v>
      </c>
      <c r="S8" s="35"/>
      <c r="T8" s="20">
        <f t="shared" si="1"/>
        <v>0</v>
      </c>
      <c r="U8" s="20">
        <f t="shared" si="2"/>
        <v>0</v>
      </c>
      <c r="V8" s="36"/>
      <c r="W8" s="36"/>
    </row>
    <row r="9" spans="1:24" s="34" customFormat="1" ht="15" customHeight="1">
      <c r="A9" s="33" t="s">
        <v>122</v>
      </c>
      <c r="B9" s="15" t="s">
        <v>64</v>
      </c>
      <c r="C9" s="16" t="s">
        <v>247</v>
      </c>
      <c r="D9" s="16" t="s">
        <v>434</v>
      </c>
      <c r="E9" s="38">
        <v>0</v>
      </c>
      <c r="F9" s="20">
        <v>0</v>
      </c>
      <c r="G9" s="18">
        <f t="shared" si="0"/>
        <v>0</v>
      </c>
      <c r="H9" s="16"/>
      <c r="I9" s="16"/>
      <c r="K9" s="20">
        <v>14050000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35"/>
      <c r="T9" s="20">
        <f t="shared" si="1"/>
        <v>14050000</v>
      </c>
      <c r="U9" s="20">
        <f t="shared" si="2"/>
        <v>0</v>
      </c>
      <c r="V9" s="36"/>
      <c r="W9" s="36"/>
    </row>
    <row r="10" spans="1:24" s="21" customFormat="1" ht="16" customHeight="1">
      <c r="A10" s="40" t="s">
        <v>139</v>
      </c>
      <c r="B10" s="41" t="s">
        <v>64</v>
      </c>
      <c r="C10" s="16" t="s">
        <v>5076</v>
      </c>
      <c r="D10" s="16" t="s">
        <v>64</v>
      </c>
      <c r="E10" s="20">
        <v>9704359</v>
      </c>
      <c r="F10" s="20">
        <v>0</v>
      </c>
      <c r="G10" s="18">
        <f t="shared" si="0"/>
        <v>0</v>
      </c>
      <c r="H10" s="16" t="s">
        <v>64</v>
      </c>
      <c r="I10" s="16"/>
      <c r="J10" s="19"/>
      <c r="K10" s="20">
        <v>0</v>
      </c>
      <c r="L10" s="20">
        <v>-9704359</v>
      </c>
      <c r="M10" s="20">
        <v>0</v>
      </c>
      <c r="N10" s="20">
        <v>0</v>
      </c>
      <c r="O10" s="20">
        <v>0</v>
      </c>
      <c r="P10" s="20">
        <v>3335288</v>
      </c>
      <c r="Q10" s="20">
        <v>0</v>
      </c>
      <c r="R10" s="20">
        <v>0</v>
      </c>
      <c r="S10" s="20"/>
      <c r="T10" s="20">
        <f t="shared" ref="T10:T18" si="3">E10+K10+L10+M10+N10+O10+P10</f>
        <v>3335288</v>
      </c>
      <c r="U10" s="20">
        <f>G10+Q10+R10</f>
        <v>0</v>
      </c>
    </row>
    <row r="11" spans="1:24" s="21" customFormat="1" ht="16" customHeight="1">
      <c r="A11" s="40" t="s">
        <v>139</v>
      </c>
      <c r="B11" s="41" t="s">
        <v>64</v>
      </c>
      <c r="C11" s="16" t="s">
        <v>141</v>
      </c>
      <c r="D11" s="16" t="s">
        <v>64</v>
      </c>
      <c r="E11" s="20">
        <v>8802522</v>
      </c>
      <c r="F11" s="20">
        <v>0</v>
      </c>
      <c r="G11" s="18">
        <f t="shared" si="0"/>
        <v>0</v>
      </c>
      <c r="H11" s="16" t="s">
        <v>64</v>
      </c>
      <c r="I11" s="16"/>
      <c r="J11" s="19"/>
      <c r="K11" s="20">
        <v>0</v>
      </c>
      <c r="L11" s="20">
        <v>-8802522</v>
      </c>
      <c r="M11" s="20">
        <v>0</v>
      </c>
      <c r="N11" s="20">
        <v>0</v>
      </c>
      <c r="O11" s="20">
        <v>0</v>
      </c>
      <c r="P11" s="20">
        <v>31502715</v>
      </c>
      <c r="Q11" s="20">
        <v>0</v>
      </c>
      <c r="R11" s="20">
        <v>0</v>
      </c>
      <c r="S11" s="20"/>
      <c r="T11" s="20">
        <f t="shared" si="3"/>
        <v>31502715</v>
      </c>
      <c r="U11" s="20">
        <f>G11+Q11+R11</f>
        <v>0</v>
      </c>
    </row>
    <row r="12" spans="1:24" s="21" customFormat="1" ht="16" customHeight="1">
      <c r="A12" s="40" t="s">
        <v>139</v>
      </c>
      <c r="B12" s="41" t="s">
        <v>64</v>
      </c>
      <c r="C12" s="16" t="s">
        <v>3099</v>
      </c>
      <c r="D12" s="16" t="s">
        <v>64</v>
      </c>
      <c r="E12" s="20">
        <v>0</v>
      </c>
      <c r="F12" s="20">
        <v>0</v>
      </c>
      <c r="G12" s="18">
        <f t="shared" si="0"/>
        <v>0</v>
      </c>
      <c r="H12" s="16" t="s">
        <v>64</v>
      </c>
      <c r="I12" s="16"/>
      <c r="J12" s="19"/>
      <c r="K12" s="20">
        <v>0</v>
      </c>
      <c r="L12" s="20">
        <v>0</v>
      </c>
      <c r="M12" s="20">
        <v>0</v>
      </c>
      <c r="N12" s="20">
        <v>0</v>
      </c>
      <c r="O12" s="20">
        <v>0</v>
      </c>
      <c r="P12" s="20">
        <v>51295750</v>
      </c>
      <c r="Q12" s="20">
        <v>0</v>
      </c>
      <c r="R12" s="20">
        <v>0</v>
      </c>
      <c r="S12" s="20"/>
      <c r="T12" s="20">
        <f t="shared" si="3"/>
        <v>51295750</v>
      </c>
      <c r="U12" s="20">
        <f t="shared" ref="U12" si="4">G12+Q12+R12</f>
        <v>0</v>
      </c>
    </row>
    <row r="13" spans="1:24" s="21" customFormat="1" ht="16" customHeight="1">
      <c r="A13" s="40" t="s">
        <v>139</v>
      </c>
      <c r="B13" s="41" t="s">
        <v>64</v>
      </c>
      <c r="C13" s="16" t="s">
        <v>142</v>
      </c>
      <c r="D13" s="16" t="s">
        <v>64</v>
      </c>
      <c r="E13" s="20">
        <v>165291802</v>
      </c>
      <c r="F13" s="20">
        <v>0</v>
      </c>
      <c r="G13" s="18">
        <f t="shared" si="0"/>
        <v>0</v>
      </c>
      <c r="H13" s="16" t="s">
        <v>64</v>
      </c>
      <c r="I13" s="16"/>
      <c r="J13" s="19"/>
      <c r="K13" s="20">
        <v>0</v>
      </c>
      <c r="L13" s="20">
        <v>-165291802</v>
      </c>
      <c r="M13" s="20">
        <v>0</v>
      </c>
      <c r="N13" s="20">
        <v>0</v>
      </c>
      <c r="O13" s="20">
        <v>0</v>
      </c>
      <c r="P13" s="20">
        <v>203967069</v>
      </c>
      <c r="Q13" s="20">
        <v>0</v>
      </c>
      <c r="R13" s="20">
        <v>0</v>
      </c>
      <c r="S13" s="20"/>
      <c r="T13" s="20">
        <f t="shared" si="3"/>
        <v>203967069</v>
      </c>
      <c r="U13" s="20">
        <f>G13+Q13+R13</f>
        <v>0</v>
      </c>
    </row>
    <row r="14" spans="1:24" s="21" customFormat="1" ht="16" customHeight="1">
      <c r="A14" s="40" t="s">
        <v>139</v>
      </c>
      <c r="B14" s="41" t="s">
        <v>64</v>
      </c>
      <c r="C14" s="16" t="s">
        <v>143</v>
      </c>
      <c r="D14" s="16" t="s">
        <v>64</v>
      </c>
      <c r="E14" s="20">
        <v>49455055</v>
      </c>
      <c r="F14" s="20">
        <v>0</v>
      </c>
      <c r="G14" s="18">
        <f t="shared" si="0"/>
        <v>0</v>
      </c>
      <c r="H14" s="16" t="s">
        <v>64</v>
      </c>
      <c r="I14" s="16"/>
      <c r="J14" s="19"/>
      <c r="K14" s="20">
        <v>0</v>
      </c>
      <c r="L14" s="20">
        <v>-49455055</v>
      </c>
      <c r="M14" s="20">
        <v>0</v>
      </c>
      <c r="N14" s="20">
        <v>0</v>
      </c>
      <c r="O14" s="20">
        <v>0</v>
      </c>
      <c r="P14" s="20">
        <v>77545484</v>
      </c>
      <c r="Q14" s="20">
        <v>0</v>
      </c>
      <c r="R14" s="20">
        <v>0</v>
      </c>
      <c r="S14" s="20"/>
      <c r="T14" s="20">
        <f t="shared" si="3"/>
        <v>77545484</v>
      </c>
      <c r="U14" s="20">
        <f>G14+Q14+R14</f>
        <v>0</v>
      </c>
    </row>
    <row r="15" spans="1:24" s="21" customFormat="1" ht="16" customHeight="1">
      <c r="A15" s="40" t="s">
        <v>438</v>
      </c>
      <c r="B15" s="41" t="s">
        <v>64</v>
      </c>
      <c r="C15" s="16" t="s">
        <v>64</v>
      </c>
      <c r="D15" s="42" t="s">
        <v>64</v>
      </c>
      <c r="E15" s="20">
        <v>0</v>
      </c>
      <c r="F15" s="20">
        <v>0</v>
      </c>
      <c r="G15" s="18">
        <f t="shared" si="0"/>
        <v>0</v>
      </c>
      <c r="H15" s="16" t="s">
        <v>64</v>
      </c>
      <c r="I15" s="16"/>
      <c r="J15" s="19"/>
      <c r="K15" s="20">
        <v>0</v>
      </c>
      <c r="L15" s="20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/>
      <c r="T15" s="20">
        <f t="shared" si="3"/>
        <v>0</v>
      </c>
      <c r="U15" s="20">
        <f>G15+Q15+R15</f>
        <v>0</v>
      </c>
    </row>
    <row r="16" spans="1:24" s="21" customFormat="1" ht="16" customHeight="1">
      <c r="A16" s="33" t="s">
        <v>440</v>
      </c>
      <c r="B16" s="48" t="s">
        <v>64</v>
      </c>
      <c r="C16" s="16" t="s">
        <v>143</v>
      </c>
      <c r="D16" s="14" t="s">
        <v>4001</v>
      </c>
      <c r="E16" s="20">
        <v>0</v>
      </c>
      <c r="F16" s="20">
        <v>0</v>
      </c>
      <c r="G16" s="20">
        <f t="shared" si="0"/>
        <v>0</v>
      </c>
      <c r="H16" s="16" t="s">
        <v>64</v>
      </c>
      <c r="I16" t="s">
        <v>64</v>
      </c>
      <c r="J16" s="19"/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5121999</v>
      </c>
      <c r="Q16" s="20">
        <v>0</v>
      </c>
      <c r="R16" s="20">
        <v>0</v>
      </c>
      <c r="S16" s="20"/>
      <c r="T16" s="20">
        <f t="shared" si="3"/>
        <v>5121999</v>
      </c>
      <c r="U16" s="20">
        <f t="shared" ref="U16" si="5">G16+Q16+R16</f>
        <v>0</v>
      </c>
    </row>
    <row r="17" spans="1:24" s="21" customFormat="1" ht="16" customHeight="1">
      <c r="A17" s="33" t="s">
        <v>440</v>
      </c>
      <c r="B17" s="48" t="s">
        <v>64</v>
      </c>
      <c r="C17" s="16" t="s">
        <v>143</v>
      </c>
      <c r="D17" s="14" t="s">
        <v>4002</v>
      </c>
      <c r="E17" s="20">
        <v>0</v>
      </c>
      <c r="F17" s="20">
        <v>0</v>
      </c>
      <c r="G17" s="20">
        <f t="shared" si="0"/>
        <v>0</v>
      </c>
      <c r="H17" s="16" t="s">
        <v>64</v>
      </c>
      <c r="I17" t="s">
        <v>64</v>
      </c>
      <c r="J17" s="19"/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4374750</v>
      </c>
      <c r="Q17" s="20">
        <v>0</v>
      </c>
      <c r="R17" s="20">
        <v>0</v>
      </c>
      <c r="S17" s="20"/>
      <c r="T17" s="20">
        <f t="shared" si="3"/>
        <v>4374750</v>
      </c>
      <c r="U17" s="20">
        <f t="shared" ref="U17:U18" si="6">G17+Q17+R17</f>
        <v>0</v>
      </c>
    </row>
    <row r="18" spans="1:24" s="21" customFormat="1" ht="16" customHeight="1">
      <c r="A18" s="33" t="s">
        <v>440</v>
      </c>
      <c r="B18" s="48" t="s">
        <v>64</v>
      </c>
      <c r="C18" s="16" t="s">
        <v>143</v>
      </c>
      <c r="D18" s="168" t="s">
        <v>4490</v>
      </c>
      <c r="E18" s="20">
        <v>0</v>
      </c>
      <c r="F18" s="20">
        <v>0</v>
      </c>
      <c r="G18" s="20">
        <f t="shared" si="0"/>
        <v>0</v>
      </c>
      <c r="H18" s="16" t="s">
        <v>64</v>
      </c>
      <c r="I18" t="s">
        <v>64</v>
      </c>
      <c r="J18" s="19"/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6999000</v>
      </c>
      <c r="Q18" s="20">
        <v>0</v>
      </c>
      <c r="R18" s="20">
        <v>0</v>
      </c>
      <c r="S18" s="20"/>
      <c r="T18" s="20">
        <f t="shared" si="3"/>
        <v>6999000</v>
      </c>
      <c r="U18" s="20">
        <f t="shared" si="6"/>
        <v>0</v>
      </c>
    </row>
    <row r="19" spans="1:24" s="21" customFormat="1" ht="16" customHeight="1">
      <c r="A19" s="40" t="s">
        <v>439</v>
      </c>
      <c r="B19" s="41" t="s">
        <v>64</v>
      </c>
      <c r="C19" s="16" t="s">
        <v>123</v>
      </c>
      <c r="D19" s="16" t="s">
        <v>465</v>
      </c>
      <c r="E19" s="20">
        <v>25500000</v>
      </c>
      <c r="F19" s="20">
        <v>0</v>
      </c>
      <c r="G19" s="18">
        <f t="shared" si="0"/>
        <v>0</v>
      </c>
      <c r="H19" s="16" t="s">
        <v>64</v>
      </c>
      <c r="I19" s="16" t="s">
        <v>64</v>
      </c>
      <c r="J19" s="19"/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/>
      <c r="T19" s="20">
        <f t="shared" si="1"/>
        <v>25500000</v>
      </c>
      <c r="U19" s="20">
        <f t="shared" si="2"/>
        <v>0</v>
      </c>
    </row>
    <row r="20" spans="1:24" ht="16" customHeight="1">
      <c r="A20" s="57" t="s">
        <v>441</v>
      </c>
      <c r="B20" s="48">
        <v>2019</v>
      </c>
      <c r="C20" s="16" t="s">
        <v>5016</v>
      </c>
      <c r="D20" s="13" t="s">
        <v>801</v>
      </c>
      <c r="E20" s="20">
        <v>335171.68</v>
      </c>
      <c r="F20" s="20">
        <v>0</v>
      </c>
      <c r="G20" s="20">
        <f t="shared" si="0"/>
        <v>0</v>
      </c>
      <c r="H20" s="16" t="s">
        <v>800</v>
      </c>
      <c r="I20" s="16" t="s">
        <v>457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-335171.68</v>
      </c>
      <c r="Q20" s="20">
        <v>0</v>
      </c>
      <c r="R20" s="20">
        <v>0</v>
      </c>
      <c r="T20" s="20">
        <f>E20+K20+L20+M20+N20+O20+P20</f>
        <v>0</v>
      </c>
      <c r="U20" s="20">
        <f>G20+Q20+R20</f>
        <v>0</v>
      </c>
    </row>
    <row r="21" spans="1:24" ht="16" customHeight="1">
      <c r="A21" s="57" t="s">
        <v>441</v>
      </c>
      <c r="B21" s="48">
        <v>2019</v>
      </c>
      <c r="C21" s="16" t="s">
        <v>580</v>
      </c>
      <c r="D21" s="13" t="s">
        <v>579</v>
      </c>
      <c r="E21" s="20">
        <v>2980246</v>
      </c>
      <c r="F21" s="20">
        <v>0</v>
      </c>
      <c r="G21" s="20">
        <f t="shared" si="0"/>
        <v>0</v>
      </c>
      <c r="H21" s="16" t="s">
        <v>3993</v>
      </c>
      <c r="I21" s="16" t="s">
        <v>64</v>
      </c>
      <c r="K21" s="20">
        <v>0</v>
      </c>
      <c r="L21" s="20">
        <v>-2980246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f>E21+K21+L21+M21+N21+O21+P21</f>
        <v>0</v>
      </c>
      <c r="U21" s="20">
        <f>G21+Q21+R21</f>
        <v>0</v>
      </c>
      <c r="V21" s="21"/>
    </row>
    <row r="22" spans="1:24" ht="16" customHeight="1">
      <c r="A22" s="40" t="s">
        <v>441</v>
      </c>
      <c r="B22" s="44">
        <v>2020</v>
      </c>
      <c r="C22" s="16" t="s">
        <v>442</v>
      </c>
      <c r="D22" t="s">
        <v>64</v>
      </c>
      <c r="E22" s="20">
        <v>500000</v>
      </c>
      <c r="F22" s="20">
        <v>0</v>
      </c>
      <c r="G22" s="20">
        <f t="shared" si="0"/>
        <v>0</v>
      </c>
      <c r="H22" s="16" t="s">
        <v>64</v>
      </c>
      <c r="I22" s="16" t="s">
        <v>64</v>
      </c>
      <c r="K22" s="20">
        <v>0</v>
      </c>
      <c r="L22" s="20">
        <v>-500000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T22" s="20">
        <f>E22+K22+L22+M22+N22+O22+P22</f>
        <v>0</v>
      </c>
      <c r="U22" s="20">
        <f>G22+Q22+R22</f>
        <v>0</v>
      </c>
      <c r="V22" s="21"/>
      <c r="W22" s="19"/>
    </row>
    <row r="23" spans="1:24" ht="16" customHeight="1">
      <c r="A23" s="40" t="s">
        <v>441</v>
      </c>
      <c r="B23" s="44">
        <v>2021</v>
      </c>
      <c r="C23" s="16" t="s">
        <v>715</v>
      </c>
      <c r="D23" t="s">
        <v>64</v>
      </c>
      <c r="E23" s="20">
        <v>0</v>
      </c>
      <c r="F23" s="20">
        <v>0</v>
      </c>
      <c r="G23" s="20">
        <f t="shared" si="0"/>
        <v>0</v>
      </c>
      <c r="H23" s="16" t="s">
        <v>64</v>
      </c>
      <c r="I23" s="16" t="s">
        <v>64</v>
      </c>
      <c r="K23" s="20">
        <v>849677</v>
      </c>
      <c r="L23" s="20">
        <v>-489677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T23" s="20">
        <f>E23+K23+L23+M23+N23+O23+P23</f>
        <v>360000</v>
      </c>
      <c r="U23" s="20">
        <f t="shared" ref="U23" si="7">G23+Q23+R23</f>
        <v>0</v>
      </c>
      <c r="V23" s="21"/>
      <c r="W23" s="19"/>
    </row>
    <row r="24" spans="1:24" s="21" customFormat="1" ht="16" customHeight="1">
      <c r="A24" s="33" t="s">
        <v>120</v>
      </c>
      <c r="B24" s="44">
        <v>2018</v>
      </c>
      <c r="C24" s="16" t="s">
        <v>444</v>
      </c>
      <c r="D24" s="16" t="s">
        <v>445</v>
      </c>
      <c r="E24" s="45">
        <v>144630000</v>
      </c>
      <c r="F24" s="20">
        <v>0</v>
      </c>
      <c r="G24" s="20">
        <f t="shared" si="0"/>
        <v>0</v>
      </c>
      <c r="H24" s="16" t="s">
        <v>138</v>
      </c>
      <c r="I24" s="46" t="s">
        <v>446</v>
      </c>
      <c r="J24" s="19"/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/>
      <c r="T24" s="20">
        <f t="shared" si="1"/>
        <v>144630000</v>
      </c>
      <c r="U24" s="20">
        <f t="shared" si="2"/>
        <v>0</v>
      </c>
    </row>
    <row r="25" spans="1:24" s="21" customFormat="1" ht="16" customHeight="1">
      <c r="A25" s="33" t="s">
        <v>120</v>
      </c>
      <c r="B25" s="44">
        <v>2018</v>
      </c>
      <c r="C25" s="16" t="s">
        <v>444</v>
      </c>
      <c r="D25" s="16" t="s">
        <v>445</v>
      </c>
      <c r="E25" s="20">
        <v>76058626</v>
      </c>
      <c r="F25" s="20">
        <v>0</v>
      </c>
      <c r="G25" s="20">
        <f t="shared" si="0"/>
        <v>0</v>
      </c>
      <c r="H25" s="16" t="s">
        <v>138</v>
      </c>
      <c r="I25" t="s">
        <v>443</v>
      </c>
      <c r="J25" s="19"/>
      <c r="K25" s="20">
        <v>0</v>
      </c>
      <c r="L25" s="20">
        <v>-76058626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/>
      <c r="T25" s="20">
        <f t="shared" si="1"/>
        <v>0</v>
      </c>
      <c r="U25" s="20">
        <f t="shared" si="2"/>
        <v>0</v>
      </c>
      <c r="V25" s="47" t="s">
        <v>64</v>
      </c>
      <c r="W25" s="47" t="s">
        <v>64</v>
      </c>
    </row>
    <row r="26" spans="1:24" s="21" customFormat="1" ht="16" customHeight="1">
      <c r="A26" s="33" t="s">
        <v>120</v>
      </c>
      <c r="B26" s="48">
        <v>2019</v>
      </c>
      <c r="C26" s="16" t="s">
        <v>444</v>
      </c>
      <c r="D26" s="16" t="s">
        <v>5106</v>
      </c>
      <c r="E26" s="53">
        <f>244578371-143856931+15442073</f>
        <v>116163513</v>
      </c>
      <c r="F26" s="20">
        <v>0</v>
      </c>
      <c r="G26" s="20">
        <f t="shared" si="0"/>
        <v>0</v>
      </c>
      <c r="H26" s="16" t="s">
        <v>138</v>
      </c>
      <c r="I26" s="14" t="s">
        <v>560</v>
      </c>
      <c r="J26" s="19"/>
      <c r="K26" s="20">
        <v>-14023000</v>
      </c>
      <c r="L26" s="20">
        <v>-1666200</v>
      </c>
      <c r="M26" s="20">
        <v>0</v>
      </c>
      <c r="N26" s="20">
        <v>0</v>
      </c>
      <c r="O26" s="20">
        <v>0</v>
      </c>
      <c r="P26" s="20">
        <v>-55816981</v>
      </c>
      <c r="Q26" s="20">
        <v>0</v>
      </c>
      <c r="R26" s="20">
        <v>0</v>
      </c>
      <c r="S26" s="20"/>
      <c r="T26" s="20">
        <f t="shared" si="1"/>
        <v>44657332</v>
      </c>
      <c r="U26" s="20">
        <f t="shared" ref="U26:U28" si="8">G26+Q26+R26</f>
        <v>0</v>
      </c>
      <c r="W26" s="201">
        <v>29090791</v>
      </c>
      <c r="X26" s="47">
        <f>W26-T26</f>
        <v>-15566541</v>
      </c>
    </row>
    <row r="27" spans="1:24" ht="16" customHeight="1">
      <c r="A27" s="33" t="s">
        <v>120</v>
      </c>
      <c r="B27" s="48">
        <v>2019</v>
      </c>
      <c r="C27" s="16" t="s">
        <v>444</v>
      </c>
      <c r="D27" s="16" t="s">
        <v>445</v>
      </c>
      <c r="E27" s="53">
        <v>4766511</v>
      </c>
      <c r="F27" s="20">
        <v>0</v>
      </c>
      <c r="G27" s="20">
        <f t="shared" si="0"/>
        <v>0</v>
      </c>
      <c r="H27" s="16" t="s">
        <v>138</v>
      </c>
      <c r="I27" s="56" t="s">
        <v>452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T27" s="20">
        <f t="shared" si="1"/>
        <v>4766511</v>
      </c>
      <c r="U27" s="20">
        <f t="shared" si="8"/>
        <v>0</v>
      </c>
      <c r="V27" s="21"/>
      <c r="W27" s="201">
        <v>10171501</v>
      </c>
      <c r="X27" s="212">
        <f>W27-T27</f>
        <v>5404990</v>
      </c>
    </row>
    <row r="28" spans="1:24" ht="16" customHeight="1">
      <c r="A28" s="33" t="s">
        <v>120</v>
      </c>
      <c r="B28" s="48">
        <v>2019</v>
      </c>
      <c r="C28" s="16" t="s">
        <v>444</v>
      </c>
      <c r="D28" s="16" t="s">
        <v>445</v>
      </c>
      <c r="E28" s="53">
        <v>20000000</v>
      </c>
      <c r="F28" s="20">
        <v>0</v>
      </c>
      <c r="G28" s="20">
        <f t="shared" si="0"/>
        <v>0</v>
      </c>
      <c r="H28" s="16" t="s">
        <v>138</v>
      </c>
      <c r="I28" s="56" t="s">
        <v>448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-20000000</v>
      </c>
      <c r="Q28" s="20">
        <v>0</v>
      </c>
      <c r="R28" s="20">
        <v>0</v>
      </c>
      <c r="T28" s="20">
        <f t="shared" si="1"/>
        <v>0</v>
      </c>
      <c r="U28" s="20">
        <f t="shared" si="8"/>
        <v>0</v>
      </c>
      <c r="V28" s="21"/>
    </row>
    <row r="29" spans="1:24" ht="16" customHeight="1">
      <c r="A29" s="33" t="s">
        <v>116</v>
      </c>
      <c r="B29" s="48">
        <v>2018</v>
      </c>
      <c r="C29" s="16" t="s">
        <v>5113</v>
      </c>
      <c r="D29" s="16" t="s">
        <v>5114</v>
      </c>
      <c r="E29" s="20">
        <v>100000</v>
      </c>
      <c r="F29" s="20">
        <v>0</v>
      </c>
      <c r="G29" s="20">
        <f t="shared" si="0"/>
        <v>0</v>
      </c>
      <c r="H29" s="16" t="s">
        <v>252</v>
      </c>
      <c r="I29" t="s">
        <v>665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T29" s="20">
        <f t="shared" ref="T29" si="9">E29+K29+L29+M29+N29+O29+P29</f>
        <v>100000</v>
      </c>
      <c r="U29" s="20">
        <f t="shared" ref="U29" si="10">G29+Q29+R29</f>
        <v>0</v>
      </c>
      <c r="V29" s="21"/>
    </row>
    <row r="30" spans="1:24" ht="16" customHeight="1">
      <c r="A30" s="33" t="s">
        <v>116</v>
      </c>
      <c r="B30" s="48">
        <v>2018</v>
      </c>
      <c r="C30" s="16" t="s">
        <v>5113</v>
      </c>
      <c r="D30" s="16" t="s">
        <v>5115</v>
      </c>
      <c r="E30" s="20">
        <v>500000</v>
      </c>
      <c r="F30" s="20">
        <v>0</v>
      </c>
      <c r="G30" s="20">
        <f t="shared" si="0"/>
        <v>0</v>
      </c>
      <c r="H30" s="16" t="s">
        <v>252</v>
      </c>
      <c r="I30" t="s">
        <v>665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T30" s="20">
        <f t="shared" ref="T30:T32" si="11">E30+K30+L30+M30+N30+O30+P30</f>
        <v>500000</v>
      </c>
      <c r="U30" s="20">
        <f t="shared" ref="U30:U32" si="12">G30+Q30+R30</f>
        <v>0</v>
      </c>
      <c r="V30" s="21"/>
    </row>
    <row r="31" spans="1:24" ht="16" customHeight="1">
      <c r="A31" s="33" t="s">
        <v>116</v>
      </c>
      <c r="B31" s="48">
        <v>2018</v>
      </c>
      <c r="C31" s="16" t="s">
        <v>5113</v>
      </c>
      <c r="D31" s="16" t="s">
        <v>5116</v>
      </c>
      <c r="E31" s="20">
        <v>500000</v>
      </c>
      <c r="F31" s="20">
        <v>0</v>
      </c>
      <c r="G31" s="20">
        <f t="shared" si="0"/>
        <v>0</v>
      </c>
      <c r="H31" s="16" t="s">
        <v>252</v>
      </c>
      <c r="I31" t="s">
        <v>665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T31" s="20">
        <f t="shared" si="11"/>
        <v>500000</v>
      </c>
      <c r="U31" s="20">
        <f t="shared" si="12"/>
        <v>0</v>
      </c>
      <c r="V31" s="21"/>
    </row>
    <row r="32" spans="1:24" ht="16" customHeight="1">
      <c r="A32" s="33" t="s">
        <v>116</v>
      </c>
      <c r="B32" s="48">
        <v>2018</v>
      </c>
      <c r="C32" s="16" t="s">
        <v>5113</v>
      </c>
      <c r="D32" s="16" t="s">
        <v>5117</v>
      </c>
      <c r="E32" s="20">
        <v>500000</v>
      </c>
      <c r="F32" s="20">
        <v>0</v>
      </c>
      <c r="G32" s="20">
        <f t="shared" si="0"/>
        <v>0</v>
      </c>
      <c r="H32" s="16" t="s">
        <v>252</v>
      </c>
      <c r="I32" t="s">
        <v>665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T32" s="20">
        <f t="shared" si="11"/>
        <v>500000</v>
      </c>
      <c r="U32" s="20">
        <f t="shared" si="12"/>
        <v>0</v>
      </c>
      <c r="V32" s="21"/>
    </row>
    <row r="33" spans="1:22" ht="16" customHeight="1">
      <c r="A33" s="33" t="s">
        <v>116</v>
      </c>
      <c r="B33" s="48">
        <v>2019</v>
      </c>
      <c r="C33" s="16" t="s">
        <v>5168</v>
      </c>
      <c r="D33" s="16" t="s">
        <v>5169</v>
      </c>
      <c r="E33" s="20">
        <v>110185</v>
      </c>
      <c r="F33" s="20">
        <v>0</v>
      </c>
      <c r="G33" s="20">
        <f t="shared" si="0"/>
        <v>0</v>
      </c>
      <c r="H33" s="16" t="s">
        <v>252</v>
      </c>
      <c r="I33" t="s">
        <v>665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T33" s="20">
        <f t="shared" ref="T33" si="13">E33+K33+L33+M33+N33+O33+P33</f>
        <v>110185</v>
      </c>
      <c r="U33" s="20">
        <f t="shared" ref="U33" si="14">G33+Q33+R33</f>
        <v>0</v>
      </c>
      <c r="V33" s="21"/>
    </row>
    <row r="34" spans="1:22" ht="16" customHeight="1">
      <c r="A34" s="33" t="s">
        <v>116</v>
      </c>
      <c r="B34" s="48">
        <v>2019</v>
      </c>
      <c r="C34" s="16" t="s">
        <v>5168</v>
      </c>
      <c r="D34" s="16" t="s">
        <v>5170</v>
      </c>
      <c r="E34" s="20">
        <v>110536</v>
      </c>
      <c r="F34" s="20">
        <v>0</v>
      </c>
      <c r="G34" s="20">
        <f t="shared" si="0"/>
        <v>0</v>
      </c>
      <c r="H34" s="16" t="s">
        <v>252</v>
      </c>
      <c r="I34" t="s">
        <v>665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T34" s="20">
        <f t="shared" ref="T34:T52" si="15">E34+K34+L34+M34+N34+O34+P34</f>
        <v>110536</v>
      </c>
      <c r="U34" s="20">
        <f t="shared" ref="U34:U52" si="16">G34+Q34+R34</f>
        <v>0</v>
      </c>
      <c r="V34" s="21"/>
    </row>
    <row r="35" spans="1:22" ht="16" customHeight="1">
      <c r="A35" s="33" t="s">
        <v>116</v>
      </c>
      <c r="B35" s="48">
        <v>2019</v>
      </c>
      <c r="C35" s="16" t="s">
        <v>5168</v>
      </c>
      <c r="D35" s="16" t="s">
        <v>5171</v>
      </c>
      <c r="E35" s="20">
        <v>111707</v>
      </c>
      <c r="F35" s="20">
        <v>0</v>
      </c>
      <c r="G35" s="20">
        <f t="shared" si="0"/>
        <v>0</v>
      </c>
      <c r="H35" s="16" t="s">
        <v>252</v>
      </c>
      <c r="I35" t="s">
        <v>665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T35" s="20">
        <f t="shared" si="15"/>
        <v>111707</v>
      </c>
      <c r="U35" s="20">
        <f t="shared" si="16"/>
        <v>0</v>
      </c>
      <c r="V35" s="21"/>
    </row>
    <row r="36" spans="1:22" ht="16" customHeight="1">
      <c r="A36" s="33" t="s">
        <v>116</v>
      </c>
      <c r="B36" s="48">
        <v>2019</v>
      </c>
      <c r="C36" s="16" t="s">
        <v>5168</v>
      </c>
      <c r="D36" s="16" t="s">
        <v>5172</v>
      </c>
      <c r="E36" s="20">
        <v>112877</v>
      </c>
      <c r="F36" s="20">
        <v>0</v>
      </c>
      <c r="G36" s="20">
        <f t="shared" ref="G36:G67" si="17">(F36*$G$3)/$D$536</f>
        <v>0</v>
      </c>
      <c r="H36" s="16" t="s">
        <v>252</v>
      </c>
      <c r="I36" t="s">
        <v>665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T36" s="20">
        <f t="shared" si="15"/>
        <v>112877</v>
      </c>
      <c r="U36" s="20">
        <f t="shared" si="16"/>
        <v>0</v>
      </c>
      <c r="V36" s="21"/>
    </row>
    <row r="37" spans="1:22" ht="16" customHeight="1">
      <c r="A37" s="33" t="s">
        <v>116</v>
      </c>
      <c r="B37" s="48">
        <v>2019</v>
      </c>
      <c r="C37" s="16" t="s">
        <v>5168</v>
      </c>
      <c r="D37" s="16" t="s">
        <v>5173</v>
      </c>
      <c r="E37" s="20">
        <v>130556</v>
      </c>
      <c r="F37" s="20">
        <v>0</v>
      </c>
      <c r="G37" s="20">
        <f t="shared" si="17"/>
        <v>0</v>
      </c>
      <c r="H37" s="16" t="s">
        <v>252</v>
      </c>
      <c r="I37" t="s">
        <v>665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T37" s="20">
        <f t="shared" si="15"/>
        <v>130556</v>
      </c>
      <c r="U37" s="20">
        <f t="shared" si="16"/>
        <v>0</v>
      </c>
      <c r="V37" s="21"/>
    </row>
    <row r="38" spans="1:22" ht="16" customHeight="1">
      <c r="A38" s="33" t="s">
        <v>116</v>
      </c>
      <c r="B38" s="48">
        <v>2019</v>
      </c>
      <c r="C38" s="16" t="s">
        <v>5168</v>
      </c>
      <c r="D38" s="16" t="s">
        <v>5174</v>
      </c>
      <c r="E38" s="20">
        <v>140742</v>
      </c>
      <c r="F38" s="20">
        <v>0</v>
      </c>
      <c r="G38" s="20">
        <f t="shared" si="17"/>
        <v>0</v>
      </c>
      <c r="H38" s="16" t="s">
        <v>252</v>
      </c>
      <c r="I38" t="s">
        <v>665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T38" s="20">
        <f t="shared" si="15"/>
        <v>140742</v>
      </c>
      <c r="U38" s="20">
        <f t="shared" si="16"/>
        <v>0</v>
      </c>
      <c r="V38" s="21"/>
    </row>
    <row r="39" spans="1:22" ht="16" customHeight="1">
      <c r="A39" s="33" t="s">
        <v>116</v>
      </c>
      <c r="B39" s="48">
        <v>2019</v>
      </c>
      <c r="C39" s="16" t="s">
        <v>5168</v>
      </c>
      <c r="D39" s="16" t="s">
        <v>5175</v>
      </c>
      <c r="E39" s="20">
        <v>150927</v>
      </c>
      <c r="F39" s="20">
        <v>0</v>
      </c>
      <c r="G39" s="20">
        <f t="shared" si="17"/>
        <v>0</v>
      </c>
      <c r="H39" s="16" t="s">
        <v>252</v>
      </c>
      <c r="I39" t="s">
        <v>665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T39" s="20">
        <f t="shared" si="15"/>
        <v>150927</v>
      </c>
      <c r="U39" s="20">
        <f t="shared" si="16"/>
        <v>0</v>
      </c>
      <c r="V39" s="21"/>
    </row>
    <row r="40" spans="1:22" ht="16" customHeight="1">
      <c r="A40" s="33" t="s">
        <v>116</v>
      </c>
      <c r="B40" s="48">
        <v>2019</v>
      </c>
      <c r="C40" s="16" t="s">
        <v>5168</v>
      </c>
      <c r="D40" s="16" t="s">
        <v>5176</v>
      </c>
      <c r="E40" s="20">
        <v>161113</v>
      </c>
      <c r="F40" s="20">
        <v>0</v>
      </c>
      <c r="G40" s="20">
        <f t="shared" si="17"/>
        <v>0</v>
      </c>
      <c r="H40" s="16" t="s">
        <v>252</v>
      </c>
      <c r="I40" t="s">
        <v>665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T40" s="20">
        <f t="shared" si="15"/>
        <v>161113</v>
      </c>
      <c r="U40" s="20">
        <f t="shared" si="16"/>
        <v>0</v>
      </c>
      <c r="V40" s="21"/>
    </row>
    <row r="41" spans="1:22" ht="16" customHeight="1">
      <c r="A41" s="33" t="s">
        <v>116</v>
      </c>
      <c r="B41" s="48">
        <v>2019</v>
      </c>
      <c r="C41" s="16" t="s">
        <v>5168</v>
      </c>
      <c r="D41" s="16" t="s">
        <v>5177</v>
      </c>
      <c r="E41" s="20">
        <v>171299</v>
      </c>
      <c r="F41" s="20">
        <v>0</v>
      </c>
      <c r="G41" s="20">
        <f t="shared" si="17"/>
        <v>0</v>
      </c>
      <c r="H41" s="16" t="s">
        <v>252</v>
      </c>
      <c r="I41" t="s">
        <v>665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f t="shared" si="15"/>
        <v>171299</v>
      </c>
      <c r="U41" s="20">
        <f t="shared" si="16"/>
        <v>0</v>
      </c>
      <c r="V41" s="21"/>
    </row>
    <row r="42" spans="1:22" ht="16" customHeight="1">
      <c r="A42" s="33" t="s">
        <v>116</v>
      </c>
      <c r="B42" s="48">
        <v>2019</v>
      </c>
      <c r="C42" s="16" t="s">
        <v>5168</v>
      </c>
      <c r="D42" s="16" t="s">
        <v>5178</v>
      </c>
      <c r="E42" s="20">
        <v>181484</v>
      </c>
      <c r="F42" s="20">
        <v>0</v>
      </c>
      <c r="G42" s="20">
        <f t="shared" si="17"/>
        <v>0</v>
      </c>
      <c r="H42" s="16" t="s">
        <v>252</v>
      </c>
      <c r="I42" t="s">
        <v>665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T42" s="20">
        <f t="shared" si="15"/>
        <v>181484</v>
      </c>
      <c r="U42" s="20">
        <f t="shared" si="16"/>
        <v>0</v>
      </c>
      <c r="V42" s="21"/>
    </row>
    <row r="43" spans="1:22" ht="16" customHeight="1">
      <c r="A43" s="33" t="s">
        <v>116</v>
      </c>
      <c r="B43" s="48">
        <v>2019</v>
      </c>
      <c r="C43" s="16" t="s">
        <v>5168</v>
      </c>
      <c r="D43" s="16" t="s">
        <v>5179</v>
      </c>
      <c r="E43" s="20">
        <v>100000</v>
      </c>
      <c r="F43" s="20">
        <v>0</v>
      </c>
      <c r="G43" s="20">
        <f t="shared" si="17"/>
        <v>0</v>
      </c>
      <c r="H43" s="16" t="s">
        <v>252</v>
      </c>
      <c r="I43" t="s">
        <v>665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f t="shared" si="15"/>
        <v>100000</v>
      </c>
      <c r="U43" s="20">
        <f t="shared" si="16"/>
        <v>0</v>
      </c>
      <c r="V43" s="21"/>
    </row>
    <row r="44" spans="1:22" ht="16" customHeight="1">
      <c r="A44" s="33" t="s">
        <v>116</v>
      </c>
      <c r="B44" s="48">
        <v>2019</v>
      </c>
      <c r="C44" s="16" t="s">
        <v>5168</v>
      </c>
      <c r="D44" s="16" t="s">
        <v>5180</v>
      </c>
      <c r="E44" s="20">
        <v>120371</v>
      </c>
      <c r="F44" s="20">
        <v>0</v>
      </c>
      <c r="G44" s="20">
        <f t="shared" si="17"/>
        <v>0</v>
      </c>
      <c r="H44" s="16" t="s">
        <v>252</v>
      </c>
      <c r="I44" t="s">
        <v>665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f t="shared" si="15"/>
        <v>120371</v>
      </c>
      <c r="U44" s="20">
        <f t="shared" si="16"/>
        <v>0</v>
      </c>
      <c r="V44" s="21"/>
    </row>
    <row r="45" spans="1:22" ht="16" customHeight="1">
      <c r="A45" s="33" t="s">
        <v>116</v>
      </c>
      <c r="B45" s="48">
        <v>2019</v>
      </c>
      <c r="C45" s="16" t="s">
        <v>5168</v>
      </c>
      <c r="D45" s="16" t="s">
        <v>5181</v>
      </c>
      <c r="E45" s="20">
        <v>219542</v>
      </c>
      <c r="F45" s="20">
        <v>0</v>
      </c>
      <c r="G45" s="20">
        <f t="shared" si="17"/>
        <v>0</v>
      </c>
      <c r="H45" s="16" t="s">
        <v>252</v>
      </c>
      <c r="I45" t="s">
        <v>665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T45" s="20">
        <f t="shared" si="15"/>
        <v>219542</v>
      </c>
      <c r="U45" s="20">
        <f t="shared" si="16"/>
        <v>0</v>
      </c>
      <c r="V45" s="21"/>
    </row>
    <row r="46" spans="1:22" ht="16" customHeight="1">
      <c r="A46" s="33" t="s">
        <v>116</v>
      </c>
      <c r="B46" s="48">
        <v>2019</v>
      </c>
      <c r="C46" s="16" t="s">
        <v>5168</v>
      </c>
      <c r="D46" s="16" t="s">
        <v>5182</v>
      </c>
      <c r="E46" s="20">
        <v>500000</v>
      </c>
      <c r="F46" s="20">
        <v>0</v>
      </c>
      <c r="G46" s="20">
        <f t="shared" si="17"/>
        <v>0</v>
      </c>
      <c r="H46" s="16" t="s">
        <v>252</v>
      </c>
      <c r="I46" t="s">
        <v>665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T46" s="20">
        <f t="shared" si="15"/>
        <v>500000</v>
      </c>
      <c r="U46" s="20">
        <f t="shared" si="16"/>
        <v>0</v>
      </c>
      <c r="V46" s="21"/>
    </row>
    <row r="47" spans="1:22" ht="16" customHeight="1">
      <c r="A47" s="33" t="s">
        <v>116</v>
      </c>
      <c r="B47" s="48">
        <v>2019</v>
      </c>
      <c r="C47" s="16" t="s">
        <v>5168</v>
      </c>
      <c r="D47" s="16" t="s">
        <v>5183</v>
      </c>
      <c r="E47" s="20">
        <v>500000</v>
      </c>
      <c r="F47" s="20">
        <v>0</v>
      </c>
      <c r="G47" s="20">
        <f t="shared" si="17"/>
        <v>0</v>
      </c>
      <c r="H47" s="16" t="s">
        <v>252</v>
      </c>
      <c r="I47" t="s">
        <v>665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T47" s="20">
        <f t="shared" si="15"/>
        <v>500000</v>
      </c>
      <c r="U47" s="20">
        <f t="shared" si="16"/>
        <v>0</v>
      </c>
      <c r="V47" s="21"/>
    </row>
    <row r="48" spans="1:22" ht="16" customHeight="1">
      <c r="A48" s="33" t="s">
        <v>116</v>
      </c>
      <c r="B48" s="48">
        <v>2019</v>
      </c>
      <c r="C48" s="16" t="s">
        <v>5168</v>
      </c>
      <c r="D48" s="16" t="s">
        <v>5184</v>
      </c>
      <c r="E48" s="20">
        <v>566866</v>
      </c>
      <c r="F48" s="20">
        <v>0</v>
      </c>
      <c r="G48" s="20">
        <f t="shared" si="17"/>
        <v>0</v>
      </c>
      <c r="H48" s="16" t="s">
        <v>252</v>
      </c>
      <c r="I48" t="s">
        <v>665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T48" s="20">
        <f t="shared" si="15"/>
        <v>566866</v>
      </c>
      <c r="U48" s="20">
        <f t="shared" si="16"/>
        <v>0</v>
      </c>
      <c r="V48" s="21"/>
    </row>
    <row r="49" spans="1:22" ht="16" customHeight="1">
      <c r="A49" s="33" t="s">
        <v>116</v>
      </c>
      <c r="B49" s="48">
        <v>2019</v>
      </c>
      <c r="C49" s="16" t="s">
        <v>5168</v>
      </c>
      <c r="D49" s="16" t="s">
        <v>5185</v>
      </c>
      <c r="E49" s="20">
        <v>1002145</v>
      </c>
      <c r="F49" s="20">
        <v>0</v>
      </c>
      <c r="G49" s="20">
        <f t="shared" si="17"/>
        <v>0</v>
      </c>
      <c r="H49" s="16" t="s">
        <v>252</v>
      </c>
      <c r="I49" t="s">
        <v>665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T49" s="20">
        <f t="shared" si="15"/>
        <v>1002145</v>
      </c>
      <c r="U49" s="20">
        <f t="shared" si="16"/>
        <v>0</v>
      </c>
      <c r="V49" s="21"/>
    </row>
    <row r="50" spans="1:22" ht="16" customHeight="1">
      <c r="A50" s="33" t="s">
        <v>116</v>
      </c>
      <c r="B50" s="48">
        <v>2019</v>
      </c>
      <c r="C50" s="16" t="s">
        <v>5168</v>
      </c>
      <c r="D50" s="16" t="s">
        <v>5186</v>
      </c>
      <c r="E50" s="20">
        <v>1191526</v>
      </c>
      <c r="F50" s="20">
        <v>0</v>
      </c>
      <c r="G50" s="20">
        <f t="shared" si="17"/>
        <v>0</v>
      </c>
      <c r="H50" s="16" t="s">
        <v>252</v>
      </c>
      <c r="I50" t="s">
        <v>665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f t="shared" si="15"/>
        <v>1191526</v>
      </c>
      <c r="U50" s="20">
        <f t="shared" si="16"/>
        <v>0</v>
      </c>
      <c r="V50" s="21"/>
    </row>
    <row r="51" spans="1:22" ht="16" customHeight="1">
      <c r="A51" s="33" t="s">
        <v>116</v>
      </c>
      <c r="B51" s="48">
        <v>2019</v>
      </c>
      <c r="C51" s="16" t="s">
        <v>5168</v>
      </c>
      <c r="D51" s="16" t="s">
        <v>5187</v>
      </c>
      <c r="E51" s="20">
        <v>1240816</v>
      </c>
      <c r="F51" s="20">
        <v>0</v>
      </c>
      <c r="G51" s="20">
        <f t="shared" si="17"/>
        <v>0</v>
      </c>
      <c r="H51" s="16" t="s">
        <v>252</v>
      </c>
      <c r="I51" t="s">
        <v>665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f t="shared" si="15"/>
        <v>1240816</v>
      </c>
      <c r="U51" s="20">
        <f t="shared" si="16"/>
        <v>0</v>
      </c>
      <c r="V51" s="21"/>
    </row>
    <row r="52" spans="1:22" ht="16" customHeight="1">
      <c r="A52" s="33" t="s">
        <v>116</v>
      </c>
      <c r="B52" s="48">
        <v>2019</v>
      </c>
      <c r="C52" s="16" t="s">
        <v>5168</v>
      </c>
      <c r="D52" s="16" t="s">
        <v>5188</v>
      </c>
      <c r="E52" s="20">
        <v>1636477</v>
      </c>
      <c r="F52" s="20">
        <v>0</v>
      </c>
      <c r="G52" s="20">
        <f t="shared" si="17"/>
        <v>0</v>
      </c>
      <c r="H52" s="16" t="s">
        <v>252</v>
      </c>
      <c r="I52" t="s">
        <v>665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T52" s="20">
        <f t="shared" si="15"/>
        <v>1636477</v>
      </c>
      <c r="U52" s="20">
        <f t="shared" si="16"/>
        <v>0</v>
      </c>
      <c r="V52" s="21"/>
    </row>
    <row r="53" spans="1:22" s="21" customFormat="1" ht="16" customHeight="1">
      <c r="A53" s="40" t="s">
        <v>439</v>
      </c>
      <c r="B53" s="41" t="s">
        <v>64</v>
      </c>
      <c r="C53" s="16" t="s">
        <v>458</v>
      </c>
      <c r="D53" s="16" t="s">
        <v>64</v>
      </c>
      <c r="E53" s="20">
        <v>0</v>
      </c>
      <c r="F53" s="20">
        <v>0</v>
      </c>
      <c r="G53" s="18">
        <f t="shared" si="17"/>
        <v>0</v>
      </c>
      <c r="H53" s="16" t="s">
        <v>64</v>
      </c>
      <c r="I53" s="16" t="s">
        <v>64</v>
      </c>
      <c r="J53" s="19"/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/>
      <c r="T53" s="20">
        <f t="shared" si="1"/>
        <v>0</v>
      </c>
      <c r="U53" s="20">
        <f t="shared" ref="U53:U64" si="18">G53+Q53+R53</f>
        <v>0</v>
      </c>
    </row>
    <row r="54" spans="1:22" s="21" customFormat="1" ht="16" customHeight="1">
      <c r="A54" s="40" t="s">
        <v>439</v>
      </c>
      <c r="B54" s="41" t="s">
        <v>64</v>
      </c>
      <c r="C54" s="16" t="s">
        <v>459</v>
      </c>
      <c r="D54" s="16" t="s">
        <v>64</v>
      </c>
      <c r="E54" s="20">
        <v>0</v>
      </c>
      <c r="F54" s="20">
        <v>0</v>
      </c>
      <c r="G54" s="18">
        <f t="shared" si="17"/>
        <v>0</v>
      </c>
      <c r="H54" s="16" t="s">
        <v>64</v>
      </c>
      <c r="I54" s="16" t="s">
        <v>64</v>
      </c>
      <c r="J54" s="19"/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/>
      <c r="T54" s="20">
        <f t="shared" si="1"/>
        <v>0</v>
      </c>
      <c r="U54" s="20">
        <f t="shared" si="18"/>
        <v>0</v>
      </c>
    </row>
    <row r="55" spans="1:22" s="21" customFormat="1" ht="16" customHeight="1">
      <c r="A55" s="40" t="s">
        <v>439</v>
      </c>
      <c r="B55" s="41" t="s">
        <v>64</v>
      </c>
      <c r="C55" s="16" t="s">
        <v>460</v>
      </c>
      <c r="D55" s="16" t="s">
        <v>64</v>
      </c>
      <c r="E55" s="20">
        <v>0</v>
      </c>
      <c r="F55" s="20">
        <v>0</v>
      </c>
      <c r="G55" s="18">
        <f t="shared" si="17"/>
        <v>0</v>
      </c>
      <c r="H55" s="16" t="s">
        <v>64</v>
      </c>
      <c r="I55" s="16" t="s">
        <v>64</v>
      </c>
      <c r="J55" s="19"/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/>
      <c r="T55" s="20">
        <f t="shared" si="1"/>
        <v>0</v>
      </c>
      <c r="U55" s="20">
        <f t="shared" si="18"/>
        <v>0</v>
      </c>
    </row>
    <row r="56" spans="1:22" s="21" customFormat="1" ht="16" customHeight="1">
      <c r="A56" s="40" t="s">
        <v>439</v>
      </c>
      <c r="B56" s="41" t="s">
        <v>64</v>
      </c>
      <c r="C56" s="16" t="s">
        <v>123</v>
      </c>
      <c r="D56" s="16" t="s">
        <v>64</v>
      </c>
      <c r="E56" s="20">
        <v>2833974</v>
      </c>
      <c r="F56" s="20">
        <v>0</v>
      </c>
      <c r="G56" s="18">
        <f t="shared" si="17"/>
        <v>0</v>
      </c>
      <c r="H56" s="16" t="s">
        <v>64</v>
      </c>
      <c r="I56" s="16" t="s">
        <v>64</v>
      </c>
      <c r="J56" s="19"/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/>
      <c r="T56" s="20">
        <f t="shared" si="1"/>
        <v>2833974</v>
      </c>
      <c r="U56" s="20">
        <f t="shared" si="18"/>
        <v>0</v>
      </c>
    </row>
    <row r="57" spans="1:22" s="21" customFormat="1" ht="16" customHeight="1">
      <c r="A57" s="40" t="s">
        <v>439</v>
      </c>
      <c r="B57" s="41" t="s">
        <v>64</v>
      </c>
      <c r="C57" s="16" t="s">
        <v>461</v>
      </c>
      <c r="D57" s="16" t="s">
        <v>64</v>
      </c>
      <c r="E57" s="20">
        <v>0</v>
      </c>
      <c r="F57" s="20">
        <v>0</v>
      </c>
      <c r="G57" s="18">
        <f t="shared" si="17"/>
        <v>0</v>
      </c>
      <c r="H57" s="16" t="s">
        <v>64</v>
      </c>
      <c r="I57" s="16" t="s">
        <v>64</v>
      </c>
      <c r="J57" s="19"/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/>
      <c r="T57" s="20">
        <f t="shared" si="1"/>
        <v>0</v>
      </c>
      <c r="U57" s="20">
        <f t="shared" si="18"/>
        <v>0</v>
      </c>
    </row>
    <row r="58" spans="1:22" s="21" customFormat="1" ht="16" customHeight="1">
      <c r="A58" s="40" t="s">
        <v>439</v>
      </c>
      <c r="B58" s="41" t="s">
        <v>64</v>
      </c>
      <c r="C58" s="16" t="s">
        <v>462</v>
      </c>
      <c r="D58" s="16" t="s">
        <v>64</v>
      </c>
      <c r="E58" s="20">
        <v>0</v>
      </c>
      <c r="F58" s="20">
        <v>0</v>
      </c>
      <c r="G58" s="18">
        <f t="shared" si="17"/>
        <v>0</v>
      </c>
      <c r="H58" s="16" t="s">
        <v>64</v>
      </c>
      <c r="I58" s="16" t="s">
        <v>64</v>
      </c>
      <c r="J58" s="19"/>
      <c r="K58" s="20">
        <v>0</v>
      </c>
      <c r="L58" s="20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/>
      <c r="T58" s="20">
        <f t="shared" si="1"/>
        <v>0</v>
      </c>
      <c r="U58" s="20">
        <f t="shared" si="18"/>
        <v>0</v>
      </c>
    </row>
    <row r="59" spans="1:22" s="21" customFormat="1" ht="16" customHeight="1">
      <c r="A59" s="40" t="s">
        <v>439</v>
      </c>
      <c r="B59" s="41" t="s">
        <v>64</v>
      </c>
      <c r="C59" s="16" t="s">
        <v>174</v>
      </c>
      <c r="D59" s="16" t="s">
        <v>64</v>
      </c>
      <c r="E59" s="20">
        <v>0</v>
      </c>
      <c r="F59" s="20">
        <v>0</v>
      </c>
      <c r="G59" s="18">
        <f t="shared" si="17"/>
        <v>0</v>
      </c>
      <c r="H59" s="16" t="s">
        <v>64</v>
      </c>
      <c r="I59" s="16" t="s">
        <v>64</v>
      </c>
      <c r="J59" s="19"/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/>
      <c r="T59" s="20">
        <f t="shared" si="1"/>
        <v>0</v>
      </c>
      <c r="U59" s="20">
        <f t="shared" si="18"/>
        <v>0</v>
      </c>
    </row>
    <row r="60" spans="1:22" s="21" customFormat="1" ht="16" customHeight="1">
      <c r="A60" s="40" t="s">
        <v>439</v>
      </c>
      <c r="B60" s="41" t="s">
        <v>64</v>
      </c>
      <c r="C60" s="16" t="s">
        <v>119</v>
      </c>
      <c r="D60" s="16" t="s">
        <v>64</v>
      </c>
      <c r="E60" s="20">
        <v>0</v>
      </c>
      <c r="F60" s="20">
        <v>0</v>
      </c>
      <c r="G60" s="18">
        <f t="shared" si="17"/>
        <v>0</v>
      </c>
      <c r="H60" s="16" t="s">
        <v>64</v>
      </c>
      <c r="I60" s="16" t="s">
        <v>64</v>
      </c>
      <c r="J60" s="19"/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146401</v>
      </c>
      <c r="Q60" s="20">
        <v>0</v>
      </c>
      <c r="R60" s="20">
        <v>0</v>
      </c>
      <c r="S60" s="20"/>
      <c r="T60" s="20">
        <f t="shared" si="1"/>
        <v>146401</v>
      </c>
      <c r="U60" s="20">
        <f t="shared" si="18"/>
        <v>0</v>
      </c>
    </row>
    <row r="61" spans="1:22" s="21" customFormat="1" ht="16" customHeight="1">
      <c r="A61" s="40" t="s">
        <v>439</v>
      </c>
      <c r="B61" s="41" t="s">
        <v>64</v>
      </c>
      <c r="C61" s="16" t="s">
        <v>119</v>
      </c>
      <c r="D61" s="16" t="s">
        <v>463</v>
      </c>
      <c r="E61" s="20">
        <v>522000</v>
      </c>
      <c r="F61" s="20">
        <v>0</v>
      </c>
      <c r="G61" s="18">
        <f t="shared" si="17"/>
        <v>0</v>
      </c>
      <c r="H61" s="16" t="s">
        <v>64</v>
      </c>
      <c r="I61" s="16" t="s">
        <v>64</v>
      </c>
      <c r="J61" s="19"/>
      <c r="K61" s="20">
        <v>-522000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/>
      <c r="T61" s="20">
        <f t="shared" si="1"/>
        <v>0</v>
      </c>
      <c r="U61" s="20">
        <f t="shared" si="18"/>
        <v>0</v>
      </c>
    </row>
    <row r="62" spans="1:22" s="21" customFormat="1" ht="16" customHeight="1">
      <c r="A62" s="40" t="s">
        <v>439</v>
      </c>
      <c r="B62" s="41" t="s">
        <v>64</v>
      </c>
      <c r="C62" s="16" t="s">
        <v>464</v>
      </c>
      <c r="D62" s="16" t="s">
        <v>64</v>
      </c>
      <c r="E62" s="20">
        <v>0</v>
      </c>
      <c r="F62" s="20">
        <v>0</v>
      </c>
      <c r="G62" s="18">
        <f t="shared" si="17"/>
        <v>0</v>
      </c>
      <c r="H62" s="16" t="s">
        <v>64</v>
      </c>
      <c r="I62" s="16" t="s">
        <v>64</v>
      </c>
      <c r="J62" s="19"/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/>
      <c r="T62" s="20">
        <f t="shared" si="1"/>
        <v>0</v>
      </c>
      <c r="U62" s="20">
        <f t="shared" si="18"/>
        <v>0</v>
      </c>
    </row>
    <row r="63" spans="1:22" s="21" customFormat="1" ht="16" customHeight="1">
      <c r="A63" s="40" t="s">
        <v>439</v>
      </c>
      <c r="B63" s="41" t="s">
        <v>64</v>
      </c>
      <c r="C63" s="16" t="s">
        <v>126</v>
      </c>
      <c r="D63" s="16" t="s">
        <v>64</v>
      </c>
      <c r="E63" s="20">
        <v>0</v>
      </c>
      <c r="F63" s="20">
        <v>0</v>
      </c>
      <c r="G63" s="18">
        <f t="shared" si="17"/>
        <v>0</v>
      </c>
      <c r="H63" s="16" t="s">
        <v>64</v>
      </c>
      <c r="I63" s="16" t="s">
        <v>64</v>
      </c>
      <c r="J63" s="19"/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/>
      <c r="T63" s="20">
        <f t="shared" si="1"/>
        <v>0</v>
      </c>
      <c r="U63" s="20">
        <f t="shared" si="18"/>
        <v>0</v>
      </c>
    </row>
    <row r="64" spans="1:22" s="21" customFormat="1" ht="16" customHeight="1">
      <c r="A64" s="40" t="s">
        <v>439</v>
      </c>
      <c r="B64" s="41" t="s">
        <v>64</v>
      </c>
      <c r="C64" s="16" t="s">
        <v>128</v>
      </c>
      <c r="D64" s="16" t="s">
        <v>64</v>
      </c>
      <c r="E64" s="20">
        <v>0</v>
      </c>
      <c r="F64" s="20">
        <v>0</v>
      </c>
      <c r="G64" s="18">
        <f t="shared" si="17"/>
        <v>0</v>
      </c>
      <c r="H64" s="16" t="s">
        <v>64</v>
      </c>
      <c r="I64" s="16" t="s">
        <v>64</v>
      </c>
      <c r="J64" s="19"/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/>
      <c r="T64" s="20">
        <f t="shared" si="1"/>
        <v>0</v>
      </c>
      <c r="U64" s="20">
        <f t="shared" si="18"/>
        <v>0</v>
      </c>
    </row>
    <row r="65" spans="1:23" s="21" customFormat="1" ht="16" customHeight="1">
      <c r="A65" s="40" t="s">
        <v>439</v>
      </c>
      <c r="B65" s="41" t="s">
        <v>64</v>
      </c>
      <c r="C65" s="16" t="s">
        <v>247</v>
      </c>
      <c r="D65" s="16" t="s">
        <v>997</v>
      </c>
      <c r="E65" s="20">
        <v>56733600</v>
      </c>
      <c r="F65" s="20">
        <v>0</v>
      </c>
      <c r="G65" s="18">
        <f t="shared" si="17"/>
        <v>0</v>
      </c>
      <c r="H65" s="16" t="s">
        <v>64</v>
      </c>
      <c r="I65" s="16" t="s">
        <v>64</v>
      </c>
      <c r="J65" s="19"/>
      <c r="K65" s="20">
        <v>-79604509</v>
      </c>
      <c r="L65" s="20">
        <v>0</v>
      </c>
      <c r="M65" s="20">
        <v>0</v>
      </c>
      <c r="N65" s="20">
        <v>0</v>
      </c>
      <c r="O65" s="20">
        <v>0</v>
      </c>
      <c r="P65" s="20">
        <v>22870909</v>
      </c>
      <c r="Q65" s="20">
        <v>0</v>
      </c>
      <c r="R65" s="20">
        <v>0</v>
      </c>
      <c r="S65" s="20"/>
      <c r="T65" s="20">
        <f t="shared" si="1"/>
        <v>0</v>
      </c>
      <c r="U65" s="20">
        <f t="shared" ref="U65" si="19">G65+Q65+R65</f>
        <v>0</v>
      </c>
      <c r="V65" s="47" t="s">
        <v>64</v>
      </c>
      <c r="W65" s="47" t="s">
        <v>64</v>
      </c>
    </row>
    <row r="66" spans="1:23" s="21" customFormat="1" ht="16" customHeight="1">
      <c r="A66" s="40" t="s">
        <v>439</v>
      </c>
      <c r="B66" s="41" t="s">
        <v>64</v>
      </c>
      <c r="C66" s="16" t="s">
        <v>4499</v>
      </c>
      <c r="D66" s="16" t="s">
        <v>4500</v>
      </c>
      <c r="E66" s="20">
        <v>0</v>
      </c>
      <c r="F66" s="20">
        <v>0</v>
      </c>
      <c r="G66" s="18">
        <f t="shared" si="17"/>
        <v>0</v>
      </c>
      <c r="H66" s="16" t="s">
        <v>64</v>
      </c>
      <c r="I66" s="16" t="s">
        <v>64</v>
      </c>
      <c r="J66" s="19"/>
      <c r="K66" s="20">
        <v>-289582000</v>
      </c>
      <c r="L66" s="20">
        <v>0</v>
      </c>
      <c r="M66" s="20">
        <v>0</v>
      </c>
      <c r="N66" s="20">
        <v>300771667</v>
      </c>
      <c r="O66" s="20">
        <v>0</v>
      </c>
      <c r="P66" s="20">
        <v>-11189667</v>
      </c>
      <c r="Q66" s="20">
        <v>0</v>
      </c>
      <c r="R66" s="20">
        <v>0</v>
      </c>
      <c r="S66" s="20"/>
      <c r="T66" s="20">
        <f t="shared" si="1"/>
        <v>0</v>
      </c>
      <c r="U66" s="20">
        <f t="shared" ref="U66" si="20">G66+Q66+R66</f>
        <v>0</v>
      </c>
    </row>
    <row r="67" spans="1:23" s="21" customFormat="1" ht="16" customHeight="1">
      <c r="A67" s="57" t="s">
        <v>246</v>
      </c>
      <c r="B67" s="48">
        <v>2019</v>
      </c>
      <c r="C67" s="16" t="s">
        <v>247</v>
      </c>
      <c r="D67" s="13" t="s">
        <v>466</v>
      </c>
      <c r="E67" s="20">
        <v>12880000</v>
      </c>
      <c r="F67" s="20">
        <v>0</v>
      </c>
      <c r="G67" s="20">
        <f t="shared" si="17"/>
        <v>0</v>
      </c>
      <c r="H67" s="16" t="s">
        <v>64</v>
      </c>
      <c r="I67" s="16" t="s">
        <v>64</v>
      </c>
      <c r="J67" s="19"/>
      <c r="K67" s="20">
        <v>-12880000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/>
      <c r="T67" s="20">
        <f t="shared" si="1"/>
        <v>0</v>
      </c>
      <c r="U67" s="20">
        <f t="shared" ref="U67:U169" si="21">G67+Q67+R67</f>
        <v>0</v>
      </c>
    </row>
    <row r="68" spans="1:23" s="21" customFormat="1" ht="16" customHeight="1">
      <c r="A68" s="40" t="s">
        <v>116</v>
      </c>
      <c r="B68" s="41">
        <v>2020</v>
      </c>
      <c r="C68" s="16" t="s">
        <v>0</v>
      </c>
      <c r="D68" s="16" t="s">
        <v>8</v>
      </c>
      <c r="E68" s="20">
        <v>1000000</v>
      </c>
      <c r="F68" s="20">
        <v>0</v>
      </c>
      <c r="G68" s="18">
        <f t="shared" ref="G68:G72" si="22">(F68*$G$3)/$D$536</f>
        <v>0</v>
      </c>
      <c r="H68" s="16" t="s">
        <v>319</v>
      </c>
      <c r="I68" t="s">
        <v>117</v>
      </c>
      <c r="J68" s="19"/>
      <c r="K68" s="20">
        <v>-1000000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/>
      <c r="T68" s="20">
        <f t="shared" si="1"/>
        <v>0</v>
      </c>
      <c r="U68" s="20">
        <f t="shared" si="21"/>
        <v>0</v>
      </c>
    </row>
    <row r="69" spans="1:23" s="21" customFormat="1" ht="16" customHeight="1">
      <c r="A69" s="40" t="s">
        <v>116</v>
      </c>
      <c r="B69" s="41">
        <v>2020</v>
      </c>
      <c r="C69" s="16" t="s">
        <v>0</v>
      </c>
      <c r="D69" s="16" t="s">
        <v>30</v>
      </c>
      <c r="E69" s="20">
        <v>620000</v>
      </c>
      <c r="F69" s="20">
        <v>0</v>
      </c>
      <c r="G69" s="18">
        <f t="shared" si="22"/>
        <v>0</v>
      </c>
      <c r="H69" s="16" t="s">
        <v>248</v>
      </c>
      <c r="I69" t="s">
        <v>130</v>
      </c>
      <c r="J69" s="19"/>
      <c r="K69" s="20">
        <v>-620000</v>
      </c>
      <c r="L69" s="20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/>
      <c r="T69" s="20">
        <f t="shared" si="1"/>
        <v>0</v>
      </c>
      <c r="U69" s="20">
        <f t="shared" si="21"/>
        <v>0</v>
      </c>
    </row>
    <row r="70" spans="1:23" s="21" customFormat="1" ht="16" customHeight="1">
      <c r="A70" s="40" t="s">
        <v>116</v>
      </c>
      <c r="B70" s="41">
        <v>2020</v>
      </c>
      <c r="C70" s="16" t="s">
        <v>0</v>
      </c>
      <c r="D70" s="16" t="s">
        <v>31</v>
      </c>
      <c r="E70" s="20">
        <v>450000</v>
      </c>
      <c r="F70" s="20">
        <v>0</v>
      </c>
      <c r="G70" s="18">
        <f t="shared" si="22"/>
        <v>0</v>
      </c>
      <c r="H70" s="16" t="s">
        <v>248</v>
      </c>
      <c r="I70" t="s">
        <v>130</v>
      </c>
      <c r="J70" s="19"/>
      <c r="K70" s="20">
        <v>-450000</v>
      </c>
      <c r="L70" s="20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/>
      <c r="T70" s="20">
        <f t="shared" si="1"/>
        <v>0</v>
      </c>
      <c r="U70" s="20">
        <f t="shared" si="21"/>
        <v>0</v>
      </c>
    </row>
    <row r="71" spans="1:23" s="21" customFormat="1" ht="16" customHeight="1">
      <c r="A71" s="40" t="s">
        <v>116</v>
      </c>
      <c r="B71" s="41">
        <v>2020</v>
      </c>
      <c r="C71" s="16" t="s">
        <v>0</v>
      </c>
      <c r="D71" s="16" t="s">
        <v>32</v>
      </c>
      <c r="E71" s="20">
        <v>2895000</v>
      </c>
      <c r="F71" s="20">
        <v>0</v>
      </c>
      <c r="G71" s="18">
        <f t="shared" si="22"/>
        <v>0</v>
      </c>
      <c r="H71" s="16" t="s">
        <v>248</v>
      </c>
      <c r="I71" t="s">
        <v>130</v>
      </c>
      <c r="J71" s="19"/>
      <c r="K71" s="20">
        <v>-2895000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/>
      <c r="T71" s="20">
        <f t="shared" si="1"/>
        <v>0</v>
      </c>
      <c r="U71" s="20">
        <f t="shared" si="21"/>
        <v>0</v>
      </c>
    </row>
    <row r="72" spans="1:23" s="21" customFormat="1" ht="16" customHeight="1">
      <c r="A72" s="40" t="s">
        <v>116</v>
      </c>
      <c r="B72" s="41">
        <v>2020</v>
      </c>
      <c r="C72" s="16" t="s">
        <v>0</v>
      </c>
      <c r="D72" s="16" t="s">
        <v>50</v>
      </c>
      <c r="E72" s="20">
        <v>712501</v>
      </c>
      <c r="F72" s="20">
        <v>0</v>
      </c>
      <c r="G72" s="18">
        <f t="shared" si="22"/>
        <v>0</v>
      </c>
      <c r="H72" s="16" t="s">
        <v>319</v>
      </c>
      <c r="I72" t="s">
        <v>136</v>
      </c>
      <c r="J72" s="19"/>
      <c r="K72" s="20">
        <v>-712501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/>
      <c r="T72" s="20">
        <f t="shared" si="1"/>
        <v>0</v>
      </c>
      <c r="U72" s="20">
        <f t="shared" si="21"/>
        <v>0</v>
      </c>
    </row>
    <row r="73" spans="1:23" ht="16" customHeight="1">
      <c r="A73" s="33" t="s">
        <v>116</v>
      </c>
      <c r="B73" s="15">
        <v>2020</v>
      </c>
      <c r="C73" s="43" t="s">
        <v>467</v>
      </c>
      <c r="D73" s="7" t="s">
        <v>468</v>
      </c>
      <c r="E73" s="8">
        <v>3500000</v>
      </c>
      <c r="F73" s="20">
        <v>0</v>
      </c>
      <c r="G73" s="20">
        <v>0</v>
      </c>
      <c r="H73" s="16" t="s">
        <v>319</v>
      </c>
      <c r="I73" s="46" t="s">
        <v>467</v>
      </c>
      <c r="K73" s="20">
        <v>0</v>
      </c>
      <c r="L73" s="8">
        <v>-3500000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T73" s="20">
        <f t="shared" si="1"/>
        <v>0</v>
      </c>
      <c r="U73" s="20">
        <f t="shared" si="21"/>
        <v>0</v>
      </c>
      <c r="V73" s="21"/>
      <c r="W73" s="19"/>
    </row>
    <row r="74" spans="1:23" ht="16" customHeight="1">
      <c r="A74" s="33" t="s">
        <v>116</v>
      </c>
      <c r="B74" s="15">
        <v>2020</v>
      </c>
      <c r="C74" s="43" t="s">
        <v>469</v>
      </c>
      <c r="D74" s="7" t="s">
        <v>470</v>
      </c>
      <c r="E74" s="8">
        <v>747500</v>
      </c>
      <c r="F74" s="20">
        <v>0</v>
      </c>
      <c r="G74" s="20">
        <v>0</v>
      </c>
      <c r="H74" s="16" t="s">
        <v>319</v>
      </c>
      <c r="I74" s="46" t="s">
        <v>244</v>
      </c>
      <c r="K74" s="8">
        <v>-747500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T74" s="20">
        <f t="shared" si="1"/>
        <v>0</v>
      </c>
      <c r="U74" s="20">
        <f t="shared" si="21"/>
        <v>0</v>
      </c>
      <c r="V74" s="21"/>
      <c r="W74" s="19"/>
    </row>
    <row r="75" spans="1:23" ht="16" customHeight="1">
      <c r="A75" s="33" t="s">
        <v>116</v>
      </c>
      <c r="B75" s="15">
        <v>2020</v>
      </c>
      <c r="C75" s="43" t="s">
        <v>467</v>
      </c>
      <c r="D75" s="7" t="s">
        <v>471</v>
      </c>
      <c r="E75" s="8">
        <v>3500000</v>
      </c>
      <c r="F75" s="20">
        <v>0</v>
      </c>
      <c r="G75" s="20">
        <v>0</v>
      </c>
      <c r="H75" s="16" t="s">
        <v>319</v>
      </c>
      <c r="I75" s="46" t="s">
        <v>467</v>
      </c>
      <c r="K75" s="20">
        <v>0</v>
      </c>
      <c r="L75" s="8">
        <v>-3500000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T75" s="20">
        <f t="shared" si="1"/>
        <v>0</v>
      </c>
      <c r="U75" s="20">
        <f t="shared" si="21"/>
        <v>0</v>
      </c>
      <c r="V75" s="21"/>
      <c r="W75" s="19"/>
    </row>
    <row r="76" spans="1:23" ht="16" customHeight="1">
      <c r="A76" s="33" t="s">
        <v>116</v>
      </c>
      <c r="B76" s="15">
        <v>2020</v>
      </c>
      <c r="C76" s="43" t="s">
        <v>64</v>
      </c>
      <c r="D76" s="7" t="s">
        <v>472</v>
      </c>
      <c r="E76" s="8">
        <v>303450</v>
      </c>
      <c r="F76" s="20">
        <v>0</v>
      </c>
      <c r="G76" s="20">
        <v>0</v>
      </c>
      <c r="H76" s="16" t="s">
        <v>319</v>
      </c>
      <c r="I76" s="46" t="s">
        <v>117</v>
      </c>
      <c r="K76" s="20">
        <v>0</v>
      </c>
      <c r="L76" s="20">
        <v>0</v>
      </c>
      <c r="M76" s="20">
        <v>0</v>
      </c>
      <c r="N76" s="20">
        <v>0</v>
      </c>
      <c r="O76" s="20">
        <v>-303450</v>
      </c>
      <c r="P76" s="20">
        <v>0</v>
      </c>
      <c r="Q76" s="20">
        <v>0</v>
      </c>
      <c r="R76" s="20">
        <v>0</v>
      </c>
      <c r="T76" s="20">
        <f t="shared" si="1"/>
        <v>0</v>
      </c>
      <c r="U76" s="20">
        <f t="shared" si="21"/>
        <v>0</v>
      </c>
      <c r="V76" s="21"/>
      <c r="W76" s="19"/>
    </row>
    <row r="77" spans="1:23" ht="16" customHeight="1">
      <c r="A77" s="33" t="s">
        <v>116</v>
      </c>
      <c r="B77" s="15">
        <v>2020</v>
      </c>
      <c r="C77" s="43" t="s">
        <v>64</v>
      </c>
      <c r="D77" s="7" t="s">
        <v>473</v>
      </c>
      <c r="E77" s="8">
        <v>199950</v>
      </c>
      <c r="F77" s="20">
        <v>0</v>
      </c>
      <c r="G77" s="20">
        <v>0</v>
      </c>
      <c r="H77" s="16" t="s">
        <v>319</v>
      </c>
      <c r="I77" s="46" t="s">
        <v>117</v>
      </c>
      <c r="K77" s="20">
        <v>0</v>
      </c>
      <c r="L77" s="20">
        <v>0</v>
      </c>
      <c r="M77" s="20">
        <v>0</v>
      </c>
      <c r="N77" s="20">
        <v>0</v>
      </c>
      <c r="O77" s="20">
        <v>-199950</v>
      </c>
      <c r="P77" s="20">
        <v>0</v>
      </c>
      <c r="Q77" s="20">
        <v>0</v>
      </c>
      <c r="R77" s="20">
        <v>0</v>
      </c>
      <c r="T77" s="20">
        <f t="shared" si="1"/>
        <v>0</v>
      </c>
      <c r="U77" s="20">
        <f t="shared" si="21"/>
        <v>0</v>
      </c>
      <c r="V77" s="21"/>
      <c r="W77" s="19"/>
    </row>
    <row r="78" spans="1:23" ht="16" customHeight="1">
      <c r="A78" s="33" t="s">
        <v>116</v>
      </c>
      <c r="B78" s="15">
        <v>2020</v>
      </c>
      <c r="C78" s="43" t="s">
        <v>64</v>
      </c>
      <c r="D78" s="7" t="s">
        <v>474</v>
      </c>
      <c r="E78" s="8">
        <v>550024</v>
      </c>
      <c r="F78" s="20">
        <v>0</v>
      </c>
      <c r="G78" s="20">
        <v>0</v>
      </c>
      <c r="H78" s="16" t="s">
        <v>319</v>
      </c>
      <c r="I78" s="46" t="s">
        <v>117</v>
      </c>
      <c r="K78" s="20">
        <v>-550024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T78" s="20">
        <f t="shared" si="1"/>
        <v>0</v>
      </c>
      <c r="U78" s="20">
        <f t="shared" si="21"/>
        <v>0</v>
      </c>
      <c r="V78" s="21"/>
      <c r="W78" s="19"/>
    </row>
    <row r="79" spans="1:23" ht="16" customHeight="1">
      <c r="A79" s="33" t="s">
        <v>116</v>
      </c>
      <c r="B79" s="15">
        <v>2020</v>
      </c>
      <c r="C79" s="43" t="s">
        <v>64</v>
      </c>
      <c r="D79" s="7" t="s">
        <v>475</v>
      </c>
      <c r="E79" s="8">
        <v>45903</v>
      </c>
      <c r="F79" s="20">
        <v>0</v>
      </c>
      <c r="G79" s="20">
        <v>0</v>
      </c>
      <c r="H79" s="16" t="s">
        <v>248</v>
      </c>
      <c r="I79" s="46" t="s">
        <v>407</v>
      </c>
      <c r="K79" s="20">
        <v>0</v>
      </c>
      <c r="L79" s="20">
        <v>0</v>
      </c>
      <c r="M79" s="20">
        <v>0</v>
      </c>
      <c r="N79" s="20">
        <v>0</v>
      </c>
      <c r="O79" s="20">
        <v>-45903</v>
      </c>
      <c r="P79" s="20">
        <v>0</v>
      </c>
      <c r="Q79" s="20">
        <v>0</v>
      </c>
      <c r="R79" s="20">
        <v>0</v>
      </c>
      <c r="T79" s="20">
        <f t="shared" si="1"/>
        <v>0</v>
      </c>
      <c r="U79" s="20">
        <f t="shared" si="21"/>
        <v>0</v>
      </c>
      <c r="V79" s="21"/>
      <c r="W79" s="19"/>
    </row>
    <row r="80" spans="1:23" ht="16" customHeight="1">
      <c r="A80" s="33" t="s">
        <v>116</v>
      </c>
      <c r="B80" s="15">
        <v>2020</v>
      </c>
      <c r="C80" s="43" t="s">
        <v>64</v>
      </c>
      <c r="D80" s="7" t="s">
        <v>476</v>
      </c>
      <c r="E80" s="8">
        <v>387000</v>
      </c>
      <c r="F80" s="20">
        <v>0</v>
      </c>
      <c r="G80" s="20">
        <v>0</v>
      </c>
      <c r="H80" s="16" t="s">
        <v>248</v>
      </c>
      <c r="I80" s="46" t="s">
        <v>407</v>
      </c>
      <c r="K80" s="20">
        <v>0</v>
      </c>
      <c r="L80" s="20">
        <v>0</v>
      </c>
      <c r="M80" s="20">
        <v>0</v>
      </c>
      <c r="N80" s="20">
        <v>0</v>
      </c>
      <c r="O80" s="20">
        <v>-387000</v>
      </c>
      <c r="P80" s="20">
        <v>0</v>
      </c>
      <c r="Q80" s="20">
        <v>0</v>
      </c>
      <c r="R80" s="20">
        <v>0</v>
      </c>
      <c r="T80" s="20">
        <f t="shared" si="1"/>
        <v>0</v>
      </c>
      <c r="U80" s="20">
        <f t="shared" si="21"/>
        <v>0</v>
      </c>
      <c r="V80" s="21"/>
      <c r="W80" s="19"/>
    </row>
    <row r="81" spans="1:23" ht="16" customHeight="1">
      <c r="A81" s="33" t="s">
        <v>116</v>
      </c>
      <c r="B81" s="15">
        <v>2020</v>
      </c>
      <c r="C81" s="43" t="s">
        <v>149</v>
      </c>
      <c r="D81" s="7" t="s">
        <v>477</v>
      </c>
      <c r="E81" s="8">
        <v>12101168</v>
      </c>
      <c r="F81" s="20">
        <v>0</v>
      </c>
      <c r="G81" s="20">
        <v>0</v>
      </c>
      <c r="H81" s="16" t="s">
        <v>113</v>
      </c>
      <c r="I81" s="46" t="s">
        <v>478</v>
      </c>
      <c r="K81" s="20">
        <v>0</v>
      </c>
      <c r="L81" s="20">
        <v>-12101168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T81" s="20">
        <f t="shared" si="1"/>
        <v>0</v>
      </c>
      <c r="U81" s="20">
        <f t="shared" si="21"/>
        <v>0</v>
      </c>
      <c r="V81" s="21"/>
      <c r="W81" s="19"/>
    </row>
    <row r="82" spans="1:23" ht="16" customHeight="1">
      <c r="A82" s="33" t="s">
        <v>116</v>
      </c>
      <c r="B82" s="15">
        <v>2020</v>
      </c>
      <c r="C82" s="43" t="s">
        <v>1524</v>
      </c>
      <c r="D82" s="7" t="s">
        <v>1525</v>
      </c>
      <c r="E82" s="8">
        <v>30502355</v>
      </c>
      <c r="F82" s="20">
        <v>0</v>
      </c>
      <c r="G82" s="20">
        <v>0</v>
      </c>
      <c r="H82" s="16" t="s">
        <v>248</v>
      </c>
      <c r="I82" s="46" t="s">
        <v>249</v>
      </c>
      <c r="K82" s="20">
        <v>0</v>
      </c>
      <c r="L82" s="20">
        <v>-30502355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T82" s="20">
        <f t="shared" si="1"/>
        <v>0</v>
      </c>
      <c r="U82" s="20">
        <f t="shared" ref="U82" si="23">G82+Q82+R82</f>
        <v>0</v>
      </c>
      <c r="V82" s="21"/>
      <c r="W82" s="19"/>
    </row>
    <row r="83" spans="1:23" ht="16" customHeight="1">
      <c r="A83" s="33" t="s">
        <v>116</v>
      </c>
      <c r="B83" s="15">
        <v>2020</v>
      </c>
      <c r="C83" s="43" t="s">
        <v>1524</v>
      </c>
      <c r="D83" s="7" t="s">
        <v>4863</v>
      </c>
      <c r="E83" s="8">
        <v>13240742</v>
      </c>
      <c r="F83" s="20">
        <v>0</v>
      </c>
      <c r="G83" s="20">
        <v>0</v>
      </c>
      <c r="H83" s="16" t="s">
        <v>248</v>
      </c>
      <c r="I83" s="46" t="s">
        <v>249</v>
      </c>
      <c r="K83" s="20">
        <v>0</v>
      </c>
      <c r="L83" s="20">
        <v>-13240742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T83" s="20">
        <f t="shared" si="1"/>
        <v>0</v>
      </c>
      <c r="U83" s="20">
        <f t="shared" ref="U83" si="24">G83+Q83+R83</f>
        <v>0</v>
      </c>
      <c r="V83" s="21"/>
      <c r="W83" s="19"/>
    </row>
    <row r="84" spans="1:23" s="21" customFormat="1" ht="16" customHeight="1">
      <c r="A84" s="33" t="s">
        <v>116</v>
      </c>
      <c r="B84" s="48">
        <v>2021</v>
      </c>
      <c r="C84" s="16" t="s">
        <v>4712</v>
      </c>
      <c r="D84" s="168" t="s">
        <v>4713</v>
      </c>
      <c r="E84" s="20">
        <f>61004710</f>
        <v>61004710</v>
      </c>
      <c r="F84" s="20">
        <v>0</v>
      </c>
      <c r="G84" s="20">
        <f t="shared" ref="G84:G112" si="25">(F84*$G$3)/$D$536</f>
        <v>0</v>
      </c>
      <c r="H84" s="16" t="s">
        <v>248</v>
      </c>
      <c r="I84" t="s">
        <v>249</v>
      </c>
      <c r="J84" s="19"/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/>
      <c r="T84" s="20">
        <f t="shared" ref="T84:T89" si="26">E84+K84+L84+M84+N84+O84+P84</f>
        <v>61004710</v>
      </c>
      <c r="U84" s="20">
        <f>G84+Q84+R84</f>
        <v>0</v>
      </c>
    </row>
    <row r="85" spans="1:23" s="21" customFormat="1" ht="16" customHeight="1">
      <c r="A85" s="33" t="s">
        <v>116</v>
      </c>
      <c r="B85" s="48">
        <v>2021</v>
      </c>
      <c r="C85" s="16" t="s">
        <v>4712</v>
      </c>
      <c r="D85" s="168" t="s">
        <v>5109</v>
      </c>
      <c r="E85" s="20">
        <v>13240742</v>
      </c>
      <c r="F85" s="20">
        <v>0</v>
      </c>
      <c r="G85" s="20">
        <f t="shared" si="25"/>
        <v>0</v>
      </c>
      <c r="H85" s="16" t="s">
        <v>248</v>
      </c>
      <c r="I85" t="s">
        <v>249</v>
      </c>
      <c r="J85" s="19"/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/>
      <c r="T85" s="20">
        <f t="shared" si="26"/>
        <v>13240742</v>
      </c>
      <c r="U85" s="20">
        <f>G85+Q85+R85</f>
        <v>0</v>
      </c>
    </row>
    <row r="86" spans="1:23" s="21" customFormat="1" ht="16" customHeight="1">
      <c r="A86" s="33" t="s">
        <v>116</v>
      </c>
      <c r="B86" s="48">
        <v>2021</v>
      </c>
      <c r="C86" s="16" t="s">
        <v>4712</v>
      </c>
      <c r="D86" s="168" t="s">
        <v>5110</v>
      </c>
      <c r="E86" s="20">
        <v>303906</v>
      </c>
      <c r="F86" s="20">
        <v>0</v>
      </c>
      <c r="G86" s="20">
        <f t="shared" si="25"/>
        <v>0</v>
      </c>
      <c r="H86" s="16" t="s">
        <v>248</v>
      </c>
      <c r="I86" t="s">
        <v>249</v>
      </c>
      <c r="J86" s="19"/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/>
      <c r="T86" s="20">
        <f t="shared" si="26"/>
        <v>303906</v>
      </c>
      <c r="U86" s="20">
        <f>G86+Q86+R86</f>
        <v>0</v>
      </c>
    </row>
    <row r="87" spans="1:23" s="21" customFormat="1" ht="16" customHeight="1">
      <c r="A87" s="33" t="s">
        <v>116</v>
      </c>
      <c r="B87" s="48">
        <v>2020</v>
      </c>
      <c r="C87" s="16" t="s">
        <v>4712</v>
      </c>
      <c r="D87" s="168" t="s">
        <v>4715</v>
      </c>
      <c r="E87" s="20">
        <v>221946</v>
      </c>
      <c r="F87" s="20">
        <v>0</v>
      </c>
      <c r="G87" s="20">
        <f t="shared" si="25"/>
        <v>0</v>
      </c>
      <c r="H87" s="16" t="s">
        <v>252</v>
      </c>
      <c r="I87" t="s">
        <v>665</v>
      </c>
      <c r="J87" s="19"/>
      <c r="K87" s="20">
        <v>0</v>
      </c>
      <c r="L87" s="20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/>
      <c r="T87" s="20">
        <f t="shared" si="26"/>
        <v>221946</v>
      </c>
      <c r="U87" s="20">
        <f t="shared" ref="U87" si="27">G87+Q87+R87</f>
        <v>0</v>
      </c>
    </row>
    <row r="88" spans="1:23" s="21" customFormat="1" ht="16" customHeight="1">
      <c r="A88" s="33" t="s">
        <v>116</v>
      </c>
      <c r="B88" s="48">
        <v>2020</v>
      </c>
      <c r="C88" s="16" t="s">
        <v>4712</v>
      </c>
      <c r="D88" s="168" t="s">
        <v>4716</v>
      </c>
      <c r="E88" s="20">
        <v>272033</v>
      </c>
      <c r="F88" s="20">
        <v>0</v>
      </c>
      <c r="G88" s="20">
        <f t="shared" si="25"/>
        <v>0</v>
      </c>
      <c r="H88" s="16" t="s">
        <v>252</v>
      </c>
      <c r="I88" t="s">
        <v>665</v>
      </c>
      <c r="J88" s="19"/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/>
      <c r="T88" s="20">
        <f t="shared" si="26"/>
        <v>272033</v>
      </c>
      <c r="U88" s="20">
        <f>G88+Q88+R88</f>
        <v>0</v>
      </c>
    </row>
    <row r="89" spans="1:23" s="21" customFormat="1" ht="16" customHeight="1">
      <c r="A89" s="33" t="s">
        <v>116</v>
      </c>
      <c r="B89" s="48">
        <v>2020</v>
      </c>
      <c r="C89" s="16" t="s">
        <v>4712</v>
      </c>
      <c r="D89" s="168" t="s">
        <v>4717</v>
      </c>
      <c r="E89" s="20">
        <v>1114441</v>
      </c>
      <c r="F89" s="20">
        <v>0</v>
      </c>
      <c r="G89" s="20">
        <f t="shared" si="25"/>
        <v>0</v>
      </c>
      <c r="H89" s="16" t="s">
        <v>252</v>
      </c>
      <c r="I89" t="s">
        <v>665</v>
      </c>
      <c r="J89" s="19"/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/>
      <c r="T89" s="20">
        <f t="shared" si="26"/>
        <v>1114441</v>
      </c>
      <c r="U89" s="20">
        <f t="shared" ref="U89" si="28">G89+Q89+R89</f>
        <v>0</v>
      </c>
    </row>
    <row r="90" spans="1:23" s="21" customFormat="1" ht="16" customHeight="1">
      <c r="A90" s="33" t="s">
        <v>116</v>
      </c>
      <c r="B90" s="48">
        <v>2020</v>
      </c>
      <c r="C90" s="16" t="s">
        <v>4712</v>
      </c>
      <c r="D90" s="61" t="s">
        <v>5118</v>
      </c>
      <c r="E90" s="8">
        <v>341578</v>
      </c>
      <c r="F90" s="20">
        <v>0</v>
      </c>
      <c r="G90" s="20">
        <f t="shared" si="25"/>
        <v>0</v>
      </c>
      <c r="H90" s="16" t="s">
        <v>252</v>
      </c>
      <c r="I90" t="s">
        <v>665</v>
      </c>
      <c r="J90" s="19"/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/>
      <c r="T90" s="20">
        <f t="shared" ref="T90" si="29">E90+K90+L90+M90+N90+O90+P90</f>
        <v>341578</v>
      </c>
      <c r="U90" s="20">
        <f t="shared" ref="U90" si="30">G90+Q90+R90</f>
        <v>0</v>
      </c>
    </row>
    <row r="91" spans="1:23" s="21" customFormat="1" ht="16" customHeight="1">
      <c r="A91" s="33" t="s">
        <v>116</v>
      </c>
      <c r="B91" s="48">
        <v>2020</v>
      </c>
      <c r="C91" s="16" t="s">
        <v>4712</v>
      </c>
      <c r="D91" s="61" t="s">
        <v>5139</v>
      </c>
      <c r="E91" s="8">
        <v>2764742</v>
      </c>
      <c r="F91" s="20">
        <v>0</v>
      </c>
      <c r="G91" s="20">
        <f t="shared" si="25"/>
        <v>0</v>
      </c>
      <c r="H91" s="16" t="s">
        <v>252</v>
      </c>
      <c r="I91" t="s">
        <v>665</v>
      </c>
      <c r="J91" s="19"/>
      <c r="K91" s="20">
        <v>0</v>
      </c>
      <c r="L91" s="20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/>
      <c r="T91" s="20">
        <f t="shared" ref="T91" si="31">E91+K91+L91+M91+N91+O91+P91</f>
        <v>2764742</v>
      </c>
      <c r="U91" s="20">
        <f t="shared" ref="U91" si="32">G91+Q91+R91</f>
        <v>0</v>
      </c>
    </row>
    <row r="92" spans="1:23" s="21" customFormat="1" ht="16" customHeight="1">
      <c r="A92" s="33" t="s">
        <v>116</v>
      </c>
      <c r="B92" s="48">
        <v>2020</v>
      </c>
      <c r="C92" s="16" t="s">
        <v>4712</v>
      </c>
      <c r="D92" s="61" t="s">
        <v>5140</v>
      </c>
      <c r="E92" s="8">
        <v>500000</v>
      </c>
      <c r="F92" s="20">
        <v>0</v>
      </c>
      <c r="G92" s="20">
        <f t="shared" si="25"/>
        <v>0</v>
      </c>
      <c r="H92" s="16" t="s">
        <v>252</v>
      </c>
      <c r="I92" t="s">
        <v>665</v>
      </c>
      <c r="J92" s="19"/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/>
      <c r="T92" s="20">
        <f t="shared" ref="T92:T112" si="33">E92+K92+L92+M92+N92+O92+P92</f>
        <v>500000</v>
      </c>
      <c r="U92" s="20">
        <f t="shared" ref="U92:U112" si="34">G92+Q92+R92</f>
        <v>0</v>
      </c>
    </row>
    <row r="93" spans="1:23" s="21" customFormat="1" ht="16" customHeight="1">
      <c r="A93" s="33" t="s">
        <v>116</v>
      </c>
      <c r="B93" s="48">
        <v>2020</v>
      </c>
      <c r="C93" s="16" t="s">
        <v>4712</v>
      </c>
      <c r="D93" s="61" t="s">
        <v>5141</v>
      </c>
      <c r="E93" s="8">
        <v>957471</v>
      </c>
      <c r="F93" s="20">
        <v>0</v>
      </c>
      <c r="G93" s="20">
        <f t="shared" si="25"/>
        <v>0</v>
      </c>
      <c r="H93" s="16" t="s">
        <v>252</v>
      </c>
      <c r="I93" t="s">
        <v>665</v>
      </c>
      <c r="J93" s="19"/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/>
      <c r="T93" s="20">
        <f t="shared" si="33"/>
        <v>957471</v>
      </c>
      <c r="U93" s="20">
        <f t="shared" si="34"/>
        <v>0</v>
      </c>
    </row>
    <row r="94" spans="1:23" s="21" customFormat="1" ht="16" customHeight="1">
      <c r="A94" s="33" t="s">
        <v>116</v>
      </c>
      <c r="B94" s="48">
        <v>2020</v>
      </c>
      <c r="C94" s="16" t="s">
        <v>4712</v>
      </c>
      <c r="D94" s="61" t="s">
        <v>5142</v>
      </c>
      <c r="E94" s="8">
        <v>1294156</v>
      </c>
      <c r="F94" s="20">
        <v>0</v>
      </c>
      <c r="G94" s="20">
        <f t="shared" si="25"/>
        <v>0</v>
      </c>
      <c r="H94" s="16" t="s">
        <v>252</v>
      </c>
      <c r="I94" t="s">
        <v>665</v>
      </c>
      <c r="J94" s="19"/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/>
      <c r="T94" s="20">
        <f t="shared" si="33"/>
        <v>1294156</v>
      </c>
      <c r="U94" s="20">
        <f t="shared" si="34"/>
        <v>0</v>
      </c>
    </row>
    <row r="95" spans="1:23" s="21" customFormat="1" ht="16" customHeight="1">
      <c r="A95" s="33" t="s">
        <v>116</v>
      </c>
      <c r="B95" s="48">
        <v>2020</v>
      </c>
      <c r="C95" s="16" t="s">
        <v>4712</v>
      </c>
      <c r="D95" s="61" t="s">
        <v>5143</v>
      </c>
      <c r="E95" s="8">
        <v>500000</v>
      </c>
      <c r="F95" s="20">
        <v>0</v>
      </c>
      <c r="G95" s="20">
        <f t="shared" si="25"/>
        <v>0</v>
      </c>
      <c r="H95" s="16" t="s">
        <v>252</v>
      </c>
      <c r="I95" t="s">
        <v>665</v>
      </c>
      <c r="J95" s="19"/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/>
      <c r="T95" s="20">
        <f t="shared" si="33"/>
        <v>500000</v>
      </c>
      <c r="U95" s="20">
        <f t="shared" si="34"/>
        <v>0</v>
      </c>
    </row>
    <row r="96" spans="1:23" s="21" customFormat="1" ht="16" customHeight="1">
      <c r="A96" s="33" t="s">
        <v>116</v>
      </c>
      <c r="B96" s="48">
        <v>2020</v>
      </c>
      <c r="C96" s="16" t="s">
        <v>4712</v>
      </c>
      <c r="D96" s="61" t="s">
        <v>5144</v>
      </c>
      <c r="E96" s="8">
        <v>500000</v>
      </c>
      <c r="F96" s="20">
        <v>0</v>
      </c>
      <c r="G96" s="20">
        <f t="shared" si="25"/>
        <v>0</v>
      </c>
      <c r="H96" s="16" t="s">
        <v>252</v>
      </c>
      <c r="I96" t="s">
        <v>665</v>
      </c>
      <c r="J96" s="19"/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/>
      <c r="T96" s="20">
        <f t="shared" si="33"/>
        <v>500000</v>
      </c>
      <c r="U96" s="20">
        <f t="shared" si="34"/>
        <v>0</v>
      </c>
    </row>
    <row r="97" spans="1:21" s="21" customFormat="1" ht="16" customHeight="1">
      <c r="A97" s="33" t="s">
        <v>116</v>
      </c>
      <c r="B97" s="48">
        <v>2020</v>
      </c>
      <c r="C97" s="16" t="s">
        <v>4712</v>
      </c>
      <c r="D97" s="61" t="s">
        <v>5145</v>
      </c>
      <c r="E97" s="8">
        <v>1531622</v>
      </c>
      <c r="F97" s="20">
        <v>0</v>
      </c>
      <c r="G97" s="20">
        <f t="shared" si="25"/>
        <v>0</v>
      </c>
      <c r="H97" s="16" t="s">
        <v>252</v>
      </c>
      <c r="I97" t="s">
        <v>665</v>
      </c>
      <c r="J97" s="19"/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/>
      <c r="T97" s="20">
        <f t="shared" si="33"/>
        <v>1531622</v>
      </c>
      <c r="U97" s="20">
        <f t="shared" si="34"/>
        <v>0</v>
      </c>
    </row>
    <row r="98" spans="1:21" s="21" customFormat="1" ht="16" customHeight="1">
      <c r="A98" s="33" t="s">
        <v>116</v>
      </c>
      <c r="B98" s="48">
        <v>2020</v>
      </c>
      <c r="C98" s="16" t="s">
        <v>4712</v>
      </c>
      <c r="D98" s="61" t="s">
        <v>5146</v>
      </c>
      <c r="E98" s="8">
        <v>160394</v>
      </c>
      <c r="F98" s="20">
        <v>0</v>
      </c>
      <c r="G98" s="20">
        <f t="shared" si="25"/>
        <v>0</v>
      </c>
      <c r="H98" s="16" t="s">
        <v>252</v>
      </c>
      <c r="I98" t="s">
        <v>665</v>
      </c>
      <c r="J98" s="19"/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/>
      <c r="T98" s="20">
        <f t="shared" si="33"/>
        <v>160394</v>
      </c>
      <c r="U98" s="20">
        <f t="shared" si="34"/>
        <v>0</v>
      </c>
    </row>
    <row r="99" spans="1:21" s="21" customFormat="1" ht="16" customHeight="1">
      <c r="A99" s="33" t="s">
        <v>116</v>
      </c>
      <c r="B99" s="48">
        <v>2020</v>
      </c>
      <c r="C99" s="16" t="s">
        <v>4712</v>
      </c>
      <c r="D99" s="61" t="s">
        <v>5147</v>
      </c>
      <c r="E99" s="8">
        <v>500000</v>
      </c>
      <c r="F99" s="20">
        <v>0</v>
      </c>
      <c r="G99" s="20">
        <f t="shared" si="25"/>
        <v>0</v>
      </c>
      <c r="H99" s="16" t="s">
        <v>252</v>
      </c>
      <c r="I99" t="s">
        <v>665</v>
      </c>
      <c r="J99" s="19"/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/>
      <c r="T99" s="20">
        <f t="shared" si="33"/>
        <v>500000</v>
      </c>
      <c r="U99" s="20">
        <f t="shared" si="34"/>
        <v>0</v>
      </c>
    </row>
    <row r="100" spans="1:21" s="21" customFormat="1" ht="16" customHeight="1">
      <c r="A100" s="33" t="s">
        <v>116</v>
      </c>
      <c r="B100" s="48">
        <v>2020</v>
      </c>
      <c r="C100" s="16" t="s">
        <v>4712</v>
      </c>
      <c r="D100" s="61" t="s">
        <v>5148</v>
      </c>
      <c r="E100" s="8">
        <v>462367</v>
      </c>
      <c r="F100" s="20">
        <v>0</v>
      </c>
      <c r="G100" s="20">
        <f t="shared" si="25"/>
        <v>0</v>
      </c>
      <c r="H100" s="16" t="s">
        <v>252</v>
      </c>
      <c r="I100" t="s">
        <v>665</v>
      </c>
      <c r="J100" s="19"/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/>
      <c r="T100" s="20">
        <f t="shared" si="33"/>
        <v>462367</v>
      </c>
      <c r="U100" s="20">
        <f t="shared" si="34"/>
        <v>0</v>
      </c>
    </row>
    <row r="101" spans="1:21" s="21" customFormat="1" ht="16" customHeight="1">
      <c r="A101" s="33" t="s">
        <v>116</v>
      </c>
      <c r="B101" s="48">
        <v>2020</v>
      </c>
      <c r="C101" s="16" t="s">
        <v>4712</v>
      </c>
      <c r="D101" s="61" t="s">
        <v>5149</v>
      </c>
      <c r="E101" s="8">
        <v>584306</v>
      </c>
      <c r="F101" s="20">
        <v>0</v>
      </c>
      <c r="G101" s="20">
        <f t="shared" si="25"/>
        <v>0</v>
      </c>
      <c r="H101" s="16" t="s">
        <v>252</v>
      </c>
      <c r="I101" t="s">
        <v>665</v>
      </c>
      <c r="J101" s="19"/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/>
      <c r="T101" s="20">
        <f t="shared" si="33"/>
        <v>584306</v>
      </c>
      <c r="U101" s="20">
        <f t="shared" si="34"/>
        <v>0</v>
      </c>
    </row>
    <row r="102" spans="1:21" s="21" customFormat="1" ht="16" customHeight="1">
      <c r="A102" s="33" t="s">
        <v>116</v>
      </c>
      <c r="B102" s="48">
        <v>2020</v>
      </c>
      <c r="C102" s="16" t="s">
        <v>4712</v>
      </c>
      <c r="D102" s="61" t="s">
        <v>5150</v>
      </c>
      <c r="E102" s="8">
        <v>909840</v>
      </c>
      <c r="F102" s="20">
        <v>0</v>
      </c>
      <c r="G102" s="20">
        <f t="shared" si="25"/>
        <v>0</v>
      </c>
      <c r="H102" s="16" t="s">
        <v>252</v>
      </c>
      <c r="I102" t="s">
        <v>665</v>
      </c>
      <c r="J102" s="19"/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/>
      <c r="T102" s="20">
        <f t="shared" si="33"/>
        <v>909840</v>
      </c>
      <c r="U102" s="20">
        <f t="shared" si="34"/>
        <v>0</v>
      </c>
    </row>
    <row r="103" spans="1:21" s="21" customFormat="1" ht="16" customHeight="1">
      <c r="A103" s="33" t="s">
        <v>116</v>
      </c>
      <c r="B103" s="48">
        <v>2020</v>
      </c>
      <c r="C103" s="16" t="s">
        <v>4712</v>
      </c>
      <c r="D103" s="61" t="s">
        <v>5151</v>
      </c>
      <c r="E103" s="8">
        <v>401973</v>
      </c>
      <c r="F103" s="20">
        <v>0</v>
      </c>
      <c r="G103" s="20">
        <f t="shared" si="25"/>
        <v>0</v>
      </c>
      <c r="H103" s="16" t="s">
        <v>252</v>
      </c>
      <c r="I103" t="s">
        <v>665</v>
      </c>
      <c r="J103" s="19"/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/>
      <c r="T103" s="20">
        <f t="shared" si="33"/>
        <v>401973</v>
      </c>
      <c r="U103" s="20">
        <f t="shared" si="34"/>
        <v>0</v>
      </c>
    </row>
    <row r="104" spans="1:21" s="21" customFormat="1" ht="16" customHeight="1">
      <c r="A104" s="33" t="s">
        <v>116</v>
      </c>
      <c r="B104" s="48">
        <v>2020</v>
      </c>
      <c r="C104" s="16" t="s">
        <v>4712</v>
      </c>
      <c r="D104" s="61" t="s">
        <v>5152</v>
      </c>
      <c r="E104" s="8">
        <v>104099</v>
      </c>
      <c r="F104" s="20">
        <v>0</v>
      </c>
      <c r="G104" s="20">
        <f t="shared" si="25"/>
        <v>0</v>
      </c>
      <c r="H104" s="16" t="s">
        <v>252</v>
      </c>
      <c r="I104" t="s">
        <v>665</v>
      </c>
      <c r="J104" s="19"/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/>
      <c r="T104" s="20">
        <f t="shared" si="33"/>
        <v>104099</v>
      </c>
      <c r="U104" s="20">
        <f t="shared" si="34"/>
        <v>0</v>
      </c>
    </row>
    <row r="105" spans="1:21" s="21" customFormat="1" ht="16" customHeight="1">
      <c r="A105" s="33" t="s">
        <v>116</v>
      </c>
      <c r="B105" s="48">
        <v>2020</v>
      </c>
      <c r="C105" s="16" t="s">
        <v>4712</v>
      </c>
      <c r="D105" s="61" t="s">
        <v>5153</v>
      </c>
      <c r="E105" s="8">
        <v>108198</v>
      </c>
      <c r="F105" s="20">
        <v>0</v>
      </c>
      <c r="G105" s="20">
        <f t="shared" si="25"/>
        <v>0</v>
      </c>
      <c r="H105" s="16" t="s">
        <v>252</v>
      </c>
      <c r="I105" t="s">
        <v>665</v>
      </c>
      <c r="J105" s="19"/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/>
      <c r="T105" s="20">
        <f t="shared" si="33"/>
        <v>108198</v>
      </c>
      <c r="U105" s="20">
        <f t="shared" si="34"/>
        <v>0</v>
      </c>
    </row>
    <row r="106" spans="1:21" s="21" customFormat="1" ht="16" customHeight="1">
      <c r="A106" s="33" t="s">
        <v>116</v>
      </c>
      <c r="B106" s="48">
        <v>2020</v>
      </c>
      <c r="C106" s="16" t="s">
        <v>4712</v>
      </c>
      <c r="D106" s="61" t="s">
        <v>5154</v>
      </c>
      <c r="E106" s="8">
        <v>112297</v>
      </c>
      <c r="F106" s="20">
        <v>0</v>
      </c>
      <c r="G106" s="20">
        <f t="shared" si="25"/>
        <v>0</v>
      </c>
      <c r="H106" s="16" t="s">
        <v>252</v>
      </c>
      <c r="I106" t="s">
        <v>665</v>
      </c>
      <c r="J106" s="19"/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/>
      <c r="T106" s="20">
        <f t="shared" si="33"/>
        <v>112297</v>
      </c>
      <c r="U106" s="20">
        <f t="shared" si="34"/>
        <v>0</v>
      </c>
    </row>
    <row r="107" spans="1:21" s="21" customFormat="1" ht="16" customHeight="1">
      <c r="A107" s="33" t="s">
        <v>116</v>
      </c>
      <c r="B107" s="48">
        <v>2020</v>
      </c>
      <c r="C107" s="16" t="s">
        <v>4712</v>
      </c>
      <c r="D107" s="61" t="s">
        <v>5155</v>
      </c>
      <c r="E107" s="8">
        <v>116396</v>
      </c>
      <c r="F107" s="20">
        <v>0</v>
      </c>
      <c r="G107" s="20">
        <f t="shared" si="25"/>
        <v>0</v>
      </c>
      <c r="H107" s="16" t="s">
        <v>252</v>
      </c>
      <c r="I107" t="s">
        <v>665</v>
      </c>
      <c r="J107" s="19"/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/>
      <c r="T107" s="20">
        <f t="shared" si="33"/>
        <v>116396</v>
      </c>
      <c r="U107" s="20">
        <f t="shared" si="34"/>
        <v>0</v>
      </c>
    </row>
    <row r="108" spans="1:21" s="21" customFormat="1" ht="16" customHeight="1">
      <c r="A108" s="33" t="s">
        <v>116</v>
      </c>
      <c r="B108" s="48">
        <v>2020</v>
      </c>
      <c r="C108" s="16" t="s">
        <v>4712</v>
      </c>
      <c r="D108" s="61" t="s">
        <v>5156</v>
      </c>
      <c r="E108" s="8">
        <v>220789</v>
      </c>
      <c r="F108" s="20">
        <v>0</v>
      </c>
      <c r="G108" s="20">
        <f t="shared" si="25"/>
        <v>0</v>
      </c>
      <c r="H108" s="16" t="s">
        <v>252</v>
      </c>
      <c r="I108" t="s">
        <v>665</v>
      </c>
      <c r="J108" s="19"/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/>
      <c r="T108" s="20">
        <f t="shared" si="33"/>
        <v>220789</v>
      </c>
      <c r="U108" s="20">
        <f t="shared" si="34"/>
        <v>0</v>
      </c>
    </row>
    <row r="109" spans="1:21" s="21" customFormat="1" ht="16" customHeight="1">
      <c r="A109" s="33" t="s">
        <v>116</v>
      </c>
      <c r="B109" s="48">
        <v>2020</v>
      </c>
      <c r="C109" s="16" t="s">
        <v>4712</v>
      </c>
      <c r="D109" s="61" t="s">
        <v>5157</v>
      </c>
      <c r="E109" s="8">
        <v>160394</v>
      </c>
      <c r="F109" s="20">
        <v>0</v>
      </c>
      <c r="G109" s="20">
        <f t="shared" si="25"/>
        <v>0</v>
      </c>
      <c r="H109" s="16" t="s">
        <v>252</v>
      </c>
      <c r="I109" t="s">
        <v>665</v>
      </c>
      <c r="J109" s="19"/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/>
      <c r="T109" s="20">
        <f t="shared" si="33"/>
        <v>160394</v>
      </c>
      <c r="U109" s="20">
        <f t="shared" si="34"/>
        <v>0</v>
      </c>
    </row>
    <row r="110" spans="1:21" s="21" customFormat="1" ht="16" customHeight="1">
      <c r="A110" s="33" t="s">
        <v>116</v>
      </c>
      <c r="B110" s="48">
        <v>2020</v>
      </c>
      <c r="C110" s="16" t="s">
        <v>4712</v>
      </c>
      <c r="D110" s="61" t="s">
        <v>5158</v>
      </c>
      <c r="E110" s="8">
        <v>100000</v>
      </c>
      <c r="F110" s="20">
        <v>0</v>
      </c>
      <c r="G110" s="20">
        <f t="shared" si="25"/>
        <v>0</v>
      </c>
      <c r="H110" s="16" t="s">
        <v>252</v>
      </c>
      <c r="I110" t="s">
        <v>665</v>
      </c>
      <c r="J110" s="19"/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/>
      <c r="T110" s="20">
        <f t="shared" si="33"/>
        <v>100000</v>
      </c>
      <c r="U110" s="20">
        <f t="shared" si="34"/>
        <v>0</v>
      </c>
    </row>
    <row r="111" spans="1:21" s="21" customFormat="1" ht="16" customHeight="1">
      <c r="A111" s="33" t="s">
        <v>116</v>
      </c>
      <c r="B111" s="48">
        <v>2020</v>
      </c>
      <c r="C111" s="16" t="s">
        <v>4712</v>
      </c>
      <c r="D111" s="61" t="s">
        <v>5159</v>
      </c>
      <c r="E111" s="8">
        <v>281183</v>
      </c>
      <c r="F111" s="20">
        <v>0</v>
      </c>
      <c r="G111" s="20">
        <f t="shared" si="25"/>
        <v>0</v>
      </c>
      <c r="H111" s="16" t="s">
        <v>252</v>
      </c>
      <c r="I111" t="s">
        <v>665</v>
      </c>
      <c r="J111" s="19"/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/>
      <c r="T111" s="20">
        <f t="shared" si="33"/>
        <v>281183</v>
      </c>
      <c r="U111" s="20">
        <f t="shared" si="34"/>
        <v>0</v>
      </c>
    </row>
    <row r="112" spans="1:21" s="21" customFormat="1" ht="16" customHeight="1">
      <c r="A112" s="33" t="s">
        <v>116</v>
      </c>
      <c r="B112" s="48">
        <v>2020</v>
      </c>
      <c r="C112" s="16" t="s">
        <v>4712</v>
      </c>
      <c r="D112" s="61" t="s">
        <v>5160</v>
      </c>
      <c r="E112" s="8">
        <v>341578</v>
      </c>
      <c r="F112" s="20">
        <v>0</v>
      </c>
      <c r="G112" s="20">
        <f t="shared" si="25"/>
        <v>0</v>
      </c>
      <c r="H112" s="16" t="s">
        <v>252</v>
      </c>
      <c r="I112" t="s">
        <v>665</v>
      </c>
      <c r="J112" s="19"/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/>
      <c r="T112" s="20">
        <f t="shared" si="33"/>
        <v>341578</v>
      </c>
      <c r="U112" s="20">
        <f t="shared" si="34"/>
        <v>0</v>
      </c>
    </row>
    <row r="113" spans="1:23" ht="16" customHeight="1">
      <c r="A113" s="33" t="s">
        <v>116</v>
      </c>
      <c r="B113" s="15">
        <v>2020</v>
      </c>
      <c r="C113" s="43" t="s">
        <v>1526</v>
      </c>
      <c r="D113" s="7" t="s">
        <v>1527</v>
      </c>
      <c r="E113" s="8">
        <v>107310000</v>
      </c>
      <c r="F113" s="20">
        <v>0</v>
      </c>
      <c r="G113" s="20">
        <v>0</v>
      </c>
      <c r="H113" s="16" t="s">
        <v>248</v>
      </c>
      <c r="I113" s="46" t="s">
        <v>249</v>
      </c>
      <c r="K113" s="20">
        <v>-107310000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T113" s="20">
        <f t="shared" si="1"/>
        <v>0</v>
      </c>
      <c r="U113" s="20">
        <f t="shared" ref="U113:U114" si="35">G113+Q113+R113</f>
        <v>0</v>
      </c>
      <c r="V113" s="21"/>
      <c r="W113" s="19"/>
    </row>
    <row r="114" spans="1:23" ht="16" customHeight="1">
      <c r="A114" s="33" t="s">
        <v>116</v>
      </c>
      <c r="B114" s="15">
        <v>2020</v>
      </c>
      <c r="C114" s="43" t="s">
        <v>433</v>
      </c>
      <c r="D114" s="7" t="s">
        <v>1528</v>
      </c>
      <c r="E114" s="8">
        <v>400000000</v>
      </c>
      <c r="F114" s="20">
        <v>0</v>
      </c>
      <c r="G114" s="20">
        <v>0</v>
      </c>
      <c r="H114" s="16" t="s">
        <v>248</v>
      </c>
      <c r="I114" s="46" t="s">
        <v>730</v>
      </c>
      <c r="K114" s="20">
        <v>0</v>
      </c>
      <c r="L114" s="20">
        <v>0</v>
      </c>
      <c r="M114" s="20">
        <v>0</v>
      </c>
      <c r="N114" s="20">
        <v>-400000000</v>
      </c>
      <c r="O114" s="20">
        <v>0</v>
      </c>
      <c r="P114" s="20">
        <v>0</v>
      </c>
      <c r="Q114" s="20">
        <v>0</v>
      </c>
      <c r="R114" s="20">
        <v>0</v>
      </c>
      <c r="T114" s="20">
        <f t="shared" si="1"/>
        <v>0</v>
      </c>
      <c r="U114" s="20">
        <f t="shared" si="35"/>
        <v>0</v>
      </c>
      <c r="V114" s="21"/>
      <c r="W114" s="19"/>
    </row>
    <row r="115" spans="1:23" ht="16" customHeight="1">
      <c r="A115" s="33" t="s">
        <v>120</v>
      </c>
      <c r="B115" s="48">
        <v>2020</v>
      </c>
      <c r="C115" s="16" t="s">
        <v>0</v>
      </c>
      <c r="D115" s="7" t="s">
        <v>36</v>
      </c>
      <c r="E115" s="54">
        <v>900000</v>
      </c>
      <c r="F115" s="20">
        <v>0</v>
      </c>
      <c r="G115" s="20">
        <f t="shared" ref="G115:G178" si="36">(F115*$G$3)/$D$536</f>
        <v>0</v>
      </c>
      <c r="H115" s="16" t="s">
        <v>138</v>
      </c>
      <c r="I115" t="s">
        <v>133</v>
      </c>
      <c r="K115" s="8">
        <v>-900000</v>
      </c>
      <c r="L115" s="20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T115" s="20">
        <f t="shared" ref="T115:T177" si="37">E115+K115+L115+M115+N115+O115+P115</f>
        <v>0</v>
      </c>
      <c r="U115" s="20">
        <f t="shared" si="21"/>
        <v>0</v>
      </c>
      <c r="V115" s="21"/>
      <c r="W115" s="19"/>
    </row>
    <row r="116" spans="1:23" ht="16" customHeight="1">
      <c r="A116" s="33" t="s">
        <v>120</v>
      </c>
      <c r="B116" s="48">
        <v>2020</v>
      </c>
      <c r="C116" s="16" t="s">
        <v>0</v>
      </c>
      <c r="D116" s="7" t="s">
        <v>35</v>
      </c>
      <c r="E116" s="54">
        <v>900000</v>
      </c>
      <c r="F116" s="20">
        <v>0</v>
      </c>
      <c r="G116" s="20">
        <f t="shared" si="36"/>
        <v>0</v>
      </c>
      <c r="H116" s="16" t="s">
        <v>138</v>
      </c>
      <c r="I116" t="s">
        <v>132</v>
      </c>
      <c r="K116" s="20">
        <v>-900000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T116" s="20">
        <f t="shared" si="37"/>
        <v>0</v>
      </c>
      <c r="U116" s="20">
        <f t="shared" si="21"/>
        <v>0</v>
      </c>
      <c r="V116" s="21"/>
      <c r="W116" s="19"/>
    </row>
    <row r="117" spans="1:23" ht="16" customHeight="1">
      <c r="A117" s="33" t="s">
        <v>120</v>
      </c>
      <c r="B117" s="48">
        <v>2020</v>
      </c>
      <c r="C117" s="16" t="s">
        <v>0</v>
      </c>
      <c r="D117" s="7" t="s">
        <v>52</v>
      </c>
      <c r="E117" s="54">
        <v>6000000</v>
      </c>
      <c r="F117" s="20">
        <v>0</v>
      </c>
      <c r="G117" s="20">
        <f t="shared" si="36"/>
        <v>0</v>
      </c>
      <c r="H117" s="16" t="s">
        <v>138</v>
      </c>
      <c r="I117" t="s">
        <v>132</v>
      </c>
      <c r="K117" s="20">
        <v>-6000000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T117" s="20">
        <f t="shared" si="37"/>
        <v>0</v>
      </c>
      <c r="U117" s="20">
        <f t="shared" si="21"/>
        <v>0</v>
      </c>
      <c r="V117" s="21"/>
      <c r="W117" s="19"/>
    </row>
    <row r="118" spans="1:23" ht="16" customHeight="1">
      <c r="A118" s="33" t="s">
        <v>120</v>
      </c>
      <c r="B118" s="48">
        <v>2020</v>
      </c>
      <c r="C118" s="16" t="s">
        <v>0</v>
      </c>
      <c r="D118" s="7" t="s">
        <v>33</v>
      </c>
      <c r="E118" s="54">
        <v>1200000</v>
      </c>
      <c r="F118" s="20">
        <v>0</v>
      </c>
      <c r="G118" s="20">
        <f t="shared" si="36"/>
        <v>0</v>
      </c>
      <c r="H118" s="16" t="s">
        <v>138</v>
      </c>
      <c r="I118" s="46" t="s">
        <v>131</v>
      </c>
      <c r="K118" s="20">
        <v>-1200000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T118" s="20">
        <f t="shared" si="37"/>
        <v>0</v>
      </c>
      <c r="U118" s="20">
        <f t="shared" si="21"/>
        <v>0</v>
      </c>
      <c r="V118" s="21"/>
      <c r="W118" s="19"/>
    </row>
    <row r="119" spans="1:23" ht="16" customHeight="1">
      <c r="A119" s="33" t="s">
        <v>120</v>
      </c>
      <c r="B119" s="48">
        <v>2020</v>
      </c>
      <c r="C119" s="16" t="s">
        <v>0</v>
      </c>
      <c r="D119" s="7" t="s">
        <v>37</v>
      </c>
      <c r="E119" s="54">
        <v>4400000</v>
      </c>
      <c r="F119" s="20">
        <v>0</v>
      </c>
      <c r="G119" s="20">
        <f t="shared" si="36"/>
        <v>0</v>
      </c>
      <c r="H119" s="16" t="s">
        <v>138</v>
      </c>
      <c r="I119" s="46" t="s">
        <v>131</v>
      </c>
      <c r="K119" s="20">
        <v>-4400000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T119" s="20">
        <f t="shared" si="37"/>
        <v>0</v>
      </c>
      <c r="U119" s="20">
        <f t="shared" si="21"/>
        <v>0</v>
      </c>
      <c r="V119" s="21"/>
      <c r="W119" s="19"/>
    </row>
    <row r="120" spans="1:23" ht="16" customHeight="1">
      <c r="A120" s="33" t="s">
        <v>120</v>
      </c>
      <c r="B120" s="48">
        <v>2020</v>
      </c>
      <c r="C120" s="16" t="s">
        <v>0</v>
      </c>
      <c r="D120" s="7" t="s">
        <v>38</v>
      </c>
      <c r="E120" s="54">
        <v>900000</v>
      </c>
      <c r="F120" s="20">
        <v>0</v>
      </c>
      <c r="G120" s="20">
        <f t="shared" si="36"/>
        <v>0</v>
      </c>
      <c r="H120" s="16" t="s">
        <v>138</v>
      </c>
      <c r="I120" s="46" t="s">
        <v>131</v>
      </c>
      <c r="K120" s="20">
        <v>-900000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T120" s="20">
        <f t="shared" si="37"/>
        <v>0</v>
      </c>
      <c r="U120" s="20">
        <f t="shared" si="21"/>
        <v>0</v>
      </c>
      <c r="V120" s="21"/>
      <c r="W120" s="19"/>
    </row>
    <row r="121" spans="1:23" ht="16" customHeight="1">
      <c r="A121" s="33" t="s">
        <v>120</v>
      </c>
      <c r="B121" s="48">
        <v>2020</v>
      </c>
      <c r="C121" s="16" t="s">
        <v>0</v>
      </c>
      <c r="D121" t="s">
        <v>40</v>
      </c>
      <c r="E121" s="54">
        <v>800000</v>
      </c>
      <c r="F121" s="20">
        <v>0</v>
      </c>
      <c r="G121" s="20">
        <f t="shared" si="36"/>
        <v>0</v>
      </c>
      <c r="H121" s="16" t="s">
        <v>138</v>
      </c>
      <c r="I121" s="46" t="s">
        <v>131</v>
      </c>
      <c r="K121" s="20">
        <v>-800000</v>
      </c>
      <c r="L121" s="20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T121" s="20">
        <f t="shared" si="37"/>
        <v>0</v>
      </c>
      <c r="U121" s="20">
        <f t="shared" si="21"/>
        <v>0</v>
      </c>
      <c r="V121" s="21"/>
      <c r="W121" s="19"/>
    </row>
    <row r="122" spans="1:23" ht="16" customHeight="1">
      <c r="A122" s="33" t="s">
        <v>120</v>
      </c>
      <c r="B122" s="48">
        <v>2020</v>
      </c>
      <c r="C122" s="16" t="s">
        <v>0</v>
      </c>
      <c r="D122" t="s">
        <v>41</v>
      </c>
      <c r="E122" s="54">
        <v>900000</v>
      </c>
      <c r="F122" s="20">
        <v>0</v>
      </c>
      <c r="G122" s="20">
        <f t="shared" si="36"/>
        <v>0</v>
      </c>
      <c r="H122" s="16" t="s">
        <v>138</v>
      </c>
      <c r="I122" s="46" t="s">
        <v>131</v>
      </c>
      <c r="K122" s="20">
        <v>-900000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T122" s="20">
        <f t="shared" si="37"/>
        <v>0</v>
      </c>
      <c r="U122" s="20">
        <f t="shared" si="21"/>
        <v>0</v>
      </c>
      <c r="V122" s="21"/>
      <c r="W122" s="19"/>
    </row>
    <row r="123" spans="1:23" ht="16" customHeight="1">
      <c r="A123" s="33" t="s">
        <v>120</v>
      </c>
      <c r="B123" s="48">
        <v>2020</v>
      </c>
      <c r="C123" s="16" t="s">
        <v>0</v>
      </c>
      <c r="D123" s="7" t="s">
        <v>54</v>
      </c>
      <c r="E123" s="54">
        <v>6000000</v>
      </c>
      <c r="F123" s="20">
        <v>0</v>
      </c>
      <c r="G123" s="20">
        <f t="shared" si="36"/>
        <v>0</v>
      </c>
      <c r="H123" s="16" t="s">
        <v>138</v>
      </c>
      <c r="I123" s="46" t="s">
        <v>131</v>
      </c>
      <c r="K123" s="20">
        <v>-6000000</v>
      </c>
      <c r="L123" s="20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T123" s="20">
        <f t="shared" si="37"/>
        <v>0</v>
      </c>
      <c r="U123" s="20">
        <f t="shared" si="21"/>
        <v>0</v>
      </c>
      <c r="V123" s="21"/>
      <c r="W123" s="19"/>
    </row>
    <row r="124" spans="1:23" ht="16" customHeight="1">
      <c r="A124" s="33" t="s">
        <v>120</v>
      </c>
      <c r="B124" s="48">
        <v>2020</v>
      </c>
      <c r="C124" s="16" t="s">
        <v>0</v>
      </c>
      <c r="D124" s="7" t="s">
        <v>55</v>
      </c>
      <c r="E124" s="54">
        <v>16000000</v>
      </c>
      <c r="F124" s="20">
        <v>0</v>
      </c>
      <c r="G124" s="20">
        <f t="shared" si="36"/>
        <v>0</v>
      </c>
      <c r="H124" s="16" t="s">
        <v>138</v>
      </c>
      <c r="I124" s="46" t="s">
        <v>131</v>
      </c>
      <c r="K124" s="20">
        <v>-16000000</v>
      </c>
      <c r="L124" s="20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T124" s="20">
        <f t="shared" si="37"/>
        <v>0</v>
      </c>
      <c r="U124" s="20">
        <f t="shared" si="21"/>
        <v>0</v>
      </c>
      <c r="V124" s="21"/>
      <c r="W124" s="19"/>
    </row>
    <row r="125" spans="1:23" ht="16" customHeight="1">
      <c r="A125" s="33" t="s">
        <v>120</v>
      </c>
      <c r="B125" s="48">
        <v>2020</v>
      </c>
      <c r="C125" s="16" t="s">
        <v>0</v>
      </c>
      <c r="D125" s="7" t="s">
        <v>56</v>
      </c>
      <c r="E125" s="54">
        <v>25961441</v>
      </c>
      <c r="F125" s="20">
        <v>0</v>
      </c>
      <c r="G125" s="20">
        <f t="shared" si="36"/>
        <v>0</v>
      </c>
      <c r="H125" s="16" t="s">
        <v>138</v>
      </c>
      <c r="I125" s="46" t="s">
        <v>131</v>
      </c>
      <c r="K125" s="20">
        <v>-25961441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T125" s="20">
        <f t="shared" si="37"/>
        <v>0</v>
      </c>
      <c r="U125" s="20">
        <f t="shared" si="21"/>
        <v>0</v>
      </c>
      <c r="V125" s="21"/>
      <c r="W125" s="19"/>
    </row>
    <row r="126" spans="1:23" ht="16" customHeight="1">
      <c r="A126" s="33" t="s">
        <v>120</v>
      </c>
      <c r="B126" s="48">
        <v>2020</v>
      </c>
      <c r="C126" s="16" t="s">
        <v>0</v>
      </c>
      <c r="D126" s="7" t="s">
        <v>58</v>
      </c>
      <c r="E126" s="54">
        <v>3000000</v>
      </c>
      <c r="F126" s="20">
        <v>0</v>
      </c>
      <c r="G126" s="20">
        <f t="shared" si="36"/>
        <v>0</v>
      </c>
      <c r="H126" s="16" t="s">
        <v>138</v>
      </c>
      <c r="I126" s="46" t="s">
        <v>131</v>
      </c>
      <c r="K126" s="20">
        <v>-3000000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T126" s="20">
        <f t="shared" si="37"/>
        <v>0</v>
      </c>
      <c r="U126" s="20">
        <f t="shared" si="21"/>
        <v>0</v>
      </c>
      <c r="V126" s="21"/>
      <c r="W126" s="19"/>
    </row>
    <row r="127" spans="1:23" ht="16" customHeight="1">
      <c r="A127" s="33" t="s">
        <v>120</v>
      </c>
      <c r="B127" s="48">
        <v>2020</v>
      </c>
      <c r="C127" s="16" t="s">
        <v>0</v>
      </c>
      <c r="D127" s="7" t="s">
        <v>59</v>
      </c>
      <c r="E127" s="54">
        <v>32500000</v>
      </c>
      <c r="F127" s="20">
        <v>0</v>
      </c>
      <c r="G127" s="20">
        <f t="shared" si="36"/>
        <v>0</v>
      </c>
      <c r="H127" s="16" t="s">
        <v>138</v>
      </c>
      <c r="I127" s="46" t="s">
        <v>131</v>
      </c>
      <c r="K127" s="20">
        <v>-32500000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T127" s="20">
        <f t="shared" si="37"/>
        <v>0</v>
      </c>
      <c r="U127" s="20">
        <f t="shared" si="21"/>
        <v>0</v>
      </c>
      <c r="V127" s="21"/>
      <c r="W127" s="19"/>
    </row>
    <row r="128" spans="1:23" ht="16" customHeight="1">
      <c r="A128" s="33" t="s">
        <v>120</v>
      </c>
      <c r="B128" s="48">
        <v>2020</v>
      </c>
      <c r="C128" s="16" t="s">
        <v>0</v>
      </c>
      <c r="D128" s="7" t="s">
        <v>1089</v>
      </c>
      <c r="E128" s="8">
        <v>1050000</v>
      </c>
      <c r="F128" s="20">
        <v>0</v>
      </c>
      <c r="G128" s="20">
        <f t="shared" si="36"/>
        <v>0</v>
      </c>
      <c r="H128" s="16" t="s">
        <v>138</v>
      </c>
      <c r="I128" s="46" t="s">
        <v>131</v>
      </c>
      <c r="K128" s="20">
        <v>-1050000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T128" s="20">
        <f t="shared" si="37"/>
        <v>0</v>
      </c>
      <c r="U128" s="20">
        <f t="shared" ref="U128" si="38">G128+Q128+R128</f>
        <v>0</v>
      </c>
      <c r="V128" s="21"/>
      <c r="W128" s="19"/>
    </row>
    <row r="129" spans="1:23" ht="16" customHeight="1">
      <c r="A129" s="33" t="s">
        <v>120</v>
      </c>
      <c r="B129" s="48">
        <v>2020</v>
      </c>
      <c r="C129" s="16" t="s">
        <v>0</v>
      </c>
      <c r="D129" s="7" t="s">
        <v>10</v>
      </c>
      <c r="E129" s="54">
        <v>11800000</v>
      </c>
      <c r="F129" s="20">
        <v>0</v>
      </c>
      <c r="G129" s="20">
        <f t="shared" si="36"/>
        <v>0</v>
      </c>
      <c r="H129" s="16" t="s">
        <v>138</v>
      </c>
      <c r="I129" s="46" t="s">
        <v>121</v>
      </c>
      <c r="K129" s="54">
        <v>-11800000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T129" s="20">
        <f t="shared" si="37"/>
        <v>0</v>
      </c>
      <c r="U129" s="20">
        <f t="shared" si="21"/>
        <v>0</v>
      </c>
      <c r="V129" s="21"/>
      <c r="W129" s="19"/>
    </row>
    <row r="130" spans="1:23" ht="16" customHeight="1">
      <c r="A130" s="33" t="s">
        <v>120</v>
      </c>
      <c r="B130" s="48">
        <v>2020</v>
      </c>
      <c r="C130" s="16" t="s">
        <v>0</v>
      </c>
      <c r="D130" s="7" t="s">
        <v>13</v>
      </c>
      <c r="E130" s="54">
        <v>51200000</v>
      </c>
      <c r="F130" s="20">
        <v>0</v>
      </c>
      <c r="G130" s="20">
        <f t="shared" si="36"/>
        <v>0</v>
      </c>
      <c r="H130" s="16" t="s">
        <v>138</v>
      </c>
      <c r="I130" s="46" t="s">
        <v>121</v>
      </c>
      <c r="K130" s="54">
        <v>-51200000</v>
      </c>
      <c r="L130" s="20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T130" s="20">
        <f t="shared" si="37"/>
        <v>0</v>
      </c>
      <c r="U130" s="20">
        <f t="shared" si="21"/>
        <v>0</v>
      </c>
      <c r="V130" s="21"/>
      <c r="W130" s="19"/>
    </row>
    <row r="131" spans="1:23" ht="16" customHeight="1">
      <c r="A131" s="33" t="s">
        <v>120</v>
      </c>
      <c r="B131" s="48">
        <v>2020</v>
      </c>
      <c r="C131" s="16" t="s">
        <v>0</v>
      </c>
      <c r="D131" s="7" t="s">
        <v>14</v>
      </c>
      <c r="E131" s="54">
        <v>100000000</v>
      </c>
      <c r="F131" s="20">
        <v>0</v>
      </c>
      <c r="G131" s="20">
        <f t="shared" si="36"/>
        <v>0</v>
      </c>
      <c r="H131" s="16" t="s">
        <v>138</v>
      </c>
      <c r="I131" s="46" t="s">
        <v>124</v>
      </c>
      <c r="K131" s="20">
        <v>-100000000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T131" s="20">
        <f t="shared" si="37"/>
        <v>0</v>
      </c>
      <c r="U131" s="20">
        <f t="shared" si="21"/>
        <v>0</v>
      </c>
      <c r="V131" s="21"/>
      <c r="W131" s="19"/>
    </row>
    <row r="132" spans="1:23" ht="16" customHeight="1">
      <c r="A132" s="33" t="s">
        <v>120</v>
      </c>
      <c r="B132" s="48">
        <v>2020</v>
      </c>
      <c r="C132" s="16" t="s">
        <v>0</v>
      </c>
      <c r="D132" s="7" t="s">
        <v>19</v>
      </c>
      <c r="E132" s="54">
        <v>24462000</v>
      </c>
      <c r="F132" s="20">
        <v>0</v>
      </c>
      <c r="G132" s="20">
        <f t="shared" si="36"/>
        <v>0</v>
      </c>
      <c r="H132" s="16" t="s">
        <v>138</v>
      </c>
      <c r="I132" t="s">
        <v>127</v>
      </c>
      <c r="K132" s="54">
        <v>-24462000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T132" s="20">
        <f t="shared" si="37"/>
        <v>0</v>
      </c>
      <c r="U132" s="20">
        <f t="shared" si="21"/>
        <v>0</v>
      </c>
      <c r="V132" s="21"/>
      <c r="W132" s="19"/>
    </row>
    <row r="133" spans="1:23" ht="16" customHeight="1">
      <c r="A133" s="33" t="s">
        <v>120</v>
      </c>
      <c r="B133" s="48">
        <v>2020</v>
      </c>
      <c r="C133" s="16" t="s">
        <v>0</v>
      </c>
      <c r="D133" s="7" t="s">
        <v>34</v>
      </c>
      <c r="E133" s="54">
        <v>500000</v>
      </c>
      <c r="F133" s="20">
        <v>0</v>
      </c>
      <c r="G133" s="20">
        <f t="shared" si="36"/>
        <v>0</v>
      </c>
      <c r="H133" s="16" t="s">
        <v>138</v>
      </c>
      <c r="I133" t="s">
        <v>127</v>
      </c>
      <c r="K133" s="54">
        <v>-500000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T133" s="20">
        <f t="shared" si="37"/>
        <v>0</v>
      </c>
      <c r="U133" s="20">
        <f t="shared" si="21"/>
        <v>0</v>
      </c>
      <c r="V133" s="21"/>
      <c r="W133" s="19"/>
    </row>
    <row r="134" spans="1:23" ht="16" customHeight="1">
      <c r="A134" s="33" t="s">
        <v>120</v>
      </c>
      <c r="B134" s="48">
        <v>2020</v>
      </c>
      <c r="C134" s="16" t="s">
        <v>0</v>
      </c>
      <c r="D134" s="7" t="s">
        <v>39</v>
      </c>
      <c r="E134" s="54">
        <v>800000</v>
      </c>
      <c r="F134" s="20">
        <v>0</v>
      </c>
      <c r="G134" s="20">
        <f t="shared" si="36"/>
        <v>0</v>
      </c>
      <c r="H134" s="16" t="s">
        <v>138</v>
      </c>
      <c r="I134" t="s">
        <v>127</v>
      </c>
      <c r="K134" s="54">
        <v>-800000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T134" s="20">
        <f t="shared" si="37"/>
        <v>0</v>
      </c>
      <c r="U134" s="20">
        <f t="shared" si="21"/>
        <v>0</v>
      </c>
      <c r="V134" s="21"/>
      <c r="W134" s="19"/>
    </row>
    <row r="135" spans="1:23" ht="16" customHeight="1">
      <c r="A135" s="33" t="s">
        <v>120</v>
      </c>
      <c r="B135" s="48">
        <v>2020</v>
      </c>
      <c r="C135" s="16" t="s">
        <v>0</v>
      </c>
      <c r="D135" t="s">
        <v>44</v>
      </c>
      <c r="E135" s="54">
        <v>300000</v>
      </c>
      <c r="F135" s="20">
        <v>0</v>
      </c>
      <c r="G135" s="20">
        <f t="shared" si="36"/>
        <v>0</v>
      </c>
      <c r="H135" s="16" t="s">
        <v>138</v>
      </c>
      <c r="I135" t="s">
        <v>127</v>
      </c>
      <c r="K135" s="54">
        <v>-300000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T135" s="20">
        <f t="shared" si="37"/>
        <v>0</v>
      </c>
      <c r="U135" s="20">
        <f t="shared" si="21"/>
        <v>0</v>
      </c>
      <c r="V135" s="21"/>
      <c r="W135" s="19"/>
    </row>
    <row r="136" spans="1:23" ht="16" customHeight="1">
      <c r="A136" s="33" t="s">
        <v>120</v>
      </c>
      <c r="B136" s="48">
        <v>2020</v>
      </c>
      <c r="C136" s="16" t="s">
        <v>0</v>
      </c>
      <c r="D136" t="s">
        <v>45</v>
      </c>
      <c r="E136" s="54">
        <v>500000</v>
      </c>
      <c r="F136" s="20">
        <v>0</v>
      </c>
      <c r="G136" s="20">
        <f t="shared" si="36"/>
        <v>0</v>
      </c>
      <c r="H136" s="16" t="s">
        <v>138</v>
      </c>
      <c r="I136" t="s">
        <v>127</v>
      </c>
      <c r="K136" s="54">
        <v>-500000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T136" s="20">
        <f t="shared" si="37"/>
        <v>0</v>
      </c>
      <c r="U136" s="20">
        <f t="shared" si="21"/>
        <v>0</v>
      </c>
      <c r="V136" s="21"/>
      <c r="W136" s="19"/>
    </row>
    <row r="137" spans="1:23" ht="16" customHeight="1">
      <c r="A137" s="33" t="s">
        <v>120</v>
      </c>
      <c r="B137" s="48">
        <v>2020</v>
      </c>
      <c r="C137" s="16" t="s">
        <v>0</v>
      </c>
      <c r="D137" t="s">
        <v>46</v>
      </c>
      <c r="E137" s="54">
        <v>500000</v>
      </c>
      <c r="F137" s="20">
        <v>0</v>
      </c>
      <c r="G137" s="20">
        <f t="shared" si="36"/>
        <v>0</v>
      </c>
      <c r="H137" s="16" t="s">
        <v>138</v>
      </c>
      <c r="I137" t="s">
        <v>127</v>
      </c>
      <c r="K137" s="54">
        <v>-500000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T137" s="20">
        <f t="shared" si="37"/>
        <v>0</v>
      </c>
      <c r="U137" s="20">
        <f t="shared" si="21"/>
        <v>0</v>
      </c>
      <c r="V137" s="21"/>
      <c r="W137" s="19"/>
    </row>
    <row r="138" spans="1:23" ht="16" customHeight="1">
      <c r="A138" s="33" t="s">
        <v>120</v>
      </c>
      <c r="B138" s="48">
        <v>2020</v>
      </c>
      <c r="C138" s="16" t="s">
        <v>0</v>
      </c>
      <c r="D138" t="s">
        <v>47</v>
      </c>
      <c r="E138" s="54">
        <v>500000</v>
      </c>
      <c r="F138" s="20">
        <v>0</v>
      </c>
      <c r="G138" s="20">
        <f t="shared" si="36"/>
        <v>0</v>
      </c>
      <c r="H138" s="16" t="s">
        <v>138</v>
      </c>
      <c r="I138" t="s">
        <v>127</v>
      </c>
      <c r="K138" s="54">
        <v>-500000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T138" s="20">
        <f t="shared" si="37"/>
        <v>0</v>
      </c>
      <c r="U138" s="20">
        <f t="shared" si="21"/>
        <v>0</v>
      </c>
      <c r="V138" s="21"/>
      <c r="W138" s="19"/>
    </row>
    <row r="139" spans="1:23" ht="16" customHeight="1">
      <c r="A139" s="33" t="s">
        <v>120</v>
      </c>
      <c r="B139" s="48">
        <v>2020</v>
      </c>
      <c r="C139" s="16" t="s">
        <v>0</v>
      </c>
      <c r="D139" s="49" t="s">
        <v>51</v>
      </c>
      <c r="E139" s="53">
        <v>9901000</v>
      </c>
      <c r="F139" s="20">
        <v>0</v>
      </c>
      <c r="G139" s="20">
        <f t="shared" si="36"/>
        <v>0</v>
      </c>
      <c r="H139" s="16" t="s">
        <v>138</v>
      </c>
      <c r="I139" s="14" t="s">
        <v>127</v>
      </c>
      <c r="K139" s="53">
        <v>-9901000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T139" s="20">
        <f t="shared" si="37"/>
        <v>0</v>
      </c>
      <c r="U139" s="20">
        <f t="shared" si="21"/>
        <v>0</v>
      </c>
      <c r="V139" s="21" t="s">
        <v>479</v>
      </c>
      <c r="W139" s="19"/>
    </row>
    <row r="140" spans="1:23" ht="16" customHeight="1">
      <c r="A140" s="33" t="s">
        <v>120</v>
      </c>
      <c r="B140" s="48">
        <v>2020</v>
      </c>
      <c r="C140" s="16" t="s">
        <v>0</v>
      </c>
      <c r="D140" t="s">
        <v>42</v>
      </c>
      <c r="E140" s="54">
        <v>300000</v>
      </c>
      <c r="F140" s="20">
        <v>0</v>
      </c>
      <c r="G140" s="20">
        <f t="shared" si="36"/>
        <v>0</v>
      </c>
      <c r="H140" s="16" t="s">
        <v>138</v>
      </c>
      <c r="I140" t="s">
        <v>134</v>
      </c>
      <c r="K140" s="20">
        <v>-300000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T140" s="20">
        <f t="shared" si="37"/>
        <v>0</v>
      </c>
      <c r="U140" s="20">
        <f t="shared" si="21"/>
        <v>0</v>
      </c>
      <c r="V140" s="21"/>
      <c r="W140" s="19"/>
    </row>
    <row r="141" spans="1:23" ht="16" customHeight="1">
      <c r="A141" s="33" t="s">
        <v>120</v>
      </c>
      <c r="B141" s="48">
        <v>2020</v>
      </c>
      <c r="C141" s="16" t="s">
        <v>0</v>
      </c>
      <c r="D141" t="s">
        <v>48</v>
      </c>
      <c r="E141" s="54">
        <v>300000</v>
      </c>
      <c r="F141" s="20">
        <v>0</v>
      </c>
      <c r="G141" s="20">
        <f t="shared" si="36"/>
        <v>0</v>
      </c>
      <c r="H141" s="16" t="s">
        <v>138</v>
      </c>
      <c r="I141" t="s">
        <v>134</v>
      </c>
      <c r="K141" s="20">
        <v>-300000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T141" s="20">
        <f t="shared" si="37"/>
        <v>0</v>
      </c>
      <c r="U141" s="20">
        <f t="shared" si="21"/>
        <v>0</v>
      </c>
      <c r="V141" s="21"/>
      <c r="W141" s="19"/>
    </row>
    <row r="142" spans="1:23" ht="16" customHeight="1">
      <c r="A142" s="33" t="s">
        <v>120</v>
      </c>
      <c r="B142" s="48">
        <v>2020</v>
      </c>
      <c r="C142" s="16" t="s">
        <v>0</v>
      </c>
      <c r="D142" t="s">
        <v>49</v>
      </c>
      <c r="E142" s="54">
        <v>300000</v>
      </c>
      <c r="F142" s="20">
        <v>0</v>
      </c>
      <c r="G142" s="20">
        <f t="shared" si="36"/>
        <v>0</v>
      </c>
      <c r="H142" s="16" t="s">
        <v>138</v>
      </c>
      <c r="I142" s="13" t="s">
        <v>176</v>
      </c>
      <c r="K142" s="20">
        <v>-300000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T142" s="20">
        <f t="shared" si="37"/>
        <v>0</v>
      </c>
      <c r="U142" s="20">
        <f t="shared" si="21"/>
        <v>0</v>
      </c>
      <c r="V142" s="21"/>
      <c r="W142" s="19"/>
    </row>
    <row r="143" spans="1:23" ht="16" customHeight="1">
      <c r="A143" s="33" t="s">
        <v>120</v>
      </c>
      <c r="B143" s="48">
        <v>2020</v>
      </c>
      <c r="C143" s="16" t="s">
        <v>0</v>
      </c>
      <c r="D143" s="7" t="s">
        <v>16</v>
      </c>
      <c r="E143" s="54">
        <v>3434154</v>
      </c>
      <c r="F143" s="20">
        <v>0</v>
      </c>
      <c r="G143" s="20">
        <f t="shared" si="36"/>
        <v>0</v>
      </c>
      <c r="H143" s="16" t="s">
        <v>138</v>
      </c>
      <c r="I143" t="s">
        <v>125</v>
      </c>
      <c r="K143" s="54">
        <v>-3434154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T143" s="20">
        <f t="shared" si="37"/>
        <v>0</v>
      </c>
      <c r="U143" s="20">
        <f t="shared" si="21"/>
        <v>0</v>
      </c>
      <c r="V143" s="21"/>
      <c r="W143" s="19"/>
    </row>
    <row r="144" spans="1:23" ht="16" customHeight="1">
      <c r="A144" s="33" t="s">
        <v>120</v>
      </c>
      <c r="B144" s="48">
        <v>2020</v>
      </c>
      <c r="C144" s="16" t="s">
        <v>0</v>
      </c>
      <c r="D144" s="7" t="s">
        <v>17</v>
      </c>
      <c r="E144" s="54">
        <v>1908000</v>
      </c>
      <c r="F144" s="20">
        <v>0</v>
      </c>
      <c r="G144" s="20">
        <f t="shared" si="36"/>
        <v>0</v>
      </c>
      <c r="H144" s="16" t="s">
        <v>138</v>
      </c>
      <c r="I144" t="s">
        <v>125</v>
      </c>
      <c r="K144" s="54">
        <v>-1908000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T144" s="20">
        <f t="shared" si="37"/>
        <v>0</v>
      </c>
      <c r="U144" s="20">
        <f t="shared" si="21"/>
        <v>0</v>
      </c>
      <c r="V144" s="21"/>
      <c r="W144" s="19"/>
    </row>
    <row r="145" spans="1:23" ht="16" customHeight="1">
      <c r="A145" s="33" t="s">
        <v>120</v>
      </c>
      <c r="B145" s="48">
        <v>2020</v>
      </c>
      <c r="C145" s="16" t="s">
        <v>0</v>
      </c>
      <c r="D145" s="7" t="s">
        <v>21</v>
      </c>
      <c r="E145" s="54">
        <v>1200000</v>
      </c>
      <c r="F145" s="20">
        <v>0</v>
      </c>
      <c r="G145" s="20">
        <f t="shared" si="36"/>
        <v>0</v>
      </c>
      <c r="H145" s="16" t="s">
        <v>138</v>
      </c>
      <c r="I145" t="s">
        <v>125</v>
      </c>
      <c r="K145" s="54">
        <v>-1200000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T145" s="20">
        <f t="shared" si="37"/>
        <v>0</v>
      </c>
      <c r="U145" s="20">
        <f t="shared" si="21"/>
        <v>0</v>
      </c>
      <c r="V145" s="21"/>
      <c r="W145" s="19"/>
    </row>
    <row r="146" spans="1:23" ht="16" customHeight="1">
      <c r="A146" s="33" t="s">
        <v>120</v>
      </c>
      <c r="B146" s="48">
        <v>2020</v>
      </c>
      <c r="C146" s="16" t="s">
        <v>0</v>
      </c>
      <c r="D146" t="s">
        <v>43</v>
      </c>
      <c r="E146" s="54">
        <v>1000000</v>
      </c>
      <c r="F146" s="20">
        <v>0</v>
      </c>
      <c r="G146" s="20">
        <f t="shared" si="36"/>
        <v>0</v>
      </c>
      <c r="H146" s="16" t="s">
        <v>138</v>
      </c>
      <c r="I146" t="s">
        <v>135</v>
      </c>
      <c r="K146" s="20">
        <v>-1000000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T146" s="20">
        <f t="shared" si="37"/>
        <v>0</v>
      </c>
      <c r="U146" s="20">
        <f t="shared" si="21"/>
        <v>0</v>
      </c>
      <c r="V146" s="21"/>
      <c r="W146" s="19"/>
    </row>
    <row r="147" spans="1:23" ht="16" customHeight="1">
      <c r="A147" s="33" t="s">
        <v>120</v>
      </c>
      <c r="B147" s="48">
        <v>2020</v>
      </c>
      <c r="C147" s="16" t="s">
        <v>0</v>
      </c>
      <c r="D147" t="s">
        <v>988</v>
      </c>
      <c r="E147" s="54">
        <v>3000000</v>
      </c>
      <c r="F147" s="20">
        <v>0</v>
      </c>
      <c r="G147" s="20">
        <f t="shared" si="36"/>
        <v>0</v>
      </c>
      <c r="H147" s="16" t="s">
        <v>138</v>
      </c>
      <c r="I147" t="s">
        <v>133</v>
      </c>
      <c r="K147" s="20">
        <v>-3000000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T147" s="20">
        <f t="shared" si="37"/>
        <v>0</v>
      </c>
      <c r="U147" s="20">
        <f t="shared" ref="U147" si="39">G147+Q147+R147</f>
        <v>0</v>
      </c>
      <c r="V147" s="21"/>
      <c r="W147" s="19"/>
    </row>
    <row r="148" spans="1:23" ht="16" customHeight="1">
      <c r="A148" s="33" t="s">
        <v>120</v>
      </c>
      <c r="B148" s="48">
        <v>2020</v>
      </c>
      <c r="C148" s="16" t="s">
        <v>0</v>
      </c>
      <c r="D148" t="s">
        <v>989</v>
      </c>
      <c r="E148" s="54">
        <v>7000000</v>
      </c>
      <c r="F148" s="20">
        <v>0</v>
      </c>
      <c r="G148" s="20">
        <f t="shared" si="36"/>
        <v>0</v>
      </c>
      <c r="H148" s="16" t="s">
        <v>138</v>
      </c>
      <c r="I148" t="s">
        <v>133</v>
      </c>
      <c r="K148" s="20">
        <v>-7000000</v>
      </c>
      <c r="L148" s="20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T148" s="20">
        <f t="shared" si="37"/>
        <v>0</v>
      </c>
      <c r="U148" s="20">
        <f t="shared" ref="U148:U149" si="40">G148+Q148+R148</f>
        <v>0</v>
      </c>
      <c r="V148" s="21"/>
      <c r="W148" s="19"/>
    </row>
    <row r="149" spans="1:23" ht="16" customHeight="1">
      <c r="A149" s="33" t="s">
        <v>120</v>
      </c>
      <c r="B149" s="48">
        <v>2020</v>
      </c>
      <c r="C149" s="16" t="s">
        <v>449</v>
      </c>
      <c r="D149" t="s">
        <v>1011</v>
      </c>
      <c r="E149" s="8">
        <v>939000</v>
      </c>
      <c r="F149" s="20">
        <v>0</v>
      </c>
      <c r="G149" s="20">
        <f t="shared" si="36"/>
        <v>0</v>
      </c>
      <c r="H149" s="16" t="s">
        <v>138</v>
      </c>
      <c r="I149" s="46" t="s">
        <v>482</v>
      </c>
      <c r="K149" s="20">
        <v>0</v>
      </c>
      <c r="L149" s="54">
        <v>-939000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T149" s="20">
        <f t="shared" si="37"/>
        <v>0</v>
      </c>
      <c r="U149" s="20">
        <f t="shared" si="40"/>
        <v>0</v>
      </c>
      <c r="V149" s="21"/>
      <c r="W149" s="19"/>
    </row>
    <row r="150" spans="1:23" ht="16" customHeight="1">
      <c r="A150" s="33" t="s">
        <v>120</v>
      </c>
      <c r="B150" s="48">
        <v>2020</v>
      </c>
      <c r="C150" s="16" t="s">
        <v>449</v>
      </c>
      <c r="D150" t="s">
        <v>96</v>
      </c>
      <c r="E150" s="54">
        <v>121000000</v>
      </c>
      <c r="F150" s="20">
        <v>0</v>
      </c>
      <c r="G150" s="20">
        <f t="shared" si="36"/>
        <v>0</v>
      </c>
      <c r="H150" s="16" t="s">
        <v>138</v>
      </c>
      <c r="I150" t="s">
        <v>151</v>
      </c>
      <c r="K150" s="20">
        <v>0</v>
      </c>
      <c r="L150" s="54">
        <v>-121000000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T150" s="20">
        <f t="shared" si="37"/>
        <v>0</v>
      </c>
      <c r="U150" s="20">
        <f t="shared" si="21"/>
        <v>0</v>
      </c>
      <c r="V150" s="21"/>
      <c r="W150" s="19"/>
    </row>
    <row r="151" spans="1:23" ht="16" customHeight="1">
      <c r="A151" s="33" t="s">
        <v>120</v>
      </c>
      <c r="B151" s="48">
        <v>2020</v>
      </c>
      <c r="C151" s="16" t="s">
        <v>449</v>
      </c>
      <c r="D151" t="s">
        <v>94</v>
      </c>
      <c r="E151" s="54">
        <v>1500000</v>
      </c>
      <c r="F151" s="20">
        <v>0</v>
      </c>
      <c r="G151" s="20">
        <f t="shared" si="36"/>
        <v>0</v>
      </c>
      <c r="H151" s="16" t="s">
        <v>138</v>
      </c>
      <c r="I151" t="s">
        <v>131</v>
      </c>
      <c r="K151" s="20">
        <v>0</v>
      </c>
      <c r="L151" s="54">
        <v>-1500000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T151" s="20">
        <f t="shared" si="37"/>
        <v>0</v>
      </c>
      <c r="U151" s="20">
        <f t="shared" si="21"/>
        <v>0</v>
      </c>
      <c r="V151" s="21"/>
      <c r="W151" s="19"/>
    </row>
    <row r="152" spans="1:23" ht="16" customHeight="1">
      <c r="A152" s="33" t="s">
        <v>120</v>
      </c>
      <c r="B152" s="48">
        <v>2020</v>
      </c>
      <c r="C152" s="16" t="s">
        <v>449</v>
      </c>
      <c r="D152" t="s">
        <v>97</v>
      </c>
      <c r="E152" s="54">
        <v>40000000</v>
      </c>
      <c r="F152" s="20">
        <v>0</v>
      </c>
      <c r="G152" s="20">
        <f t="shared" si="36"/>
        <v>0</v>
      </c>
      <c r="H152" s="16" t="s">
        <v>138</v>
      </c>
      <c r="I152" t="s">
        <v>131</v>
      </c>
      <c r="K152" s="20">
        <v>0</v>
      </c>
      <c r="L152" s="54">
        <v>-40000000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T152" s="20">
        <f t="shared" si="37"/>
        <v>0</v>
      </c>
      <c r="U152" s="20">
        <f t="shared" si="21"/>
        <v>0</v>
      </c>
      <c r="V152" s="21"/>
      <c r="W152" s="19"/>
    </row>
    <row r="153" spans="1:23" ht="16" customHeight="1">
      <c r="A153" s="33" t="s">
        <v>120</v>
      </c>
      <c r="B153" s="48">
        <v>2020</v>
      </c>
      <c r="C153" s="16" t="s">
        <v>449</v>
      </c>
      <c r="D153" t="s">
        <v>85</v>
      </c>
      <c r="E153" s="54">
        <v>1502450</v>
      </c>
      <c r="F153" s="20">
        <v>0</v>
      </c>
      <c r="G153" s="20">
        <f t="shared" si="36"/>
        <v>0</v>
      </c>
      <c r="H153" s="16" t="s">
        <v>138</v>
      </c>
      <c r="I153" t="s">
        <v>150</v>
      </c>
      <c r="K153" s="20">
        <v>0</v>
      </c>
      <c r="L153" s="54">
        <v>-1502450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T153" s="20">
        <f t="shared" si="37"/>
        <v>0</v>
      </c>
      <c r="U153" s="20">
        <f t="shared" si="21"/>
        <v>0</v>
      </c>
      <c r="V153" s="21"/>
      <c r="W153" s="19"/>
    </row>
    <row r="154" spans="1:23" ht="16" customHeight="1">
      <c r="A154" s="33" t="s">
        <v>120</v>
      </c>
      <c r="B154" s="48">
        <v>2020</v>
      </c>
      <c r="C154" s="16" t="s">
        <v>449</v>
      </c>
      <c r="D154" t="s">
        <v>87</v>
      </c>
      <c r="E154" s="54">
        <v>750000</v>
      </c>
      <c r="F154" s="20">
        <v>0</v>
      </c>
      <c r="G154" s="20">
        <f t="shared" si="36"/>
        <v>0</v>
      </c>
      <c r="H154" s="16" t="s">
        <v>138</v>
      </c>
      <c r="I154" t="s">
        <v>150</v>
      </c>
      <c r="K154" s="20">
        <v>0</v>
      </c>
      <c r="L154" s="54">
        <v>-750000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T154" s="20">
        <f t="shared" si="37"/>
        <v>0</v>
      </c>
      <c r="U154" s="20">
        <f t="shared" si="21"/>
        <v>0</v>
      </c>
      <c r="V154" s="21"/>
      <c r="W154" s="19"/>
    </row>
    <row r="155" spans="1:23" ht="16" customHeight="1">
      <c r="A155" s="33" t="s">
        <v>120</v>
      </c>
      <c r="B155" s="48">
        <v>2020</v>
      </c>
      <c r="C155" s="16" t="s">
        <v>449</v>
      </c>
      <c r="D155" t="s">
        <v>147</v>
      </c>
      <c r="E155" s="54">
        <v>20000000</v>
      </c>
      <c r="F155" s="20">
        <v>0</v>
      </c>
      <c r="G155" s="20">
        <f t="shared" si="36"/>
        <v>0</v>
      </c>
      <c r="H155" s="16" t="s">
        <v>138</v>
      </c>
      <c r="I155" t="s">
        <v>148</v>
      </c>
      <c r="K155" s="20">
        <v>0</v>
      </c>
      <c r="L155" s="20">
        <v>-20000000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T155" s="20">
        <f t="shared" si="37"/>
        <v>0</v>
      </c>
      <c r="U155" s="20">
        <f t="shared" si="21"/>
        <v>0</v>
      </c>
      <c r="V155" s="21"/>
      <c r="W155" s="19"/>
    </row>
    <row r="156" spans="1:23" ht="16" customHeight="1">
      <c r="A156" s="33" t="s">
        <v>120</v>
      </c>
      <c r="B156" s="48">
        <v>2020</v>
      </c>
      <c r="C156" s="16" t="s">
        <v>449</v>
      </c>
      <c r="D156" t="s">
        <v>77</v>
      </c>
      <c r="E156" s="54">
        <v>169857</v>
      </c>
      <c r="F156" s="20">
        <v>0</v>
      </c>
      <c r="G156" s="20">
        <f t="shared" si="36"/>
        <v>0</v>
      </c>
      <c r="H156" s="16" t="s">
        <v>138</v>
      </c>
      <c r="I156" t="s">
        <v>125</v>
      </c>
      <c r="K156" s="20">
        <v>0</v>
      </c>
      <c r="L156" s="54">
        <v>-169857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T156" s="20">
        <f t="shared" si="37"/>
        <v>0</v>
      </c>
      <c r="U156" s="20">
        <f t="shared" si="21"/>
        <v>0</v>
      </c>
      <c r="V156" s="21"/>
      <c r="W156" s="19"/>
    </row>
    <row r="157" spans="1:23" ht="16" customHeight="1">
      <c r="A157" s="33" t="s">
        <v>120</v>
      </c>
      <c r="B157" s="48">
        <v>2020</v>
      </c>
      <c r="C157" s="16" t="s">
        <v>449</v>
      </c>
      <c r="D157" t="s">
        <v>88</v>
      </c>
      <c r="E157" s="54">
        <v>643750</v>
      </c>
      <c r="F157" s="20">
        <v>0</v>
      </c>
      <c r="G157" s="20">
        <f t="shared" si="36"/>
        <v>0</v>
      </c>
      <c r="H157" s="16" t="s">
        <v>138</v>
      </c>
      <c r="I157" t="s">
        <v>135</v>
      </c>
      <c r="K157" s="20">
        <v>0</v>
      </c>
      <c r="L157" s="54">
        <v>-643750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T157" s="20">
        <f t="shared" si="37"/>
        <v>0</v>
      </c>
      <c r="U157" s="20">
        <f t="shared" si="21"/>
        <v>0</v>
      </c>
      <c r="V157" s="21"/>
      <c r="W157" s="19"/>
    </row>
    <row r="158" spans="1:23" ht="16" customHeight="1">
      <c r="A158" s="33" t="s">
        <v>120</v>
      </c>
      <c r="B158" s="48">
        <v>2020</v>
      </c>
      <c r="C158" s="16" t="s">
        <v>429</v>
      </c>
      <c r="D158" s="14" t="s">
        <v>631</v>
      </c>
      <c r="E158" s="50">
        <v>325000</v>
      </c>
      <c r="F158" s="20">
        <v>0</v>
      </c>
      <c r="G158" s="20">
        <f t="shared" si="36"/>
        <v>0</v>
      </c>
      <c r="H158" s="16" t="s">
        <v>138</v>
      </c>
      <c r="I158" s="14" t="s">
        <v>131</v>
      </c>
      <c r="K158" s="20">
        <v>0</v>
      </c>
      <c r="L158" s="20">
        <v>0</v>
      </c>
      <c r="M158" s="20">
        <v>0</v>
      </c>
      <c r="N158" s="20">
        <v>0</v>
      </c>
      <c r="O158" s="20">
        <v>-325000</v>
      </c>
      <c r="P158" s="20">
        <v>0</v>
      </c>
      <c r="Q158" s="20">
        <v>0</v>
      </c>
      <c r="R158" s="20">
        <v>0</v>
      </c>
      <c r="T158" s="20">
        <f t="shared" si="37"/>
        <v>0</v>
      </c>
      <c r="U158" s="20">
        <f t="shared" ref="U158:U163" si="41">G158+Q158+R158</f>
        <v>0</v>
      </c>
      <c r="V158" s="21"/>
      <c r="W158" s="19"/>
    </row>
    <row r="159" spans="1:23" ht="16" customHeight="1">
      <c r="A159" s="33" t="s">
        <v>120</v>
      </c>
      <c r="B159" s="48">
        <v>2020</v>
      </c>
      <c r="C159" s="16" t="s">
        <v>429</v>
      </c>
      <c r="D159" s="14" t="s">
        <v>636</v>
      </c>
      <c r="E159" s="50">
        <v>114500</v>
      </c>
      <c r="F159" s="20">
        <v>0</v>
      </c>
      <c r="G159" s="20">
        <f t="shared" si="36"/>
        <v>0</v>
      </c>
      <c r="H159" s="16" t="s">
        <v>138</v>
      </c>
      <c r="I159" s="14" t="s">
        <v>131</v>
      </c>
      <c r="K159" s="20">
        <v>0</v>
      </c>
      <c r="L159" s="20">
        <v>0</v>
      </c>
      <c r="M159" s="20">
        <v>0</v>
      </c>
      <c r="N159" s="20">
        <v>0</v>
      </c>
      <c r="O159" s="20">
        <v>-114500</v>
      </c>
      <c r="P159" s="20">
        <v>0</v>
      </c>
      <c r="Q159" s="20">
        <v>0</v>
      </c>
      <c r="R159" s="20">
        <v>0</v>
      </c>
      <c r="T159" s="20">
        <f t="shared" si="37"/>
        <v>0</v>
      </c>
      <c r="U159" s="20">
        <f t="shared" si="41"/>
        <v>0</v>
      </c>
      <c r="V159" s="21"/>
      <c r="W159" s="19"/>
    </row>
    <row r="160" spans="1:23" ht="16" customHeight="1">
      <c r="A160" s="33" t="s">
        <v>120</v>
      </c>
      <c r="B160" s="48">
        <v>2020</v>
      </c>
      <c r="C160" s="16" t="s">
        <v>429</v>
      </c>
      <c r="D160" s="14" t="s">
        <v>639</v>
      </c>
      <c r="E160" s="50">
        <v>24000</v>
      </c>
      <c r="F160" s="20">
        <v>0</v>
      </c>
      <c r="G160" s="20">
        <f t="shared" si="36"/>
        <v>0</v>
      </c>
      <c r="H160" s="16" t="s">
        <v>138</v>
      </c>
      <c r="I160" s="14" t="s">
        <v>131</v>
      </c>
      <c r="K160" s="20">
        <v>0</v>
      </c>
      <c r="L160" s="20">
        <v>0</v>
      </c>
      <c r="M160" s="20">
        <v>0</v>
      </c>
      <c r="N160" s="20">
        <v>0</v>
      </c>
      <c r="O160" s="20">
        <v>-24000</v>
      </c>
      <c r="P160" s="20">
        <v>0</v>
      </c>
      <c r="Q160" s="20">
        <v>0</v>
      </c>
      <c r="R160" s="20">
        <v>0</v>
      </c>
      <c r="T160" s="20">
        <f t="shared" si="37"/>
        <v>0</v>
      </c>
      <c r="U160" s="20">
        <f t="shared" si="41"/>
        <v>0</v>
      </c>
      <c r="V160" s="21"/>
      <c r="W160" s="19"/>
    </row>
    <row r="161" spans="1:23" ht="16" customHeight="1">
      <c r="A161" s="33" t="s">
        <v>120</v>
      </c>
      <c r="B161" s="48">
        <v>2020</v>
      </c>
      <c r="C161" s="16" t="s">
        <v>429</v>
      </c>
      <c r="D161" s="14" t="s">
        <v>650</v>
      </c>
      <c r="E161" s="50">
        <v>375000</v>
      </c>
      <c r="F161" s="20">
        <v>0</v>
      </c>
      <c r="G161" s="20">
        <f t="shared" si="36"/>
        <v>0</v>
      </c>
      <c r="H161" s="16" t="s">
        <v>138</v>
      </c>
      <c r="I161" s="14" t="s">
        <v>131</v>
      </c>
      <c r="K161" s="20">
        <v>0</v>
      </c>
      <c r="L161" s="20">
        <v>0</v>
      </c>
      <c r="M161" s="20">
        <v>0</v>
      </c>
      <c r="N161" s="20">
        <v>0</v>
      </c>
      <c r="O161" s="20">
        <v>-375000</v>
      </c>
      <c r="P161" s="20">
        <v>0</v>
      </c>
      <c r="Q161" s="20">
        <v>0</v>
      </c>
      <c r="R161" s="20">
        <v>0</v>
      </c>
      <c r="T161" s="20">
        <f t="shared" si="37"/>
        <v>0</v>
      </c>
      <c r="U161" s="20">
        <f t="shared" si="41"/>
        <v>0</v>
      </c>
      <c r="V161" s="21"/>
      <c r="W161" s="19"/>
    </row>
    <row r="162" spans="1:23" ht="16" customHeight="1">
      <c r="A162" s="33" t="s">
        <v>120</v>
      </c>
      <c r="B162" s="48">
        <v>2020</v>
      </c>
      <c r="C162" s="16" t="s">
        <v>429</v>
      </c>
      <c r="D162" s="14" t="s">
        <v>872</v>
      </c>
      <c r="E162" s="50">
        <v>46000</v>
      </c>
      <c r="F162" s="20">
        <v>0</v>
      </c>
      <c r="G162" s="20">
        <f t="shared" si="36"/>
        <v>0</v>
      </c>
      <c r="H162" s="16" t="s">
        <v>138</v>
      </c>
      <c r="I162" s="14" t="s">
        <v>133</v>
      </c>
      <c r="K162" s="20">
        <v>0</v>
      </c>
      <c r="L162" s="20">
        <v>0</v>
      </c>
      <c r="M162" s="20">
        <v>0</v>
      </c>
      <c r="N162" s="20">
        <v>0</v>
      </c>
      <c r="O162" s="50">
        <v>-46000</v>
      </c>
      <c r="P162" s="20">
        <v>0</v>
      </c>
      <c r="Q162" s="20">
        <v>0</v>
      </c>
      <c r="R162" s="20">
        <v>0</v>
      </c>
      <c r="T162" s="20">
        <f t="shared" si="37"/>
        <v>0</v>
      </c>
      <c r="U162" s="20">
        <f t="shared" si="41"/>
        <v>0</v>
      </c>
      <c r="V162" s="21"/>
      <c r="W162" s="19"/>
    </row>
    <row r="163" spans="1:23" ht="16" customHeight="1">
      <c r="A163" s="33" t="s">
        <v>120</v>
      </c>
      <c r="B163" s="48">
        <v>2020</v>
      </c>
      <c r="C163" s="16" t="s">
        <v>429</v>
      </c>
      <c r="D163" s="14" t="s">
        <v>873</v>
      </c>
      <c r="E163" s="50">
        <v>139000</v>
      </c>
      <c r="F163" s="20">
        <v>0</v>
      </c>
      <c r="G163" s="20">
        <f t="shared" si="36"/>
        <v>0</v>
      </c>
      <c r="H163" s="16" t="s">
        <v>138</v>
      </c>
      <c r="I163" s="14" t="s">
        <v>133</v>
      </c>
      <c r="K163" s="20">
        <v>0</v>
      </c>
      <c r="L163" s="20">
        <v>0</v>
      </c>
      <c r="M163" s="20">
        <v>0</v>
      </c>
      <c r="N163" s="20">
        <v>0</v>
      </c>
      <c r="O163" s="50">
        <v>-139000</v>
      </c>
      <c r="P163" s="20">
        <v>0</v>
      </c>
      <c r="Q163" s="20">
        <v>0</v>
      </c>
      <c r="R163" s="20">
        <v>0</v>
      </c>
      <c r="T163" s="20">
        <f t="shared" si="37"/>
        <v>0</v>
      </c>
      <c r="U163" s="20">
        <f t="shared" si="41"/>
        <v>0</v>
      </c>
      <c r="V163" s="21"/>
      <c r="W163" s="19"/>
    </row>
    <row r="164" spans="1:23" ht="16" customHeight="1">
      <c r="A164" s="33" t="s">
        <v>120</v>
      </c>
      <c r="B164" s="48">
        <v>2020</v>
      </c>
      <c r="C164" s="16" t="s">
        <v>450</v>
      </c>
      <c r="D164" s="14" t="s">
        <v>408</v>
      </c>
      <c r="E164" s="50">
        <v>37067878</v>
      </c>
      <c r="F164" s="20">
        <v>0</v>
      </c>
      <c r="G164" s="20">
        <f t="shared" si="36"/>
        <v>0</v>
      </c>
      <c r="H164" s="16" t="s">
        <v>138</v>
      </c>
      <c r="I164" s="14" t="s">
        <v>132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-37067878</v>
      </c>
      <c r="Q164" s="20">
        <v>0</v>
      </c>
      <c r="R164" s="20">
        <v>0</v>
      </c>
      <c r="T164" s="20">
        <f t="shared" si="37"/>
        <v>0</v>
      </c>
      <c r="U164" s="20">
        <f t="shared" ref="U164" si="42">G164+Q164+R164</f>
        <v>0</v>
      </c>
      <c r="V164" s="21"/>
      <c r="W164" s="19"/>
    </row>
    <row r="165" spans="1:23" ht="16" customHeight="1">
      <c r="A165" s="33" t="s">
        <v>120</v>
      </c>
      <c r="B165" s="48">
        <v>2020</v>
      </c>
      <c r="C165" s="16" t="s">
        <v>4484</v>
      </c>
      <c r="D165" t="s">
        <v>83</v>
      </c>
      <c r="E165" s="54">
        <v>10124310</v>
      </c>
      <c r="F165" s="20">
        <v>0</v>
      </c>
      <c r="G165" s="20">
        <f t="shared" si="36"/>
        <v>0</v>
      </c>
      <c r="H165" s="16" t="s">
        <v>138</v>
      </c>
      <c r="I165" t="s">
        <v>125</v>
      </c>
      <c r="K165" s="20">
        <v>0</v>
      </c>
      <c r="L165" s="20">
        <v>-10124310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T165" s="20">
        <f t="shared" si="37"/>
        <v>0</v>
      </c>
      <c r="U165" s="20">
        <f t="shared" si="21"/>
        <v>0</v>
      </c>
      <c r="V165" s="21"/>
      <c r="W165" s="19"/>
    </row>
    <row r="166" spans="1:23" ht="16" customHeight="1">
      <c r="A166" s="33" t="s">
        <v>120</v>
      </c>
      <c r="B166" s="48">
        <v>2020</v>
      </c>
      <c r="C166" s="16" t="s">
        <v>480</v>
      </c>
      <c r="D166" s="16" t="s">
        <v>481</v>
      </c>
      <c r="E166" s="20">
        <v>1000000</v>
      </c>
      <c r="F166" s="20">
        <v>0</v>
      </c>
      <c r="G166" s="20">
        <f t="shared" si="36"/>
        <v>0</v>
      </c>
      <c r="H166" s="16" t="s">
        <v>138</v>
      </c>
      <c r="I166" s="46" t="s">
        <v>482</v>
      </c>
      <c r="K166" s="20">
        <v>-1000000</v>
      </c>
      <c r="L166" s="20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T166" s="20">
        <f t="shared" si="37"/>
        <v>0</v>
      </c>
      <c r="U166" s="20">
        <f t="shared" si="21"/>
        <v>0</v>
      </c>
      <c r="V166" s="21"/>
      <c r="W166" s="19"/>
    </row>
    <row r="167" spans="1:23" ht="16" customHeight="1">
      <c r="A167" s="33" t="s">
        <v>120</v>
      </c>
      <c r="B167" s="48">
        <v>2020</v>
      </c>
      <c r="C167" s="16" t="s">
        <v>458</v>
      </c>
      <c r="D167" s="16" t="s">
        <v>483</v>
      </c>
      <c r="E167" s="20">
        <v>1150000</v>
      </c>
      <c r="F167" s="20">
        <v>0</v>
      </c>
      <c r="G167" s="20">
        <f t="shared" si="36"/>
        <v>0</v>
      </c>
      <c r="H167" s="16" t="s">
        <v>138</v>
      </c>
      <c r="I167" s="46" t="s">
        <v>482</v>
      </c>
      <c r="K167" s="20">
        <v>-1150000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T167" s="20">
        <f t="shared" si="37"/>
        <v>0</v>
      </c>
      <c r="U167" s="20">
        <f t="shared" si="21"/>
        <v>0</v>
      </c>
      <c r="V167" s="21"/>
      <c r="W167" s="19"/>
    </row>
    <row r="168" spans="1:23" ht="16" customHeight="1">
      <c r="A168" s="33" t="s">
        <v>120</v>
      </c>
      <c r="B168" s="48">
        <v>2020</v>
      </c>
      <c r="C168" s="16" t="s">
        <v>458</v>
      </c>
      <c r="D168" s="16" t="s">
        <v>484</v>
      </c>
      <c r="E168" s="20">
        <v>1600000</v>
      </c>
      <c r="F168" s="20">
        <v>0</v>
      </c>
      <c r="G168" s="20">
        <f t="shared" si="36"/>
        <v>0</v>
      </c>
      <c r="H168" s="16" t="s">
        <v>138</v>
      </c>
      <c r="I168" s="55" t="s">
        <v>485</v>
      </c>
      <c r="K168" s="20">
        <v>-1600000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T168" s="20">
        <f t="shared" si="37"/>
        <v>0</v>
      </c>
      <c r="U168" s="20">
        <f t="shared" si="21"/>
        <v>0</v>
      </c>
      <c r="V168" s="21"/>
      <c r="W168" s="19"/>
    </row>
    <row r="169" spans="1:23" ht="16" customHeight="1">
      <c r="A169" s="33" t="s">
        <v>120</v>
      </c>
      <c r="B169" s="48">
        <v>2020</v>
      </c>
      <c r="C169" s="16" t="s">
        <v>458</v>
      </c>
      <c r="D169" s="16" t="s">
        <v>487</v>
      </c>
      <c r="E169" s="20">
        <v>1050000</v>
      </c>
      <c r="F169" s="20">
        <v>0</v>
      </c>
      <c r="G169" s="20">
        <f t="shared" si="36"/>
        <v>0</v>
      </c>
      <c r="H169" s="16" t="s">
        <v>138</v>
      </c>
      <c r="I169" s="46" t="s">
        <v>486</v>
      </c>
      <c r="K169" s="20">
        <v>-1050000</v>
      </c>
      <c r="L169" s="20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T169" s="20">
        <f t="shared" si="37"/>
        <v>0</v>
      </c>
      <c r="U169" s="20">
        <f t="shared" si="21"/>
        <v>0</v>
      </c>
      <c r="V169" s="21"/>
      <c r="W169" s="19"/>
    </row>
    <row r="170" spans="1:23" ht="16" customHeight="1">
      <c r="A170" s="33" t="s">
        <v>120</v>
      </c>
      <c r="B170" s="48">
        <v>2020</v>
      </c>
      <c r="C170" s="16" t="s">
        <v>458</v>
      </c>
      <c r="D170" s="16" t="s">
        <v>488</v>
      </c>
      <c r="E170" s="20">
        <v>1600000</v>
      </c>
      <c r="F170" s="20">
        <v>0</v>
      </c>
      <c r="G170" s="20">
        <f t="shared" si="36"/>
        <v>0</v>
      </c>
      <c r="H170" s="16" t="s">
        <v>138</v>
      </c>
      <c r="I170" s="46" t="s">
        <v>486</v>
      </c>
      <c r="K170" s="20">
        <v>-1600000</v>
      </c>
      <c r="L170" s="20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T170" s="20">
        <f t="shared" si="37"/>
        <v>0</v>
      </c>
      <c r="U170" s="20">
        <f t="shared" ref="U170" si="43">G170+Q170+R170</f>
        <v>0</v>
      </c>
      <c r="V170" s="21"/>
      <c r="W170" s="19"/>
    </row>
    <row r="171" spans="1:23" ht="16" customHeight="1">
      <c r="A171" s="33" t="s">
        <v>120</v>
      </c>
      <c r="B171" s="48">
        <v>2020</v>
      </c>
      <c r="C171" s="16" t="s">
        <v>3069</v>
      </c>
      <c r="D171" s="16" t="s">
        <v>3070</v>
      </c>
      <c r="E171" s="20">
        <v>1950000</v>
      </c>
      <c r="F171" s="20">
        <v>0</v>
      </c>
      <c r="G171" s="20">
        <f t="shared" si="36"/>
        <v>0</v>
      </c>
      <c r="H171" s="16" t="s">
        <v>138</v>
      </c>
      <c r="I171" s="46" t="s">
        <v>486</v>
      </c>
      <c r="K171" s="20">
        <v>-1950000</v>
      </c>
      <c r="L171" s="20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T171" s="20">
        <f t="shared" si="37"/>
        <v>0</v>
      </c>
      <c r="U171" s="20">
        <f t="shared" ref="U171:U228" si="44">G171+Q171+R171</f>
        <v>0</v>
      </c>
      <c r="V171" s="21"/>
      <c r="W171" s="19"/>
    </row>
    <row r="172" spans="1:23" ht="16" customHeight="1">
      <c r="A172" s="33" t="s">
        <v>120</v>
      </c>
      <c r="B172" s="48">
        <v>2020</v>
      </c>
      <c r="C172" s="16" t="s">
        <v>458</v>
      </c>
      <c r="D172" s="52" t="s">
        <v>489</v>
      </c>
      <c r="E172" s="20">
        <v>1050000</v>
      </c>
      <c r="F172" s="20">
        <v>0</v>
      </c>
      <c r="G172" s="20">
        <f t="shared" si="36"/>
        <v>0</v>
      </c>
      <c r="H172" s="16" t="s">
        <v>138</v>
      </c>
      <c r="I172" s="52" t="s">
        <v>377</v>
      </c>
      <c r="K172" s="20">
        <v>-1050000</v>
      </c>
      <c r="L172" s="20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T172" s="20">
        <f t="shared" si="37"/>
        <v>0</v>
      </c>
      <c r="U172" s="20">
        <f t="shared" si="44"/>
        <v>0</v>
      </c>
      <c r="V172" s="21"/>
      <c r="W172" s="19"/>
    </row>
    <row r="173" spans="1:23" ht="16" customHeight="1">
      <c r="A173" s="33" t="s">
        <v>120</v>
      </c>
      <c r="B173" s="48">
        <v>2020</v>
      </c>
      <c r="C173" s="16" t="s">
        <v>458</v>
      </c>
      <c r="D173" s="16" t="s">
        <v>490</v>
      </c>
      <c r="E173" s="20">
        <v>1050000</v>
      </c>
      <c r="F173" s="20">
        <v>0</v>
      </c>
      <c r="G173" s="20">
        <f t="shared" si="36"/>
        <v>0</v>
      </c>
      <c r="H173" s="16" t="s">
        <v>138</v>
      </c>
      <c r="I173" s="46" t="s">
        <v>133</v>
      </c>
      <c r="K173" s="20">
        <v>-1050000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T173" s="20">
        <f t="shared" si="37"/>
        <v>0</v>
      </c>
      <c r="U173" s="20">
        <f t="shared" si="44"/>
        <v>0</v>
      </c>
      <c r="V173" s="21"/>
      <c r="W173" s="19"/>
    </row>
    <row r="174" spans="1:23" s="21" customFormat="1" ht="16" customHeight="1">
      <c r="A174" s="33" t="s">
        <v>120</v>
      </c>
      <c r="B174" s="48">
        <v>2020</v>
      </c>
      <c r="C174" s="16" t="s">
        <v>491</v>
      </c>
      <c r="D174" s="16" t="s">
        <v>492</v>
      </c>
      <c r="E174" s="20">
        <v>7875000</v>
      </c>
      <c r="F174" s="20">
        <v>0</v>
      </c>
      <c r="G174" s="20">
        <f t="shared" si="36"/>
        <v>0</v>
      </c>
      <c r="H174" s="16" t="s">
        <v>138</v>
      </c>
      <c r="I174" s="14" t="s">
        <v>133</v>
      </c>
      <c r="J174" s="19"/>
      <c r="K174" s="20">
        <v>-7875000</v>
      </c>
      <c r="L174" s="20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/>
      <c r="T174" s="20">
        <f t="shared" si="37"/>
        <v>0</v>
      </c>
      <c r="U174" s="20">
        <f t="shared" si="44"/>
        <v>0</v>
      </c>
    </row>
    <row r="175" spans="1:23" s="21" customFormat="1" ht="16" customHeight="1">
      <c r="A175" s="33" t="s">
        <v>120</v>
      </c>
      <c r="B175" s="48">
        <v>2020</v>
      </c>
      <c r="C175" s="16" t="s">
        <v>458</v>
      </c>
      <c r="D175" s="52" t="s">
        <v>493</v>
      </c>
      <c r="E175" s="59">
        <v>1050000</v>
      </c>
      <c r="F175" s="20">
        <v>0</v>
      </c>
      <c r="G175" s="20">
        <f t="shared" si="36"/>
        <v>0</v>
      </c>
      <c r="H175" s="16" t="s">
        <v>138</v>
      </c>
      <c r="I175" s="52" t="s">
        <v>378</v>
      </c>
      <c r="J175" s="19"/>
      <c r="K175" s="8">
        <v>-1050000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/>
      <c r="T175" s="20">
        <f t="shared" si="37"/>
        <v>0</v>
      </c>
      <c r="U175" s="20">
        <f t="shared" si="44"/>
        <v>0</v>
      </c>
    </row>
    <row r="176" spans="1:23" s="21" customFormat="1" ht="16" customHeight="1">
      <c r="A176" s="33" t="s">
        <v>120</v>
      </c>
      <c r="B176" s="48">
        <v>2020</v>
      </c>
      <c r="C176" s="16" t="s">
        <v>458</v>
      </c>
      <c r="D176" s="16" t="s">
        <v>494</v>
      </c>
      <c r="E176" s="20">
        <v>1050000</v>
      </c>
      <c r="F176" s="20">
        <v>0</v>
      </c>
      <c r="G176" s="20">
        <f t="shared" si="36"/>
        <v>0</v>
      </c>
      <c r="H176" s="16" t="s">
        <v>138</v>
      </c>
      <c r="I176" s="60" t="s">
        <v>495</v>
      </c>
      <c r="J176" s="19"/>
      <c r="K176" s="8">
        <v>-1050000</v>
      </c>
      <c r="L176" s="20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/>
      <c r="T176" s="20">
        <f t="shared" si="37"/>
        <v>0</v>
      </c>
      <c r="U176" s="20">
        <f t="shared" si="44"/>
        <v>0</v>
      </c>
    </row>
    <row r="177" spans="1:21" s="21" customFormat="1" ht="16" customHeight="1">
      <c r="A177" s="33" t="s">
        <v>120</v>
      </c>
      <c r="B177" s="48">
        <v>2020</v>
      </c>
      <c r="C177" s="16" t="s">
        <v>458</v>
      </c>
      <c r="D177" s="16" t="s">
        <v>496</v>
      </c>
      <c r="E177" s="20">
        <v>900000</v>
      </c>
      <c r="F177" s="20">
        <v>0</v>
      </c>
      <c r="G177" s="20">
        <f t="shared" si="36"/>
        <v>0</v>
      </c>
      <c r="H177" s="16" t="s">
        <v>138</v>
      </c>
      <c r="I177" s="14" t="s">
        <v>132</v>
      </c>
      <c r="J177" s="19"/>
      <c r="K177" s="20">
        <v>-900000</v>
      </c>
      <c r="L177" s="20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/>
      <c r="T177" s="20">
        <f t="shared" si="37"/>
        <v>0</v>
      </c>
      <c r="U177" s="20">
        <f t="shared" si="44"/>
        <v>0</v>
      </c>
    </row>
    <row r="178" spans="1:21" s="21" customFormat="1" ht="16" customHeight="1">
      <c r="A178" s="33" t="s">
        <v>120</v>
      </c>
      <c r="B178" s="48">
        <v>2020</v>
      </c>
      <c r="C178" s="16" t="s">
        <v>497</v>
      </c>
      <c r="D178" s="16" t="s">
        <v>498</v>
      </c>
      <c r="E178" s="20">
        <v>95375000</v>
      </c>
      <c r="F178" s="20">
        <v>0</v>
      </c>
      <c r="G178" s="20">
        <f t="shared" si="36"/>
        <v>0</v>
      </c>
      <c r="H178" s="16" t="s">
        <v>138</v>
      </c>
      <c r="I178" s="14" t="s">
        <v>131</v>
      </c>
      <c r="J178" s="19"/>
      <c r="K178" s="8">
        <v>-95375000</v>
      </c>
      <c r="L178" s="20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/>
      <c r="T178" s="20">
        <f t="shared" ref="T178:T234" si="45">E178+K178+L178+M178+N178+O178+P178</f>
        <v>0</v>
      </c>
      <c r="U178" s="20">
        <f t="shared" si="44"/>
        <v>0</v>
      </c>
    </row>
    <row r="179" spans="1:21" s="21" customFormat="1" ht="16" customHeight="1">
      <c r="A179" s="33" t="s">
        <v>120</v>
      </c>
      <c r="B179" s="48">
        <v>2020</v>
      </c>
      <c r="C179" s="16" t="s">
        <v>499</v>
      </c>
      <c r="D179" s="16" t="s">
        <v>500</v>
      </c>
      <c r="E179" s="20">
        <v>2470000</v>
      </c>
      <c r="F179" s="20">
        <v>0</v>
      </c>
      <c r="G179" s="20">
        <f t="shared" ref="G179:G242" si="46">(F179*$G$3)/$D$536</f>
        <v>0</v>
      </c>
      <c r="H179" s="16" t="s">
        <v>138</v>
      </c>
      <c r="I179" s="14" t="s">
        <v>131</v>
      </c>
      <c r="J179" s="19"/>
      <c r="K179" s="20">
        <v>-2470000</v>
      </c>
      <c r="L179" s="20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/>
      <c r="T179" s="20">
        <f t="shared" si="45"/>
        <v>0</v>
      </c>
      <c r="U179" s="20">
        <f t="shared" si="44"/>
        <v>0</v>
      </c>
    </row>
    <row r="180" spans="1:21" s="21" customFormat="1" ht="16" customHeight="1">
      <c r="A180" s="33" t="s">
        <v>120</v>
      </c>
      <c r="B180" s="48">
        <v>2020</v>
      </c>
      <c r="C180" s="16" t="s">
        <v>501</v>
      </c>
      <c r="D180" s="16" t="s">
        <v>502</v>
      </c>
      <c r="E180" s="20">
        <v>14250000</v>
      </c>
      <c r="F180" s="20">
        <v>0</v>
      </c>
      <c r="G180" s="20">
        <f t="shared" si="46"/>
        <v>0</v>
      </c>
      <c r="H180" s="16" t="s">
        <v>138</v>
      </c>
      <c r="I180" s="14" t="s">
        <v>131</v>
      </c>
      <c r="J180" s="19"/>
      <c r="K180" s="20">
        <v>-14250000</v>
      </c>
      <c r="L180" s="20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/>
      <c r="T180" s="20">
        <f t="shared" si="45"/>
        <v>0</v>
      </c>
      <c r="U180" s="20">
        <f t="shared" si="44"/>
        <v>0</v>
      </c>
    </row>
    <row r="181" spans="1:21" s="21" customFormat="1" ht="16" customHeight="1">
      <c r="A181" s="33" t="s">
        <v>120</v>
      </c>
      <c r="B181" s="48">
        <v>2020</v>
      </c>
      <c r="C181" s="16" t="s">
        <v>503</v>
      </c>
      <c r="D181" s="16" t="s">
        <v>504</v>
      </c>
      <c r="E181" s="20">
        <v>2025000</v>
      </c>
      <c r="F181" s="20">
        <v>0</v>
      </c>
      <c r="G181" s="20">
        <f t="shared" si="46"/>
        <v>0</v>
      </c>
      <c r="H181" s="16" t="s">
        <v>138</v>
      </c>
      <c r="I181" s="14" t="s">
        <v>131</v>
      </c>
      <c r="J181" s="19"/>
      <c r="K181" s="20">
        <v>-2025000</v>
      </c>
      <c r="L181" s="20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/>
      <c r="T181" s="20">
        <f t="shared" si="45"/>
        <v>0</v>
      </c>
      <c r="U181" s="20">
        <f t="shared" si="44"/>
        <v>0</v>
      </c>
    </row>
    <row r="182" spans="1:21" s="21" customFormat="1" ht="16" customHeight="1">
      <c r="A182" s="33" t="s">
        <v>120</v>
      </c>
      <c r="B182" s="48">
        <v>2020</v>
      </c>
      <c r="C182" s="16" t="s">
        <v>505</v>
      </c>
      <c r="D182" s="16" t="s">
        <v>506</v>
      </c>
      <c r="E182" s="20">
        <v>183400000</v>
      </c>
      <c r="F182" s="20">
        <v>0</v>
      </c>
      <c r="G182" s="20">
        <f t="shared" si="46"/>
        <v>0</v>
      </c>
      <c r="H182" s="16" t="s">
        <v>138</v>
      </c>
      <c r="I182" s="14" t="s">
        <v>131</v>
      </c>
      <c r="J182" s="19"/>
      <c r="K182" s="20">
        <f>-60000000-64100000-59300000</f>
        <v>-183400000</v>
      </c>
      <c r="L182" s="20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/>
      <c r="T182" s="20">
        <f t="shared" si="45"/>
        <v>0</v>
      </c>
      <c r="U182" s="20">
        <f t="shared" si="44"/>
        <v>0</v>
      </c>
    </row>
    <row r="183" spans="1:21" s="21" customFormat="1" ht="16" customHeight="1">
      <c r="A183" s="33" t="s">
        <v>120</v>
      </c>
      <c r="B183" s="48">
        <v>2020</v>
      </c>
      <c r="C183" s="16" t="s">
        <v>491</v>
      </c>
      <c r="D183" s="16" t="s">
        <v>507</v>
      </c>
      <c r="E183" s="20">
        <v>41721800</v>
      </c>
      <c r="F183" s="20">
        <v>0</v>
      </c>
      <c r="G183" s="20">
        <f t="shared" si="46"/>
        <v>0</v>
      </c>
      <c r="H183" s="16" t="s">
        <v>138</v>
      </c>
      <c r="I183" s="14" t="s">
        <v>131</v>
      </c>
      <c r="J183" s="19"/>
      <c r="K183" s="8">
        <v>-41721800</v>
      </c>
      <c r="L183" s="20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/>
      <c r="T183" s="20">
        <f t="shared" si="45"/>
        <v>0</v>
      </c>
      <c r="U183" s="20">
        <f t="shared" si="44"/>
        <v>0</v>
      </c>
    </row>
    <row r="184" spans="1:21" s="21" customFormat="1" ht="16" customHeight="1">
      <c r="A184" s="33" t="s">
        <v>120</v>
      </c>
      <c r="B184" s="48">
        <v>2020</v>
      </c>
      <c r="C184" s="16" t="s">
        <v>508</v>
      </c>
      <c r="D184" s="16" t="s">
        <v>509</v>
      </c>
      <c r="E184" s="20">
        <v>1350000</v>
      </c>
      <c r="F184" s="20">
        <v>0</v>
      </c>
      <c r="G184" s="20">
        <f t="shared" si="46"/>
        <v>0</v>
      </c>
      <c r="H184" s="16" t="s">
        <v>138</v>
      </c>
      <c r="I184" s="14" t="s">
        <v>131</v>
      </c>
      <c r="J184" s="19"/>
      <c r="K184" s="20">
        <v>-1350000</v>
      </c>
      <c r="L184" s="20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/>
      <c r="T184" s="20">
        <f t="shared" si="45"/>
        <v>0</v>
      </c>
      <c r="U184" s="20">
        <f t="shared" si="44"/>
        <v>0</v>
      </c>
    </row>
    <row r="185" spans="1:21" s="21" customFormat="1" ht="16" customHeight="1">
      <c r="A185" s="33" t="s">
        <v>120</v>
      </c>
      <c r="B185" s="48">
        <v>2020</v>
      </c>
      <c r="C185" s="16" t="s">
        <v>460</v>
      </c>
      <c r="D185" s="16" t="s">
        <v>510</v>
      </c>
      <c r="E185" s="20">
        <v>1600000</v>
      </c>
      <c r="F185" s="20">
        <v>0</v>
      </c>
      <c r="G185" s="20">
        <f t="shared" si="46"/>
        <v>0</v>
      </c>
      <c r="H185" s="16" t="s">
        <v>138</v>
      </c>
      <c r="I185" s="14" t="s">
        <v>131</v>
      </c>
      <c r="J185" s="19"/>
      <c r="K185" s="20">
        <v>-1600000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/>
      <c r="T185" s="20">
        <f t="shared" si="45"/>
        <v>0</v>
      </c>
      <c r="U185" s="20">
        <f t="shared" si="44"/>
        <v>0</v>
      </c>
    </row>
    <row r="186" spans="1:21" s="21" customFormat="1" ht="16" customHeight="1">
      <c r="A186" s="33" t="s">
        <v>120</v>
      </c>
      <c r="B186" s="48">
        <v>2020</v>
      </c>
      <c r="C186" s="16" t="s">
        <v>459</v>
      </c>
      <c r="D186" s="16" t="s">
        <v>510</v>
      </c>
      <c r="E186" s="20">
        <v>1600000</v>
      </c>
      <c r="F186" s="20">
        <v>0</v>
      </c>
      <c r="G186" s="20">
        <f t="shared" si="46"/>
        <v>0</v>
      </c>
      <c r="H186" s="16" t="s">
        <v>138</v>
      </c>
      <c r="I186" s="14" t="s">
        <v>131</v>
      </c>
      <c r="J186" s="19"/>
      <c r="K186" s="20">
        <v>-1600000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/>
      <c r="T186" s="20">
        <f t="shared" si="45"/>
        <v>0</v>
      </c>
      <c r="U186" s="20">
        <f t="shared" si="44"/>
        <v>0</v>
      </c>
    </row>
    <row r="187" spans="1:21" s="21" customFormat="1" ht="16" customHeight="1">
      <c r="A187" s="33" t="s">
        <v>120</v>
      </c>
      <c r="B187" s="48">
        <v>2020</v>
      </c>
      <c r="C187" s="16" t="s">
        <v>511</v>
      </c>
      <c r="D187" s="16" t="s">
        <v>512</v>
      </c>
      <c r="E187" s="20">
        <v>1600000</v>
      </c>
      <c r="F187" s="20">
        <v>0</v>
      </c>
      <c r="G187" s="20">
        <f t="shared" si="46"/>
        <v>0</v>
      </c>
      <c r="H187" s="16" t="s">
        <v>138</v>
      </c>
      <c r="I187" s="14" t="s">
        <v>131</v>
      </c>
      <c r="J187" s="19"/>
      <c r="K187" s="20">
        <v>-1600000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/>
      <c r="T187" s="20">
        <f t="shared" si="45"/>
        <v>0</v>
      </c>
      <c r="U187" s="20">
        <f t="shared" si="44"/>
        <v>0</v>
      </c>
    </row>
    <row r="188" spans="1:21" s="21" customFormat="1" ht="16" customHeight="1">
      <c r="A188" s="33" t="s">
        <v>120</v>
      </c>
      <c r="B188" s="48">
        <v>2020</v>
      </c>
      <c r="C188" s="16" t="s">
        <v>513</v>
      </c>
      <c r="D188" s="16" t="s">
        <v>514</v>
      </c>
      <c r="E188" s="20">
        <v>162500</v>
      </c>
      <c r="F188" s="20">
        <v>0</v>
      </c>
      <c r="G188" s="20">
        <f t="shared" si="46"/>
        <v>0</v>
      </c>
      <c r="H188" s="16" t="s">
        <v>138</v>
      </c>
      <c r="I188" s="14" t="s">
        <v>131</v>
      </c>
      <c r="J188" s="19"/>
      <c r="K188" s="20">
        <v>0</v>
      </c>
      <c r="L188" s="20">
        <v>0</v>
      </c>
      <c r="M188" s="20">
        <v>0</v>
      </c>
      <c r="N188" s="20">
        <v>0</v>
      </c>
      <c r="O188" s="20">
        <v>-162500</v>
      </c>
      <c r="P188" s="20">
        <v>0</v>
      </c>
      <c r="Q188" s="20">
        <v>0</v>
      </c>
      <c r="R188" s="20">
        <v>0</v>
      </c>
      <c r="S188" s="20"/>
      <c r="T188" s="20">
        <f t="shared" si="45"/>
        <v>0</v>
      </c>
      <c r="U188" s="20">
        <f t="shared" si="44"/>
        <v>0</v>
      </c>
    </row>
    <row r="189" spans="1:21" s="21" customFormat="1" ht="16" customHeight="1">
      <c r="A189" s="33" t="s">
        <v>120</v>
      </c>
      <c r="B189" s="48">
        <v>2020</v>
      </c>
      <c r="C189" s="16" t="s">
        <v>513</v>
      </c>
      <c r="D189" s="16" t="s">
        <v>515</v>
      </c>
      <c r="E189" s="20">
        <v>15000000</v>
      </c>
      <c r="F189" s="20">
        <v>0</v>
      </c>
      <c r="G189" s="20">
        <f t="shared" si="46"/>
        <v>0</v>
      </c>
      <c r="H189" s="16" t="s">
        <v>138</v>
      </c>
      <c r="I189" s="14" t="s">
        <v>131</v>
      </c>
      <c r="J189" s="19"/>
      <c r="K189" s="20">
        <v>-15000000</v>
      </c>
      <c r="L189" s="20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/>
      <c r="T189" s="20">
        <f t="shared" si="45"/>
        <v>0</v>
      </c>
      <c r="U189" s="20">
        <f t="shared" si="44"/>
        <v>0</v>
      </c>
    </row>
    <row r="190" spans="1:21" s="21" customFormat="1" ht="16" customHeight="1">
      <c r="A190" s="33" t="s">
        <v>120</v>
      </c>
      <c r="B190" s="48">
        <v>2020</v>
      </c>
      <c r="C190" s="16" t="s">
        <v>513</v>
      </c>
      <c r="D190" s="16" t="s">
        <v>516</v>
      </c>
      <c r="E190" s="20">
        <v>2250000</v>
      </c>
      <c r="F190" s="20">
        <v>0</v>
      </c>
      <c r="G190" s="20">
        <f t="shared" si="46"/>
        <v>0</v>
      </c>
      <c r="H190" s="16" t="s">
        <v>138</v>
      </c>
      <c r="I190" s="14" t="s">
        <v>131</v>
      </c>
      <c r="J190" s="19"/>
      <c r="K190" s="8">
        <v>-2250000</v>
      </c>
      <c r="L190" s="20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/>
      <c r="T190" s="20">
        <f t="shared" si="45"/>
        <v>0</v>
      </c>
      <c r="U190" s="20">
        <f t="shared" si="44"/>
        <v>0</v>
      </c>
    </row>
    <row r="191" spans="1:21" s="21" customFormat="1" ht="16" customHeight="1">
      <c r="A191" s="33" t="s">
        <v>120</v>
      </c>
      <c r="B191" s="48">
        <v>2020</v>
      </c>
      <c r="C191" s="16" t="s">
        <v>458</v>
      </c>
      <c r="D191" s="16" t="s">
        <v>517</v>
      </c>
      <c r="E191" s="20">
        <v>1750000</v>
      </c>
      <c r="F191" s="20">
        <v>0</v>
      </c>
      <c r="G191" s="20">
        <f t="shared" si="46"/>
        <v>0</v>
      </c>
      <c r="H191" s="16" t="s">
        <v>138</v>
      </c>
      <c r="I191" s="14" t="s">
        <v>374</v>
      </c>
      <c r="J191" s="19"/>
      <c r="K191" s="50">
        <v>-1750000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/>
      <c r="T191" s="20">
        <f t="shared" si="45"/>
        <v>0</v>
      </c>
      <c r="U191" s="20">
        <f t="shared" si="44"/>
        <v>0</v>
      </c>
    </row>
    <row r="192" spans="1:21" s="21" customFormat="1" ht="16" customHeight="1">
      <c r="A192" s="33" t="s">
        <v>120</v>
      </c>
      <c r="B192" s="48">
        <v>2020</v>
      </c>
      <c r="C192" s="16" t="s">
        <v>458</v>
      </c>
      <c r="D192" s="52" t="s">
        <v>518</v>
      </c>
      <c r="E192" s="20">
        <v>600000</v>
      </c>
      <c r="F192" s="20">
        <v>0</v>
      </c>
      <c r="G192" s="20">
        <f t="shared" si="46"/>
        <v>0</v>
      </c>
      <c r="H192" s="16" t="s">
        <v>138</v>
      </c>
      <c r="I192" s="14" t="s">
        <v>375</v>
      </c>
      <c r="J192" s="19"/>
      <c r="K192" s="20">
        <v>-600000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/>
      <c r="T192" s="20">
        <f t="shared" si="45"/>
        <v>0</v>
      </c>
      <c r="U192" s="20">
        <f t="shared" si="44"/>
        <v>0</v>
      </c>
    </row>
    <row r="193" spans="1:21" s="21" customFormat="1" ht="16" customHeight="1">
      <c r="A193" s="33" t="s">
        <v>120</v>
      </c>
      <c r="B193" s="48">
        <v>2020</v>
      </c>
      <c r="C193" s="16" t="s">
        <v>458</v>
      </c>
      <c r="D193" s="52" t="s">
        <v>519</v>
      </c>
      <c r="E193" s="20">
        <v>1050000</v>
      </c>
      <c r="F193" s="20">
        <v>0</v>
      </c>
      <c r="G193" s="20">
        <f t="shared" si="46"/>
        <v>0</v>
      </c>
      <c r="H193" s="16" t="s">
        <v>138</v>
      </c>
      <c r="I193" s="52" t="s">
        <v>373</v>
      </c>
      <c r="J193" s="19"/>
      <c r="K193" s="8">
        <v>-1050000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/>
      <c r="T193" s="20">
        <f t="shared" si="45"/>
        <v>0</v>
      </c>
      <c r="U193" s="20">
        <f t="shared" si="44"/>
        <v>0</v>
      </c>
    </row>
    <row r="194" spans="1:21" s="21" customFormat="1" ht="16" customHeight="1">
      <c r="A194" s="33" t="s">
        <v>120</v>
      </c>
      <c r="B194" s="48">
        <v>2020</v>
      </c>
      <c r="C194" s="16" t="s">
        <v>520</v>
      </c>
      <c r="D194" s="16" t="s">
        <v>521</v>
      </c>
      <c r="E194" s="20">
        <v>33000000</v>
      </c>
      <c r="F194" s="20">
        <v>0</v>
      </c>
      <c r="G194" s="20">
        <f t="shared" si="46"/>
        <v>0</v>
      </c>
      <c r="H194" s="16" t="s">
        <v>138</v>
      </c>
      <c r="I194" s="14" t="s">
        <v>151</v>
      </c>
      <c r="J194" s="19"/>
      <c r="K194" s="20">
        <v>0</v>
      </c>
      <c r="L194" s="20">
        <v>-33000000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/>
      <c r="T194" s="20">
        <f t="shared" si="45"/>
        <v>0</v>
      </c>
      <c r="U194" s="20">
        <f t="shared" si="44"/>
        <v>0</v>
      </c>
    </row>
    <row r="195" spans="1:21" s="21" customFormat="1" ht="16" customHeight="1">
      <c r="A195" s="33" t="s">
        <v>120</v>
      </c>
      <c r="B195" s="48">
        <v>2020</v>
      </c>
      <c r="C195" s="16" t="s">
        <v>522</v>
      </c>
      <c r="D195" s="16" t="s">
        <v>523</v>
      </c>
      <c r="E195" s="20">
        <v>20580000</v>
      </c>
      <c r="F195" s="20">
        <v>0</v>
      </c>
      <c r="G195" s="20">
        <f t="shared" si="46"/>
        <v>0</v>
      </c>
      <c r="H195" s="16" t="s">
        <v>138</v>
      </c>
      <c r="I195" s="14" t="s">
        <v>151</v>
      </c>
      <c r="J195" s="19"/>
      <c r="K195" s="20">
        <v>0</v>
      </c>
      <c r="L195" s="20">
        <v>0</v>
      </c>
      <c r="M195" s="20">
        <v>0</v>
      </c>
      <c r="N195" s="20">
        <v>-20580000</v>
      </c>
      <c r="O195" s="20">
        <v>0</v>
      </c>
      <c r="P195" s="20">
        <v>0</v>
      </c>
      <c r="Q195" s="20">
        <v>0</v>
      </c>
      <c r="R195" s="20">
        <v>0</v>
      </c>
      <c r="S195" s="20"/>
      <c r="T195" s="20">
        <f t="shared" si="45"/>
        <v>0</v>
      </c>
      <c r="U195" s="20">
        <f t="shared" si="44"/>
        <v>0</v>
      </c>
    </row>
    <row r="196" spans="1:21" s="21" customFormat="1" ht="16" customHeight="1">
      <c r="A196" s="33" t="s">
        <v>120</v>
      </c>
      <c r="B196" s="48">
        <v>2020</v>
      </c>
      <c r="C196" s="16" t="s">
        <v>524</v>
      </c>
      <c r="D196" s="16" t="s">
        <v>525</v>
      </c>
      <c r="E196" s="20">
        <v>77000000</v>
      </c>
      <c r="F196" s="20">
        <v>0</v>
      </c>
      <c r="G196" s="20">
        <f t="shared" si="46"/>
        <v>0</v>
      </c>
      <c r="H196" s="16" t="s">
        <v>138</v>
      </c>
      <c r="I196" s="14" t="s">
        <v>151</v>
      </c>
      <c r="J196" s="19"/>
      <c r="K196" s="20">
        <v>0</v>
      </c>
      <c r="L196" s="20">
        <v>0</v>
      </c>
      <c r="M196" s="20">
        <v>0</v>
      </c>
      <c r="N196" s="20">
        <v>-77000000</v>
      </c>
      <c r="O196" s="20">
        <v>0</v>
      </c>
      <c r="P196" s="20">
        <v>0</v>
      </c>
      <c r="Q196" s="20">
        <v>0</v>
      </c>
      <c r="R196" s="20">
        <v>0</v>
      </c>
      <c r="S196" s="20"/>
      <c r="T196" s="20">
        <f t="shared" si="45"/>
        <v>0</v>
      </c>
      <c r="U196" s="20">
        <f t="shared" si="44"/>
        <v>0</v>
      </c>
    </row>
    <row r="197" spans="1:21" s="21" customFormat="1" ht="16" customHeight="1">
      <c r="A197" s="33" t="s">
        <v>120</v>
      </c>
      <c r="B197" s="48">
        <v>2020</v>
      </c>
      <c r="C197" s="16" t="s">
        <v>1110</v>
      </c>
      <c r="D197" s="16" t="s">
        <v>1111</v>
      </c>
      <c r="E197" s="20">
        <v>15733410</v>
      </c>
      <c r="F197" s="20">
        <v>0</v>
      </c>
      <c r="G197" s="20">
        <f t="shared" si="46"/>
        <v>0</v>
      </c>
      <c r="H197" s="16" t="s">
        <v>138</v>
      </c>
      <c r="I197" s="14" t="s">
        <v>151</v>
      </c>
      <c r="J197" s="19"/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-15733410</v>
      </c>
      <c r="Q197" s="20">
        <v>0</v>
      </c>
      <c r="R197" s="20">
        <v>0</v>
      </c>
      <c r="S197" s="20"/>
      <c r="T197" s="20">
        <f t="shared" si="45"/>
        <v>0</v>
      </c>
      <c r="U197" s="20">
        <f t="shared" ref="U197" si="47">G197+Q197+R197</f>
        <v>0</v>
      </c>
    </row>
    <row r="198" spans="1:21" s="21" customFormat="1" ht="16" customHeight="1">
      <c r="A198" s="33" t="s">
        <v>120</v>
      </c>
      <c r="B198" s="48">
        <v>2020</v>
      </c>
      <c r="C198" s="16" t="s">
        <v>458</v>
      </c>
      <c r="D198" s="16" t="s">
        <v>526</v>
      </c>
      <c r="E198" s="20">
        <v>1050000</v>
      </c>
      <c r="F198" s="20">
        <v>0</v>
      </c>
      <c r="G198" s="20">
        <f t="shared" si="46"/>
        <v>0</v>
      </c>
      <c r="H198" s="16" t="s">
        <v>138</v>
      </c>
      <c r="I198" s="14" t="s">
        <v>121</v>
      </c>
      <c r="J198" s="19"/>
      <c r="K198" s="50">
        <v>-1050000</v>
      </c>
      <c r="L198" s="20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/>
      <c r="T198" s="20">
        <f t="shared" si="45"/>
        <v>0</v>
      </c>
      <c r="U198" s="20">
        <f t="shared" si="44"/>
        <v>0</v>
      </c>
    </row>
    <row r="199" spans="1:21" s="21" customFormat="1" ht="16" customHeight="1">
      <c r="A199" s="33" t="s">
        <v>120</v>
      </c>
      <c r="B199" s="48">
        <v>2020</v>
      </c>
      <c r="C199" s="16" t="s">
        <v>527</v>
      </c>
      <c r="D199" s="16" t="s">
        <v>528</v>
      </c>
      <c r="E199" s="20">
        <v>59000000</v>
      </c>
      <c r="F199" s="20">
        <v>0</v>
      </c>
      <c r="G199" s="20">
        <f t="shared" si="46"/>
        <v>0</v>
      </c>
      <c r="H199" s="16" t="s">
        <v>138</v>
      </c>
      <c r="I199" s="14" t="s">
        <v>529</v>
      </c>
      <c r="J199" s="19"/>
      <c r="K199" s="20">
        <v>-59000000</v>
      </c>
      <c r="L199" s="20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/>
      <c r="T199" s="20">
        <f t="shared" si="45"/>
        <v>0</v>
      </c>
      <c r="U199" s="20">
        <f t="shared" si="44"/>
        <v>0</v>
      </c>
    </row>
    <row r="200" spans="1:21" s="21" customFormat="1" ht="16" customHeight="1">
      <c r="A200" s="33" t="s">
        <v>120</v>
      </c>
      <c r="B200" s="48">
        <v>2020</v>
      </c>
      <c r="C200" s="16" t="s">
        <v>530</v>
      </c>
      <c r="D200" s="16" t="s">
        <v>531</v>
      </c>
      <c r="E200" s="20">
        <v>5250000</v>
      </c>
      <c r="F200" s="20">
        <v>0</v>
      </c>
      <c r="G200" s="20">
        <f t="shared" si="46"/>
        <v>0</v>
      </c>
      <c r="H200" s="16" t="s">
        <v>138</v>
      </c>
      <c r="I200" s="14" t="s">
        <v>124</v>
      </c>
      <c r="J200" s="19"/>
      <c r="K200" s="20">
        <v>-5250000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/>
      <c r="T200" s="20">
        <f t="shared" si="45"/>
        <v>0</v>
      </c>
      <c r="U200" s="20">
        <f t="shared" si="44"/>
        <v>0</v>
      </c>
    </row>
    <row r="201" spans="1:21" s="21" customFormat="1" ht="16" customHeight="1">
      <c r="A201" s="33" t="s">
        <v>120</v>
      </c>
      <c r="B201" s="48">
        <v>2020</v>
      </c>
      <c r="C201" s="16" t="s">
        <v>508</v>
      </c>
      <c r="D201" s="16" t="s">
        <v>532</v>
      </c>
      <c r="E201" s="20">
        <v>1050000</v>
      </c>
      <c r="F201" s="20">
        <v>0</v>
      </c>
      <c r="G201" s="20">
        <f t="shared" si="46"/>
        <v>0</v>
      </c>
      <c r="H201" s="16" t="s">
        <v>138</v>
      </c>
      <c r="I201" s="14" t="s">
        <v>124</v>
      </c>
      <c r="J201" s="19"/>
      <c r="K201" s="20">
        <v>-1050000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/>
      <c r="T201" s="20">
        <f t="shared" si="45"/>
        <v>0</v>
      </c>
      <c r="U201" s="20">
        <f t="shared" si="44"/>
        <v>0</v>
      </c>
    </row>
    <row r="202" spans="1:21" s="21" customFormat="1" ht="16" customHeight="1">
      <c r="A202" s="33" t="s">
        <v>120</v>
      </c>
      <c r="B202" s="48">
        <v>2020</v>
      </c>
      <c r="C202" s="16" t="s">
        <v>599</v>
      </c>
      <c r="D202" s="16" t="s">
        <v>533</v>
      </c>
      <c r="E202" s="20">
        <v>153251675</v>
      </c>
      <c r="F202" s="20">
        <v>0</v>
      </c>
      <c r="G202" s="20">
        <f t="shared" si="46"/>
        <v>0</v>
      </c>
      <c r="H202" s="16" t="s">
        <v>138</v>
      </c>
      <c r="I202" s="14" t="s">
        <v>534</v>
      </c>
      <c r="J202" s="19"/>
      <c r="K202" s="20">
        <v>0</v>
      </c>
      <c r="L202" s="20">
        <v>0</v>
      </c>
      <c r="M202" s="20">
        <v>0</v>
      </c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/>
      <c r="T202" s="20">
        <f t="shared" si="45"/>
        <v>153251675</v>
      </c>
      <c r="U202" s="20">
        <f t="shared" si="44"/>
        <v>0</v>
      </c>
    </row>
    <row r="203" spans="1:21" s="21" customFormat="1" ht="16" customHeight="1">
      <c r="A203" s="33" t="s">
        <v>120</v>
      </c>
      <c r="B203" s="48">
        <v>2020</v>
      </c>
      <c r="C203" s="16" t="s">
        <v>458</v>
      </c>
      <c r="D203" s="16" t="s">
        <v>536</v>
      </c>
      <c r="E203" s="20">
        <v>700000</v>
      </c>
      <c r="F203" s="20">
        <v>0</v>
      </c>
      <c r="G203" s="20">
        <f t="shared" si="46"/>
        <v>0</v>
      </c>
      <c r="H203" s="16" t="s">
        <v>138</v>
      </c>
      <c r="I203" s="14" t="s">
        <v>537</v>
      </c>
      <c r="J203" s="19"/>
      <c r="K203" s="20">
        <v>-700000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/>
      <c r="T203" s="20">
        <f t="shared" si="45"/>
        <v>0</v>
      </c>
      <c r="U203" s="20">
        <f t="shared" si="44"/>
        <v>0</v>
      </c>
    </row>
    <row r="204" spans="1:21" s="21" customFormat="1" ht="16" customHeight="1">
      <c r="A204" s="33" t="s">
        <v>120</v>
      </c>
      <c r="B204" s="48">
        <v>2020</v>
      </c>
      <c r="C204" s="16" t="s">
        <v>458</v>
      </c>
      <c r="D204" s="16" t="s">
        <v>538</v>
      </c>
      <c r="E204" s="20">
        <v>1050000</v>
      </c>
      <c r="F204" s="20">
        <v>0</v>
      </c>
      <c r="G204" s="20">
        <f t="shared" si="46"/>
        <v>0</v>
      </c>
      <c r="H204" s="16" t="s">
        <v>138</v>
      </c>
      <c r="I204" t="s">
        <v>539</v>
      </c>
      <c r="J204" s="19"/>
      <c r="K204" s="20">
        <v>-1050000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  <c r="R204" s="20">
        <v>0</v>
      </c>
      <c r="S204" s="20"/>
      <c r="T204" s="20">
        <f t="shared" si="45"/>
        <v>0</v>
      </c>
      <c r="U204" s="20">
        <f t="shared" ref="U204" si="48">G204+Q204+R204</f>
        <v>0</v>
      </c>
    </row>
    <row r="205" spans="1:21" s="21" customFormat="1" ht="16" customHeight="1">
      <c r="A205" s="33" t="s">
        <v>120</v>
      </c>
      <c r="B205" s="48">
        <v>2020</v>
      </c>
      <c r="C205" s="16" t="s">
        <v>3071</v>
      </c>
      <c r="D205" s="16" t="s">
        <v>3072</v>
      </c>
      <c r="E205" s="20">
        <v>10500000</v>
      </c>
      <c r="F205" s="20">
        <v>0</v>
      </c>
      <c r="G205" s="20">
        <f t="shared" si="46"/>
        <v>0</v>
      </c>
      <c r="H205" s="16" t="s">
        <v>138</v>
      </c>
      <c r="I205" t="s">
        <v>3035</v>
      </c>
      <c r="J205" s="19"/>
      <c r="K205" s="20">
        <v>-10500000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/>
      <c r="T205" s="20">
        <f t="shared" si="45"/>
        <v>0</v>
      </c>
      <c r="U205" s="20">
        <f t="shared" si="44"/>
        <v>0</v>
      </c>
    </row>
    <row r="206" spans="1:21" s="21" customFormat="1" ht="16" customHeight="1">
      <c r="A206" s="33" t="s">
        <v>120</v>
      </c>
      <c r="B206" s="48">
        <v>2020</v>
      </c>
      <c r="C206" s="16" t="s">
        <v>458</v>
      </c>
      <c r="D206" s="16" t="s">
        <v>540</v>
      </c>
      <c r="E206" s="20">
        <v>900000</v>
      </c>
      <c r="F206" s="20">
        <v>0</v>
      </c>
      <c r="G206" s="20">
        <f t="shared" si="46"/>
        <v>0</v>
      </c>
      <c r="H206" s="16" t="s">
        <v>138</v>
      </c>
      <c r="I206" s="14" t="s">
        <v>541</v>
      </c>
      <c r="J206" s="19"/>
      <c r="K206" s="20">
        <v>-900000</v>
      </c>
      <c r="L206" s="20">
        <v>0</v>
      </c>
      <c r="M206" s="20">
        <v>0</v>
      </c>
      <c r="N206" s="20">
        <v>0</v>
      </c>
      <c r="O206" s="20">
        <v>0</v>
      </c>
      <c r="P206" s="20">
        <v>0</v>
      </c>
      <c r="Q206" s="20">
        <v>0</v>
      </c>
      <c r="R206" s="20">
        <v>0</v>
      </c>
      <c r="S206" s="20"/>
      <c r="T206" s="20">
        <f t="shared" si="45"/>
        <v>0</v>
      </c>
      <c r="U206" s="20">
        <f t="shared" si="44"/>
        <v>0</v>
      </c>
    </row>
    <row r="207" spans="1:21" s="21" customFormat="1" ht="16" customHeight="1">
      <c r="A207" s="33" t="s">
        <v>120</v>
      </c>
      <c r="B207" s="48">
        <v>2020</v>
      </c>
      <c r="C207" s="16" t="s">
        <v>458</v>
      </c>
      <c r="D207" s="16" t="s">
        <v>542</v>
      </c>
      <c r="E207" s="20">
        <v>1050000</v>
      </c>
      <c r="F207" s="20">
        <v>0</v>
      </c>
      <c r="G207" s="20">
        <f t="shared" si="46"/>
        <v>0</v>
      </c>
      <c r="H207" s="16" t="s">
        <v>138</v>
      </c>
      <c r="I207" s="14" t="s">
        <v>543</v>
      </c>
      <c r="J207" s="19"/>
      <c r="K207" s="20">
        <v>-1050000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/>
      <c r="T207" s="20">
        <f t="shared" si="45"/>
        <v>0</v>
      </c>
      <c r="U207" s="20">
        <f t="shared" si="44"/>
        <v>0</v>
      </c>
    </row>
    <row r="208" spans="1:21" s="21" customFormat="1" ht="16" customHeight="1">
      <c r="A208" s="33" t="s">
        <v>120</v>
      </c>
      <c r="B208" s="48">
        <v>2020</v>
      </c>
      <c r="C208" s="16" t="s">
        <v>458</v>
      </c>
      <c r="D208" s="16" t="s">
        <v>544</v>
      </c>
      <c r="E208" s="20">
        <v>1500000</v>
      </c>
      <c r="F208" s="20">
        <v>0</v>
      </c>
      <c r="G208" s="20">
        <f t="shared" si="46"/>
        <v>0</v>
      </c>
      <c r="H208" s="16" t="s">
        <v>138</v>
      </c>
      <c r="I208" s="14" t="s">
        <v>543</v>
      </c>
      <c r="J208" s="19"/>
      <c r="K208" s="20">
        <v>-1500000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/>
      <c r="T208" s="20">
        <f t="shared" si="45"/>
        <v>0</v>
      </c>
      <c r="U208" s="20">
        <f t="shared" si="44"/>
        <v>0</v>
      </c>
    </row>
    <row r="209" spans="1:24" s="21" customFormat="1" ht="16" customHeight="1">
      <c r="A209" s="33" t="s">
        <v>120</v>
      </c>
      <c r="B209" s="48">
        <v>2020</v>
      </c>
      <c r="C209" s="16" t="s">
        <v>458</v>
      </c>
      <c r="D209" s="16" t="s">
        <v>546</v>
      </c>
      <c r="E209" s="20">
        <v>2450000</v>
      </c>
      <c r="F209" s="20">
        <v>0</v>
      </c>
      <c r="G209" s="20">
        <f t="shared" si="46"/>
        <v>0</v>
      </c>
      <c r="H209" s="16" t="s">
        <v>138</v>
      </c>
      <c r="I209" s="14" t="s">
        <v>545</v>
      </c>
      <c r="J209" s="19"/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/>
      <c r="T209" s="20">
        <f t="shared" ref="T209" si="49">E209+K209+L209+M209+N209+O209+P209</f>
        <v>2450000</v>
      </c>
      <c r="U209" s="20">
        <f t="shared" ref="U209" si="50">G209+Q209+R209</f>
        <v>0</v>
      </c>
    </row>
    <row r="210" spans="1:24" s="21" customFormat="1" ht="16" customHeight="1">
      <c r="A210" s="33" t="s">
        <v>120</v>
      </c>
      <c r="B210" s="48">
        <v>2020</v>
      </c>
      <c r="C210" s="16" t="s">
        <v>547</v>
      </c>
      <c r="D210" s="16" t="s">
        <v>548</v>
      </c>
      <c r="E210" s="20">
        <v>57750000</v>
      </c>
      <c r="F210" s="20">
        <v>0</v>
      </c>
      <c r="G210" s="20">
        <f t="shared" si="46"/>
        <v>0</v>
      </c>
      <c r="H210" s="16" t="s">
        <v>138</v>
      </c>
      <c r="I210" s="14" t="s">
        <v>545</v>
      </c>
      <c r="J210" s="19"/>
      <c r="K210" s="20">
        <v>-34800000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/>
      <c r="T210" s="20">
        <f t="shared" si="45"/>
        <v>22950000</v>
      </c>
      <c r="U210" s="20">
        <f t="shared" si="44"/>
        <v>0</v>
      </c>
    </row>
    <row r="211" spans="1:24" s="21" customFormat="1" ht="16" customHeight="1">
      <c r="A211" s="33" t="s">
        <v>120</v>
      </c>
      <c r="B211" s="48">
        <v>2020</v>
      </c>
      <c r="C211" s="16" t="s">
        <v>549</v>
      </c>
      <c r="D211" s="16" t="s">
        <v>550</v>
      </c>
      <c r="E211" s="20">
        <v>22100000</v>
      </c>
      <c r="F211" s="20">
        <v>0</v>
      </c>
      <c r="G211" s="20">
        <f t="shared" si="46"/>
        <v>0</v>
      </c>
      <c r="H211" s="16" t="s">
        <v>138</v>
      </c>
      <c r="I211" s="14" t="s">
        <v>545</v>
      </c>
      <c r="J211" s="19"/>
      <c r="K211" s="20">
        <v>-11120000</v>
      </c>
      <c r="L211" s="20">
        <v>0</v>
      </c>
      <c r="M211" s="20">
        <v>0</v>
      </c>
      <c r="N211" s="20">
        <v>0</v>
      </c>
      <c r="O211" s="20">
        <v>0</v>
      </c>
      <c r="P211" s="20">
        <v>0</v>
      </c>
      <c r="Q211" s="20">
        <v>0</v>
      </c>
      <c r="R211" s="20">
        <v>0</v>
      </c>
      <c r="S211" s="20"/>
      <c r="T211" s="20">
        <f t="shared" si="45"/>
        <v>10980000</v>
      </c>
      <c r="U211" s="20">
        <f t="shared" si="44"/>
        <v>0</v>
      </c>
    </row>
    <row r="212" spans="1:24" s="21" customFormat="1" ht="16" customHeight="1">
      <c r="A212" s="33" t="s">
        <v>120</v>
      </c>
      <c r="B212" s="48">
        <v>2020</v>
      </c>
      <c r="C212" s="16" t="s">
        <v>551</v>
      </c>
      <c r="D212" s="16" t="s">
        <v>552</v>
      </c>
      <c r="E212" s="20">
        <v>4500000</v>
      </c>
      <c r="F212" s="20">
        <v>0</v>
      </c>
      <c r="G212" s="20">
        <f t="shared" si="46"/>
        <v>0</v>
      </c>
      <c r="H212" s="16" t="s">
        <v>138</v>
      </c>
      <c r="I212" s="14" t="s">
        <v>545</v>
      </c>
      <c r="J212" s="19"/>
      <c r="K212" s="20">
        <v>-4500000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/>
      <c r="T212" s="20">
        <f t="shared" si="45"/>
        <v>0</v>
      </c>
      <c r="U212" s="20">
        <f t="shared" si="44"/>
        <v>0</v>
      </c>
    </row>
    <row r="213" spans="1:24" s="21" customFormat="1" ht="16" customHeight="1">
      <c r="A213" s="33" t="s">
        <v>120</v>
      </c>
      <c r="B213" s="48">
        <v>2020</v>
      </c>
      <c r="C213" s="16" t="s">
        <v>554</v>
      </c>
      <c r="D213" s="16" t="s">
        <v>555</v>
      </c>
      <c r="E213" s="20">
        <v>1600000</v>
      </c>
      <c r="F213" s="20">
        <v>0</v>
      </c>
      <c r="G213" s="20">
        <f t="shared" si="46"/>
        <v>0</v>
      </c>
      <c r="H213" s="16" t="s">
        <v>138</v>
      </c>
      <c r="I213" t="s">
        <v>127</v>
      </c>
      <c r="J213" s="19"/>
      <c r="K213" s="20">
        <v>-1600000</v>
      </c>
      <c r="L213" s="20">
        <v>0</v>
      </c>
      <c r="M213" s="20">
        <v>0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0"/>
      <c r="T213" s="20">
        <f t="shared" si="45"/>
        <v>0</v>
      </c>
      <c r="U213" s="20">
        <f t="shared" si="44"/>
        <v>0</v>
      </c>
    </row>
    <row r="214" spans="1:24" s="21" customFormat="1" ht="16" customHeight="1">
      <c r="A214" s="33" t="s">
        <v>120</v>
      </c>
      <c r="B214" s="48">
        <v>2020</v>
      </c>
      <c r="C214" s="16" t="s">
        <v>508</v>
      </c>
      <c r="D214" s="16" t="s">
        <v>556</v>
      </c>
      <c r="E214" s="20">
        <v>600000</v>
      </c>
      <c r="F214" s="20">
        <v>0</v>
      </c>
      <c r="G214" s="20">
        <f t="shared" si="46"/>
        <v>0</v>
      </c>
      <c r="H214" s="16" t="s">
        <v>138</v>
      </c>
      <c r="I214" t="s">
        <v>127</v>
      </c>
      <c r="J214" s="19"/>
      <c r="K214" s="20">
        <v>-600000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/>
      <c r="T214" s="20">
        <f t="shared" si="45"/>
        <v>0</v>
      </c>
      <c r="U214" s="20">
        <f t="shared" si="44"/>
        <v>0</v>
      </c>
    </row>
    <row r="215" spans="1:24" s="21" customFormat="1" ht="16" customHeight="1">
      <c r="A215" s="33" t="s">
        <v>120</v>
      </c>
      <c r="B215" s="48">
        <v>2020</v>
      </c>
      <c r="C215" s="16" t="s">
        <v>503</v>
      </c>
      <c r="D215" s="16" t="s">
        <v>557</v>
      </c>
      <c r="E215" s="20">
        <v>712500</v>
      </c>
      <c r="F215" s="20">
        <v>0</v>
      </c>
      <c r="G215" s="20">
        <f t="shared" si="46"/>
        <v>0</v>
      </c>
      <c r="H215" s="16" t="s">
        <v>138</v>
      </c>
      <c r="I215" t="s">
        <v>127</v>
      </c>
      <c r="J215" s="19"/>
      <c r="K215" s="8">
        <v>-712500</v>
      </c>
      <c r="L215" s="20">
        <v>0</v>
      </c>
      <c r="M215" s="20">
        <v>0</v>
      </c>
      <c r="N215" s="20">
        <v>0</v>
      </c>
      <c r="O215" s="20">
        <v>0</v>
      </c>
      <c r="P215" s="20">
        <v>0</v>
      </c>
      <c r="Q215" s="20">
        <v>0</v>
      </c>
      <c r="R215" s="20">
        <v>0</v>
      </c>
      <c r="S215" s="20"/>
      <c r="T215" s="20">
        <f t="shared" si="45"/>
        <v>0</v>
      </c>
      <c r="U215" s="20">
        <f t="shared" si="44"/>
        <v>0</v>
      </c>
    </row>
    <row r="216" spans="1:24" s="21" customFormat="1" ht="16" customHeight="1">
      <c r="A216" s="33" t="s">
        <v>120</v>
      </c>
      <c r="B216" s="48">
        <v>2020</v>
      </c>
      <c r="C216" s="16" t="s">
        <v>558</v>
      </c>
      <c r="D216" s="16" t="s">
        <v>559</v>
      </c>
      <c r="E216" s="20">
        <v>115500000</v>
      </c>
      <c r="F216" s="20">
        <v>0</v>
      </c>
      <c r="G216" s="20">
        <f t="shared" si="46"/>
        <v>0</v>
      </c>
      <c r="H216" s="16" t="s">
        <v>138</v>
      </c>
      <c r="I216" s="14" t="s">
        <v>560</v>
      </c>
      <c r="J216" s="19"/>
      <c r="K216" s="20">
        <v>0</v>
      </c>
      <c r="L216" s="20">
        <v>-115500000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/>
      <c r="T216" s="20">
        <f t="shared" si="45"/>
        <v>0</v>
      </c>
      <c r="U216" s="20">
        <f t="shared" si="44"/>
        <v>0</v>
      </c>
    </row>
    <row r="217" spans="1:24" s="21" customFormat="1" ht="16" customHeight="1">
      <c r="A217" s="33" t="s">
        <v>120</v>
      </c>
      <c r="B217" s="48">
        <v>2020</v>
      </c>
      <c r="C217" s="52" t="s">
        <v>444</v>
      </c>
      <c r="D217" s="16" t="s">
        <v>5005</v>
      </c>
      <c r="E217" s="20">
        <f>668299027-84394984</f>
        <v>583904043</v>
      </c>
      <c r="F217" s="20">
        <v>0</v>
      </c>
      <c r="G217" s="20">
        <f t="shared" si="46"/>
        <v>0</v>
      </c>
      <c r="H217" s="16" t="s">
        <v>138</v>
      </c>
      <c r="I217" s="14" t="s">
        <v>127</v>
      </c>
      <c r="J217" s="19"/>
      <c r="K217" s="20">
        <v>-224746506</v>
      </c>
      <c r="L217" s="20">
        <v>-15427500</v>
      </c>
      <c r="M217" s="20">
        <v>0</v>
      </c>
      <c r="N217" s="20">
        <v>0</v>
      </c>
      <c r="O217" s="20">
        <v>-2485700</v>
      </c>
      <c r="P217" s="20">
        <v>-220121777</v>
      </c>
      <c r="Q217" s="20">
        <v>0</v>
      </c>
      <c r="R217" s="20">
        <v>0</v>
      </c>
      <c r="S217" s="20"/>
      <c r="T217" s="20">
        <f t="shared" si="45"/>
        <v>121122560</v>
      </c>
      <c r="U217" s="20">
        <f t="shared" si="44"/>
        <v>0</v>
      </c>
      <c r="W217" s="201">
        <v>121422560</v>
      </c>
      <c r="X217" s="47">
        <f>W217-T217</f>
        <v>300000</v>
      </c>
    </row>
    <row r="218" spans="1:24" s="21" customFormat="1" ht="16" customHeight="1">
      <c r="A218" s="33" t="s">
        <v>120</v>
      </c>
      <c r="B218" s="48">
        <v>2020</v>
      </c>
      <c r="C218" s="16" t="s">
        <v>444</v>
      </c>
      <c r="D218" s="16" t="s">
        <v>535</v>
      </c>
      <c r="E218" s="20">
        <v>8124732</v>
      </c>
      <c r="F218" s="20">
        <v>0</v>
      </c>
      <c r="G218" s="20">
        <f t="shared" si="46"/>
        <v>0</v>
      </c>
      <c r="H218" s="16" t="s">
        <v>138</v>
      </c>
      <c r="I218" s="14" t="s">
        <v>134</v>
      </c>
      <c r="J218" s="19"/>
      <c r="K218" s="20">
        <v>0</v>
      </c>
      <c r="L218" s="20">
        <v>0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/>
      <c r="T218" s="20">
        <f t="shared" si="45"/>
        <v>8124732</v>
      </c>
      <c r="U218" s="20">
        <f t="shared" si="44"/>
        <v>0</v>
      </c>
      <c r="W218" s="201">
        <v>8941862</v>
      </c>
      <c r="X218" s="212">
        <f>W218-T218</f>
        <v>817130</v>
      </c>
    </row>
    <row r="219" spans="1:24" s="21" customFormat="1" ht="16" customHeight="1">
      <c r="A219" s="33" t="s">
        <v>120</v>
      </c>
      <c r="B219" s="48">
        <v>2020</v>
      </c>
      <c r="C219" s="16" t="s">
        <v>444</v>
      </c>
      <c r="D219" s="16" t="s">
        <v>5006</v>
      </c>
      <c r="E219" s="20">
        <f>2162346-62346</f>
        <v>2100000</v>
      </c>
      <c r="F219" s="20">
        <v>0</v>
      </c>
      <c r="G219" s="20">
        <f t="shared" si="46"/>
        <v>0</v>
      </c>
      <c r="H219" s="16" t="s">
        <v>138</v>
      </c>
      <c r="I219" s="14" t="s">
        <v>561</v>
      </c>
      <c r="J219" s="19"/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-2100000</v>
      </c>
      <c r="Q219" s="20">
        <v>0</v>
      </c>
      <c r="R219" s="20">
        <v>0</v>
      </c>
      <c r="S219" s="20"/>
      <c r="T219" s="20">
        <f t="shared" si="45"/>
        <v>0</v>
      </c>
      <c r="U219" s="20">
        <f t="shared" si="44"/>
        <v>0</v>
      </c>
      <c r="W219" s="201">
        <v>0</v>
      </c>
      <c r="X219" s="59">
        <f>W219-T219</f>
        <v>0</v>
      </c>
    </row>
    <row r="220" spans="1:24" s="21" customFormat="1" ht="16" customHeight="1">
      <c r="A220" s="33" t="s">
        <v>120</v>
      </c>
      <c r="B220" s="48">
        <v>2020</v>
      </c>
      <c r="C220" s="16" t="s">
        <v>444</v>
      </c>
      <c r="D220" s="16" t="s">
        <v>5006</v>
      </c>
      <c r="E220" s="20">
        <f>20000000-400000</f>
        <v>19600000</v>
      </c>
      <c r="F220" s="20">
        <v>0</v>
      </c>
      <c r="G220" s="20">
        <f t="shared" si="46"/>
        <v>0</v>
      </c>
      <c r="H220" s="16" t="s">
        <v>138</v>
      </c>
      <c r="I220" s="14" t="s">
        <v>418</v>
      </c>
      <c r="J220" s="19"/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-19600000</v>
      </c>
      <c r="Q220" s="20">
        <v>0</v>
      </c>
      <c r="R220" s="20">
        <v>0</v>
      </c>
      <c r="S220" s="20"/>
      <c r="T220" s="20">
        <f t="shared" si="45"/>
        <v>0</v>
      </c>
      <c r="U220" s="20">
        <f t="shared" si="44"/>
        <v>0</v>
      </c>
      <c r="W220" s="201">
        <v>0</v>
      </c>
      <c r="X220" s="59">
        <f>W220-T220</f>
        <v>0</v>
      </c>
    </row>
    <row r="221" spans="1:24" s="21" customFormat="1" ht="16" customHeight="1">
      <c r="A221" s="33" t="s">
        <v>120</v>
      </c>
      <c r="B221" s="48">
        <v>2020</v>
      </c>
      <c r="C221" s="52" t="s">
        <v>444</v>
      </c>
      <c r="D221" s="16" t="s">
        <v>535</v>
      </c>
      <c r="E221" s="20">
        <v>301000</v>
      </c>
      <c r="F221" s="20">
        <v>0</v>
      </c>
      <c r="G221" s="20">
        <f t="shared" si="46"/>
        <v>0</v>
      </c>
      <c r="H221" s="16" t="s">
        <v>138</v>
      </c>
      <c r="I221" s="14" t="s">
        <v>148</v>
      </c>
      <c r="J221" s="19"/>
      <c r="K221" s="20">
        <v>-301000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/>
      <c r="T221" s="20">
        <f t="shared" si="45"/>
        <v>0</v>
      </c>
      <c r="U221" s="20">
        <f t="shared" si="44"/>
        <v>0</v>
      </c>
    </row>
    <row r="222" spans="1:24" s="21" customFormat="1" ht="16" customHeight="1">
      <c r="A222" s="33" t="s">
        <v>120</v>
      </c>
      <c r="B222" s="48">
        <v>2020</v>
      </c>
      <c r="C222" s="16" t="s">
        <v>503</v>
      </c>
      <c r="D222" s="16" t="s">
        <v>562</v>
      </c>
      <c r="E222" s="20">
        <v>650000</v>
      </c>
      <c r="F222" s="20">
        <v>0</v>
      </c>
      <c r="G222" s="20">
        <f t="shared" si="46"/>
        <v>0</v>
      </c>
      <c r="H222" s="16" t="s">
        <v>138</v>
      </c>
      <c r="I222" s="13" t="s">
        <v>176</v>
      </c>
      <c r="J222" s="19"/>
      <c r="K222" s="20">
        <v>-650000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/>
      <c r="T222" s="20">
        <f t="shared" si="45"/>
        <v>0</v>
      </c>
      <c r="U222" s="20">
        <f t="shared" si="44"/>
        <v>0</v>
      </c>
    </row>
    <row r="223" spans="1:24" s="21" customFormat="1" ht="16" customHeight="1">
      <c r="A223" s="33" t="s">
        <v>120</v>
      </c>
      <c r="B223" s="48">
        <v>2020</v>
      </c>
      <c r="C223" s="52" t="s">
        <v>444</v>
      </c>
      <c r="D223" s="16" t="s">
        <v>535</v>
      </c>
      <c r="E223" s="20">
        <v>1221505</v>
      </c>
      <c r="F223" s="20">
        <v>0</v>
      </c>
      <c r="G223" s="20">
        <f t="shared" si="46"/>
        <v>0</v>
      </c>
      <c r="H223" s="16" t="s">
        <v>138</v>
      </c>
      <c r="I223" s="13" t="s">
        <v>176</v>
      </c>
      <c r="J223" s="19"/>
      <c r="K223" s="20">
        <v>0</v>
      </c>
      <c r="L223" s="20">
        <v>0</v>
      </c>
      <c r="M223" s="20">
        <v>0</v>
      </c>
      <c r="N223" s="20">
        <v>0</v>
      </c>
      <c r="O223" s="20">
        <v>0</v>
      </c>
      <c r="P223" s="20">
        <v>-1221505</v>
      </c>
      <c r="Q223" s="20">
        <v>0</v>
      </c>
      <c r="R223" s="20">
        <v>0</v>
      </c>
      <c r="S223" s="20"/>
      <c r="T223" s="20">
        <f t="shared" si="45"/>
        <v>0</v>
      </c>
      <c r="U223" s="20">
        <f t="shared" si="44"/>
        <v>0</v>
      </c>
    </row>
    <row r="224" spans="1:24" s="21" customFormat="1" ht="16" customHeight="1">
      <c r="A224" s="33" t="s">
        <v>120</v>
      </c>
      <c r="B224" s="48">
        <v>2020</v>
      </c>
      <c r="C224" s="52" t="s">
        <v>444</v>
      </c>
      <c r="D224" s="16" t="s">
        <v>5006</v>
      </c>
      <c r="E224" s="20">
        <f>230264943-17037943</f>
        <v>213227000</v>
      </c>
      <c r="F224" s="20">
        <v>0</v>
      </c>
      <c r="G224" s="20">
        <f t="shared" si="46"/>
        <v>0</v>
      </c>
      <c r="H224" s="16" t="s">
        <v>138</v>
      </c>
      <c r="I224" s="14" t="s">
        <v>125</v>
      </c>
      <c r="J224" s="19"/>
      <c r="K224" s="20">
        <v>-116001000</v>
      </c>
      <c r="L224" s="20">
        <v>-97226000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/>
      <c r="T224" s="20">
        <f t="shared" si="45"/>
        <v>0</v>
      </c>
      <c r="U224" s="20">
        <f t="shared" si="44"/>
        <v>0</v>
      </c>
      <c r="W224" s="201">
        <v>0</v>
      </c>
      <c r="X224" s="47">
        <f>W224-T224</f>
        <v>0</v>
      </c>
    </row>
    <row r="225" spans="1:21" s="21" customFormat="1" ht="16" customHeight="1">
      <c r="A225" s="33" t="s">
        <v>120</v>
      </c>
      <c r="B225" s="48">
        <v>2020</v>
      </c>
      <c r="C225" s="16" t="s">
        <v>491</v>
      </c>
      <c r="D225" s="16" t="s">
        <v>563</v>
      </c>
      <c r="E225" s="20">
        <v>30430000</v>
      </c>
      <c r="F225" s="20">
        <v>0</v>
      </c>
      <c r="G225" s="20">
        <f t="shared" si="46"/>
        <v>0</v>
      </c>
      <c r="H225" s="16" t="s">
        <v>138</v>
      </c>
      <c r="I225" s="14" t="s">
        <v>135</v>
      </c>
      <c r="J225" s="19"/>
      <c r="K225" s="20">
        <v>0</v>
      </c>
      <c r="L225" s="20">
        <v>-30430000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0</v>
      </c>
      <c r="S225" s="20"/>
      <c r="T225" s="20">
        <f t="shared" si="45"/>
        <v>0</v>
      </c>
      <c r="U225" s="20">
        <f t="shared" si="44"/>
        <v>0</v>
      </c>
    </row>
    <row r="226" spans="1:21" s="21" customFormat="1" ht="16" customHeight="1">
      <c r="A226" s="33" t="s">
        <v>120</v>
      </c>
      <c r="B226" s="48">
        <v>2020</v>
      </c>
      <c r="C226" s="16" t="s">
        <v>458</v>
      </c>
      <c r="D226" s="16" t="s">
        <v>564</v>
      </c>
      <c r="E226" s="20">
        <v>1050000</v>
      </c>
      <c r="F226" s="20">
        <v>0</v>
      </c>
      <c r="G226" s="20">
        <f t="shared" si="46"/>
        <v>0</v>
      </c>
      <c r="H226" s="16" t="s">
        <v>138</v>
      </c>
      <c r="I226" s="14" t="s">
        <v>135</v>
      </c>
      <c r="J226" s="19"/>
      <c r="K226" s="20">
        <v>-1050000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/>
      <c r="T226" s="20">
        <f t="shared" si="45"/>
        <v>0</v>
      </c>
      <c r="U226" s="20">
        <f t="shared" si="44"/>
        <v>0</v>
      </c>
    </row>
    <row r="227" spans="1:21" s="21" customFormat="1" ht="16" customHeight="1">
      <c r="A227" s="33" t="s">
        <v>120</v>
      </c>
      <c r="B227" s="48">
        <v>2020</v>
      </c>
      <c r="C227" s="16" t="s">
        <v>513</v>
      </c>
      <c r="D227" s="16" t="s">
        <v>565</v>
      </c>
      <c r="E227" s="20">
        <v>275000000</v>
      </c>
      <c r="F227" s="20">
        <v>0</v>
      </c>
      <c r="G227" s="20">
        <f t="shared" si="46"/>
        <v>0</v>
      </c>
      <c r="H227" s="16" t="s">
        <v>138</v>
      </c>
      <c r="I227" s="14" t="s">
        <v>124</v>
      </c>
      <c r="J227" s="19"/>
      <c r="K227" s="20">
        <v>0</v>
      </c>
      <c r="L227" s="20">
        <v>-275000000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/>
      <c r="T227" s="20">
        <f t="shared" si="45"/>
        <v>0</v>
      </c>
      <c r="U227" s="20">
        <f t="shared" si="44"/>
        <v>0</v>
      </c>
    </row>
    <row r="228" spans="1:21" s="21" customFormat="1" ht="16" customHeight="1">
      <c r="A228" s="33" t="s">
        <v>120</v>
      </c>
      <c r="B228" s="48">
        <v>2020</v>
      </c>
      <c r="C228" s="16" t="s">
        <v>513</v>
      </c>
      <c r="D228" s="16" t="s">
        <v>566</v>
      </c>
      <c r="E228" s="20">
        <v>25000000</v>
      </c>
      <c r="F228" s="20">
        <v>0</v>
      </c>
      <c r="G228" s="20">
        <f t="shared" si="46"/>
        <v>0</v>
      </c>
      <c r="H228" s="16" t="s">
        <v>138</v>
      </c>
      <c r="I228" s="14" t="s">
        <v>131</v>
      </c>
      <c r="J228" s="19"/>
      <c r="K228" s="20">
        <v>0</v>
      </c>
      <c r="L228" s="20">
        <v>-25000000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/>
      <c r="T228" s="20">
        <f t="shared" si="45"/>
        <v>0</v>
      </c>
      <c r="U228" s="20">
        <f t="shared" si="44"/>
        <v>0</v>
      </c>
    </row>
    <row r="229" spans="1:21" s="21" customFormat="1" ht="16" customHeight="1">
      <c r="A229" s="33" t="s">
        <v>441</v>
      </c>
      <c r="B229" s="48">
        <v>2020</v>
      </c>
      <c r="C229" s="16" t="s">
        <v>3404</v>
      </c>
      <c r="D229" s="61" t="s">
        <v>64</v>
      </c>
      <c r="E229" s="8">
        <v>303906</v>
      </c>
      <c r="F229" s="20">
        <v>0</v>
      </c>
      <c r="G229" s="20">
        <f t="shared" si="46"/>
        <v>0</v>
      </c>
      <c r="H229" s="16" t="s">
        <v>248</v>
      </c>
      <c r="I229" t="s">
        <v>249</v>
      </c>
      <c r="J229" s="19"/>
      <c r="K229" s="20">
        <v>0</v>
      </c>
      <c r="L229" s="20">
        <v>-303906</v>
      </c>
      <c r="M229" s="20">
        <v>0</v>
      </c>
      <c r="N229" s="20">
        <v>0</v>
      </c>
      <c r="O229" s="20">
        <v>0</v>
      </c>
      <c r="P229" s="8">
        <v>0</v>
      </c>
      <c r="Q229" s="20">
        <v>0</v>
      </c>
      <c r="R229" s="20">
        <v>0</v>
      </c>
      <c r="S229" s="20"/>
      <c r="T229" s="20">
        <f t="shared" si="45"/>
        <v>0</v>
      </c>
      <c r="U229" s="20">
        <f>G229+Q229+R229</f>
        <v>0</v>
      </c>
    </row>
    <row r="230" spans="1:21" s="21" customFormat="1" ht="16" customHeight="1">
      <c r="A230" s="33" t="s">
        <v>441</v>
      </c>
      <c r="B230" s="48">
        <v>2020</v>
      </c>
      <c r="C230" s="16" t="s">
        <v>5014</v>
      </c>
      <c r="D230" s="61" t="s">
        <v>569</v>
      </c>
      <c r="E230" s="8">
        <v>9015600</v>
      </c>
      <c r="F230" s="20">
        <v>0</v>
      </c>
      <c r="G230" s="20">
        <f t="shared" si="46"/>
        <v>0</v>
      </c>
      <c r="H230" s="16" t="s">
        <v>568</v>
      </c>
      <c r="I230" t="s">
        <v>134</v>
      </c>
      <c r="J230" s="19"/>
      <c r="K230" s="20">
        <v>0</v>
      </c>
      <c r="L230" s="20">
        <v>0</v>
      </c>
      <c r="M230" s="20">
        <v>0</v>
      </c>
      <c r="N230" s="20">
        <v>0</v>
      </c>
      <c r="O230" s="20">
        <v>0</v>
      </c>
      <c r="P230" s="8">
        <v>-9015600</v>
      </c>
      <c r="Q230" s="20">
        <v>0</v>
      </c>
      <c r="R230" s="20">
        <v>0</v>
      </c>
      <c r="S230" s="20"/>
      <c r="T230" s="20">
        <f t="shared" si="45"/>
        <v>0</v>
      </c>
      <c r="U230" s="20">
        <f>G230+Q230+R230</f>
        <v>0</v>
      </c>
    </row>
    <row r="231" spans="1:21" s="21" customFormat="1" ht="16" customHeight="1">
      <c r="A231" s="33" t="s">
        <v>441</v>
      </c>
      <c r="B231" s="48">
        <v>2020</v>
      </c>
      <c r="C231" s="16" t="s">
        <v>5014</v>
      </c>
      <c r="D231" s="61" t="s">
        <v>570</v>
      </c>
      <c r="E231" s="8">
        <v>44000000</v>
      </c>
      <c r="F231" s="20">
        <v>0</v>
      </c>
      <c r="G231" s="20">
        <f t="shared" si="46"/>
        <v>0</v>
      </c>
      <c r="H231" s="16" t="s">
        <v>568</v>
      </c>
      <c r="I231" s="14" t="s">
        <v>124</v>
      </c>
      <c r="J231" s="19"/>
      <c r="K231" s="20">
        <v>0</v>
      </c>
      <c r="L231" s="20">
        <v>0</v>
      </c>
      <c r="M231" s="20">
        <v>0</v>
      </c>
      <c r="N231" s="20">
        <v>0</v>
      </c>
      <c r="O231" s="20">
        <v>0</v>
      </c>
      <c r="P231" s="20">
        <v>-44000000</v>
      </c>
      <c r="Q231" s="20">
        <v>0</v>
      </c>
      <c r="R231" s="20">
        <v>0</v>
      </c>
      <c r="S231" s="20"/>
      <c r="T231" s="20">
        <f t="shared" si="45"/>
        <v>0</v>
      </c>
      <c r="U231" s="20">
        <f>G231+Q231+R231</f>
        <v>0</v>
      </c>
    </row>
    <row r="232" spans="1:21" s="21" customFormat="1" ht="16" customHeight="1">
      <c r="A232" s="33" t="s">
        <v>441</v>
      </c>
      <c r="B232" s="48">
        <v>2020</v>
      </c>
      <c r="C232" s="16" t="s">
        <v>5014</v>
      </c>
      <c r="D232" s="61" t="s">
        <v>571</v>
      </c>
      <c r="E232" s="20">
        <v>10926103.700000001</v>
      </c>
      <c r="F232" s="20">
        <v>0</v>
      </c>
      <c r="G232" s="20">
        <f t="shared" si="46"/>
        <v>0</v>
      </c>
      <c r="H232" s="16" t="s">
        <v>568</v>
      </c>
      <c r="I232" t="s">
        <v>132</v>
      </c>
      <c r="J232" s="19"/>
      <c r="K232" s="20">
        <v>0</v>
      </c>
      <c r="L232" s="20">
        <v>0</v>
      </c>
      <c r="M232" s="20">
        <v>0</v>
      </c>
      <c r="N232" s="20">
        <v>0</v>
      </c>
      <c r="O232" s="20">
        <v>0</v>
      </c>
      <c r="P232" s="20">
        <v>-10926103.699999999</v>
      </c>
      <c r="Q232" s="20">
        <v>0</v>
      </c>
      <c r="R232" s="20">
        <v>0</v>
      </c>
      <c r="S232" s="20"/>
      <c r="T232" s="20">
        <f t="shared" si="45"/>
        <v>0</v>
      </c>
      <c r="U232" s="20">
        <f t="shared" ref="U232:U234" si="51">G232+Q232+R232</f>
        <v>0</v>
      </c>
    </row>
    <row r="233" spans="1:21" s="21" customFormat="1" ht="16" customHeight="1">
      <c r="A233" s="33" t="s">
        <v>441</v>
      </c>
      <c r="B233" s="48">
        <v>2020</v>
      </c>
      <c r="C233" s="16" t="s">
        <v>5014</v>
      </c>
      <c r="D233" s="61" t="s">
        <v>572</v>
      </c>
      <c r="E233" s="20">
        <v>76363636.400000006</v>
      </c>
      <c r="F233" s="20">
        <v>0</v>
      </c>
      <c r="G233" s="20">
        <f t="shared" si="46"/>
        <v>0</v>
      </c>
      <c r="H233" s="16" t="s">
        <v>568</v>
      </c>
      <c r="I233" t="s">
        <v>371</v>
      </c>
      <c r="J233" s="19"/>
      <c r="K233" s="20">
        <v>0</v>
      </c>
      <c r="L233" s="20">
        <v>0</v>
      </c>
      <c r="M233" s="20">
        <v>0</v>
      </c>
      <c r="N233" s="20">
        <v>0</v>
      </c>
      <c r="O233" s="20">
        <v>0</v>
      </c>
      <c r="P233" s="20">
        <v>-76363636.400000006</v>
      </c>
      <c r="Q233" s="20">
        <v>0</v>
      </c>
      <c r="R233" s="20">
        <v>0</v>
      </c>
      <c r="S233" s="20"/>
      <c r="T233" s="20">
        <f t="shared" si="45"/>
        <v>0</v>
      </c>
      <c r="U233" s="20">
        <f t="shared" si="51"/>
        <v>0</v>
      </c>
    </row>
    <row r="234" spans="1:21" s="21" customFormat="1" ht="16" customHeight="1">
      <c r="A234" s="33" t="s">
        <v>441</v>
      </c>
      <c r="B234" s="48">
        <v>2020</v>
      </c>
      <c r="C234" s="16" t="s">
        <v>5014</v>
      </c>
      <c r="D234" s="61" t="s">
        <v>573</v>
      </c>
      <c r="E234" s="8">
        <v>86976450</v>
      </c>
      <c r="F234" s="20">
        <v>0</v>
      </c>
      <c r="G234" s="20">
        <f t="shared" si="46"/>
        <v>0</v>
      </c>
      <c r="H234" s="16" t="s">
        <v>568</v>
      </c>
      <c r="I234" t="s">
        <v>127</v>
      </c>
      <c r="J234" s="19"/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-86976450</v>
      </c>
      <c r="Q234" s="20">
        <v>0</v>
      </c>
      <c r="R234" s="20">
        <v>0</v>
      </c>
      <c r="S234" s="20"/>
      <c r="T234" s="20">
        <f t="shared" si="45"/>
        <v>0</v>
      </c>
      <c r="U234" s="20">
        <f t="shared" si="51"/>
        <v>0</v>
      </c>
    </row>
    <row r="235" spans="1:21" s="21" customFormat="1" ht="16" customHeight="1">
      <c r="A235" s="33" t="s">
        <v>441</v>
      </c>
      <c r="B235" s="48">
        <v>2020</v>
      </c>
      <c r="C235" s="16" t="s">
        <v>5014</v>
      </c>
      <c r="D235" s="61" t="s">
        <v>574</v>
      </c>
      <c r="E235" s="8">
        <v>9888999.9999999981</v>
      </c>
      <c r="F235" s="20">
        <v>0</v>
      </c>
      <c r="G235" s="20">
        <f t="shared" si="46"/>
        <v>0</v>
      </c>
      <c r="H235" s="16" t="s">
        <v>568</v>
      </c>
      <c r="I235" s="14" t="s">
        <v>121</v>
      </c>
      <c r="J235" s="19"/>
      <c r="K235" s="20">
        <v>0</v>
      </c>
      <c r="L235" s="20">
        <v>0</v>
      </c>
      <c r="M235" s="20">
        <v>0</v>
      </c>
      <c r="N235" s="20">
        <v>0</v>
      </c>
      <c r="O235" s="20">
        <v>0</v>
      </c>
      <c r="P235" s="8">
        <v>-9889000</v>
      </c>
      <c r="Q235" s="20">
        <v>0</v>
      </c>
      <c r="R235" s="20">
        <v>0</v>
      </c>
      <c r="S235" s="20"/>
      <c r="T235" s="20">
        <f t="shared" ref="T235:T300" si="52">E235+K235+L235+M235+N235+O235+P235</f>
        <v>0</v>
      </c>
      <c r="U235" s="20">
        <f>G235+Q235+R235</f>
        <v>0</v>
      </c>
    </row>
    <row r="236" spans="1:21" s="21" customFormat="1" ht="16" customHeight="1">
      <c r="A236" s="33" t="s">
        <v>441</v>
      </c>
      <c r="B236" s="48">
        <v>2020</v>
      </c>
      <c r="C236" s="16" t="s">
        <v>5014</v>
      </c>
      <c r="D236" s="61" t="s">
        <v>575</v>
      </c>
      <c r="E236" s="20">
        <v>53002147.990000002</v>
      </c>
      <c r="F236" s="20">
        <v>0</v>
      </c>
      <c r="G236" s="20">
        <f t="shared" si="46"/>
        <v>0</v>
      </c>
      <c r="H236" s="16" t="s">
        <v>568</v>
      </c>
      <c r="I236" t="s">
        <v>576</v>
      </c>
      <c r="J236" s="19"/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-53002147.990000002</v>
      </c>
      <c r="Q236" s="20">
        <v>0</v>
      </c>
      <c r="R236" s="20">
        <v>0</v>
      </c>
      <c r="S236" s="20"/>
      <c r="T236" s="20">
        <f t="shared" si="52"/>
        <v>0</v>
      </c>
      <c r="U236" s="20">
        <f t="shared" ref="U236:U245" si="53">G236+Q236+R236</f>
        <v>0</v>
      </c>
    </row>
    <row r="237" spans="1:21" s="21" customFormat="1" ht="16" customHeight="1">
      <c r="A237" s="33" t="s">
        <v>441</v>
      </c>
      <c r="B237" s="48">
        <v>2020</v>
      </c>
      <c r="C237" s="16" t="s">
        <v>5014</v>
      </c>
      <c r="D237" s="61" t="s">
        <v>577</v>
      </c>
      <c r="E237" s="20">
        <v>45000000</v>
      </c>
      <c r="F237" s="20">
        <v>0</v>
      </c>
      <c r="G237" s="20">
        <f t="shared" si="46"/>
        <v>0</v>
      </c>
      <c r="H237" s="16" t="s">
        <v>568</v>
      </c>
      <c r="I237" t="s">
        <v>371</v>
      </c>
      <c r="J237" s="19"/>
      <c r="K237" s="20">
        <v>0</v>
      </c>
      <c r="L237" s="20">
        <v>0</v>
      </c>
      <c r="M237" s="20">
        <v>0</v>
      </c>
      <c r="N237" s="20">
        <v>0</v>
      </c>
      <c r="O237" s="20">
        <v>0</v>
      </c>
      <c r="P237" s="20">
        <v>-45000000</v>
      </c>
      <c r="Q237" s="20">
        <v>0</v>
      </c>
      <c r="R237" s="20">
        <v>0</v>
      </c>
      <c r="S237" s="20"/>
      <c r="T237" s="20">
        <f t="shared" si="52"/>
        <v>0</v>
      </c>
      <c r="U237" s="20">
        <f t="shared" si="53"/>
        <v>0</v>
      </c>
    </row>
    <row r="238" spans="1:21" s="21" customFormat="1" ht="16" customHeight="1">
      <c r="A238" s="33" t="s">
        <v>441</v>
      </c>
      <c r="B238" s="48">
        <v>2020</v>
      </c>
      <c r="C238" s="16" t="s">
        <v>5015</v>
      </c>
      <c r="D238" s="61" t="s">
        <v>802</v>
      </c>
      <c r="E238" s="20">
        <v>1803120</v>
      </c>
      <c r="F238" s="20">
        <v>0</v>
      </c>
      <c r="G238" s="20">
        <f t="shared" si="46"/>
        <v>0</v>
      </c>
      <c r="H238" s="16" t="s">
        <v>578</v>
      </c>
      <c r="I238" t="s">
        <v>134</v>
      </c>
      <c r="J238" s="19"/>
      <c r="K238" s="20">
        <v>0</v>
      </c>
      <c r="L238" s="20">
        <v>0</v>
      </c>
      <c r="M238" s="20">
        <v>0</v>
      </c>
      <c r="N238" s="20">
        <v>0</v>
      </c>
      <c r="O238" s="20">
        <v>0</v>
      </c>
      <c r="P238" s="20">
        <v>-1803120</v>
      </c>
      <c r="Q238" s="20">
        <v>0</v>
      </c>
      <c r="R238" s="20">
        <v>0</v>
      </c>
      <c r="S238" s="20"/>
      <c r="T238" s="20">
        <f t="shared" si="52"/>
        <v>0</v>
      </c>
      <c r="U238" s="20">
        <f t="shared" si="53"/>
        <v>0</v>
      </c>
    </row>
    <row r="239" spans="1:21" s="21" customFormat="1" ht="16" customHeight="1">
      <c r="A239" s="33" t="s">
        <v>441</v>
      </c>
      <c r="B239" s="48">
        <v>2020</v>
      </c>
      <c r="C239" s="16" t="s">
        <v>5015</v>
      </c>
      <c r="D239" s="61" t="s">
        <v>803</v>
      </c>
      <c r="E239" s="20">
        <v>8799999.9999999981</v>
      </c>
      <c r="F239" s="20">
        <v>0</v>
      </c>
      <c r="G239" s="20">
        <f t="shared" si="46"/>
        <v>0</v>
      </c>
      <c r="H239" s="16" t="s">
        <v>578</v>
      </c>
      <c r="I239" s="14" t="s">
        <v>124</v>
      </c>
      <c r="J239" s="19"/>
      <c r="K239" s="20">
        <v>0</v>
      </c>
      <c r="L239" s="20">
        <v>0</v>
      </c>
      <c r="M239" s="20">
        <v>0</v>
      </c>
      <c r="N239" s="20">
        <v>0</v>
      </c>
      <c r="O239" s="20">
        <v>0</v>
      </c>
      <c r="P239" s="20">
        <v>-8800000</v>
      </c>
      <c r="Q239" s="20">
        <v>0</v>
      </c>
      <c r="R239" s="20">
        <v>0</v>
      </c>
      <c r="S239" s="20"/>
      <c r="T239" s="20">
        <f t="shared" si="52"/>
        <v>0</v>
      </c>
      <c r="U239" s="20">
        <f t="shared" si="53"/>
        <v>0</v>
      </c>
    </row>
    <row r="240" spans="1:21" s="21" customFormat="1" ht="16" customHeight="1">
      <c r="A240" s="33" t="s">
        <v>441</v>
      </c>
      <c r="B240" s="48">
        <v>2020</v>
      </c>
      <c r="C240" s="16" t="s">
        <v>5015</v>
      </c>
      <c r="D240" s="61" t="s">
        <v>804</v>
      </c>
      <c r="E240" s="20">
        <v>2185220.7400000002</v>
      </c>
      <c r="F240" s="20">
        <v>0</v>
      </c>
      <c r="G240" s="20">
        <f t="shared" si="46"/>
        <v>0</v>
      </c>
      <c r="H240" s="16" t="s">
        <v>578</v>
      </c>
      <c r="I240" t="s">
        <v>132</v>
      </c>
      <c r="J240" s="19"/>
      <c r="K240" s="20">
        <v>0</v>
      </c>
      <c r="L240" s="20">
        <v>0</v>
      </c>
      <c r="M240" s="20">
        <v>0</v>
      </c>
      <c r="N240" s="20">
        <v>0</v>
      </c>
      <c r="O240" s="20">
        <v>0</v>
      </c>
      <c r="P240" s="20">
        <v>-2185220.7400000002</v>
      </c>
      <c r="Q240" s="20">
        <v>0</v>
      </c>
      <c r="R240" s="20">
        <v>0</v>
      </c>
      <c r="S240" s="20"/>
      <c r="T240" s="20">
        <f t="shared" si="52"/>
        <v>0</v>
      </c>
      <c r="U240" s="20">
        <f t="shared" si="53"/>
        <v>0</v>
      </c>
    </row>
    <row r="241" spans="1:21" s="21" customFormat="1" ht="16" customHeight="1">
      <c r="A241" s="33" t="s">
        <v>441</v>
      </c>
      <c r="B241" s="48">
        <v>2020</v>
      </c>
      <c r="C241" s="16" t="s">
        <v>5015</v>
      </c>
      <c r="D241" s="61" t="s">
        <v>805</v>
      </c>
      <c r="E241" s="20">
        <v>15272727.280000001</v>
      </c>
      <c r="F241" s="20">
        <v>0</v>
      </c>
      <c r="G241" s="20">
        <f t="shared" si="46"/>
        <v>0</v>
      </c>
      <c r="H241" s="16" t="s">
        <v>578</v>
      </c>
      <c r="I241" t="s">
        <v>371</v>
      </c>
      <c r="J241" s="19"/>
      <c r="K241" s="20">
        <v>0</v>
      </c>
      <c r="L241" s="20">
        <v>0</v>
      </c>
      <c r="M241" s="20">
        <v>0</v>
      </c>
      <c r="N241" s="20">
        <v>0</v>
      </c>
      <c r="O241" s="20">
        <v>0</v>
      </c>
      <c r="P241" s="20">
        <v>-15272727.279999999</v>
      </c>
      <c r="Q241" s="20">
        <v>0</v>
      </c>
      <c r="R241" s="20">
        <v>0</v>
      </c>
      <c r="S241" s="20"/>
      <c r="T241" s="20">
        <f t="shared" si="52"/>
        <v>0</v>
      </c>
      <c r="U241" s="20">
        <f t="shared" si="53"/>
        <v>0</v>
      </c>
    </row>
    <row r="242" spans="1:21" s="21" customFormat="1" ht="16" customHeight="1">
      <c r="A242" s="33" t="s">
        <v>441</v>
      </c>
      <c r="B242" s="48">
        <v>2020</v>
      </c>
      <c r="C242" s="16" t="s">
        <v>5015</v>
      </c>
      <c r="D242" s="61" t="s">
        <v>806</v>
      </c>
      <c r="E242" s="20">
        <v>17395290</v>
      </c>
      <c r="F242" s="20">
        <v>0</v>
      </c>
      <c r="G242" s="20">
        <f t="shared" si="46"/>
        <v>0</v>
      </c>
      <c r="H242" s="16" t="s">
        <v>578</v>
      </c>
      <c r="I242" t="s">
        <v>127</v>
      </c>
      <c r="J242" s="19"/>
      <c r="K242" s="20">
        <v>0</v>
      </c>
      <c r="L242" s="20">
        <v>0</v>
      </c>
      <c r="M242" s="20">
        <v>0</v>
      </c>
      <c r="N242" s="20">
        <v>0</v>
      </c>
      <c r="O242" s="20">
        <v>0</v>
      </c>
      <c r="P242" s="20">
        <v>-17395290</v>
      </c>
      <c r="Q242" s="20">
        <v>0</v>
      </c>
      <c r="R242" s="20">
        <v>0</v>
      </c>
      <c r="S242" s="20"/>
      <c r="T242" s="20">
        <f t="shared" si="52"/>
        <v>0</v>
      </c>
      <c r="U242" s="20">
        <f t="shared" si="53"/>
        <v>0</v>
      </c>
    </row>
    <row r="243" spans="1:21" s="21" customFormat="1" ht="16" customHeight="1">
      <c r="A243" s="33" t="s">
        <v>441</v>
      </c>
      <c r="B243" s="48">
        <v>2020</v>
      </c>
      <c r="C243" s="16" t="s">
        <v>5015</v>
      </c>
      <c r="D243" s="61" t="s">
        <v>807</v>
      </c>
      <c r="E243" s="20">
        <v>1977799.9999999998</v>
      </c>
      <c r="F243" s="20">
        <v>0</v>
      </c>
      <c r="G243" s="20">
        <f t="shared" ref="G243:G306" si="54">(F243*$G$3)/$D$536</f>
        <v>0</v>
      </c>
      <c r="H243" s="16" t="s">
        <v>578</v>
      </c>
      <c r="I243" s="14" t="s">
        <v>121</v>
      </c>
      <c r="J243" s="19"/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-1977799.99999999</v>
      </c>
      <c r="Q243" s="20">
        <v>0</v>
      </c>
      <c r="R243" s="20">
        <v>0</v>
      </c>
      <c r="S243" s="20"/>
      <c r="T243" s="20">
        <f t="shared" si="52"/>
        <v>9.7788870334625244E-9</v>
      </c>
      <c r="U243" s="20">
        <f t="shared" si="53"/>
        <v>0</v>
      </c>
    </row>
    <row r="244" spans="1:21" s="21" customFormat="1" ht="16" customHeight="1">
      <c r="A244" s="33" t="s">
        <v>441</v>
      </c>
      <c r="B244" s="48">
        <v>2020</v>
      </c>
      <c r="C244" s="16" t="s">
        <v>5015</v>
      </c>
      <c r="D244" s="61" t="s">
        <v>808</v>
      </c>
      <c r="E244" s="20">
        <v>10600429.597999999</v>
      </c>
      <c r="F244" s="20">
        <v>0</v>
      </c>
      <c r="G244" s="20">
        <f t="shared" si="54"/>
        <v>0</v>
      </c>
      <c r="H244" s="16" t="s">
        <v>578</v>
      </c>
      <c r="I244" t="s">
        <v>576</v>
      </c>
      <c r="J244" s="19"/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-10600429.597999999</v>
      </c>
      <c r="Q244" s="20">
        <v>0</v>
      </c>
      <c r="R244" s="20">
        <v>0</v>
      </c>
      <c r="S244" s="20"/>
      <c r="T244" s="20">
        <f t="shared" si="52"/>
        <v>0</v>
      </c>
      <c r="U244" s="20">
        <f t="shared" si="53"/>
        <v>0</v>
      </c>
    </row>
    <row r="245" spans="1:21" s="21" customFormat="1" ht="16" customHeight="1">
      <c r="A245" s="33" t="s">
        <v>441</v>
      </c>
      <c r="B245" s="48">
        <v>2020</v>
      </c>
      <c r="C245" s="16" t="s">
        <v>5015</v>
      </c>
      <c r="D245" s="61" t="s">
        <v>809</v>
      </c>
      <c r="E245" s="20">
        <v>9000000</v>
      </c>
      <c r="F245" s="20">
        <v>0</v>
      </c>
      <c r="G245" s="20">
        <f t="shared" si="54"/>
        <v>0</v>
      </c>
      <c r="H245" s="16" t="s">
        <v>578</v>
      </c>
      <c r="I245" t="s">
        <v>371</v>
      </c>
      <c r="J245" s="19"/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-9000000</v>
      </c>
      <c r="Q245" s="20">
        <v>0</v>
      </c>
      <c r="R245" s="20">
        <v>0</v>
      </c>
      <c r="S245" s="20"/>
      <c r="T245" s="20">
        <f t="shared" si="52"/>
        <v>0</v>
      </c>
      <c r="U245" s="20">
        <f t="shared" si="53"/>
        <v>0</v>
      </c>
    </row>
    <row r="246" spans="1:21" s="21" customFormat="1" ht="16" customHeight="1">
      <c r="A246" s="33" t="s">
        <v>116</v>
      </c>
      <c r="B246" s="48">
        <v>2021</v>
      </c>
      <c r="C246" s="16" t="s">
        <v>0</v>
      </c>
      <c r="D246" s="168" t="s">
        <v>4628</v>
      </c>
      <c r="E246" s="20">
        <v>780680</v>
      </c>
      <c r="F246" s="20">
        <v>0</v>
      </c>
      <c r="G246" s="20">
        <f t="shared" si="54"/>
        <v>0</v>
      </c>
      <c r="H246" s="16" t="s">
        <v>319</v>
      </c>
      <c r="I246" t="s">
        <v>117</v>
      </c>
      <c r="J246" s="19"/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Q246" s="20">
        <v>0</v>
      </c>
      <c r="R246" s="20">
        <v>0</v>
      </c>
      <c r="S246" s="20"/>
      <c r="T246" s="20">
        <f t="shared" si="52"/>
        <v>780680</v>
      </c>
      <c r="U246" s="20">
        <f t="shared" ref="U246" si="55">G246+Q246+R246</f>
        <v>0</v>
      </c>
    </row>
    <row r="247" spans="1:21" s="21" customFormat="1" ht="16" customHeight="1">
      <c r="A247" s="33" t="s">
        <v>116</v>
      </c>
      <c r="B247" s="48">
        <v>2021</v>
      </c>
      <c r="C247" s="16" t="s">
        <v>0</v>
      </c>
      <c r="D247" s="168" t="s">
        <v>4629</v>
      </c>
      <c r="E247" s="20">
        <v>841040</v>
      </c>
      <c r="F247" s="20">
        <v>0</v>
      </c>
      <c r="G247" s="20">
        <f t="shared" si="54"/>
        <v>0</v>
      </c>
      <c r="H247" s="16" t="s">
        <v>319</v>
      </c>
      <c r="I247" t="s">
        <v>117</v>
      </c>
      <c r="J247" s="19"/>
      <c r="K247" s="20">
        <v>0</v>
      </c>
      <c r="L247" s="20">
        <v>0</v>
      </c>
      <c r="M247" s="20">
        <v>0</v>
      </c>
      <c r="N247" s="20">
        <v>0</v>
      </c>
      <c r="O247" s="20">
        <v>0</v>
      </c>
      <c r="P247" s="20">
        <v>0</v>
      </c>
      <c r="Q247" s="20">
        <v>0</v>
      </c>
      <c r="R247" s="20">
        <v>0</v>
      </c>
      <c r="S247" s="20"/>
      <c r="T247" s="20">
        <f t="shared" si="52"/>
        <v>841040</v>
      </c>
      <c r="U247" s="20">
        <f t="shared" ref="U247:U254" si="56">G247+Q247+R247</f>
        <v>0</v>
      </c>
    </row>
    <row r="248" spans="1:21" s="21" customFormat="1" ht="16" customHeight="1">
      <c r="A248" s="33" t="s">
        <v>116</v>
      </c>
      <c r="B248" s="48">
        <v>2021</v>
      </c>
      <c r="C248" s="16" t="s">
        <v>0</v>
      </c>
      <c r="D248" s="168" t="s">
        <v>30</v>
      </c>
      <c r="E248" s="20">
        <v>595000</v>
      </c>
      <c r="F248" s="20">
        <v>0</v>
      </c>
      <c r="G248" s="20">
        <f t="shared" si="54"/>
        <v>0</v>
      </c>
      <c r="H248" s="16" t="s">
        <v>248</v>
      </c>
      <c r="I248" t="s">
        <v>130</v>
      </c>
      <c r="J248" s="19"/>
      <c r="K248" s="20">
        <v>0</v>
      </c>
      <c r="L248" s="20">
        <v>0</v>
      </c>
      <c r="M248" s="20">
        <v>0</v>
      </c>
      <c r="N248" s="20">
        <v>0</v>
      </c>
      <c r="O248" s="20">
        <v>0</v>
      </c>
      <c r="P248" s="20">
        <v>0</v>
      </c>
      <c r="Q248" s="20">
        <v>0</v>
      </c>
      <c r="R248" s="20">
        <v>0</v>
      </c>
      <c r="S248" s="20"/>
      <c r="T248" s="20">
        <f t="shared" si="52"/>
        <v>595000</v>
      </c>
      <c r="U248" s="20">
        <f t="shared" ref="U248:U249" si="57">G248+Q248+R248</f>
        <v>0</v>
      </c>
    </row>
    <row r="249" spans="1:21" s="21" customFormat="1" ht="16" customHeight="1">
      <c r="A249" s="33" t="s">
        <v>116</v>
      </c>
      <c r="B249" s="48">
        <v>2021</v>
      </c>
      <c r="C249" s="16" t="s">
        <v>0</v>
      </c>
      <c r="D249" s="168" t="s">
        <v>31</v>
      </c>
      <c r="E249" s="20">
        <v>1082500</v>
      </c>
      <c r="F249" s="20">
        <v>0</v>
      </c>
      <c r="G249" s="20">
        <f t="shared" si="54"/>
        <v>0</v>
      </c>
      <c r="H249" s="16" t="s">
        <v>248</v>
      </c>
      <c r="I249" t="s">
        <v>130</v>
      </c>
      <c r="J249" s="19"/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0</v>
      </c>
      <c r="R249" s="20">
        <v>0</v>
      </c>
      <c r="S249" s="20"/>
      <c r="T249" s="20">
        <f t="shared" si="52"/>
        <v>1082500</v>
      </c>
      <c r="U249" s="20">
        <f t="shared" si="57"/>
        <v>0</v>
      </c>
    </row>
    <row r="250" spans="1:21" s="21" customFormat="1" ht="16" customHeight="1">
      <c r="A250" s="33" t="s">
        <v>116</v>
      </c>
      <c r="B250" s="48">
        <v>2021</v>
      </c>
      <c r="C250" s="16" t="s">
        <v>4714</v>
      </c>
      <c r="D250" s="168" t="s">
        <v>5078</v>
      </c>
      <c r="E250" s="20">
        <v>736180000</v>
      </c>
      <c r="F250" s="20">
        <v>0</v>
      </c>
      <c r="G250" s="20">
        <f t="shared" si="54"/>
        <v>0</v>
      </c>
      <c r="H250" s="16" t="s">
        <v>248</v>
      </c>
      <c r="I250" t="s">
        <v>249</v>
      </c>
      <c r="J250" s="19"/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</v>
      </c>
      <c r="Q250" s="20">
        <v>0</v>
      </c>
      <c r="R250" s="20">
        <v>0</v>
      </c>
      <c r="S250" s="20"/>
      <c r="T250" s="20">
        <f t="shared" si="52"/>
        <v>736180000</v>
      </c>
      <c r="U250" s="20">
        <f t="shared" ref="U250" si="58">G250+Q250+R250</f>
        <v>0</v>
      </c>
    </row>
    <row r="251" spans="1:21" s="21" customFormat="1" ht="16" customHeight="1">
      <c r="A251" s="33" t="s">
        <v>116</v>
      </c>
      <c r="B251" s="48">
        <v>2021</v>
      </c>
      <c r="C251" s="16" t="s">
        <v>449</v>
      </c>
      <c r="D251" s="168" t="s">
        <v>4630</v>
      </c>
      <c r="E251" s="20">
        <v>500000</v>
      </c>
      <c r="F251" s="20">
        <v>0</v>
      </c>
      <c r="G251" s="20">
        <f t="shared" si="54"/>
        <v>0</v>
      </c>
      <c r="H251" s="16" t="s">
        <v>252</v>
      </c>
      <c r="I251" t="s">
        <v>665</v>
      </c>
      <c r="J251" s="19"/>
      <c r="K251" s="20">
        <v>0</v>
      </c>
      <c r="L251" s="20">
        <v>0</v>
      </c>
      <c r="M251" s="20">
        <v>0</v>
      </c>
      <c r="N251" s="20">
        <v>0</v>
      </c>
      <c r="O251" s="20">
        <v>0</v>
      </c>
      <c r="P251" s="20">
        <v>0</v>
      </c>
      <c r="Q251" s="20">
        <v>0</v>
      </c>
      <c r="R251" s="20">
        <v>0</v>
      </c>
      <c r="S251" s="20"/>
      <c r="T251" s="20">
        <f t="shared" si="52"/>
        <v>500000</v>
      </c>
      <c r="U251" s="20">
        <f t="shared" si="56"/>
        <v>0</v>
      </c>
    </row>
    <row r="252" spans="1:21" s="21" customFormat="1" ht="16" customHeight="1">
      <c r="A252" s="33" t="s">
        <v>116</v>
      </c>
      <c r="B252" s="48">
        <v>2021</v>
      </c>
      <c r="C252" s="16" t="s">
        <v>449</v>
      </c>
      <c r="D252" s="168" t="s">
        <v>4631</v>
      </c>
      <c r="E252" s="20">
        <v>500000</v>
      </c>
      <c r="F252" s="20">
        <v>0</v>
      </c>
      <c r="G252" s="20">
        <f t="shared" si="54"/>
        <v>0</v>
      </c>
      <c r="H252" s="16" t="s">
        <v>252</v>
      </c>
      <c r="I252" t="s">
        <v>665</v>
      </c>
      <c r="J252" s="19"/>
      <c r="K252" s="20">
        <v>0</v>
      </c>
      <c r="L252" s="20">
        <v>0</v>
      </c>
      <c r="M252" s="20">
        <v>0</v>
      </c>
      <c r="N252" s="20">
        <v>0</v>
      </c>
      <c r="O252" s="20">
        <v>0</v>
      </c>
      <c r="P252" s="20">
        <v>0</v>
      </c>
      <c r="Q252" s="20">
        <v>0</v>
      </c>
      <c r="R252" s="20">
        <v>0</v>
      </c>
      <c r="S252" s="20"/>
      <c r="T252" s="20">
        <f t="shared" si="52"/>
        <v>500000</v>
      </c>
      <c r="U252" s="20">
        <f t="shared" si="56"/>
        <v>0</v>
      </c>
    </row>
    <row r="253" spans="1:21" s="21" customFormat="1" ht="16" customHeight="1">
      <c r="A253" s="33" t="s">
        <v>116</v>
      </c>
      <c r="B253" s="48">
        <v>2021</v>
      </c>
      <c r="C253" s="16" t="s">
        <v>449</v>
      </c>
      <c r="D253" s="168" t="s">
        <v>4632</v>
      </c>
      <c r="E253" s="20">
        <v>500000</v>
      </c>
      <c r="F253" s="20">
        <v>0</v>
      </c>
      <c r="G253" s="20">
        <f t="shared" si="54"/>
        <v>0</v>
      </c>
      <c r="H253" s="16" t="s">
        <v>252</v>
      </c>
      <c r="I253" t="s">
        <v>665</v>
      </c>
      <c r="J253" s="19"/>
      <c r="K253" s="20">
        <v>0</v>
      </c>
      <c r="L253" s="20">
        <v>0</v>
      </c>
      <c r="M253" s="20">
        <v>0</v>
      </c>
      <c r="N253" s="20">
        <v>0</v>
      </c>
      <c r="O253" s="20">
        <v>0</v>
      </c>
      <c r="P253" s="20">
        <v>0</v>
      </c>
      <c r="Q253" s="20">
        <v>0</v>
      </c>
      <c r="R253" s="20">
        <v>0</v>
      </c>
      <c r="S253" s="20"/>
      <c r="T253" s="20">
        <f t="shared" si="52"/>
        <v>500000</v>
      </c>
      <c r="U253" s="20">
        <f t="shared" si="56"/>
        <v>0</v>
      </c>
    </row>
    <row r="254" spans="1:21" s="21" customFormat="1" ht="16" customHeight="1">
      <c r="A254" s="33" t="s">
        <v>116</v>
      </c>
      <c r="B254" s="48">
        <v>2021</v>
      </c>
      <c r="C254" s="16" t="s">
        <v>449</v>
      </c>
      <c r="D254" s="168" t="s">
        <v>4633</v>
      </c>
      <c r="E254" s="20">
        <v>612739</v>
      </c>
      <c r="F254" s="20">
        <v>0</v>
      </c>
      <c r="G254" s="20">
        <f t="shared" si="54"/>
        <v>0</v>
      </c>
      <c r="H254" s="16" t="s">
        <v>252</v>
      </c>
      <c r="I254" t="s">
        <v>665</v>
      </c>
      <c r="J254" s="19"/>
      <c r="K254" s="20">
        <v>0</v>
      </c>
      <c r="L254" s="20">
        <v>0</v>
      </c>
      <c r="M254" s="20">
        <v>0</v>
      </c>
      <c r="N254" s="20">
        <v>0</v>
      </c>
      <c r="O254" s="20">
        <v>0</v>
      </c>
      <c r="P254" s="20">
        <v>0</v>
      </c>
      <c r="Q254" s="20">
        <v>0</v>
      </c>
      <c r="R254" s="20">
        <v>0</v>
      </c>
      <c r="S254" s="20"/>
      <c r="T254" s="20">
        <f t="shared" si="52"/>
        <v>612739</v>
      </c>
      <c r="U254" s="20">
        <f t="shared" si="56"/>
        <v>0</v>
      </c>
    </row>
    <row r="255" spans="1:21" s="21" customFormat="1" ht="16" customHeight="1">
      <c r="A255" s="33" t="s">
        <v>116</v>
      </c>
      <c r="B255" s="48">
        <v>2021</v>
      </c>
      <c r="C255" s="16" t="s">
        <v>449</v>
      </c>
      <c r="D255" s="168" t="s">
        <v>4634</v>
      </c>
      <c r="E255" s="20">
        <v>500000</v>
      </c>
      <c r="F255" s="20">
        <v>0</v>
      </c>
      <c r="G255" s="20">
        <f t="shared" si="54"/>
        <v>0</v>
      </c>
      <c r="H255" s="16" t="s">
        <v>252</v>
      </c>
      <c r="I255" t="s">
        <v>665</v>
      </c>
      <c r="J255" s="19"/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/>
      <c r="T255" s="20">
        <f t="shared" si="52"/>
        <v>500000</v>
      </c>
      <c r="U255" s="20">
        <f t="shared" ref="U255:U307" si="59">G255+Q255+R255</f>
        <v>0</v>
      </c>
    </row>
    <row r="256" spans="1:21" s="21" customFormat="1" ht="16" customHeight="1">
      <c r="A256" s="33" t="s">
        <v>116</v>
      </c>
      <c r="B256" s="48">
        <v>2021</v>
      </c>
      <c r="C256" s="16" t="s">
        <v>449</v>
      </c>
      <c r="D256" s="13" t="s">
        <v>5120</v>
      </c>
      <c r="E256" s="54">
        <v>108570</v>
      </c>
      <c r="F256" s="20">
        <v>0</v>
      </c>
      <c r="G256" s="20">
        <f t="shared" si="54"/>
        <v>0</v>
      </c>
      <c r="H256" s="13" t="s">
        <v>252</v>
      </c>
      <c r="I256" s="168" t="s">
        <v>665</v>
      </c>
      <c r="J256" t="s">
        <v>64</v>
      </c>
      <c r="K256" s="20">
        <v>0</v>
      </c>
      <c r="L256" s="20">
        <v>0</v>
      </c>
      <c r="M256" s="20">
        <v>0</v>
      </c>
      <c r="N256" s="20">
        <v>0</v>
      </c>
      <c r="O256" s="20">
        <v>0</v>
      </c>
      <c r="P256" s="20">
        <v>0</v>
      </c>
      <c r="Q256" s="20">
        <v>0</v>
      </c>
      <c r="R256" s="20">
        <v>0</v>
      </c>
      <c r="S256" s="20"/>
      <c r="T256" s="20">
        <f t="shared" si="52"/>
        <v>108570</v>
      </c>
      <c r="U256" s="20">
        <f t="shared" si="59"/>
        <v>0</v>
      </c>
    </row>
    <row r="257" spans="1:21" s="21" customFormat="1" ht="16" customHeight="1">
      <c r="A257" s="33" t="s">
        <v>116</v>
      </c>
      <c r="B257" s="48">
        <v>2021</v>
      </c>
      <c r="C257" s="16" t="s">
        <v>449</v>
      </c>
      <c r="D257" s="13" t="s">
        <v>5129</v>
      </c>
      <c r="E257" s="54">
        <v>550708</v>
      </c>
      <c r="F257" s="20">
        <v>0</v>
      </c>
      <c r="G257" s="20">
        <f t="shared" si="54"/>
        <v>0</v>
      </c>
      <c r="H257" s="13" t="s">
        <v>252</v>
      </c>
      <c r="I257" s="168" t="s">
        <v>665</v>
      </c>
      <c r="J257" t="s">
        <v>64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0"/>
      <c r="T257" s="20">
        <f t="shared" ref="T257:T263" si="60">E257+K257+L257+M257+N257+O257+P257</f>
        <v>550708</v>
      </c>
      <c r="U257" s="20">
        <f t="shared" ref="U257:U263" si="61">G257+Q257+R257</f>
        <v>0</v>
      </c>
    </row>
    <row r="258" spans="1:21" s="21" customFormat="1" ht="16" customHeight="1">
      <c r="A258" s="33" t="s">
        <v>116</v>
      </c>
      <c r="B258" s="48">
        <v>2021</v>
      </c>
      <c r="C258" s="13">
        <v>16432</v>
      </c>
      <c r="D258" s="197" t="s">
        <v>4749</v>
      </c>
      <c r="E258" s="54">
        <v>1800000</v>
      </c>
      <c r="F258" s="20">
        <v>0</v>
      </c>
      <c r="G258" s="20">
        <f t="shared" si="54"/>
        <v>0</v>
      </c>
      <c r="H258" s="16" t="s">
        <v>116</v>
      </c>
      <c r="I258" s="168" t="s">
        <v>4751</v>
      </c>
      <c r="J258" t="s">
        <v>64</v>
      </c>
      <c r="K258" s="20">
        <v>0</v>
      </c>
      <c r="L258" s="20">
        <v>0</v>
      </c>
      <c r="M258" s="20">
        <v>0</v>
      </c>
      <c r="N258" s="20">
        <v>0</v>
      </c>
      <c r="O258" s="20">
        <v>0</v>
      </c>
      <c r="P258" s="20">
        <v>0</v>
      </c>
      <c r="Q258" s="20">
        <v>0</v>
      </c>
      <c r="R258" s="20">
        <v>0</v>
      </c>
      <c r="S258" s="20"/>
      <c r="T258" s="20">
        <f t="shared" si="60"/>
        <v>1800000</v>
      </c>
      <c r="U258" s="20">
        <f t="shared" si="61"/>
        <v>0</v>
      </c>
    </row>
    <row r="259" spans="1:21" s="21" customFormat="1" ht="16" customHeight="1">
      <c r="A259" s="33" t="s">
        <v>116</v>
      </c>
      <c r="B259" s="48">
        <v>2021</v>
      </c>
      <c r="C259" s="13">
        <v>17998</v>
      </c>
      <c r="D259" s="198" t="s">
        <v>4750</v>
      </c>
      <c r="E259" s="54">
        <v>2895000</v>
      </c>
      <c r="F259" s="20">
        <v>0</v>
      </c>
      <c r="G259" s="20">
        <f t="shared" si="54"/>
        <v>0</v>
      </c>
      <c r="H259" s="16" t="s">
        <v>116</v>
      </c>
      <c r="I259" s="168" t="s">
        <v>130</v>
      </c>
      <c r="J259" t="s">
        <v>64</v>
      </c>
      <c r="K259" s="20">
        <v>0</v>
      </c>
      <c r="L259" s="20">
        <v>0</v>
      </c>
      <c r="M259" s="20">
        <v>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/>
      <c r="T259" s="20">
        <f t="shared" si="60"/>
        <v>2895000</v>
      </c>
      <c r="U259" s="20">
        <f t="shared" si="61"/>
        <v>0</v>
      </c>
    </row>
    <row r="260" spans="1:21" s="21" customFormat="1" ht="16" customHeight="1">
      <c r="A260" s="33" t="s">
        <v>116</v>
      </c>
      <c r="B260" s="48">
        <v>2021</v>
      </c>
      <c r="C260" s="13" t="s">
        <v>0</v>
      </c>
      <c r="D260" s="198" t="s">
        <v>5112</v>
      </c>
      <c r="E260" s="54">
        <v>791644</v>
      </c>
      <c r="F260" s="20">
        <v>0</v>
      </c>
      <c r="G260" s="20">
        <f t="shared" si="54"/>
        <v>0</v>
      </c>
      <c r="H260" s="16" t="s">
        <v>116</v>
      </c>
      <c r="I260" s="168" t="s">
        <v>1016</v>
      </c>
      <c r="J260" t="s">
        <v>64</v>
      </c>
      <c r="K260" s="20">
        <v>0</v>
      </c>
      <c r="L260" s="20">
        <v>0</v>
      </c>
      <c r="M260" s="20">
        <v>0</v>
      </c>
      <c r="N260" s="20">
        <v>0</v>
      </c>
      <c r="O260" s="20">
        <v>0</v>
      </c>
      <c r="P260" s="20">
        <v>0</v>
      </c>
      <c r="Q260" s="20">
        <v>0</v>
      </c>
      <c r="R260" s="20">
        <v>0</v>
      </c>
      <c r="S260" s="20"/>
      <c r="T260" s="20">
        <f t="shared" si="60"/>
        <v>791644</v>
      </c>
      <c r="U260" s="20">
        <f t="shared" si="61"/>
        <v>0</v>
      </c>
    </row>
    <row r="261" spans="1:21" s="21" customFormat="1" ht="16" customHeight="1">
      <c r="A261" s="33" t="s">
        <v>116</v>
      </c>
      <c r="B261" s="48">
        <v>2021</v>
      </c>
      <c r="C261" s="13" t="s">
        <v>5111</v>
      </c>
      <c r="D261" s="13" t="s">
        <v>5196</v>
      </c>
      <c r="E261" s="54">
        <v>800000000</v>
      </c>
      <c r="F261" s="20">
        <v>0</v>
      </c>
      <c r="G261" s="20">
        <f t="shared" si="54"/>
        <v>0</v>
      </c>
      <c r="H261" s="13" t="s">
        <v>248</v>
      </c>
      <c r="I261" s="168" t="s">
        <v>730</v>
      </c>
      <c r="J261" t="s">
        <v>64</v>
      </c>
      <c r="K261" s="20">
        <v>0</v>
      </c>
      <c r="L261" s="20">
        <v>0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/>
      <c r="T261" s="20">
        <f t="shared" si="60"/>
        <v>800000000</v>
      </c>
      <c r="U261" s="20">
        <f t="shared" si="61"/>
        <v>0</v>
      </c>
    </row>
    <row r="262" spans="1:21" s="21" customFormat="1" ht="16" customHeight="1">
      <c r="A262" s="33" t="s">
        <v>116</v>
      </c>
      <c r="B262" s="48">
        <v>2021</v>
      </c>
      <c r="C262" s="13" t="s">
        <v>5113</v>
      </c>
      <c r="D262" s="13" t="s">
        <v>5130</v>
      </c>
      <c r="E262" s="54">
        <v>9693877</v>
      </c>
      <c r="F262" s="20">
        <v>0</v>
      </c>
      <c r="G262" s="20">
        <f t="shared" si="54"/>
        <v>0</v>
      </c>
      <c r="H262" s="13" t="s">
        <v>248</v>
      </c>
      <c r="I262" s="168" t="s">
        <v>665</v>
      </c>
      <c r="J262" t="s">
        <v>64</v>
      </c>
      <c r="K262" s="20">
        <v>0</v>
      </c>
      <c r="L262" s="20">
        <v>0</v>
      </c>
      <c r="M262" s="20">
        <v>0</v>
      </c>
      <c r="N262" s="20">
        <v>0</v>
      </c>
      <c r="O262" s="20">
        <v>0</v>
      </c>
      <c r="P262" s="20">
        <v>0</v>
      </c>
      <c r="Q262" s="20">
        <v>0</v>
      </c>
      <c r="R262" s="20">
        <v>0</v>
      </c>
      <c r="S262" s="20"/>
      <c r="T262" s="20">
        <f t="shared" si="60"/>
        <v>9693877</v>
      </c>
      <c r="U262" s="20">
        <f t="shared" si="61"/>
        <v>0</v>
      </c>
    </row>
    <row r="263" spans="1:21" s="21" customFormat="1" ht="16" customHeight="1">
      <c r="A263" s="33" t="s">
        <v>116</v>
      </c>
      <c r="B263" s="48">
        <v>2021</v>
      </c>
      <c r="C263" s="13" t="s">
        <v>149</v>
      </c>
      <c r="D263" s="13" t="s">
        <v>5021</v>
      </c>
      <c r="E263" s="54">
        <f>197261+3057535</f>
        <v>3254796</v>
      </c>
      <c r="F263" s="20">
        <v>0</v>
      </c>
      <c r="G263" s="20">
        <f t="shared" si="54"/>
        <v>0</v>
      </c>
      <c r="H263" s="13" t="s">
        <v>113</v>
      </c>
      <c r="I263" s="168" t="s">
        <v>478</v>
      </c>
      <c r="J263" t="s">
        <v>64</v>
      </c>
      <c r="K263" s="20">
        <v>0</v>
      </c>
      <c r="L263" s="20">
        <v>0</v>
      </c>
      <c r="M263" s="20">
        <v>0</v>
      </c>
      <c r="N263" s="20">
        <v>0</v>
      </c>
      <c r="O263" s="20">
        <v>0</v>
      </c>
      <c r="P263" s="20">
        <v>0</v>
      </c>
      <c r="Q263" s="20">
        <v>0</v>
      </c>
      <c r="R263" s="20">
        <v>0</v>
      </c>
      <c r="S263" s="20"/>
      <c r="T263" s="20">
        <f t="shared" si="60"/>
        <v>3254796</v>
      </c>
      <c r="U263" s="20">
        <f t="shared" si="61"/>
        <v>0</v>
      </c>
    </row>
    <row r="264" spans="1:21" s="21" customFormat="1" ht="16" customHeight="1">
      <c r="A264" s="33" t="s">
        <v>116</v>
      </c>
      <c r="B264" s="48">
        <v>2021</v>
      </c>
      <c r="C264" s="13" t="s">
        <v>4712</v>
      </c>
      <c r="D264" s="13" t="s">
        <v>5161</v>
      </c>
      <c r="E264" s="54">
        <v>100000</v>
      </c>
      <c r="F264" s="20">
        <v>0</v>
      </c>
      <c r="G264" s="20">
        <f t="shared" si="54"/>
        <v>0</v>
      </c>
      <c r="H264" s="13" t="s">
        <v>252</v>
      </c>
      <c r="I264" s="168" t="s">
        <v>665</v>
      </c>
      <c r="J264" t="s">
        <v>64</v>
      </c>
      <c r="K264" s="20">
        <v>0</v>
      </c>
      <c r="L264" s="20">
        <v>0</v>
      </c>
      <c r="M264" s="20">
        <v>0</v>
      </c>
      <c r="N264" s="20">
        <v>0</v>
      </c>
      <c r="O264" s="20">
        <v>0</v>
      </c>
      <c r="P264" s="20">
        <v>0</v>
      </c>
      <c r="Q264" s="20">
        <v>0</v>
      </c>
      <c r="R264" s="20">
        <v>0</v>
      </c>
      <c r="S264" s="20"/>
      <c r="T264" s="20">
        <f t="shared" ref="T264" si="62">E264+K264+L264+M264+N264+O264+P264</f>
        <v>100000</v>
      </c>
      <c r="U264" s="20">
        <f t="shared" ref="U264" si="63">G264+Q264+R264</f>
        <v>0</v>
      </c>
    </row>
    <row r="265" spans="1:21" s="21" customFormat="1" ht="16" customHeight="1">
      <c r="A265" s="33" t="s">
        <v>116</v>
      </c>
      <c r="B265" s="48">
        <v>2021</v>
      </c>
      <c r="C265" s="13" t="s">
        <v>4712</v>
      </c>
      <c r="D265" s="13" t="s">
        <v>5162</v>
      </c>
      <c r="E265" s="54">
        <v>568516</v>
      </c>
      <c r="F265" s="20">
        <v>0</v>
      </c>
      <c r="G265" s="20">
        <f t="shared" si="54"/>
        <v>0</v>
      </c>
      <c r="H265" s="13" t="s">
        <v>252</v>
      </c>
      <c r="I265" s="168" t="s">
        <v>665</v>
      </c>
      <c r="J265" t="s">
        <v>64</v>
      </c>
      <c r="K265" s="20">
        <v>0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</v>
      </c>
      <c r="S265" s="20"/>
      <c r="T265" s="20">
        <f t="shared" ref="T265:T269" si="64">E265+K265+L265+M265+N265+O265+P265</f>
        <v>568516</v>
      </c>
      <c r="U265" s="20">
        <f t="shared" ref="U265:U269" si="65">G265+Q265+R265</f>
        <v>0</v>
      </c>
    </row>
    <row r="266" spans="1:21" s="21" customFormat="1" ht="16" customHeight="1">
      <c r="A266" s="33" t="s">
        <v>116</v>
      </c>
      <c r="B266" s="48">
        <v>2021</v>
      </c>
      <c r="C266" s="13" t="s">
        <v>4712</v>
      </c>
      <c r="D266" s="13" t="s">
        <v>5163</v>
      </c>
      <c r="E266" s="54">
        <v>1763551</v>
      </c>
      <c r="F266" s="20">
        <v>0</v>
      </c>
      <c r="G266" s="20">
        <f t="shared" si="54"/>
        <v>0</v>
      </c>
      <c r="H266" s="13" t="s">
        <v>252</v>
      </c>
      <c r="I266" s="168" t="s">
        <v>665</v>
      </c>
      <c r="J266" t="s">
        <v>64</v>
      </c>
      <c r="K266" s="20">
        <v>0</v>
      </c>
      <c r="L266" s="20">
        <v>0</v>
      </c>
      <c r="M266" s="20">
        <v>0</v>
      </c>
      <c r="N266" s="20">
        <v>0</v>
      </c>
      <c r="O266" s="20">
        <v>0</v>
      </c>
      <c r="P266" s="20">
        <v>0</v>
      </c>
      <c r="Q266" s="20">
        <v>0</v>
      </c>
      <c r="R266" s="20">
        <v>0</v>
      </c>
      <c r="S266" s="20"/>
      <c r="T266" s="20">
        <f t="shared" si="64"/>
        <v>1763551</v>
      </c>
      <c r="U266" s="20">
        <f t="shared" si="65"/>
        <v>0</v>
      </c>
    </row>
    <row r="267" spans="1:21" s="21" customFormat="1" ht="16" customHeight="1">
      <c r="A267" s="33" t="s">
        <v>116</v>
      </c>
      <c r="B267" s="48">
        <v>2021</v>
      </c>
      <c r="C267" s="13" t="s">
        <v>4712</v>
      </c>
      <c r="D267" s="13" t="s">
        <v>5164</v>
      </c>
      <c r="E267" s="54">
        <v>100000</v>
      </c>
      <c r="F267" s="20">
        <v>0</v>
      </c>
      <c r="G267" s="20">
        <f t="shared" si="54"/>
        <v>0</v>
      </c>
      <c r="H267" s="13" t="s">
        <v>252</v>
      </c>
      <c r="I267" s="168" t="s">
        <v>665</v>
      </c>
      <c r="J267" t="s">
        <v>64</v>
      </c>
      <c r="K267" s="20">
        <v>0</v>
      </c>
      <c r="L267" s="20">
        <v>0</v>
      </c>
      <c r="M267" s="20">
        <v>0</v>
      </c>
      <c r="N267" s="20">
        <v>0</v>
      </c>
      <c r="O267" s="20">
        <v>0</v>
      </c>
      <c r="P267" s="20">
        <v>0</v>
      </c>
      <c r="Q267" s="20">
        <v>0</v>
      </c>
      <c r="R267" s="20">
        <v>0</v>
      </c>
      <c r="S267" s="20"/>
      <c r="T267" s="20">
        <f t="shared" si="64"/>
        <v>100000</v>
      </c>
      <c r="U267" s="20">
        <f t="shared" si="65"/>
        <v>0</v>
      </c>
    </row>
    <row r="268" spans="1:21" s="21" customFormat="1" ht="16" customHeight="1">
      <c r="A268" s="33" t="s">
        <v>116</v>
      </c>
      <c r="B268" s="48">
        <v>2021</v>
      </c>
      <c r="C268" s="13" t="s">
        <v>4712</v>
      </c>
      <c r="D268" s="13" t="s">
        <v>5165</v>
      </c>
      <c r="E268" s="54">
        <v>632571</v>
      </c>
      <c r="F268" s="20">
        <v>0</v>
      </c>
      <c r="G268" s="20">
        <f t="shared" si="54"/>
        <v>0</v>
      </c>
      <c r="H268" s="13" t="s">
        <v>252</v>
      </c>
      <c r="I268" s="168" t="s">
        <v>665</v>
      </c>
      <c r="J268" t="s">
        <v>64</v>
      </c>
      <c r="K268" s="20">
        <v>0</v>
      </c>
      <c r="L268" s="20">
        <v>0</v>
      </c>
      <c r="M268" s="20">
        <v>0</v>
      </c>
      <c r="N268" s="20">
        <v>0</v>
      </c>
      <c r="O268" s="20">
        <v>0</v>
      </c>
      <c r="P268" s="20">
        <v>0</v>
      </c>
      <c r="Q268" s="20">
        <v>0</v>
      </c>
      <c r="R268" s="20">
        <v>0</v>
      </c>
      <c r="S268" s="20"/>
      <c r="T268" s="20">
        <f t="shared" si="64"/>
        <v>632571</v>
      </c>
      <c r="U268" s="20">
        <f t="shared" si="65"/>
        <v>0</v>
      </c>
    </row>
    <row r="269" spans="1:21" s="21" customFormat="1" ht="16" customHeight="1">
      <c r="A269" s="33" t="s">
        <v>116</v>
      </c>
      <c r="B269" s="48">
        <v>2021</v>
      </c>
      <c r="C269" s="13" t="s">
        <v>4712</v>
      </c>
      <c r="D269" s="13" t="s">
        <v>5166</v>
      </c>
      <c r="E269" s="54">
        <v>447726</v>
      </c>
      <c r="F269" s="20">
        <v>0</v>
      </c>
      <c r="G269" s="20">
        <f t="shared" si="54"/>
        <v>0</v>
      </c>
      <c r="H269" s="13" t="s">
        <v>252</v>
      </c>
      <c r="I269" s="168" t="s">
        <v>665</v>
      </c>
      <c r="J269" t="s">
        <v>64</v>
      </c>
      <c r="K269" s="20">
        <v>0</v>
      </c>
      <c r="L269" s="20">
        <v>0</v>
      </c>
      <c r="M269" s="20">
        <v>0</v>
      </c>
      <c r="N269" s="20">
        <v>0</v>
      </c>
      <c r="O269" s="20">
        <v>0</v>
      </c>
      <c r="P269" s="20">
        <v>0</v>
      </c>
      <c r="Q269" s="20">
        <v>0</v>
      </c>
      <c r="R269" s="20">
        <v>0</v>
      </c>
      <c r="S269" s="20"/>
      <c r="T269" s="20">
        <f t="shared" si="64"/>
        <v>447726</v>
      </c>
      <c r="U269" s="20">
        <f t="shared" si="65"/>
        <v>0</v>
      </c>
    </row>
    <row r="270" spans="1:21" s="21" customFormat="1" ht="16" customHeight="1">
      <c r="A270" s="33" t="s">
        <v>120</v>
      </c>
      <c r="B270" s="48">
        <v>2021</v>
      </c>
      <c r="C270" s="16" t="s">
        <v>0</v>
      </c>
      <c r="D270" s="168" t="s">
        <v>4635</v>
      </c>
      <c r="E270" s="20">
        <v>5250000</v>
      </c>
      <c r="F270" s="20">
        <v>0</v>
      </c>
      <c r="G270" s="20">
        <f t="shared" si="54"/>
        <v>0</v>
      </c>
      <c r="H270" s="16" t="s">
        <v>138</v>
      </c>
      <c r="I270" t="s">
        <v>3390</v>
      </c>
      <c r="J270" s="19"/>
      <c r="K270" s="20">
        <v>0</v>
      </c>
      <c r="L270" s="20">
        <v>0</v>
      </c>
      <c r="M270" s="20">
        <v>0</v>
      </c>
      <c r="N270" s="20">
        <v>0</v>
      </c>
      <c r="O270" s="20">
        <v>0</v>
      </c>
      <c r="P270" s="20">
        <v>0</v>
      </c>
      <c r="Q270" s="20">
        <v>0</v>
      </c>
      <c r="R270" s="20">
        <v>0</v>
      </c>
      <c r="S270" s="20"/>
      <c r="T270" s="20">
        <f t="shared" si="52"/>
        <v>5250000</v>
      </c>
      <c r="U270" s="20">
        <f t="shared" si="59"/>
        <v>0</v>
      </c>
    </row>
    <row r="271" spans="1:21" s="21" customFormat="1" ht="16" customHeight="1">
      <c r="A271" s="33" t="s">
        <v>120</v>
      </c>
      <c r="B271" s="48">
        <v>2021</v>
      </c>
      <c r="C271" s="16" t="s">
        <v>0</v>
      </c>
      <c r="D271" s="168" t="s">
        <v>4636</v>
      </c>
      <c r="E271" s="20">
        <v>5250000</v>
      </c>
      <c r="F271" s="20">
        <v>0</v>
      </c>
      <c r="G271" s="20">
        <f t="shared" si="54"/>
        <v>0</v>
      </c>
      <c r="H271" s="16" t="s">
        <v>138</v>
      </c>
      <c r="I271" t="s">
        <v>3390</v>
      </c>
      <c r="J271" s="19"/>
      <c r="K271" s="20">
        <v>0</v>
      </c>
      <c r="L271" s="20">
        <v>0</v>
      </c>
      <c r="M271" s="20">
        <v>0</v>
      </c>
      <c r="N271" s="20">
        <v>0</v>
      </c>
      <c r="O271" s="20">
        <v>0</v>
      </c>
      <c r="P271" s="20">
        <v>0</v>
      </c>
      <c r="Q271" s="20">
        <v>0</v>
      </c>
      <c r="R271" s="20">
        <v>0</v>
      </c>
      <c r="S271" s="20"/>
      <c r="T271" s="20">
        <f t="shared" si="52"/>
        <v>5250000</v>
      </c>
      <c r="U271" s="20">
        <f t="shared" ref="U271:U297" si="66">G271+Q271+R271</f>
        <v>0</v>
      </c>
    </row>
    <row r="272" spans="1:21" s="21" customFormat="1" ht="16" customHeight="1">
      <c r="A272" s="33" t="s">
        <v>120</v>
      </c>
      <c r="B272" s="48">
        <v>2021</v>
      </c>
      <c r="C272" s="16" t="s">
        <v>0</v>
      </c>
      <c r="D272" s="168" t="s">
        <v>4637</v>
      </c>
      <c r="E272" s="20">
        <v>700000</v>
      </c>
      <c r="F272" s="20">
        <v>0</v>
      </c>
      <c r="G272" s="20">
        <f t="shared" si="54"/>
        <v>0</v>
      </c>
      <c r="H272" s="16" t="s">
        <v>138</v>
      </c>
      <c r="I272" t="s">
        <v>3390</v>
      </c>
      <c r="J272" s="19"/>
      <c r="K272" s="20">
        <v>0</v>
      </c>
      <c r="L272" s="20">
        <v>0</v>
      </c>
      <c r="M272" s="20">
        <v>0</v>
      </c>
      <c r="N272" s="20">
        <v>0</v>
      </c>
      <c r="O272" s="20">
        <v>0</v>
      </c>
      <c r="P272" s="20">
        <v>0</v>
      </c>
      <c r="Q272" s="20">
        <v>0</v>
      </c>
      <c r="R272" s="20">
        <v>0</v>
      </c>
      <c r="S272" s="20"/>
      <c r="T272" s="20">
        <f t="shared" si="52"/>
        <v>700000</v>
      </c>
      <c r="U272" s="20">
        <f t="shared" si="66"/>
        <v>0</v>
      </c>
    </row>
    <row r="273" spans="1:21" s="21" customFormat="1" ht="16" customHeight="1">
      <c r="A273" s="33" t="s">
        <v>120</v>
      </c>
      <c r="B273" s="48">
        <v>2021</v>
      </c>
      <c r="C273" s="16" t="s">
        <v>0</v>
      </c>
      <c r="D273" s="168" t="s">
        <v>4638</v>
      </c>
      <c r="E273" s="20">
        <v>700000</v>
      </c>
      <c r="F273" s="20">
        <v>0</v>
      </c>
      <c r="G273" s="20">
        <f t="shared" si="54"/>
        <v>0</v>
      </c>
      <c r="H273" s="16" t="s">
        <v>138</v>
      </c>
      <c r="I273" t="s">
        <v>3390</v>
      </c>
      <c r="J273" s="19"/>
      <c r="K273" s="20">
        <v>0</v>
      </c>
      <c r="L273" s="20">
        <v>0</v>
      </c>
      <c r="M273" s="20">
        <v>0</v>
      </c>
      <c r="N273" s="20">
        <v>0</v>
      </c>
      <c r="O273" s="20">
        <v>0</v>
      </c>
      <c r="P273" s="20">
        <v>0</v>
      </c>
      <c r="Q273" s="20">
        <v>0</v>
      </c>
      <c r="R273" s="20">
        <v>0</v>
      </c>
      <c r="S273" s="20"/>
      <c r="T273" s="20">
        <f t="shared" si="52"/>
        <v>700000</v>
      </c>
      <c r="U273" s="20">
        <f t="shared" si="66"/>
        <v>0</v>
      </c>
    </row>
    <row r="274" spans="1:21" s="21" customFormat="1" ht="16" customHeight="1">
      <c r="A274" s="33" t="s">
        <v>120</v>
      </c>
      <c r="B274" s="48">
        <v>2021</v>
      </c>
      <c r="C274" s="16" t="s">
        <v>0</v>
      </c>
      <c r="D274" s="168" t="s">
        <v>4639</v>
      </c>
      <c r="E274" s="20">
        <v>21600000</v>
      </c>
      <c r="F274" s="20">
        <v>0</v>
      </c>
      <c r="G274" s="20">
        <f t="shared" si="54"/>
        <v>0</v>
      </c>
      <c r="H274" s="16" t="s">
        <v>138</v>
      </c>
      <c r="I274" t="s">
        <v>3390</v>
      </c>
      <c r="J274" s="19"/>
      <c r="K274" s="20">
        <v>0</v>
      </c>
      <c r="L274" s="20">
        <v>0</v>
      </c>
      <c r="M274" s="20">
        <v>0</v>
      </c>
      <c r="N274" s="20">
        <v>0</v>
      </c>
      <c r="O274" s="20">
        <v>0</v>
      </c>
      <c r="P274" s="20">
        <v>0</v>
      </c>
      <c r="Q274" s="20">
        <v>0</v>
      </c>
      <c r="R274" s="20">
        <v>0</v>
      </c>
      <c r="S274" s="20"/>
      <c r="T274" s="20">
        <f t="shared" si="52"/>
        <v>21600000</v>
      </c>
      <c r="U274" s="20">
        <f t="shared" si="66"/>
        <v>0</v>
      </c>
    </row>
    <row r="275" spans="1:21" s="21" customFormat="1" ht="16" customHeight="1">
      <c r="A275" s="33" t="s">
        <v>120</v>
      </c>
      <c r="B275" s="48">
        <v>2021</v>
      </c>
      <c r="C275" s="16" t="s">
        <v>0</v>
      </c>
      <c r="D275" s="168" t="s">
        <v>4640</v>
      </c>
      <c r="E275" s="20">
        <v>6050000</v>
      </c>
      <c r="F275" s="20">
        <v>0</v>
      </c>
      <c r="G275" s="20">
        <f t="shared" si="54"/>
        <v>0</v>
      </c>
      <c r="H275" s="16" t="s">
        <v>138</v>
      </c>
      <c r="I275" t="s">
        <v>3390</v>
      </c>
      <c r="J275" s="19"/>
      <c r="K275" s="20">
        <v>0</v>
      </c>
      <c r="L275" s="20">
        <v>0</v>
      </c>
      <c r="M275" s="20">
        <v>0</v>
      </c>
      <c r="N275" s="20">
        <v>0</v>
      </c>
      <c r="O275" s="20">
        <v>0</v>
      </c>
      <c r="P275" s="20">
        <v>0</v>
      </c>
      <c r="Q275" s="20">
        <v>0</v>
      </c>
      <c r="R275" s="20">
        <v>0</v>
      </c>
      <c r="S275" s="20"/>
      <c r="T275" s="20">
        <f t="shared" si="52"/>
        <v>6050000</v>
      </c>
      <c r="U275" s="20">
        <f t="shared" si="66"/>
        <v>0</v>
      </c>
    </row>
    <row r="276" spans="1:21" s="21" customFormat="1" ht="16" customHeight="1">
      <c r="A276" s="33" t="s">
        <v>120</v>
      </c>
      <c r="B276" s="48">
        <v>2021</v>
      </c>
      <c r="C276" s="16" t="s">
        <v>0</v>
      </c>
      <c r="D276" t="s">
        <v>4641</v>
      </c>
      <c r="E276" s="54">
        <v>700000</v>
      </c>
      <c r="F276" s="20">
        <v>0</v>
      </c>
      <c r="G276" s="20">
        <f t="shared" si="54"/>
        <v>0</v>
      </c>
      <c r="H276" s="16" t="s">
        <v>138</v>
      </c>
      <c r="I276" s="168" t="s">
        <v>3010</v>
      </c>
      <c r="J276" s="19"/>
      <c r="K276" s="20">
        <v>0</v>
      </c>
      <c r="L276" s="20">
        <v>0</v>
      </c>
      <c r="M276" s="20">
        <v>0</v>
      </c>
      <c r="N276" s="20">
        <v>0</v>
      </c>
      <c r="O276" s="20">
        <v>0</v>
      </c>
      <c r="P276" s="20">
        <v>0</v>
      </c>
      <c r="Q276" s="20">
        <v>0</v>
      </c>
      <c r="R276" s="20">
        <v>0</v>
      </c>
      <c r="S276" s="20"/>
      <c r="T276" s="20">
        <f t="shared" si="52"/>
        <v>700000</v>
      </c>
      <c r="U276" s="20">
        <f t="shared" si="66"/>
        <v>0</v>
      </c>
    </row>
    <row r="277" spans="1:21" s="21" customFormat="1" ht="16" customHeight="1">
      <c r="A277" s="33" t="s">
        <v>120</v>
      </c>
      <c r="B277" s="48">
        <v>2021</v>
      </c>
      <c r="C277" s="16" t="s">
        <v>0</v>
      </c>
      <c r="D277" t="s">
        <v>4642</v>
      </c>
      <c r="E277" s="54">
        <v>796455</v>
      </c>
      <c r="F277" s="20">
        <v>0</v>
      </c>
      <c r="G277" s="20">
        <f t="shared" si="54"/>
        <v>0</v>
      </c>
      <c r="H277" s="16" t="s">
        <v>138</v>
      </c>
      <c r="I277" s="168" t="s">
        <v>2982</v>
      </c>
      <c r="J277" s="19"/>
      <c r="K277" s="20">
        <v>0</v>
      </c>
      <c r="L277" s="20">
        <v>0</v>
      </c>
      <c r="M277" s="20">
        <v>0</v>
      </c>
      <c r="N277" s="20">
        <v>0</v>
      </c>
      <c r="O277" s="20">
        <v>0</v>
      </c>
      <c r="P277" s="20">
        <v>0</v>
      </c>
      <c r="Q277" s="20">
        <v>0</v>
      </c>
      <c r="R277" s="20">
        <v>0</v>
      </c>
      <c r="S277" s="20"/>
      <c r="T277" s="20">
        <f t="shared" si="52"/>
        <v>796455</v>
      </c>
      <c r="U277" s="20">
        <f t="shared" si="66"/>
        <v>0</v>
      </c>
    </row>
    <row r="278" spans="1:21" s="21" customFormat="1" ht="16" customHeight="1">
      <c r="A278" s="33" t="s">
        <v>120</v>
      </c>
      <c r="B278" s="48">
        <v>2021</v>
      </c>
      <c r="C278" s="16" t="s">
        <v>0</v>
      </c>
      <c r="D278" t="s">
        <v>4643</v>
      </c>
      <c r="E278" s="54">
        <v>7750000</v>
      </c>
      <c r="F278" s="20">
        <v>0</v>
      </c>
      <c r="G278" s="20">
        <f t="shared" si="54"/>
        <v>0</v>
      </c>
      <c r="H278" s="16" t="s">
        <v>138</v>
      </c>
      <c r="I278" s="168" t="s">
        <v>3391</v>
      </c>
      <c r="J278" s="19"/>
      <c r="K278" s="20">
        <v>0</v>
      </c>
      <c r="L278" s="20">
        <v>0</v>
      </c>
      <c r="M278" s="20">
        <v>0</v>
      </c>
      <c r="N278" s="20">
        <v>0</v>
      </c>
      <c r="O278" s="20">
        <v>0</v>
      </c>
      <c r="P278" s="20">
        <v>0</v>
      </c>
      <c r="Q278" s="20">
        <v>0</v>
      </c>
      <c r="R278" s="20">
        <v>0</v>
      </c>
      <c r="S278" s="20"/>
      <c r="T278" s="20">
        <f t="shared" si="52"/>
        <v>7750000</v>
      </c>
      <c r="U278" s="20">
        <f t="shared" si="66"/>
        <v>0</v>
      </c>
    </row>
    <row r="279" spans="1:21" s="21" customFormat="1" ht="16" customHeight="1">
      <c r="A279" s="33" t="s">
        <v>120</v>
      </c>
      <c r="B279" s="48">
        <v>2021</v>
      </c>
      <c r="C279" s="16" t="s">
        <v>0</v>
      </c>
      <c r="D279" s="7" t="s">
        <v>4644</v>
      </c>
      <c r="E279" s="11">
        <v>14496000</v>
      </c>
      <c r="F279" s="20">
        <v>0</v>
      </c>
      <c r="G279" s="20">
        <f t="shared" si="54"/>
        <v>0</v>
      </c>
      <c r="H279" s="16" t="s">
        <v>138</v>
      </c>
      <c r="I279" s="168" t="s">
        <v>3391</v>
      </c>
      <c r="J279" s="19"/>
      <c r="K279" s="20">
        <v>0</v>
      </c>
      <c r="L279" s="20">
        <v>0</v>
      </c>
      <c r="M279" s="20">
        <v>0</v>
      </c>
      <c r="N279" s="20">
        <v>0</v>
      </c>
      <c r="O279" s="20">
        <v>0</v>
      </c>
      <c r="P279" s="20">
        <v>0</v>
      </c>
      <c r="Q279" s="20">
        <v>0</v>
      </c>
      <c r="R279" s="20">
        <v>0</v>
      </c>
      <c r="S279" s="20"/>
      <c r="T279" s="20">
        <f t="shared" si="52"/>
        <v>14496000</v>
      </c>
      <c r="U279" s="20">
        <f t="shared" si="66"/>
        <v>0</v>
      </c>
    </row>
    <row r="280" spans="1:21" s="21" customFormat="1" ht="16" customHeight="1">
      <c r="A280" s="33" t="s">
        <v>120</v>
      </c>
      <c r="B280" s="48">
        <v>2021</v>
      </c>
      <c r="C280" s="16" t="s">
        <v>0</v>
      </c>
      <c r="D280" t="s">
        <v>4645</v>
      </c>
      <c r="E280" s="54">
        <v>798206</v>
      </c>
      <c r="F280" s="20">
        <v>0</v>
      </c>
      <c r="G280" s="20">
        <f t="shared" si="54"/>
        <v>0</v>
      </c>
      <c r="H280" s="16" t="s">
        <v>138</v>
      </c>
      <c r="I280" s="168" t="s">
        <v>3391</v>
      </c>
      <c r="J280" s="19"/>
      <c r="K280" s="20">
        <v>0</v>
      </c>
      <c r="L280" s="20">
        <v>0</v>
      </c>
      <c r="M280" s="20">
        <v>0</v>
      </c>
      <c r="N280" s="20">
        <v>0</v>
      </c>
      <c r="O280" s="20">
        <v>0</v>
      </c>
      <c r="P280" s="20">
        <v>0</v>
      </c>
      <c r="Q280" s="20">
        <v>0</v>
      </c>
      <c r="R280" s="20">
        <v>0</v>
      </c>
      <c r="S280" s="20"/>
      <c r="T280" s="20">
        <f t="shared" si="52"/>
        <v>798206</v>
      </c>
      <c r="U280" s="20">
        <f t="shared" si="66"/>
        <v>0</v>
      </c>
    </row>
    <row r="281" spans="1:21" s="21" customFormat="1" ht="16" customHeight="1">
      <c r="A281" s="33" t="s">
        <v>120</v>
      </c>
      <c r="B281" s="48">
        <v>2021</v>
      </c>
      <c r="C281" s="16" t="s">
        <v>0</v>
      </c>
      <c r="D281" t="s">
        <v>4646</v>
      </c>
      <c r="E281" s="54">
        <v>2500000</v>
      </c>
      <c r="F281" s="20">
        <v>0</v>
      </c>
      <c r="G281" s="20">
        <f t="shared" si="54"/>
        <v>0</v>
      </c>
      <c r="H281" s="16" t="s">
        <v>138</v>
      </c>
      <c r="I281" s="168" t="s">
        <v>3021</v>
      </c>
      <c r="J281" s="19"/>
      <c r="K281" s="20">
        <v>0</v>
      </c>
      <c r="L281" s="20">
        <v>0</v>
      </c>
      <c r="M281" s="20">
        <v>0</v>
      </c>
      <c r="N281" s="20">
        <v>0</v>
      </c>
      <c r="O281" s="20">
        <v>0</v>
      </c>
      <c r="P281" s="20">
        <v>0</v>
      </c>
      <c r="Q281" s="20">
        <v>0</v>
      </c>
      <c r="R281" s="20">
        <v>0</v>
      </c>
      <c r="S281" s="20"/>
      <c r="T281" s="20">
        <f t="shared" si="52"/>
        <v>2500000</v>
      </c>
      <c r="U281" s="20">
        <f t="shared" si="66"/>
        <v>0</v>
      </c>
    </row>
    <row r="282" spans="1:21" s="21" customFormat="1" ht="16" customHeight="1">
      <c r="A282" s="33" t="s">
        <v>120</v>
      </c>
      <c r="B282" s="48">
        <v>2021</v>
      </c>
      <c r="C282" s="16" t="s">
        <v>0</v>
      </c>
      <c r="D282" t="s">
        <v>4647</v>
      </c>
      <c r="E282" s="54">
        <v>5600000</v>
      </c>
      <c r="F282" s="20">
        <v>0</v>
      </c>
      <c r="G282" s="20">
        <f t="shared" si="54"/>
        <v>0</v>
      </c>
      <c r="H282" s="16" t="s">
        <v>138</v>
      </c>
      <c r="I282" s="168" t="s">
        <v>3021</v>
      </c>
      <c r="J282" s="19"/>
      <c r="K282" s="20">
        <v>0</v>
      </c>
      <c r="L282" s="20">
        <v>0</v>
      </c>
      <c r="M282" s="20">
        <v>0</v>
      </c>
      <c r="N282" s="20">
        <v>0</v>
      </c>
      <c r="O282" s="20">
        <v>0</v>
      </c>
      <c r="P282" s="20">
        <v>0</v>
      </c>
      <c r="Q282" s="20">
        <v>0</v>
      </c>
      <c r="R282" s="20">
        <v>0</v>
      </c>
      <c r="S282" s="20"/>
      <c r="T282" s="20">
        <f t="shared" si="52"/>
        <v>5600000</v>
      </c>
      <c r="U282" s="20">
        <f t="shared" si="66"/>
        <v>0</v>
      </c>
    </row>
    <row r="283" spans="1:21" s="21" customFormat="1" ht="16" customHeight="1">
      <c r="A283" s="33" t="s">
        <v>120</v>
      </c>
      <c r="B283" s="48">
        <v>2021</v>
      </c>
      <c r="C283" s="16" t="s">
        <v>0</v>
      </c>
      <c r="D283" t="s">
        <v>4648</v>
      </c>
      <c r="E283" s="54">
        <v>7500000</v>
      </c>
      <c r="F283" s="20">
        <v>0</v>
      </c>
      <c r="G283" s="20">
        <f t="shared" si="54"/>
        <v>0</v>
      </c>
      <c r="H283" s="16" t="s">
        <v>138</v>
      </c>
      <c r="I283" s="168" t="s">
        <v>3037</v>
      </c>
      <c r="J283" s="19"/>
      <c r="K283" s="20">
        <v>0</v>
      </c>
      <c r="L283" s="20">
        <v>0</v>
      </c>
      <c r="M283" s="20">
        <v>0</v>
      </c>
      <c r="N283" s="20">
        <v>0</v>
      </c>
      <c r="O283" s="20">
        <v>0</v>
      </c>
      <c r="P283" s="20">
        <v>0</v>
      </c>
      <c r="Q283" s="20">
        <v>0</v>
      </c>
      <c r="R283" s="20">
        <v>0</v>
      </c>
      <c r="S283" s="20"/>
      <c r="T283" s="20">
        <f t="shared" si="52"/>
        <v>7500000</v>
      </c>
      <c r="U283" s="20">
        <f t="shared" ref="U283:U293" si="67">G283+Q283+R283</f>
        <v>0</v>
      </c>
    </row>
    <row r="284" spans="1:21" s="21" customFormat="1" ht="16" customHeight="1">
      <c r="A284" s="33" t="s">
        <v>120</v>
      </c>
      <c r="B284" s="48">
        <v>2021</v>
      </c>
      <c r="C284" s="16" t="s">
        <v>0</v>
      </c>
      <c r="D284" s="168" t="s">
        <v>4649</v>
      </c>
      <c r="E284" s="20">
        <v>3000000</v>
      </c>
      <c r="F284" s="20">
        <v>0</v>
      </c>
      <c r="G284" s="20">
        <f t="shared" si="54"/>
        <v>0</v>
      </c>
      <c r="H284" s="16" t="s">
        <v>138</v>
      </c>
      <c r="I284" s="168" t="s">
        <v>3045</v>
      </c>
      <c r="J284" s="19"/>
      <c r="K284" s="20">
        <v>0</v>
      </c>
      <c r="L284" s="20">
        <v>0</v>
      </c>
      <c r="M284" s="20">
        <v>0</v>
      </c>
      <c r="N284" s="20">
        <v>0</v>
      </c>
      <c r="O284" s="20">
        <v>0</v>
      </c>
      <c r="P284" s="20">
        <v>0</v>
      </c>
      <c r="Q284" s="20">
        <v>0</v>
      </c>
      <c r="R284" s="20">
        <v>0</v>
      </c>
      <c r="S284" s="20"/>
      <c r="T284" s="20">
        <f t="shared" si="52"/>
        <v>3000000</v>
      </c>
      <c r="U284" s="20">
        <f t="shared" si="67"/>
        <v>0</v>
      </c>
    </row>
    <row r="285" spans="1:21" s="21" customFormat="1" ht="16" customHeight="1">
      <c r="A285" s="33" t="s">
        <v>120</v>
      </c>
      <c r="B285" s="48">
        <v>2021</v>
      </c>
      <c r="C285" s="16" t="s">
        <v>0</v>
      </c>
      <c r="D285" s="168" t="s">
        <v>4650</v>
      </c>
      <c r="E285" s="20">
        <v>2500000</v>
      </c>
      <c r="F285" s="20">
        <v>0</v>
      </c>
      <c r="G285" s="20">
        <f t="shared" si="54"/>
        <v>0</v>
      </c>
      <c r="H285" s="16" t="s">
        <v>138</v>
      </c>
      <c r="I285" s="168" t="s">
        <v>3045</v>
      </c>
      <c r="J285" s="19"/>
      <c r="K285" s="20">
        <v>0</v>
      </c>
      <c r="L285" s="20">
        <v>0</v>
      </c>
      <c r="M285" s="20">
        <v>0</v>
      </c>
      <c r="N285" s="20">
        <v>0</v>
      </c>
      <c r="O285" s="20">
        <v>0</v>
      </c>
      <c r="P285" s="20">
        <v>0</v>
      </c>
      <c r="Q285" s="20">
        <v>0</v>
      </c>
      <c r="R285" s="20">
        <v>0</v>
      </c>
      <c r="S285" s="20"/>
      <c r="T285" s="20">
        <f t="shared" si="52"/>
        <v>2500000</v>
      </c>
      <c r="U285" s="20">
        <f t="shared" si="67"/>
        <v>0</v>
      </c>
    </row>
    <row r="286" spans="1:21" s="21" customFormat="1" ht="16" customHeight="1">
      <c r="A286" s="33" t="s">
        <v>120</v>
      </c>
      <c r="B286" s="48">
        <v>2021</v>
      </c>
      <c r="C286" s="16" t="s">
        <v>0</v>
      </c>
      <c r="D286" s="168" t="s">
        <v>4651</v>
      </c>
      <c r="E286" s="20">
        <v>1000000</v>
      </c>
      <c r="F286" s="20">
        <v>0</v>
      </c>
      <c r="G286" s="20">
        <f t="shared" si="54"/>
        <v>0</v>
      </c>
      <c r="H286" s="16" t="s">
        <v>138</v>
      </c>
      <c r="I286" s="168" t="s">
        <v>3045</v>
      </c>
      <c r="J286" s="19"/>
      <c r="K286" s="20">
        <v>0</v>
      </c>
      <c r="L286" s="20">
        <v>0</v>
      </c>
      <c r="M286" s="20">
        <v>0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0"/>
      <c r="T286" s="20">
        <f t="shared" si="52"/>
        <v>1000000</v>
      </c>
      <c r="U286" s="20">
        <f t="shared" si="67"/>
        <v>0</v>
      </c>
    </row>
    <row r="287" spans="1:21" s="21" customFormat="1" ht="16" customHeight="1">
      <c r="A287" s="33" t="s">
        <v>120</v>
      </c>
      <c r="B287" s="48">
        <v>2021</v>
      </c>
      <c r="C287" s="16" t="s">
        <v>0</v>
      </c>
      <c r="D287" s="168" t="s">
        <v>4652</v>
      </c>
      <c r="E287" s="20">
        <v>400000</v>
      </c>
      <c r="F287" s="20">
        <v>0</v>
      </c>
      <c r="G287" s="20">
        <f t="shared" si="54"/>
        <v>0</v>
      </c>
      <c r="H287" s="16" t="s">
        <v>138</v>
      </c>
      <c r="I287" s="168" t="s">
        <v>3045</v>
      </c>
      <c r="J287" s="19"/>
      <c r="K287" s="20">
        <v>0</v>
      </c>
      <c r="L287" s="20">
        <v>0</v>
      </c>
      <c r="M287" s="20">
        <v>0</v>
      </c>
      <c r="N287" s="20">
        <v>0</v>
      </c>
      <c r="O287" s="20">
        <v>0</v>
      </c>
      <c r="P287" s="20">
        <v>0</v>
      </c>
      <c r="Q287" s="20">
        <v>0</v>
      </c>
      <c r="R287" s="20">
        <v>0</v>
      </c>
      <c r="S287" s="20"/>
      <c r="T287" s="20">
        <f t="shared" si="52"/>
        <v>400000</v>
      </c>
      <c r="U287" s="20">
        <f t="shared" si="67"/>
        <v>0</v>
      </c>
    </row>
    <row r="288" spans="1:21" s="21" customFormat="1" ht="16" customHeight="1">
      <c r="A288" s="33" t="s">
        <v>120</v>
      </c>
      <c r="B288" s="48">
        <v>2021</v>
      </c>
      <c r="C288" s="16" t="s">
        <v>0</v>
      </c>
      <c r="D288" s="168" t="s">
        <v>4653</v>
      </c>
      <c r="E288" s="20">
        <v>400000</v>
      </c>
      <c r="F288" s="20">
        <v>0</v>
      </c>
      <c r="G288" s="20">
        <f t="shared" si="54"/>
        <v>0</v>
      </c>
      <c r="H288" s="16" t="s">
        <v>138</v>
      </c>
      <c r="I288" s="168" t="s">
        <v>3045</v>
      </c>
      <c r="J288" s="19"/>
      <c r="K288" s="20">
        <v>0</v>
      </c>
      <c r="L288" s="20">
        <v>0</v>
      </c>
      <c r="M288" s="20">
        <v>0</v>
      </c>
      <c r="N288" s="20">
        <v>0</v>
      </c>
      <c r="O288" s="20">
        <v>0</v>
      </c>
      <c r="P288" s="20">
        <v>0</v>
      </c>
      <c r="Q288" s="20">
        <v>0</v>
      </c>
      <c r="R288" s="20">
        <v>0</v>
      </c>
      <c r="S288" s="20"/>
      <c r="T288" s="20">
        <f t="shared" si="52"/>
        <v>400000</v>
      </c>
      <c r="U288" s="20">
        <f t="shared" si="67"/>
        <v>0</v>
      </c>
    </row>
    <row r="289" spans="1:21" s="21" customFormat="1" ht="16" customHeight="1">
      <c r="A289" s="33" t="s">
        <v>120</v>
      </c>
      <c r="B289" s="48">
        <v>2021</v>
      </c>
      <c r="C289" s="16" t="s">
        <v>0</v>
      </c>
      <c r="D289" s="168" t="s">
        <v>4654</v>
      </c>
      <c r="E289" s="20">
        <v>400000</v>
      </c>
      <c r="F289" s="20">
        <v>0</v>
      </c>
      <c r="G289" s="20">
        <f t="shared" si="54"/>
        <v>0</v>
      </c>
      <c r="H289" s="16" t="s">
        <v>138</v>
      </c>
      <c r="I289" s="168" t="s">
        <v>3045</v>
      </c>
      <c r="J289" s="19"/>
      <c r="K289" s="20">
        <v>0</v>
      </c>
      <c r="L289" s="20">
        <v>0</v>
      </c>
      <c r="M289" s="20">
        <v>0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0"/>
      <c r="T289" s="20">
        <f t="shared" si="52"/>
        <v>400000</v>
      </c>
      <c r="U289" s="20">
        <f t="shared" si="67"/>
        <v>0</v>
      </c>
    </row>
    <row r="290" spans="1:21" s="21" customFormat="1" ht="16" customHeight="1">
      <c r="A290" s="33" t="s">
        <v>120</v>
      </c>
      <c r="B290" s="48">
        <v>2021</v>
      </c>
      <c r="C290" s="16" t="s">
        <v>0</v>
      </c>
      <c r="D290" s="168" t="s">
        <v>4655</v>
      </c>
      <c r="E290" s="20">
        <v>400000</v>
      </c>
      <c r="F290" s="20">
        <v>0</v>
      </c>
      <c r="G290" s="20">
        <f t="shared" si="54"/>
        <v>0</v>
      </c>
      <c r="H290" s="16" t="s">
        <v>138</v>
      </c>
      <c r="I290" s="168" t="s">
        <v>3045</v>
      </c>
      <c r="J290" s="19"/>
      <c r="K290" s="20">
        <v>0</v>
      </c>
      <c r="L290" s="20">
        <v>0</v>
      </c>
      <c r="M290" s="20">
        <v>0</v>
      </c>
      <c r="N290" s="20">
        <v>0</v>
      </c>
      <c r="O290" s="20">
        <v>0</v>
      </c>
      <c r="P290" s="20">
        <v>0</v>
      </c>
      <c r="Q290" s="20">
        <v>0</v>
      </c>
      <c r="R290" s="20">
        <v>0</v>
      </c>
      <c r="S290" s="20"/>
      <c r="T290" s="20">
        <f t="shared" si="52"/>
        <v>400000</v>
      </c>
      <c r="U290" s="20">
        <f t="shared" si="67"/>
        <v>0</v>
      </c>
    </row>
    <row r="291" spans="1:21" s="21" customFormat="1" ht="16" customHeight="1">
      <c r="A291" s="33" t="s">
        <v>120</v>
      </c>
      <c r="B291" s="48">
        <v>2021</v>
      </c>
      <c r="C291" s="16" t="s">
        <v>0</v>
      </c>
      <c r="D291" s="168" t="s">
        <v>4656</v>
      </c>
      <c r="E291" s="20">
        <v>500000</v>
      </c>
      <c r="F291" s="20">
        <v>0</v>
      </c>
      <c r="G291" s="20">
        <f t="shared" si="54"/>
        <v>0</v>
      </c>
      <c r="H291" s="16" t="s">
        <v>138</v>
      </c>
      <c r="I291" s="168" t="s">
        <v>3045</v>
      </c>
      <c r="J291" s="19"/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/>
      <c r="T291" s="20">
        <f t="shared" si="52"/>
        <v>500000</v>
      </c>
      <c r="U291" s="20">
        <f t="shared" si="67"/>
        <v>0</v>
      </c>
    </row>
    <row r="292" spans="1:21" s="21" customFormat="1" ht="16" customHeight="1">
      <c r="A292" s="33" t="s">
        <v>120</v>
      </c>
      <c r="B292" s="48">
        <v>2021</v>
      </c>
      <c r="C292" s="16" t="s">
        <v>0</v>
      </c>
      <c r="D292" s="168" t="s">
        <v>4657</v>
      </c>
      <c r="E292" s="20">
        <v>150000</v>
      </c>
      <c r="F292" s="20">
        <v>0</v>
      </c>
      <c r="G292" s="20">
        <f t="shared" si="54"/>
        <v>0</v>
      </c>
      <c r="H292" s="16" t="s">
        <v>138</v>
      </c>
      <c r="I292" s="168" t="s">
        <v>3045</v>
      </c>
      <c r="J292" s="19"/>
      <c r="K292" s="20">
        <v>0</v>
      </c>
      <c r="L292" s="20">
        <v>0</v>
      </c>
      <c r="M292" s="20">
        <v>0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0"/>
      <c r="T292" s="20">
        <f t="shared" si="52"/>
        <v>150000</v>
      </c>
      <c r="U292" s="20">
        <f t="shared" si="67"/>
        <v>0</v>
      </c>
    </row>
    <row r="293" spans="1:21" s="21" customFormat="1" ht="16" customHeight="1">
      <c r="A293" s="33" t="s">
        <v>120</v>
      </c>
      <c r="B293" s="48">
        <v>2021</v>
      </c>
      <c r="C293" s="16" t="s">
        <v>0</v>
      </c>
      <c r="D293" s="168" t="s">
        <v>4658</v>
      </c>
      <c r="E293" s="20">
        <v>800000</v>
      </c>
      <c r="F293" s="20">
        <v>0</v>
      </c>
      <c r="G293" s="20">
        <f t="shared" si="54"/>
        <v>0</v>
      </c>
      <c r="H293" s="16" t="s">
        <v>138</v>
      </c>
      <c r="I293" s="168" t="s">
        <v>3045</v>
      </c>
      <c r="J293" s="19"/>
      <c r="K293" s="20">
        <v>0</v>
      </c>
      <c r="L293" s="20">
        <v>0</v>
      </c>
      <c r="M293" s="20">
        <v>0</v>
      </c>
      <c r="N293" s="20">
        <v>0</v>
      </c>
      <c r="O293" s="20">
        <v>0</v>
      </c>
      <c r="P293" s="20">
        <v>0</v>
      </c>
      <c r="Q293" s="20">
        <v>0</v>
      </c>
      <c r="R293" s="20">
        <v>0</v>
      </c>
      <c r="S293" s="20"/>
      <c r="T293" s="20">
        <f t="shared" si="52"/>
        <v>800000</v>
      </c>
      <c r="U293" s="20">
        <f t="shared" si="67"/>
        <v>0</v>
      </c>
    </row>
    <row r="294" spans="1:21" s="21" customFormat="1" ht="16" customHeight="1">
      <c r="A294" s="33" t="s">
        <v>120</v>
      </c>
      <c r="B294" s="48">
        <v>2021</v>
      </c>
      <c r="C294" s="16" t="s">
        <v>0</v>
      </c>
      <c r="D294" s="168" t="s">
        <v>4659</v>
      </c>
      <c r="E294" s="20">
        <v>800000</v>
      </c>
      <c r="F294" s="20">
        <v>0</v>
      </c>
      <c r="G294" s="20">
        <f t="shared" si="54"/>
        <v>0</v>
      </c>
      <c r="H294" s="16" t="s">
        <v>138</v>
      </c>
      <c r="I294" s="168" t="s">
        <v>3045</v>
      </c>
      <c r="J294" s="19"/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/>
      <c r="T294" s="20">
        <f t="shared" si="52"/>
        <v>800000</v>
      </c>
      <c r="U294" s="20">
        <f t="shared" si="66"/>
        <v>0</v>
      </c>
    </row>
    <row r="295" spans="1:21" s="21" customFormat="1" ht="16" customHeight="1">
      <c r="A295" s="33" t="s">
        <v>120</v>
      </c>
      <c r="B295" s="48">
        <v>2021</v>
      </c>
      <c r="C295" s="16" t="s">
        <v>0</v>
      </c>
      <c r="D295" t="s">
        <v>4660</v>
      </c>
      <c r="E295" s="54">
        <v>16000000</v>
      </c>
      <c r="F295" s="20">
        <v>0</v>
      </c>
      <c r="G295" s="20">
        <f t="shared" si="54"/>
        <v>0</v>
      </c>
      <c r="H295" s="16" t="s">
        <v>138</v>
      </c>
      <c r="I295" s="168" t="s">
        <v>3046</v>
      </c>
      <c r="J295" s="19"/>
      <c r="K295" s="20">
        <v>0</v>
      </c>
      <c r="L295" s="20">
        <v>0</v>
      </c>
      <c r="M295" s="20">
        <v>0</v>
      </c>
      <c r="N295" s="20">
        <v>0</v>
      </c>
      <c r="O295" s="20">
        <v>0</v>
      </c>
      <c r="P295" s="20">
        <v>0</v>
      </c>
      <c r="Q295" s="20">
        <v>0</v>
      </c>
      <c r="R295" s="20">
        <v>0</v>
      </c>
      <c r="S295" s="20"/>
      <c r="T295" s="20">
        <f t="shared" si="52"/>
        <v>16000000</v>
      </c>
      <c r="U295" s="20">
        <f t="shared" si="66"/>
        <v>0</v>
      </c>
    </row>
    <row r="296" spans="1:21" s="21" customFormat="1" ht="16" customHeight="1">
      <c r="A296" s="33" t="s">
        <v>120</v>
      </c>
      <c r="B296" s="48">
        <v>2021</v>
      </c>
      <c r="C296" s="16" t="s">
        <v>0</v>
      </c>
      <c r="D296" s="168" t="s">
        <v>4661</v>
      </c>
      <c r="E296" s="20">
        <v>400000</v>
      </c>
      <c r="F296" s="20">
        <v>0</v>
      </c>
      <c r="G296" s="20">
        <f t="shared" si="54"/>
        <v>0</v>
      </c>
      <c r="H296" s="16" t="s">
        <v>138</v>
      </c>
      <c r="I296" s="168" t="s">
        <v>3000</v>
      </c>
      <c r="J296" s="19"/>
      <c r="K296" s="20">
        <v>0</v>
      </c>
      <c r="L296" s="20">
        <v>0</v>
      </c>
      <c r="M296" s="20">
        <v>0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0"/>
      <c r="T296" s="20">
        <f t="shared" si="52"/>
        <v>400000</v>
      </c>
      <c r="U296" s="20">
        <f t="shared" si="66"/>
        <v>0</v>
      </c>
    </row>
    <row r="297" spans="1:21" s="21" customFormat="1" ht="16" customHeight="1">
      <c r="A297" s="33" t="s">
        <v>120</v>
      </c>
      <c r="B297" s="48">
        <v>2021</v>
      </c>
      <c r="C297" s="16" t="s">
        <v>0</v>
      </c>
      <c r="D297" s="168" t="s">
        <v>4662</v>
      </c>
      <c r="E297" s="20">
        <v>400000</v>
      </c>
      <c r="F297" s="20">
        <v>0</v>
      </c>
      <c r="G297" s="20">
        <f t="shared" si="54"/>
        <v>0</v>
      </c>
      <c r="H297" s="16" t="s">
        <v>138</v>
      </c>
      <c r="I297" s="168" t="s">
        <v>3000</v>
      </c>
      <c r="J297" s="19"/>
      <c r="K297" s="20">
        <v>0</v>
      </c>
      <c r="L297" s="20">
        <v>0</v>
      </c>
      <c r="M297" s="20">
        <v>0</v>
      </c>
      <c r="N297" s="20">
        <v>0</v>
      </c>
      <c r="O297" s="20">
        <v>0</v>
      </c>
      <c r="P297" s="20">
        <v>0</v>
      </c>
      <c r="Q297" s="20">
        <v>0</v>
      </c>
      <c r="R297" s="20">
        <v>0</v>
      </c>
      <c r="S297" s="20"/>
      <c r="T297" s="20">
        <f t="shared" si="52"/>
        <v>400000</v>
      </c>
      <c r="U297" s="20">
        <f t="shared" si="66"/>
        <v>0</v>
      </c>
    </row>
    <row r="298" spans="1:21" s="21" customFormat="1" ht="16" customHeight="1">
      <c r="A298" s="33" t="s">
        <v>120</v>
      </c>
      <c r="B298" s="48">
        <v>2021</v>
      </c>
      <c r="C298" s="16" t="s">
        <v>0</v>
      </c>
      <c r="D298" s="168" t="s">
        <v>4663</v>
      </c>
      <c r="E298" s="20">
        <v>885500</v>
      </c>
      <c r="F298" s="20">
        <v>0</v>
      </c>
      <c r="G298" s="20">
        <f t="shared" si="54"/>
        <v>0</v>
      </c>
      <c r="H298" s="16" t="s">
        <v>138</v>
      </c>
      <c r="I298" s="168" t="s">
        <v>3000</v>
      </c>
      <c r="J298" s="19"/>
      <c r="K298" s="20">
        <v>0</v>
      </c>
      <c r="L298" s="20">
        <v>0</v>
      </c>
      <c r="M298" s="20">
        <v>0</v>
      </c>
      <c r="N298" s="20">
        <v>0</v>
      </c>
      <c r="O298" s="20">
        <v>0</v>
      </c>
      <c r="P298" s="20">
        <v>0</v>
      </c>
      <c r="Q298" s="20">
        <v>0</v>
      </c>
      <c r="R298" s="20">
        <v>0</v>
      </c>
      <c r="S298" s="20"/>
      <c r="T298" s="20">
        <f t="shared" si="52"/>
        <v>885500</v>
      </c>
      <c r="U298" s="20">
        <f t="shared" si="59"/>
        <v>0</v>
      </c>
    </row>
    <row r="299" spans="1:21" s="21" customFormat="1" ht="16" customHeight="1">
      <c r="A299" s="33" t="s">
        <v>120</v>
      </c>
      <c r="B299" s="48">
        <v>2021</v>
      </c>
      <c r="C299" s="16" t="s">
        <v>0</v>
      </c>
      <c r="D299" s="168" t="s">
        <v>4664</v>
      </c>
      <c r="E299" s="20">
        <v>12679084</v>
      </c>
      <c r="F299" s="20">
        <v>0</v>
      </c>
      <c r="G299" s="20">
        <f t="shared" si="54"/>
        <v>0</v>
      </c>
      <c r="H299" s="16" t="s">
        <v>138</v>
      </c>
      <c r="I299" s="168" t="s">
        <v>3000</v>
      </c>
      <c r="J299" s="19"/>
      <c r="K299" s="20">
        <v>0</v>
      </c>
      <c r="L299" s="20">
        <v>0</v>
      </c>
      <c r="M299" s="20">
        <v>0</v>
      </c>
      <c r="N299" s="20">
        <v>0</v>
      </c>
      <c r="O299" s="20">
        <v>0</v>
      </c>
      <c r="P299" s="20">
        <v>0</v>
      </c>
      <c r="Q299" s="20">
        <v>0</v>
      </c>
      <c r="R299" s="20">
        <v>0</v>
      </c>
      <c r="S299" s="20"/>
      <c r="T299" s="20">
        <f t="shared" si="52"/>
        <v>12679084</v>
      </c>
      <c r="U299" s="20">
        <f t="shared" si="59"/>
        <v>0</v>
      </c>
    </row>
    <row r="300" spans="1:21" s="21" customFormat="1" ht="16" customHeight="1">
      <c r="A300" s="33" t="s">
        <v>120</v>
      </c>
      <c r="B300" s="48">
        <v>2021</v>
      </c>
      <c r="C300" s="16" t="s">
        <v>0</v>
      </c>
      <c r="D300" t="s">
        <v>4665</v>
      </c>
      <c r="E300" s="54">
        <v>1300000</v>
      </c>
      <c r="F300" s="20">
        <v>0</v>
      </c>
      <c r="G300" s="20">
        <f t="shared" si="54"/>
        <v>0</v>
      </c>
      <c r="H300" s="16" t="s">
        <v>138</v>
      </c>
      <c r="I300" s="168" t="s">
        <v>4137</v>
      </c>
      <c r="J300" s="19"/>
      <c r="K300" s="20">
        <v>0</v>
      </c>
      <c r="L300" s="20">
        <v>0</v>
      </c>
      <c r="M300" s="20">
        <v>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/>
      <c r="T300" s="20">
        <f t="shared" si="52"/>
        <v>1300000</v>
      </c>
      <c r="U300" s="20">
        <f t="shared" si="59"/>
        <v>0</v>
      </c>
    </row>
    <row r="301" spans="1:21" s="21" customFormat="1" ht="16" customHeight="1">
      <c r="A301" s="33" t="s">
        <v>120</v>
      </c>
      <c r="B301" s="48">
        <v>2021</v>
      </c>
      <c r="C301" s="16" t="s">
        <v>0</v>
      </c>
      <c r="D301" s="7" t="s">
        <v>4718</v>
      </c>
      <c r="E301" s="54">
        <v>619009000</v>
      </c>
      <c r="F301" s="20">
        <v>0</v>
      </c>
      <c r="G301" s="20">
        <f t="shared" si="54"/>
        <v>0</v>
      </c>
      <c r="H301" s="16" t="s">
        <v>138</v>
      </c>
      <c r="I301" s="168" t="s">
        <v>2985</v>
      </c>
      <c r="J301" s="19"/>
      <c r="K301" s="20">
        <v>0</v>
      </c>
      <c r="L301" s="20">
        <v>0</v>
      </c>
      <c r="M301" s="20">
        <v>0</v>
      </c>
      <c r="N301" s="20">
        <v>0</v>
      </c>
      <c r="O301" s="20">
        <v>0</v>
      </c>
      <c r="P301" s="20">
        <v>0</v>
      </c>
      <c r="Q301" s="20">
        <v>0</v>
      </c>
      <c r="R301" s="20">
        <v>0</v>
      </c>
      <c r="S301" s="20"/>
      <c r="T301" s="20">
        <f t="shared" ref="T301:T378" si="68">E301+K301+L301+M301+N301+O301+P301</f>
        <v>619009000</v>
      </c>
      <c r="U301" s="20">
        <f t="shared" ref="U301" si="69">G301+Q301+R301</f>
        <v>0</v>
      </c>
    </row>
    <row r="302" spans="1:21" s="21" customFormat="1" ht="16" customHeight="1">
      <c r="A302" s="33" t="s">
        <v>120</v>
      </c>
      <c r="B302" s="48">
        <v>2021</v>
      </c>
      <c r="C302" s="16" t="s">
        <v>449</v>
      </c>
      <c r="D302" t="s">
        <v>4666</v>
      </c>
      <c r="E302" s="54">
        <v>6925000</v>
      </c>
      <c r="F302" s="20">
        <v>0</v>
      </c>
      <c r="G302" s="20">
        <f t="shared" si="54"/>
        <v>0</v>
      </c>
      <c r="H302" s="16" t="s">
        <v>138</v>
      </c>
      <c r="I302" s="168" t="s">
        <v>3390</v>
      </c>
      <c r="J302" s="19"/>
      <c r="K302" s="20">
        <v>0</v>
      </c>
      <c r="L302" s="20">
        <v>0</v>
      </c>
      <c r="M302" s="20">
        <v>0</v>
      </c>
      <c r="N302" s="20">
        <v>0</v>
      </c>
      <c r="O302" s="20">
        <v>0</v>
      </c>
      <c r="P302" s="20">
        <v>0</v>
      </c>
      <c r="Q302" s="20">
        <v>0</v>
      </c>
      <c r="R302" s="20">
        <v>0</v>
      </c>
      <c r="S302" s="20"/>
      <c r="T302" s="20">
        <f t="shared" si="68"/>
        <v>6925000</v>
      </c>
      <c r="U302" s="20">
        <f t="shared" si="59"/>
        <v>0</v>
      </c>
    </row>
    <row r="303" spans="1:21" s="21" customFormat="1" ht="16" customHeight="1">
      <c r="A303" s="33" t="s">
        <v>120</v>
      </c>
      <c r="B303" s="48">
        <v>2021</v>
      </c>
      <c r="C303" s="16" t="s">
        <v>449</v>
      </c>
      <c r="D303" t="s">
        <v>4667</v>
      </c>
      <c r="E303" s="54">
        <v>2500000</v>
      </c>
      <c r="F303" s="20">
        <v>0</v>
      </c>
      <c r="G303" s="20">
        <f t="shared" si="54"/>
        <v>0</v>
      </c>
      <c r="H303" s="16" t="s">
        <v>138</v>
      </c>
      <c r="I303" s="168" t="s">
        <v>3390</v>
      </c>
      <c r="J303" s="19"/>
      <c r="K303" s="20">
        <v>0</v>
      </c>
      <c r="L303" s="20">
        <v>0</v>
      </c>
      <c r="M303" s="20">
        <v>0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0"/>
      <c r="T303" s="20">
        <f t="shared" si="68"/>
        <v>2500000</v>
      </c>
      <c r="U303" s="20">
        <f t="shared" si="59"/>
        <v>0</v>
      </c>
    </row>
    <row r="304" spans="1:21" s="21" customFormat="1" ht="16" customHeight="1">
      <c r="A304" s="33" t="s">
        <v>120</v>
      </c>
      <c r="B304" s="48">
        <v>2021</v>
      </c>
      <c r="C304" s="16" t="s">
        <v>449</v>
      </c>
      <c r="D304" t="s">
        <v>4668</v>
      </c>
      <c r="E304" s="54">
        <v>9216000</v>
      </c>
      <c r="F304" s="20">
        <v>0</v>
      </c>
      <c r="G304" s="20">
        <f t="shared" si="54"/>
        <v>0</v>
      </c>
      <c r="H304" s="16" t="s">
        <v>138</v>
      </c>
      <c r="I304" s="168" t="s">
        <v>3000</v>
      </c>
      <c r="J304" s="19"/>
      <c r="K304" s="20">
        <v>0</v>
      </c>
      <c r="L304" s="20">
        <v>0</v>
      </c>
      <c r="M304" s="20">
        <v>0</v>
      </c>
      <c r="N304" s="20">
        <v>0</v>
      </c>
      <c r="O304" s="20">
        <v>0</v>
      </c>
      <c r="P304" s="20">
        <v>0</v>
      </c>
      <c r="Q304" s="20">
        <v>0</v>
      </c>
      <c r="R304" s="20">
        <v>0</v>
      </c>
      <c r="S304" s="20"/>
      <c r="T304" s="20">
        <f t="shared" si="68"/>
        <v>9216000</v>
      </c>
      <c r="U304" s="20">
        <f t="shared" si="59"/>
        <v>0</v>
      </c>
    </row>
    <row r="305" spans="1:21" s="21" customFormat="1" ht="16" customHeight="1">
      <c r="A305" s="33" t="s">
        <v>120</v>
      </c>
      <c r="B305" s="48">
        <v>2021</v>
      </c>
      <c r="C305" s="16" t="s">
        <v>449</v>
      </c>
      <c r="D305" t="s">
        <v>4669</v>
      </c>
      <c r="E305" s="54">
        <v>188000000</v>
      </c>
      <c r="F305" s="20">
        <v>0</v>
      </c>
      <c r="G305" s="20">
        <f t="shared" si="54"/>
        <v>0</v>
      </c>
      <c r="H305" s="16" t="s">
        <v>138</v>
      </c>
      <c r="I305" s="168" t="s">
        <v>3000</v>
      </c>
      <c r="J305" s="19"/>
      <c r="K305" s="20">
        <v>0</v>
      </c>
      <c r="L305" s="20">
        <v>0</v>
      </c>
      <c r="M305" s="20">
        <v>0</v>
      </c>
      <c r="N305" s="20">
        <v>0</v>
      </c>
      <c r="O305" s="20">
        <v>0</v>
      </c>
      <c r="P305" s="20">
        <v>0</v>
      </c>
      <c r="Q305" s="20">
        <v>0</v>
      </c>
      <c r="R305" s="20">
        <v>0</v>
      </c>
      <c r="S305" s="20"/>
      <c r="T305" s="20">
        <f t="shared" si="68"/>
        <v>188000000</v>
      </c>
      <c r="U305" s="20">
        <f t="shared" si="59"/>
        <v>0</v>
      </c>
    </row>
    <row r="306" spans="1:21" s="21" customFormat="1" ht="16" customHeight="1">
      <c r="A306" s="33" t="s">
        <v>120</v>
      </c>
      <c r="B306" s="48">
        <v>2021</v>
      </c>
      <c r="C306" s="16" t="s">
        <v>449</v>
      </c>
      <c r="D306" t="s">
        <v>5085</v>
      </c>
      <c r="E306" s="54">
        <v>4983333</v>
      </c>
      <c r="F306" s="20">
        <v>0</v>
      </c>
      <c r="G306" s="20">
        <f t="shared" si="54"/>
        <v>0</v>
      </c>
      <c r="H306" s="16" t="s">
        <v>138</v>
      </c>
      <c r="I306" s="168" t="s">
        <v>3000</v>
      </c>
      <c r="J306" s="19"/>
      <c r="K306" s="20">
        <v>0</v>
      </c>
      <c r="L306" s="20">
        <v>0</v>
      </c>
      <c r="M306" s="20">
        <v>0</v>
      </c>
      <c r="N306" s="20">
        <v>0</v>
      </c>
      <c r="O306" s="20">
        <v>0</v>
      </c>
      <c r="P306" s="20">
        <v>0</v>
      </c>
      <c r="Q306" s="20">
        <v>0</v>
      </c>
      <c r="R306" s="20">
        <v>0</v>
      </c>
      <c r="S306" s="20"/>
      <c r="T306" s="20">
        <f t="shared" ref="T306" si="70">E306+K306+L306+M306+N306+O306+P306</f>
        <v>4983333</v>
      </c>
      <c r="U306" s="20">
        <f t="shared" ref="U306" si="71">G306+Q306+R306</f>
        <v>0</v>
      </c>
    </row>
    <row r="307" spans="1:21" s="21" customFormat="1" ht="16" customHeight="1">
      <c r="A307" s="33" t="s">
        <v>120</v>
      </c>
      <c r="B307" s="48">
        <v>2021</v>
      </c>
      <c r="C307" s="16" t="s">
        <v>449</v>
      </c>
      <c r="D307" t="s">
        <v>4670</v>
      </c>
      <c r="E307" s="54">
        <v>5752200</v>
      </c>
      <c r="F307" s="20">
        <v>0</v>
      </c>
      <c r="G307" s="20">
        <f t="shared" ref="G307:G370" si="72">(F307*$G$3)/$D$536</f>
        <v>0</v>
      </c>
      <c r="H307" s="16" t="s">
        <v>138</v>
      </c>
      <c r="I307" t="s">
        <v>3030</v>
      </c>
      <c r="J307" t="s">
        <v>64</v>
      </c>
      <c r="K307" s="20">
        <v>0</v>
      </c>
      <c r="L307" s="20">
        <v>0</v>
      </c>
      <c r="M307" s="20">
        <v>0</v>
      </c>
      <c r="N307" s="20">
        <v>0</v>
      </c>
      <c r="O307" s="20">
        <v>0</v>
      </c>
      <c r="P307" s="20">
        <v>0</v>
      </c>
      <c r="Q307" s="20">
        <v>0</v>
      </c>
      <c r="R307" s="20">
        <v>0</v>
      </c>
      <c r="S307" s="20"/>
      <c r="T307" s="20">
        <f t="shared" si="68"/>
        <v>5752200</v>
      </c>
      <c r="U307" s="20">
        <f t="shared" si="59"/>
        <v>0</v>
      </c>
    </row>
    <row r="308" spans="1:21" s="21" customFormat="1" ht="16" customHeight="1">
      <c r="A308" s="33" t="s">
        <v>120</v>
      </c>
      <c r="B308" s="48">
        <v>2021</v>
      </c>
      <c r="C308" s="16" t="s">
        <v>449</v>
      </c>
      <c r="D308" t="s">
        <v>4719</v>
      </c>
      <c r="E308" s="54">
        <v>61271997</v>
      </c>
      <c r="F308" s="20">
        <v>0</v>
      </c>
      <c r="G308" s="20">
        <f t="shared" si="72"/>
        <v>0</v>
      </c>
      <c r="H308" s="16" t="s">
        <v>138</v>
      </c>
      <c r="I308" s="168" t="s">
        <v>4137</v>
      </c>
      <c r="J308" t="s">
        <v>64</v>
      </c>
      <c r="K308" s="20">
        <v>0</v>
      </c>
      <c r="L308" s="20">
        <v>0</v>
      </c>
      <c r="M308" s="20">
        <v>0</v>
      </c>
      <c r="N308" s="20">
        <v>0</v>
      </c>
      <c r="O308" s="20">
        <v>0</v>
      </c>
      <c r="P308" s="20">
        <v>0</v>
      </c>
      <c r="Q308" s="20">
        <v>0</v>
      </c>
      <c r="R308" s="20">
        <v>0</v>
      </c>
      <c r="S308" s="20"/>
      <c r="T308" s="20">
        <f t="shared" si="68"/>
        <v>61271997</v>
      </c>
      <c r="U308" s="20">
        <f t="shared" ref="U308" si="73">G308+Q308+R308</f>
        <v>0</v>
      </c>
    </row>
    <row r="309" spans="1:21" s="21" customFormat="1" ht="16" customHeight="1">
      <c r="A309" s="33" t="s">
        <v>120</v>
      </c>
      <c r="B309" s="48">
        <v>2021</v>
      </c>
      <c r="C309" s="13" t="s">
        <v>428</v>
      </c>
      <c r="D309" t="s">
        <v>5086</v>
      </c>
      <c r="E309" s="54">
        <v>73352040</v>
      </c>
      <c r="F309" s="20">
        <v>0</v>
      </c>
      <c r="G309" s="20">
        <f t="shared" si="72"/>
        <v>0</v>
      </c>
      <c r="H309" s="16" t="s">
        <v>138</v>
      </c>
      <c r="I309" s="168" t="s">
        <v>3000</v>
      </c>
      <c r="J309" t="s">
        <v>64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/>
      <c r="T309" s="20">
        <f t="shared" ref="T309" si="74">E309+K309+L309+M309+N309+O309+P309</f>
        <v>73352040</v>
      </c>
      <c r="U309" s="20">
        <f t="shared" ref="U309" si="75">G309+Q309+R309</f>
        <v>0</v>
      </c>
    </row>
    <row r="310" spans="1:21" s="21" customFormat="1" ht="16" customHeight="1">
      <c r="A310" s="33" t="s">
        <v>120</v>
      </c>
      <c r="B310" s="48">
        <v>2021</v>
      </c>
      <c r="C310" s="13" t="s">
        <v>429</v>
      </c>
      <c r="D310" t="s">
        <v>5087</v>
      </c>
      <c r="E310" s="54">
        <v>47300</v>
      </c>
      <c r="F310" s="20">
        <v>0</v>
      </c>
      <c r="G310" s="20">
        <f t="shared" si="72"/>
        <v>0</v>
      </c>
      <c r="H310" s="16" t="s">
        <v>138</v>
      </c>
      <c r="I310" s="168" t="s">
        <v>2279</v>
      </c>
      <c r="J310" t="s">
        <v>64</v>
      </c>
      <c r="K310" s="20">
        <v>0</v>
      </c>
      <c r="L310" s="20">
        <v>0</v>
      </c>
      <c r="M310" s="20">
        <v>0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0"/>
      <c r="T310" s="20">
        <f t="shared" ref="T310" si="76">E310+K310+L310+M310+N310+O310+P310</f>
        <v>47300</v>
      </c>
      <c r="U310" s="20">
        <f t="shared" ref="U310" si="77">G310+Q310+R310</f>
        <v>0</v>
      </c>
    </row>
    <row r="311" spans="1:21" s="21" customFormat="1" ht="16" customHeight="1">
      <c r="A311" s="33" t="s">
        <v>120</v>
      </c>
      <c r="B311" s="48">
        <v>2021</v>
      </c>
      <c r="C311" s="13" t="s">
        <v>429</v>
      </c>
      <c r="D311" t="s">
        <v>5088</v>
      </c>
      <c r="E311" s="54">
        <v>101000</v>
      </c>
      <c r="F311" s="20">
        <v>0</v>
      </c>
      <c r="G311" s="20">
        <f t="shared" si="72"/>
        <v>0</v>
      </c>
      <c r="H311" s="16" t="s">
        <v>138</v>
      </c>
      <c r="I311" s="168" t="s">
        <v>2279</v>
      </c>
      <c r="J311" t="s">
        <v>64</v>
      </c>
      <c r="K311" s="20">
        <v>0</v>
      </c>
      <c r="L311" s="20">
        <v>0</v>
      </c>
      <c r="M311" s="20">
        <v>0</v>
      </c>
      <c r="N311" s="20">
        <v>0</v>
      </c>
      <c r="O311" s="20">
        <v>0</v>
      </c>
      <c r="P311" s="20">
        <v>0</v>
      </c>
      <c r="Q311" s="20">
        <v>0</v>
      </c>
      <c r="R311" s="20">
        <v>0</v>
      </c>
      <c r="S311" s="20"/>
      <c r="T311" s="20">
        <f t="shared" ref="T311:T313" si="78">E311+K311+L311+M311+N311+O311+P311</f>
        <v>101000</v>
      </c>
      <c r="U311" s="20">
        <f t="shared" ref="U311:U313" si="79">G311+Q311+R311</f>
        <v>0</v>
      </c>
    </row>
    <row r="312" spans="1:21" s="21" customFormat="1" ht="16" customHeight="1">
      <c r="A312" s="33" t="s">
        <v>120</v>
      </c>
      <c r="B312" s="48">
        <v>2021</v>
      </c>
      <c r="C312" s="13" t="s">
        <v>429</v>
      </c>
      <c r="D312" t="s">
        <v>5089</v>
      </c>
      <c r="E312" s="54">
        <v>250000</v>
      </c>
      <c r="F312" s="20">
        <v>0</v>
      </c>
      <c r="G312" s="20">
        <f t="shared" si="72"/>
        <v>0</v>
      </c>
      <c r="H312" s="16" t="s">
        <v>138</v>
      </c>
      <c r="I312" s="168" t="s">
        <v>2279</v>
      </c>
      <c r="J312" t="s">
        <v>64</v>
      </c>
      <c r="K312" s="20">
        <v>0</v>
      </c>
      <c r="L312" s="20">
        <v>0</v>
      </c>
      <c r="M312" s="20">
        <v>0</v>
      </c>
      <c r="N312" s="20">
        <v>0</v>
      </c>
      <c r="O312" s="20">
        <v>0</v>
      </c>
      <c r="P312" s="20">
        <v>0</v>
      </c>
      <c r="Q312" s="20">
        <v>0</v>
      </c>
      <c r="R312" s="20">
        <v>0</v>
      </c>
      <c r="S312" s="20"/>
      <c r="T312" s="20">
        <f t="shared" si="78"/>
        <v>250000</v>
      </c>
      <c r="U312" s="20">
        <f t="shared" si="79"/>
        <v>0</v>
      </c>
    </row>
    <row r="313" spans="1:21" s="21" customFormat="1" ht="16" customHeight="1">
      <c r="A313" s="33" t="s">
        <v>120</v>
      </c>
      <c r="B313" s="48">
        <v>2021</v>
      </c>
      <c r="C313" s="13" t="s">
        <v>429</v>
      </c>
      <c r="D313" t="s">
        <v>5090</v>
      </c>
      <c r="E313" s="54">
        <v>295625</v>
      </c>
      <c r="F313" s="20">
        <v>0</v>
      </c>
      <c r="G313" s="20">
        <f t="shared" si="72"/>
        <v>0</v>
      </c>
      <c r="H313" s="16" t="s">
        <v>138</v>
      </c>
      <c r="I313" s="168" t="s">
        <v>2279</v>
      </c>
      <c r="J313" t="s">
        <v>64</v>
      </c>
      <c r="K313" s="20">
        <v>0</v>
      </c>
      <c r="L313" s="20">
        <v>0</v>
      </c>
      <c r="M313" s="20">
        <v>0</v>
      </c>
      <c r="N313" s="20">
        <v>0</v>
      </c>
      <c r="O313" s="20">
        <v>0</v>
      </c>
      <c r="P313" s="20">
        <v>0</v>
      </c>
      <c r="Q313" s="20">
        <v>0</v>
      </c>
      <c r="R313" s="20">
        <v>0</v>
      </c>
      <c r="S313" s="20"/>
      <c r="T313" s="20">
        <f t="shared" si="78"/>
        <v>295625</v>
      </c>
      <c r="U313" s="20">
        <f t="shared" si="79"/>
        <v>0</v>
      </c>
    </row>
    <row r="314" spans="1:21" s="21" customFormat="1" ht="16" customHeight="1">
      <c r="A314" s="33" t="s">
        <v>120</v>
      </c>
      <c r="B314" s="48">
        <v>2021</v>
      </c>
      <c r="C314" s="13" t="s">
        <v>429</v>
      </c>
      <c r="D314" t="s">
        <v>5091</v>
      </c>
      <c r="E314" s="54">
        <v>164000</v>
      </c>
      <c r="F314" s="20">
        <v>0</v>
      </c>
      <c r="G314" s="20">
        <f t="shared" si="72"/>
        <v>0</v>
      </c>
      <c r="H314" s="16" t="s">
        <v>138</v>
      </c>
      <c r="I314" s="168" t="s">
        <v>3390</v>
      </c>
      <c r="J314" t="s">
        <v>64</v>
      </c>
      <c r="K314" s="20">
        <v>0</v>
      </c>
      <c r="L314" s="20">
        <v>0</v>
      </c>
      <c r="M314" s="20">
        <v>0</v>
      </c>
      <c r="N314" s="20">
        <v>0</v>
      </c>
      <c r="O314" s="20">
        <v>0</v>
      </c>
      <c r="P314" s="20">
        <v>0</v>
      </c>
      <c r="Q314" s="20">
        <v>0</v>
      </c>
      <c r="R314" s="20">
        <v>0</v>
      </c>
      <c r="S314" s="20"/>
      <c r="T314" s="20">
        <f t="shared" ref="T314" si="80">E314+K314+L314+M314+N314+O314+P314</f>
        <v>164000</v>
      </c>
      <c r="U314" s="20">
        <f t="shared" ref="U314" si="81">G314+Q314+R314</f>
        <v>0</v>
      </c>
    </row>
    <row r="315" spans="1:21" s="21" customFormat="1" ht="16" customHeight="1">
      <c r="A315" s="33" t="s">
        <v>120</v>
      </c>
      <c r="B315" s="48">
        <v>2021</v>
      </c>
      <c r="C315" s="13" t="s">
        <v>429</v>
      </c>
      <c r="D315" t="s">
        <v>5092</v>
      </c>
      <c r="E315" s="54">
        <v>74400</v>
      </c>
      <c r="F315" s="20">
        <v>0</v>
      </c>
      <c r="G315" s="20">
        <f t="shared" si="72"/>
        <v>0</v>
      </c>
      <c r="H315" s="16" t="s">
        <v>138</v>
      </c>
      <c r="I315" s="168" t="s">
        <v>3390</v>
      </c>
      <c r="J315" t="s">
        <v>64</v>
      </c>
      <c r="K315" s="20">
        <v>0</v>
      </c>
      <c r="L315" s="20">
        <v>0</v>
      </c>
      <c r="M315" s="20">
        <v>0</v>
      </c>
      <c r="N315" s="20">
        <v>0</v>
      </c>
      <c r="O315" s="20">
        <v>0</v>
      </c>
      <c r="P315" s="20">
        <v>0</v>
      </c>
      <c r="Q315" s="20">
        <v>0</v>
      </c>
      <c r="R315" s="20">
        <v>0</v>
      </c>
      <c r="S315" s="20"/>
      <c r="T315" s="20">
        <f t="shared" ref="T315:T320" si="82">E315+K315+L315+M315+N315+O315+P315</f>
        <v>74400</v>
      </c>
      <c r="U315" s="20">
        <f t="shared" ref="U315:U320" si="83">G315+Q315+R315</f>
        <v>0</v>
      </c>
    </row>
    <row r="316" spans="1:21" s="21" customFormat="1" ht="16" customHeight="1">
      <c r="A316" s="33" t="s">
        <v>120</v>
      </c>
      <c r="B316" s="48">
        <v>2021</v>
      </c>
      <c r="C316" s="13" t="s">
        <v>429</v>
      </c>
      <c r="D316" t="s">
        <v>5093</v>
      </c>
      <c r="E316" s="54">
        <v>361000</v>
      </c>
      <c r="F316" s="20">
        <v>0</v>
      </c>
      <c r="G316" s="20">
        <f t="shared" si="72"/>
        <v>0</v>
      </c>
      <c r="H316" s="16" t="s">
        <v>138</v>
      </c>
      <c r="I316" s="168" t="s">
        <v>3390</v>
      </c>
      <c r="J316" t="s">
        <v>64</v>
      </c>
      <c r="K316" s="20">
        <v>0</v>
      </c>
      <c r="L316" s="20">
        <v>0</v>
      </c>
      <c r="M316" s="20">
        <v>0</v>
      </c>
      <c r="N316" s="20">
        <v>0</v>
      </c>
      <c r="O316" s="20">
        <v>0</v>
      </c>
      <c r="P316" s="20">
        <v>0</v>
      </c>
      <c r="Q316" s="20">
        <v>0</v>
      </c>
      <c r="R316" s="20">
        <v>0</v>
      </c>
      <c r="S316" s="20"/>
      <c r="T316" s="20">
        <f t="shared" si="82"/>
        <v>361000</v>
      </c>
      <c r="U316" s="20">
        <f t="shared" si="83"/>
        <v>0</v>
      </c>
    </row>
    <row r="317" spans="1:21" s="21" customFormat="1" ht="16" customHeight="1">
      <c r="A317" s="33" t="s">
        <v>120</v>
      </c>
      <c r="B317" s="48">
        <v>2021</v>
      </c>
      <c r="C317" s="13" t="s">
        <v>429</v>
      </c>
      <c r="D317" t="s">
        <v>5094</v>
      </c>
      <c r="E317" s="54">
        <v>231712</v>
      </c>
      <c r="F317" s="20">
        <v>0</v>
      </c>
      <c r="G317" s="20">
        <f t="shared" si="72"/>
        <v>0</v>
      </c>
      <c r="H317" s="16" t="s">
        <v>138</v>
      </c>
      <c r="I317" s="168" t="s">
        <v>3013</v>
      </c>
      <c r="J317" t="s">
        <v>64</v>
      </c>
      <c r="K317" s="20">
        <v>0</v>
      </c>
      <c r="L317" s="20">
        <v>0</v>
      </c>
      <c r="M317" s="20">
        <v>0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0"/>
      <c r="T317" s="20">
        <f t="shared" si="82"/>
        <v>231712</v>
      </c>
      <c r="U317" s="20">
        <f t="shared" si="83"/>
        <v>0</v>
      </c>
    </row>
    <row r="318" spans="1:21" s="21" customFormat="1" ht="16" customHeight="1">
      <c r="A318" s="33" t="s">
        <v>120</v>
      </c>
      <c r="B318" s="48">
        <v>2021</v>
      </c>
      <c r="C318" s="13" t="s">
        <v>429</v>
      </c>
      <c r="D318" t="s">
        <v>5095</v>
      </c>
      <c r="E318" s="54">
        <v>235480</v>
      </c>
      <c r="F318" s="20">
        <v>0</v>
      </c>
      <c r="G318" s="20">
        <f t="shared" si="72"/>
        <v>0</v>
      </c>
      <c r="H318" s="16" t="s">
        <v>138</v>
      </c>
      <c r="I318" s="168" t="s">
        <v>3013</v>
      </c>
      <c r="J318" t="s">
        <v>64</v>
      </c>
      <c r="K318" s="20">
        <v>0</v>
      </c>
      <c r="L318" s="20">
        <v>0</v>
      </c>
      <c r="M318" s="20">
        <v>0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0"/>
      <c r="T318" s="20">
        <f t="shared" si="82"/>
        <v>235480</v>
      </c>
      <c r="U318" s="20">
        <f t="shared" si="83"/>
        <v>0</v>
      </c>
    </row>
    <row r="319" spans="1:21" s="21" customFormat="1" ht="16" customHeight="1">
      <c r="A319" s="33" t="s">
        <v>120</v>
      </c>
      <c r="B319" s="48">
        <v>2021</v>
      </c>
      <c r="C319" s="13" t="s">
        <v>429</v>
      </c>
      <c r="D319" t="s">
        <v>5096</v>
      </c>
      <c r="E319" s="54">
        <v>237385</v>
      </c>
      <c r="F319" s="20">
        <v>0</v>
      </c>
      <c r="G319" s="20">
        <f t="shared" si="72"/>
        <v>0</v>
      </c>
      <c r="H319" s="16" t="s">
        <v>138</v>
      </c>
      <c r="I319" s="168" t="s">
        <v>2984</v>
      </c>
      <c r="J319" t="s">
        <v>64</v>
      </c>
      <c r="K319" s="20">
        <v>0</v>
      </c>
      <c r="L319" s="20">
        <v>0</v>
      </c>
      <c r="M319" s="20">
        <v>0</v>
      </c>
      <c r="N319" s="20">
        <v>0</v>
      </c>
      <c r="O319" s="20">
        <v>0</v>
      </c>
      <c r="P319" s="20">
        <v>0</v>
      </c>
      <c r="Q319" s="20">
        <v>0</v>
      </c>
      <c r="R319" s="20">
        <v>0</v>
      </c>
      <c r="S319" s="20"/>
      <c r="T319" s="20">
        <f t="shared" si="82"/>
        <v>237385</v>
      </c>
      <c r="U319" s="20">
        <f t="shared" si="83"/>
        <v>0</v>
      </c>
    </row>
    <row r="320" spans="1:21" s="21" customFormat="1" ht="16" customHeight="1">
      <c r="A320" s="33" t="s">
        <v>120</v>
      </c>
      <c r="B320" s="48">
        <v>2021</v>
      </c>
      <c r="C320" s="13" t="s">
        <v>429</v>
      </c>
      <c r="D320" t="s">
        <v>5097</v>
      </c>
      <c r="E320" s="54">
        <v>145276</v>
      </c>
      <c r="F320" s="20">
        <v>0</v>
      </c>
      <c r="G320" s="20">
        <f t="shared" si="72"/>
        <v>0</v>
      </c>
      <c r="H320" s="16" t="s">
        <v>138</v>
      </c>
      <c r="I320" s="168" t="s">
        <v>3032</v>
      </c>
      <c r="J320" t="s">
        <v>64</v>
      </c>
      <c r="K320" s="20">
        <v>0</v>
      </c>
      <c r="L320" s="20">
        <v>0</v>
      </c>
      <c r="M320" s="20">
        <v>0</v>
      </c>
      <c r="N320" s="20">
        <v>0</v>
      </c>
      <c r="O320" s="20">
        <v>0</v>
      </c>
      <c r="P320" s="20">
        <v>0</v>
      </c>
      <c r="Q320" s="20">
        <v>0</v>
      </c>
      <c r="R320" s="20">
        <v>0</v>
      </c>
      <c r="S320" s="20"/>
      <c r="T320" s="20">
        <f t="shared" si="82"/>
        <v>145276</v>
      </c>
      <c r="U320" s="20">
        <f t="shared" si="83"/>
        <v>0</v>
      </c>
    </row>
    <row r="321" spans="1:21" s="21" customFormat="1" ht="16" customHeight="1">
      <c r="A321" s="33" t="s">
        <v>120</v>
      </c>
      <c r="B321" s="48">
        <v>2021</v>
      </c>
      <c r="C321" s="13" t="s">
        <v>429</v>
      </c>
      <c r="D321" t="s">
        <v>5098</v>
      </c>
      <c r="E321" s="54">
        <v>484142</v>
      </c>
      <c r="F321" s="20">
        <v>0</v>
      </c>
      <c r="G321" s="20">
        <f t="shared" si="72"/>
        <v>0</v>
      </c>
      <c r="H321" s="16" t="s">
        <v>138</v>
      </c>
      <c r="I321" s="168" t="s">
        <v>4140</v>
      </c>
      <c r="J321" t="s">
        <v>64</v>
      </c>
      <c r="K321" s="20">
        <v>0</v>
      </c>
      <c r="L321" s="20">
        <v>0</v>
      </c>
      <c r="M321" s="20">
        <v>0</v>
      </c>
      <c r="N321" s="20">
        <v>0</v>
      </c>
      <c r="O321" s="20">
        <v>0</v>
      </c>
      <c r="P321" s="20">
        <v>0</v>
      </c>
      <c r="Q321" s="20">
        <v>0</v>
      </c>
      <c r="R321" s="20">
        <v>0</v>
      </c>
      <c r="S321" s="20"/>
      <c r="T321" s="20">
        <f t="shared" ref="T321:T324" si="84">E321+K321+L321+M321+N321+O321+P321</f>
        <v>484142</v>
      </c>
      <c r="U321" s="20">
        <f t="shared" ref="U321:U324" si="85">G321+Q321+R321</f>
        <v>0</v>
      </c>
    </row>
    <row r="322" spans="1:21" s="21" customFormat="1" ht="16" customHeight="1">
      <c r="A322" s="33" t="s">
        <v>120</v>
      </c>
      <c r="B322" s="48">
        <v>2021</v>
      </c>
      <c r="C322" s="13" t="s">
        <v>429</v>
      </c>
      <c r="D322" t="s">
        <v>5099</v>
      </c>
      <c r="E322" s="54">
        <v>15000</v>
      </c>
      <c r="F322" s="20">
        <v>0</v>
      </c>
      <c r="G322" s="20">
        <f t="shared" si="72"/>
        <v>0</v>
      </c>
      <c r="H322" s="16" t="s">
        <v>138</v>
      </c>
      <c r="I322" s="168" t="s">
        <v>2278</v>
      </c>
      <c r="J322" t="s">
        <v>64</v>
      </c>
      <c r="K322" s="20">
        <v>0</v>
      </c>
      <c r="L322" s="20">
        <v>0</v>
      </c>
      <c r="M322" s="20">
        <v>0</v>
      </c>
      <c r="N322" s="20">
        <v>0</v>
      </c>
      <c r="O322" s="20">
        <v>0</v>
      </c>
      <c r="P322" s="20">
        <v>0</v>
      </c>
      <c r="Q322" s="20">
        <v>0</v>
      </c>
      <c r="R322" s="20">
        <v>0</v>
      </c>
      <c r="S322" s="20"/>
      <c r="T322" s="20">
        <f t="shared" si="84"/>
        <v>15000</v>
      </c>
      <c r="U322" s="20">
        <f t="shared" si="85"/>
        <v>0</v>
      </c>
    </row>
    <row r="323" spans="1:21" s="21" customFormat="1" ht="16" customHeight="1">
      <c r="A323" s="33" t="s">
        <v>120</v>
      </c>
      <c r="B323" s="48">
        <v>2021</v>
      </c>
      <c r="C323" s="13" t="s">
        <v>429</v>
      </c>
      <c r="D323" s="7" t="s">
        <v>5100</v>
      </c>
      <c r="E323" s="54">
        <v>9000</v>
      </c>
      <c r="F323" s="20">
        <v>0</v>
      </c>
      <c r="G323" s="20">
        <f t="shared" si="72"/>
        <v>0</v>
      </c>
      <c r="H323" s="16" t="s">
        <v>138</v>
      </c>
      <c r="I323" s="168" t="s">
        <v>2994</v>
      </c>
      <c r="J323" t="s">
        <v>64</v>
      </c>
      <c r="K323" s="20">
        <v>0</v>
      </c>
      <c r="L323" s="20">
        <v>0</v>
      </c>
      <c r="M323" s="20">
        <v>0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0"/>
      <c r="T323" s="20">
        <f t="shared" si="84"/>
        <v>9000</v>
      </c>
      <c r="U323" s="20">
        <f t="shared" si="85"/>
        <v>0</v>
      </c>
    </row>
    <row r="324" spans="1:21" s="21" customFormat="1" ht="16" customHeight="1">
      <c r="A324" s="33" t="s">
        <v>120</v>
      </c>
      <c r="B324" s="48">
        <v>2021</v>
      </c>
      <c r="C324" s="13" t="s">
        <v>429</v>
      </c>
      <c r="D324" s="7" t="s">
        <v>5101</v>
      </c>
      <c r="E324" s="54">
        <v>100000</v>
      </c>
      <c r="F324" s="20">
        <v>0</v>
      </c>
      <c r="G324" s="20">
        <f t="shared" si="72"/>
        <v>0</v>
      </c>
      <c r="H324" s="16" t="s">
        <v>138</v>
      </c>
      <c r="I324" s="168" t="s">
        <v>3046</v>
      </c>
      <c r="J324" t="s">
        <v>64</v>
      </c>
      <c r="K324" s="20">
        <v>0</v>
      </c>
      <c r="L324" s="20">
        <v>0</v>
      </c>
      <c r="M324" s="20">
        <v>0</v>
      </c>
      <c r="N324" s="20">
        <v>0</v>
      </c>
      <c r="O324" s="20">
        <v>0</v>
      </c>
      <c r="P324" s="20">
        <v>0</v>
      </c>
      <c r="Q324" s="20">
        <v>0</v>
      </c>
      <c r="R324" s="20">
        <v>0</v>
      </c>
      <c r="S324" s="20"/>
      <c r="T324" s="20">
        <f t="shared" si="84"/>
        <v>100000</v>
      </c>
      <c r="U324" s="20">
        <f t="shared" si="85"/>
        <v>0</v>
      </c>
    </row>
    <row r="325" spans="1:21" s="21" customFormat="1" ht="16" customHeight="1">
      <c r="A325" s="33" t="s">
        <v>120</v>
      </c>
      <c r="B325" s="48">
        <v>2021</v>
      </c>
      <c r="C325" s="13" t="s">
        <v>429</v>
      </c>
      <c r="D325" s="7" t="s">
        <v>5102</v>
      </c>
      <c r="E325" s="54">
        <v>10000</v>
      </c>
      <c r="F325" s="20">
        <v>0</v>
      </c>
      <c r="G325" s="20">
        <f t="shared" si="72"/>
        <v>0</v>
      </c>
      <c r="H325" s="16" t="s">
        <v>138</v>
      </c>
      <c r="I325" s="168" t="s">
        <v>3046</v>
      </c>
      <c r="J325" t="s">
        <v>64</v>
      </c>
      <c r="K325" s="20">
        <v>0</v>
      </c>
      <c r="L325" s="20">
        <v>0</v>
      </c>
      <c r="M325" s="20">
        <v>0</v>
      </c>
      <c r="N325" s="20">
        <v>0</v>
      </c>
      <c r="O325" s="20">
        <v>0</v>
      </c>
      <c r="P325" s="20">
        <v>0</v>
      </c>
      <c r="Q325" s="20">
        <v>0</v>
      </c>
      <c r="R325" s="20">
        <v>0</v>
      </c>
      <c r="S325" s="20"/>
      <c r="T325" s="20">
        <f t="shared" ref="T325:T327" si="86">E325+K325+L325+M325+N325+O325+P325</f>
        <v>10000</v>
      </c>
      <c r="U325" s="20">
        <f t="shared" ref="U325:U327" si="87">G325+Q325+R325</f>
        <v>0</v>
      </c>
    </row>
    <row r="326" spans="1:21" s="21" customFormat="1" ht="16" customHeight="1">
      <c r="A326" s="33" t="s">
        <v>120</v>
      </c>
      <c r="B326" s="48">
        <v>2021</v>
      </c>
      <c r="C326" s="13" t="s">
        <v>429</v>
      </c>
      <c r="D326" s="7" t="s">
        <v>5103</v>
      </c>
      <c r="E326" s="54">
        <v>99000</v>
      </c>
      <c r="F326" s="20">
        <v>0</v>
      </c>
      <c r="G326" s="20">
        <f t="shared" si="72"/>
        <v>0</v>
      </c>
      <c r="H326" s="16" t="s">
        <v>138</v>
      </c>
      <c r="I326" s="168" t="s">
        <v>3046</v>
      </c>
      <c r="J326" t="s">
        <v>64</v>
      </c>
      <c r="K326" s="20">
        <v>0</v>
      </c>
      <c r="L326" s="20">
        <v>0</v>
      </c>
      <c r="M326" s="20">
        <v>0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0"/>
      <c r="T326" s="20">
        <f t="shared" si="86"/>
        <v>99000</v>
      </c>
      <c r="U326" s="20">
        <f t="shared" si="87"/>
        <v>0</v>
      </c>
    </row>
    <row r="327" spans="1:21" s="21" customFormat="1" ht="16" customHeight="1">
      <c r="A327" s="33" t="s">
        <v>120</v>
      </c>
      <c r="B327" s="48">
        <v>2021</v>
      </c>
      <c r="C327" s="13" t="s">
        <v>429</v>
      </c>
      <c r="D327" t="s">
        <v>5104</v>
      </c>
      <c r="E327" s="54">
        <v>333000</v>
      </c>
      <c r="F327" s="20">
        <v>0</v>
      </c>
      <c r="G327" s="20">
        <f t="shared" si="72"/>
        <v>0</v>
      </c>
      <c r="H327" s="16" t="s">
        <v>138</v>
      </c>
      <c r="I327" s="168" t="s">
        <v>4137</v>
      </c>
      <c r="J327" t="s">
        <v>64</v>
      </c>
      <c r="K327" s="20">
        <v>0</v>
      </c>
      <c r="L327" s="20">
        <v>0</v>
      </c>
      <c r="M327" s="20">
        <v>0</v>
      </c>
      <c r="N327" s="20">
        <v>0</v>
      </c>
      <c r="O327" s="20">
        <v>0</v>
      </c>
      <c r="P327" s="20">
        <v>0</v>
      </c>
      <c r="Q327" s="20">
        <v>0</v>
      </c>
      <c r="R327" s="20">
        <v>0</v>
      </c>
      <c r="S327" s="20"/>
      <c r="T327" s="20">
        <f t="shared" si="86"/>
        <v>333000</v>
      </c>
      <c r="U327" s="20">
        <f t="shared" si="87"/>
        <v>0</v>
      </c>
    </row>
    <row r="328" spans="1:21" s="21" customFormat="1" ht="16" customHeight="1">
      <c r="A328" s="33" t="s">
        <v>120</v>
      </c>
      <c r="B328" s="48">
        <v>2021</v>
      </c>
      <c r="C328" s="13" t="s">
        <v>450</v>
      </c>
      <c r="D328" t="s">
        <v>4721</v>
      </c>
      <c r="E328" s="54">
        <v>91000</v>
      </c>
      <c r="F328" s="20">
        <v>0</v>
      </c>
      <c r="G328" s="20">
        <f t="shared" si="72"/>
        <v>0</v>
      </c>
      <c r="H328" s="16" t="s">
        <v>138</v>
      </c>
      <c r="I328" s="168" t="s">
        <v>4137</v>
      </c>
      <c r="J328" t="s">
        <v>64</v>
      </c>
      <c r="K328" s="20">
        <v>0</v>
      </c>
      <c r="L328" s="20">
        <v>0</v>
      </c>
      <c r="M328" s="20">
        <v>0</v>
      </c>
      <c r="N328" s="20">
        <v>0</v>
      </c>
      <c r="O328" s="20">
        <v>0</v>
      </c>
      <c r="P328" s="20">
        <v>0</v>
      </c>
      <c r="Q328" s="20">
        <v>0</v>
      </c>
      <c r="R328" s="20">
        <v>0</v>
      </c>
      <c r="S328" s="20"/>
      <c r="T328" s="20">
        <f t="shared" ref="T328" si="88">E328+K328+L328+M328+N328+O328+P328</f>
        <v>91000</v>
      </c>
      <c r="U328" s="20">
        <f t="shared" ref="U328" si="89">G328+Q328+R328</f>
        <v>0</v>
      </c>
    </row>
    <row r="329" spans="1:21" s="21" customFormat="1" ht="16" customHeight="1">
      <c r="A329" s="33" t="s">
        <v>120</v>
      </c>
      <c r="B329" s="48">
        <v>2021</v>
      </c>
      <c r="C329" s="13" t="s">
        <v>450</v>
      </c>
      <c r="D329" t="s">
        <v>5105</v>
      </c>
      <c r="E329" s="54">
        <v>101000</v>
      </c>
      <c r="F329" s="20">
        <v>0</v>
      </c>
      <c r="G329" s="20">
        <f t="shared" si="72"/>
        <v>0</v>
      </c>
      <c r="H329" s="16" t="s">
        <v>138</v>
      </c>
      <c r="I329" s="168" t="s">
        <v>4137</v>
      </c>
      <c r="J329" t="s">
        <v>64</v>
      </c>
      <c r="K329" s="20">
        <v>0</v>
      </c>
      <c r="L329" s="20">
        <v>0</v>
      </c>
      <c r="M329" s="20">
        <v>0</v>
      </c>
      <c r="N329" s="20">
        <v>0</v>
      </c>
      <c r="O329" s="20">
        <v>0</v>
      </c>
      <c r="P329" s="20">
        <v>0</v>
      </c>
      <c r="Q329" s="20">
        <v>0</v>
      </c>
      <c r="R329" s="20">
        <v>0</v>
      </c>
      <c r="S329" s="20"/>
      <c r="T329" s="20">
        <f t="shared" ref="T329" si="90">E329+K329+L329+M329+N329+O329+P329</f>
        <v>101000</v>
      </c>
      <c r="U329" s="20">
        <f t="shared" ref="U329" si="91">G329+Q329+R329</f>
        <v>0</v>
      </c>
    </row>
    <row r="330" spans="1:21" s="21" customFormat="1" ht="16" customHeight="1">
      <c r="A330" s="33" t="s">
        <v>120</v>
      </c>
      <c r="B330" s="48">
        <v>2021</v>
      </c>
      <c r="C330" s="13">
        <v>17037</v>
      </c>
      <c r="D330" t="s">
        <v>4758</v>
      </c>
      <c r="E330" s="54">
        <v>1200000</v>
      </c>
      <c r="F330" s="20">
        <v>0</v>
      </c>
      <c r="G330" s="20">
        <f t="shared" si="72"/>
        <v>0</v>
      </c>
      <c r="H330" s="16" t="s">
        <v>138</v>
      </c>
      <c r="I330" s="168" t="s">
        <v>3038</v>
      </c>
      <c r="J330" t="s">
        <v>64</v>
      </c>
      <c r="K330" s="20">
        <v>0</v>
      </c>
      <c r="L330" s="20">
        <v>0</v>
      </c>
      <c r="M330" s="20">
        <v>0</v>
      </c>
      <c r="N330" s="20">
        <v>0</v>
      </c>
      <c r="O330" s="20">
        <v>0</v>
      </c>
      <c r="P330" s="20">
        <v>0</v>
      </c>
      <c r="Q330" s="20">
        <v>0</v>
      </c>
      <c r="R330" s="20">
        <v>0</v>
      </c>
      <c r="S330" s="20"/>
      <c r="T330" s="20">
        <f t="shared" si="68"/>
        <v>1200000</v>
      </c>
      <c r="U330" s="20">
        <f t="shared" ref="U330:U343" si="92">G330+Q330+R330</f>
        <v>0</v>
      </c>
    </row>
    <row r="331" spans="1:21" s="21" customFormat="1" ht="16" customHeight="1">
      <c r="A331" s="33" t="s">
        <v>120</v>
      </c>
      <c r="B331" s="48">
        <v>2021</v>
      </c>
      <c r="C331" s="13">
        <v>17229</v>
      </c>
      <c r="D331" t="s">
        <v>4759</v>
      </c>
      <c r="E331" s="54">
        <v>2600000</v>
      </c>
      <c r="F331" s="20">
        <v>0</v>
      </c>
      <c r="G331" s="20">
        <f t="shared" si="72"/>
        <v>0</v>
      </c>
      <c r="H331" s="16" t="s">
        <v>138</v>
      </c>
      <c r="I331" s="168" t="s">
        <v>2279</v>
      </c>
      <c r="J331" t="s">
        <v>64</v>
      </c>
      <c r="K331" s="20">
        <v>0</v>
      </c>
      <c r="L331" s="20">
        <v>0</v>
      </c>
      <c r="M331" s="20">
        <v>0</v>
      </c>
      <c r="N331" s="20">
        <v>0</v>
      </c>
      <c r="O331" s="20">
        <v>0</v>
      </c>
      <c r="P331" s="20">
        <v>0</v>
      </c>
      <c r="Q331" s="20">
        <v>0</v>
      </c>
      <c r="R331" s="20">
        <v>0</v>
      </c>
      <c r="S331" s="20"/>
      <c r="T331" s="20">
        <f t="shared" si="68"/>
        <v>2600000</v>
      </c>
      <c r="U331" s="20">
        <f t="shared" si="92"/>
        <v>0</v>
      </c>
    </row>
    <row r="332" spans="1:21" s="21" customFormat="1" ht="16" customHeight="1">
      <c r="A332" s="33" t="s">
        <v>120</v>
      </c>
      <c r="B332" s="48">
        <v>2021</v>
      </c>
      <c r="C332" s="13">
        <v>17285</v>
      </c>
      <c r="D332" t="s">
        <v>4760</v>
      </c>
      <c r="E332" s="54">
        <v>495000</v>
      </c>
      <c r="F332" s="20">
        <v>0</v>
      </c>
      <c r="G332" s="20">
        <f t="shared" si="72"/>
        <v>0</v>
      </c>
      <c r="H332" s="16" t="s">
        <v>138</v>
      </c>
      <c r="I332" s="168" t="s">
        <v>2279</v>
      </c>
      <c r="J332" t="s">
        <v>64</v>
      </c>
      <c r="K332" s="20">
        <v>0</v>
      </c>
      <c r="L332" s="20">
        <v>0</v>
      </c>
      <c r="M332" s="20">
        <v>0</v>
      </c>
      <c r="N332" s="20">
        <v>0</v>
      </c>
      <c r="O332" s="20">
        <v>0</v>
      </c>
      <c r="P332" s="20">
        <v>0</v>
      </c>
      <c r="Q332" s="20">
        <v>0</v>
      </c>
      <c r="R332" s="20">
        <v>0</v>
      </c>
      <c r="S332" s="20"/>
      <c r="T332" s="20">
        <f t="shared" si="68"/>
        <v>495000</v>
      </c>
      <c r="U332" s="20">
        <f t="shared" si="92"/>
        <v>0</v>
      </c>
    </row>
    <row r="333" spans="1:21" s="21" customFormat="1" ht="16" customHeight="1">
      <c r="A333" s="33" t="s">
        <v>120</v>
      </c>
      <c r="B333" s="48">
        <v>2021</v>
      </c>
      <c r="C333" s="13">
        <v>17286</v>
      </c>
      <c r="D333" t="s">
        <v>4761</v>
      </c>
      <c r="E333" s="54">
        <v>345400</v>
      </c>
      <c r="F333" s="20">
        <v>0</v>
      </c>
      <c r="G333" s="20">
        <f t="shared" si="72"/>
        <v>0</v>
      </c>
      <c r="H333" s="16" t="s">
        <v>138</v>
      </c>
      <c r="I333" s="168" t="s">
        <v>2279</v>
      </c>
      <c r="J333" t="s">
        <v>64</v>
      </c>
      <c r="K333" s="20">
        <v>0</v>
      </c>
      <c r="L333" s="20">
        <v>0</v>
      </c>
      <c r="M333" s="20">
        <v>0</v>
      </c>
      <c r="N333" s="20">
        <v>0</v>
      </c>
      <c r="O333" s="20">
        <v>0</v>
      </c>
      <c r="P333" s="20">
        <v>0</v>
      </c>
      <c r="Q333" s="20">
        <v>0</v>
      </c>
      <c r="R333" s="20">
        <v>0</v>
      </c>
      <c r="S333" s="20"/>
      <c r="T333" s="20">
        <f t="shared" si="68"/>
        <v>345400</v>
      </c>
      <c r="U333" s="20">
        <f t="shared" si="92"/>
        <v>0</v>
      </c>
    </row>
    <row r="334" spans="1:21" s="21" customFormat="1" ht="16" customHeight="1">
      <c r="A334" s="33" t="s">
        <v>120</v>
      </c>
      <c r="B334" s="48">
        <v>2021</v>
      </c>
      <c r="C334" s="13">
        <v>17291</v>
      </c>
      <c r="D334" t="s">
        <v>4762</v>
      </c>
      <c r="E334" s="54">
        <v>660000</v>
      </c>
      <c r="F334" s="20">
        <v>0</v>
      </c>
      <c r="G334" s="20">
        <f t="shared" si="72"/>
        <v>0</v>
      </c>
      <c r="H334" s="16" t="s">
        <v>138</v>
      </c>
      <c r="I334" s="168" t="s">
        <v>2279</v>
      </c>
      <c r="J334" t="s">
        <v>64</v>
      </c>
      <c r="K334" s="20">
        <v>0</v>
      </c>
      <c r="L334" s="20">
        <v>0</v>
      </c>
      <c r="M334" s="20">
        <v>0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0"/>
      <c r="T334" s="20">
        <f t="shared" si="68"/>
        <v>660000</v>
      </c>
      <c r="U334" s="20">
        <f t="shared" si="92"/>
        <v>0</v>
      </c>
    </row>
    <row r="335" spans="1:21" s="21" customFormat="1" ht="16" customHeight="1">
      <c r="A335" s="33" t="s">
        <v>120</v>
      </c>
      <c r="B335" s="48">
        <v>2021</v>
      </c>
      <c r="C335" s="13">
        <v>15814</v>
      </c>
      <c r="D335" t="s">
        <v>4763</v>
      </c>
      <c r="E335" s="54">
        <v>1050000</v>
      </c>
      <c r="F335" s="20">
        <v>0</v>
      </c>
      <c r="G335" s="20">
        <f t="shared" si="72"/>
        <v>0</v>
      </c>
      <c r="H335" s="16" t="s">
        <v>138</v>
      </c>
      <c r="I335" s="168" t="s">
        <v>4752</v>
      </c>
      <c r="J335" t="s">
        <v>64</v>
      </c>
      <c r="K335" s="20">
        <v>0</v>
      </c>
      <c r="L335" s="20">
        <v>0</v>
      </c>
      <c r="M335" s="20">
        <v>0</v>
      </c>
      <c r="N335" s="20">
        <v>0</v>
      </c>
      <c r="O335" s="20">
        <v>0</v>
      </c>
      <c r="P335" s="20">
        <v>0</v>
      </c>
      <c r="Q335" s="20">
        <v>0</v>
      </c>
      <c r="R335" s="20">
        <v>0</v>
      </c>
      <c r="S335" s="20"/>
      <c r="T335" s="20">
        <f t="shared" si="68"/>
        <v>1050000</v>
      </c>
      <c r="U335" s="20">
        <f t="shared" si="92"/>
        <v>0</v>
      </c>
    </row>
    <row r="336" spans="1:21" s="21" customFormat="1" ht="16" customHeight="1">
      <c r="A336" s="33" t="s">
        <v>120</v>
      </c>
      <c r="B336" s="48">
        <v>2021</v>
      </c>
      <c r="C336" s="13">
        <v>15816</v>
      </c>
      <c r="D336" t="s">
        <v>4764</v>
      </c>
      <c r="E336" s="54">
        <v>1200000</v>
      </c>
      <c r="F336" s="20">
        <v>0</v>
      </c>
      <c r="G336" s="20">
        <f t="shared" si="72"/>
        <v>0</v>
      </c>
      <c r="H336" s="16" t="s">
        <v>138</v>
      </c>
      <c r="I336" s="168" t="s">
        <v>1130</v>
      </c>
      <c r="J336" t="s">
        <v>64</v>
      </c>
      <c r="K336" s="20">
        <v>0</v>
      </c>
      <c r="L336" s="20">
        <v>0</v>
      </c>
      <c r="M336" s="20">
        <v>0</v>
      </c>
      <c r="N336" s="20">
        <v>0</v>
      </c>
      <c r="O336" s="20">
        <v>0</v>
      </c>
      <c r="P336" s="20">
        <v>0</v>
      </c>
      <c r="Q336" s="20">
        <v>0</v>
      </c>
      <c r="R336" s="20">
        <v>0</v>
      </c>
      <c r="S336" s="20"/>
      <c r="T336" s="20">
        <f t="shared" si="68"/>
        <v>1200000</v>
      </c>
      <c r="U336" s="20">
        <f t="shared" si="92"/>
        <v>0</v>
      </c>
    </row>
    <row r="337" spans="1:21" s="21" customFormat="1" ht="16" customHeight="1">
      <c r="A337" s="33" t="s">
        <v>120</v>
      </c>
      <c r="B337" s="48">
        <v>2021</v>
      </c>
      <c r="C337" s="13">
        <v>15909</v>
      </c>
      <c r="D337" t="s">
        <v>4765</v>
      </c>
      <c r="E337" s="54">
        <v>1200000</v>
      </c>
      <c r="F337" s="20">
        <v>0</v>
      </c>
      <c r="G337" s="20">
        <f t="shared" si="72"/>
        <v>0</v>
      </c>
      <c r="H337" s="16" t="s">
        <v>138</v>
      </c>
      <c r="I337" s="168" t="s">
        <v>2954</v>
      </c>
      <c r="J337" t="s">
        <v>64</v>
      </c>
      <c r="K337" s="20">
        <v>0</v>
      </c>
      <c r="L337" s="20">
        <v>0</v>
      </c>
      <c r="M337" s="20">
        <v>0</v>
      </c>
      <c r="N337" s="20">
        <v>0</v>
      </c>
      <c r="O337" s="20">
        <v>0</v>
      </c>
      <c r="P337" s="20">
        <v>0</v>
      </c>
      <c r="Q337" s="20">
        <v>0</v>
      </c>
      <c r="R337" s="20">
        <v>0</v>
      </c>
      <c r="S337" s="20"/>
      <c r="T337" s="20">
        <f t="shared" si="68"/>
        <v>1200000</v>
      </c>
      <c r="U337" s="20">
        <f t="shared" si="92"/>
        <v>0</v>
      </c>
    </row>
    <row r="338" spans="1:21" s="21" customFormat="1" ht="16" customHeight="1">
      <c r="A338" s="33" t="s">
        <v>120</v>
      </c>
      <c r="B338" s="48">
        <v>2021</v>
      </c>
      <c r="C338" s="13">
        <v>15910</v>
      </c>
      <c r="D338" t="s">
        <v>4766</v>
      </c>
      <c r="E338" s="54">
        <v>400000</v>
      </c>
      <c r="F338" s="20">
        <v>0</v>
      </c>
      <c r="G338" s="20">
        <f t="shared" si="72"/>
        <v>0</v>
      </c>
      <c r="H338" s="16" t="s">
        <v>138</v>
      </c>
      <c r="I338" s="168" t="s">
        <v>1961</v>
      </c>
      <c r="J338" t="s">
        <v>64</v>
      </c>
      <c r="K338" s="20">
        <v>0</v>
      </c>
      <c r="L338" s="20">
        <v>0</v>
      </c>
      <c r="M338" s="20">
        <v>0</v>
      </c>
      <c r="N338" s="20">
        <v>0</v>
      </c>
      <c r="O338" s="20">
        <v>0</v>
      </c>
      <c r="P338" s="20">
        <v>0</v>
      </c>
      <c r="Q338" s="20">
        <v>0</v>
      </c>
      <c r="R338" s="20">
        <v>0</v>
      </c>
      <c r="S338" s="20"/>
      <c r="T338" s="20">
        <f t="shared" si="68"/>
        <v>400000</v>
      </c>
      <c r="U338" s="20">
        <f t="shared" si="92"/>
        <v>0</v>
      </c>
    </row>
    <row r="339" spans="1:21" s="21" customFormat="1" ht="16" customHeight="1">
      <c r="A339" s="33" t="s">
        <v>120</v>
      </c>
      <c r="B339" s="48">
        <v>2021</v>
      </c>
      <c r="C339" s="13">
        <v>17683</v>
      </c>
      <c r="D339" t="s">
        <v>4767</v>
      </c>
      <c r="E339" s="54">
        <v>24500000</v>
      </c>
      <c r="F339" s="20">
        <v>0</v>
      </c>
      <c r="G339" s="20">
        <f t="shared" si="72"/>
        <v>0</v>
      </c>
      <c r="H339" s="16" t="s">
        <v>138</v>
      </c>
      <c r="I339" s="168" t="s">
        <v>3390</v>
      </c>
      <c r="J339" t="s">
        <v>64</v>
      </c>
      <c r="K339" s="20">
        <v>0</v>
      </c>
      <c r="L339" s="20">
        <v>0</v>
      </c>
      <c r="M339" s="20">
        <v>0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/>
      <c r="T339" s="20">
        <f t="shared" si="68"/>
        <v>24500000</v>
      </c>
      <c r="U339" s="20">
        <f t="shared" si="92"/>
        <v>0</v>
      </c>
    </row>
    <row r="340" spans="1:21" s="21" customFormat="1" ht="16" customHeight="1">
      <c r="A340" s="33" t="s">
        <v>120</v>
      </c>
      <c r="B340" s="48">
        <v>2021</v>
      </c>
      <c r="C340" s="13">
        <v>17685</v>
      </c>
      <c r="D340" t="s">
        <v>4768</v>
      </c>
      <c r="E340" s="54">
        <v>5250000</v>
      </c>
      <c r="F340" s="20">
        <v>0</v>
      </c>
      <c r="G340" s="20">
        <f t="shared" si="72"/>
        <v>0</v>
      </c>
      <c r="H340" s="16" t="s">
        <v>138</v>
      </c>
      <c r="I340" s="168" t="s">
        <v>3390</v>
      </c>
      <c r="J340" t="s">
        <v>64</v>
      </c>
      <c r="K340" s="20">
        <v>0</v>
      </c>
      <c r="L340" s="20">
        <v>0</v>
      </c>
      <c r="M340" s="20">
        <v>0</v>
      </c>
      <c r="N340" s="20">
        <v>0</v>
      </c>
      <c r="O340" s="20">
        <v>0</v>
      </c>
      <c r="P340" s="20">
        <v>0</v>
      </c>
      <c r="Q340" s="20">
        <v>0</v>
      </c>
      <c r="R340" s="20">
        <v>0</v>
      </c>
      <c r="S340" s="20"/>
      <c r="T340" s="20">
        <f t="shared" si="68"/>
        <v>5250000</v>
      </c>
      <c r="U340" s="20">
        <f t="shared" si="92"/>
        <v>0</v>
      </c>
    </row>
    <row r="341" spans="1:21" s="21" customFormat="1" ht="16" customHeight="1">
      <c r="A341" s="33" t="s">
        <v>120</v>
      </c>
      <c r="B341" s="48">
        <v>2021</v>
      </c>
      <c r="C341" s="13">
        <v>17713</v>
      </c>
      <c r="D341" s="14" t="s">
        <v>4769</v>
      </c>
      <c r="E341" s="53">
        <v>800000</v>
      </c>
      <c r="F341" s="20">
        <v>0</v>
      </c>
      <c r="G341" s="20">
        <f t="shared" si="72"/>
        <v>0</v>
      </c>
      <c r="H341" s="16" t="s">
        <v>138</v>
      </c>
      <c r="I341" s="168" t="s">
        <v>3390</v>
      </c>
      <c r="J341" s="14" t="s">
        <v>64</v>
      </c>
      <c r="K341" s="20">
        <v>0</v>
      </c>
      <c r="L341" s="20">
        <v>0</v>
      </c>
      <c r="M341" s="20">
        <v>0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/>
      <c r="T341" s="20">
        <f t="shared" si="68"/>
        <v>800000</v>
      </c>
      <c r="U341" s="20">
        <f t="shared" si="92"/>
        <v>0</v>
      </c>
    </row>
    <row r="342" spans="1:21" s="21" customFormat="1" ht="16" customHeight="1">
      <c r="A342" s="33" t="s">
        <v>120</v>
      </c>
      <c r="B342" s="48">
        <v>2021</v>
      </c>
      <c r="C342" s="13">
        <v>17746</v>
      </c>
      <c r="D342" s="14" t="s">
        <v>4770</v>
      </c>
      <c r="E342" s="53">
        <v>700000</v>
      </c>
      <c r="F342" s="20">
        <v>0</v>
      </c>
      <c r="G342" s="20">
        <f t="shared" si="72"/>
        <v>0</v>
      </c>
      <c r="H342" s="16" t="s">
        <v>138</v>
      </c>
      <c r="I342" s="168" t="s">
        <v>3390</v>
      </c>
      <c r="J342" s="14" t="s">
        <v>64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/>
      <c r="T342" s="20">
        <f t="shared" si="68"/>
        <v>700000</v>
      </c>
      <c r="U342" s="20">
        <f t="shared" si="92"/>
        <v>0</v>
      </c>
    </row>
    <row r="343" spans="1:21" s="21" customFormat="1" ht="16" customHeight="1">
      <c r="A343" s="33" t="s">
        <v>120</v>
      </c>
      <c r="B343" s="48">
        <v>2021</v>
      </c>
      <c r="C343" s="13">
        <v>17750</v>
      </c>
      <c r="D343" s="14" t="s">
        <v>4771</v>
      </c>
      <c r="E343" s="53">
        <v>6000000</v>
      </c>
      <c r="F343" s="20">
        <v>0</v>
      </c>
      <c r="G343" s="20">
        <f t="shared" si="72"/>
        <v>0</v>
      </c>
      <c r="H343" s="16" t="s">
        <v>138</v>
      </c>
      <c r="I343" s="168" t="s">
        <v>3390</v>
      </c>
      <c r="J343" s="14" t="s">
        <v>64</v>
      </c>
      <c r="K343" s="20">
        <v>0</v>
      </c>
      <c r="L343" s="20">
        <v>0</v>
      </c>
      <c r="M343" s="20">
        <v>0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/>
      <c r="T343" s="20">
        <f t="shared" si="68"/>
        <v>6000000</v>
      </c>
      <c r="U343" s="20">
        <f t="shared" si="92"/>
        <v>0</v>
      </c>
    </row>
    <row r="344" spans="1:21" s="21" customFormat="1" ht="16" customHeight="1">
      <c r="A344" s="33" t="s">
        <v>120</v>
      </c>
      <c r="B344" s="48">
        <v>2021</v>
      </c>
      <c r="C344" s="13">
        <v>17751</v>
      </c>
      <c r="D344" s="14" t="s">
        <v>4772</v>
      </c>
      <c r="E344" s="53">
        <v>6000000</v>
      </c>
      <c r="F344" s="20">
        <v>0</v>
      </c>
      <c r="G344" s="20">
        <f t="shared" si="72"/>
        <v>0</v>
      </c>
      <c r="H344" s="16" t="s">
        <v>138</v>
      </c>
      <c r="I344" s="168" t="s">
        <v>3390</v>
      </c>
      <c r="J344" s="14" t="s">
        <v>64</v>
      </c>
      <c r="K344" s="20">
        <v>0</v>
      </c>
      <c r="L344" s="20">
        <v>0</v>
      </c>
      <c r="M344" s="20">
        <v>0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/>
      <c r="T344" s="20">
        <f t="shared" si="68"/>
        <v>6000000</v>
      </c>
      <c r="U344" s="20">
        <f t="shared" ref="U344:U368" si="93">G344+Q344+R344</f>
        <v>0</v>
      </c>
    </row>
    <row r="345" spans="1:21" s="21" customFormat="1" ht="16" customHeight="1">
      <c r="A345" s="33" t="s">
        <v>120</v>
      </c>
      <c r="B345" s="48">
        <v>2021</v>
      </c>
      <c r="C345" s="13">
        <v>17752</v>
      </c>
      <c r="D345" s="14" t="s">
        <v>4773</v>
      </c>
      <c r="E345" s="53">
        <v>2500000</v>
      </c>
      <c r="F345" s="20">
        <v>0</v>
      </c>
      <c r="G345" s="20">
        <f t="shared" si="72"/>
        <v>0</v>
      </c>
      <c r="H345" s="16" t="s">
        <v>138</v>
      </c>
      <c r="I345" s="168" t="s">
        <v>3390</v>
      </c>
      <c r="J345" s="14" t="s">
        <v>64</v>
      </c>
      <c r="K345" s="20">
        <v>0</v>
      </c>
      <c r="L345" s="20">
        <v>0</v>
      </c>
      <c r="M345" s="20">
        <v>0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/>
      <c r="T345" s="20">
        <f t="shared" si="68"/>
        <v>2500000</v>
      </c>
      <c r="U345" s="20">
        <f t="shared" ref="U345" si="94">G345+Q345+R345</f>
        <v>0</v>
      </c>
    </row>
    <row r="346" spans="1:21" s="21" customFormat="1" ht="16" customHeight="1">
      <c r="A346" s="33" t="s">
        <v>120</v>
      </c>
      <c r="B346" s="48">
        <v>2021</v>
      </c>
      <c r="C346" s="13">
        <v>17687</v>
      </c>
      <c r="D346" t="s">
        <v>4774</v>
      </c>
      <c r="E346" s="54">
        <v>750000</v>
      </c>
      <c r="F346" s="20">
        <v>0</v>
      </c>
      <c r="G346" s="20">
        <f t="shared" si="72"/>
        <v>0</v>
      </c>
      <c r="H346" s="16" t="s">
        <v>138</v>
      </c>
      <c r="I346" s="168" t="s">
        <v>3010</v>
      </c>
      <c r="J346" t="s">
        <v>64</v>
      </c>
      <c r="K346" s="20">
        <v>0</v>
      </c>
      <c r="L346" s="20">
        <v>0</v>
      </c>
      <c r="M346" s="20">
        <v>0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/>
      <c r="T346" s="20">
        <f t="shared" si="68"/>
        <v>750000</v>
      </c>
      <c r="U346" s="20">
        <f t="shared" si="93"/>
        <v>0</v>
      </c>
    </row>
    <row r="347" spans="1:21" s="21" customFormat="1" ht="16" customHeight="1">
      <c r="A347" s="33" t="s">
        <v>120</v>
      </c>
      <c r="B347" s="48">
        <v>2021</v>
      </c>
      <c r="C347" s="13">
        <v>16531</v>
      </c>
      <c r="D347" t="s">
        <v>4775</v>
      </c>
      <c r="E347" s="54">
        <v>3500000</v>
      </c>
      <c r="F347" s="20">
        <v>0</v>
      </c>
      <c r="G347" s="20">
        <f t="shared" si="72"/>
        <v>0</v>
      </c>
      <c r="H347" s="16" t="s">
        <v>138</v>
      </c>
      <c r="I347" s="168" t="s">
        <v>3020</v>
      </c>
      <c r="J347" t="s">
        <v>64</v>
      </c>
      <c r="K347" s="20">
        <v>0</v>
      </c>
      <c r="L347" s="20">
        <v>0</v>
      </c>
      <c r="M347" s="20">
        <v>0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/>
      <c r="T347" s="20">
        <f t="shared" si="68"/>
        <v>3500000</v>
      </c>
      <c r="U347" s="20">
        <f t="shared" si="93"/>
        <v>0</v>
      </c>
    </row>
    <row r="348" spans="1:21" s="21" customFormat="1" ht="16" customHeight="1">
      <c r="A348" s="33" t="s">
        <v>120</v>
      </c>
      <c r="B348" s="48">
        <v>2021</v>
      </c>
      <c r="C348" s="13">
        <v>16363</v>
      </c>
      <c r="D348" t="s">
        <v>4776</v>
      </c>
      <c r="E348" s="54">
        <v>6075000</v>
      </c>
      <c r="F348" s="20">
        <v>0</v>
      </c>
      <c r="G348" s="20">
        <f t="shared" si="72"/>
        <v>0</v>
      </c>
      <c r="H348" s="16" t="s">
        <v>138</v>
      </c>
      <c r="I348" s="168" t="s">
        <v>3020</v>
      </c>
      <c r="J348" t="s">
        <v>64</v>
      </c>
      <c r="K348" s="20">
        <v>0</v>
      </c>
      <c r="L348" s="20">
        <v>0</v>
      </c>
      <c r="M348" s="20">
        <v>0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/>
      <c r="T348" s="20">
        <f t="shared" si="68"/>
        <v>6075000</v>
      </c>
      <c r="U348" s="20">
        <f t="shared" ref="U348" si="95">G348+Q348+R348</f>
        <v>0</v>
      </c>
    </row>
    <row r="349" spans="1:21" s="21" customFormat="1" ht="16" customHeight="1">
      <c r="A349" s="33" t="s">
        <v>120</v>
      </c>
      <c r="B349" s="48">
        <v>2021</v>
      </c>
      <c r="C349" s="13">
        <v>18138</v>
      </c>
      <c r="D349" t="s">
        <v>4869</v>
      </c>
      <c r="E349" s="54">
        <v>400000</v>
      </c>
      <c r="F349" s="20">
        <v>0</v>
      </c>
      <c r="G349" s="20">
        <f t="shared" si="72"/>
        <v>0</v>
      </c>
      <c r="H349" s="16" t="s">
        <v>138</v>
      </c>
      <c r="I349" s="168" t="s">
        <v>3020</v>
      </c>
      <c r="J349" t="s">
        <v>64</v>
      </c>
      <c r="K349" s="20">
        <v>0</v>
      </c>
      <c r="L349" s="20">
        <v>0</v>
      </c>
      <c r="M349" s="20">
        <v>0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/>
      <c r="T349" s="20">
        <f t="shared" si="68"/>
        <v>400000</v>
      </c>
      <c r="U349" s="20">
        <f t="shared" si="93"/>
        <v>0</v>
      </c>
    </row>
    <row r="350" spans="1:21" s="21" customFormat="1" ht="16" customHeight="1">
      <c r="A350" s="33" t="s">
        <v>120</v>
      </c>
      <c r="B350" s="48">
        <v>2021</v>
      </c>
      <c r="C350" s="13">
        <v>17911</v>
      </c>
      <c r="D350" t="s">
        <v>4777</v>
      </c>
      <c r="E350" s="54">
        <v>17411200</v>
      </c>
      <c r="F350" s="20">
        <v>0</v>
      </c>
      <c r="G350" s="20">
        <f t="shared" si="72"/>
        <v>0</v>
      </c>
      <c r="H350" s="16" t="s">
        <v>138</v>
      </c>
      <c r="I350" s="168" t="s">
        <v>3045</v>
      </c>
      <c r="J350" t="s">
        <v>64</v>
      </c>
      <c r="K350" s="20">
        <v>0</v>
      </c>
      <c r="L350" s="20">
        <v>0</v>
      </c>
      <c r="M350" s="20">
        <v>0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/>
      <c r="T350" s="20">
        <f t="shared" si="68"/>
        <v>17411200</v>
      </c>
      <c r="U350" s="20">
        <f t="shared" si="93"/>
        <v>0</v>
      </c>
    </row>
    <row r="351" spans="1:21" s="21" customFormat="1" ht="16" customHeight="1">
      <c r="A351" s="33" t="s">
        <v>120</v>
      </c>
      <c r="B351" s="48">
        <v>2021</v>
      </c>
      <c r="C351" s="13">
        <v>15805</v>
      </c>
      <c r="D351" t="s">
        <v>4778</v>
      </c>
      <c r="E351" s="54">
        <v>1050000</v>
      </c>
      <c r="F351" s="20">
        <v>0</v>
      </c>
      <c r="G351" s="20">
        <f t="shared" si="72"/>
        <v>0</v>
      </c>
      <c r="H351" s="16" t="s">
        <v>138</v>
      </c>
      <c r="I351" s="168" t="s">
        <v>393</v>
      </c>
      <c r="J351" t="s">
        <v>64</v>
      </c>
      <c r="K351" s="20">
        <v>0</v>
      </c>
      <c r="L351" s="20">
        <v>0</v>
      </c>
      <c r="M351" s="20">
        <v>0</v>
      </c>
      <c r="N351" s="20">
        <v>0</v>
      </c>
      <c r="O351" s="20">
        <v>0</v>
      </c>
      <c r="P351" s="20">
        <v>0</v>
      </c>
      <c r="Q351" s="20">
        <v>0</v>
      </c>
      <c r="R351" s="20">
        <v>0</v>
      </c>
      <c r="S351" s="20"/>
      <c r="T351" s="20">
        <f t="shared" si="68"/>
        <v>1050000</v>
      </c>
      <c r="U351" s="20">
        <f t="shared" si="93"/>
        <v>0</v>
      </c>
    </row>
    <row r="352" spans="1:21" s="21" customFormat="1" ht="16" customHeight="1">
      <c r="A352" s="33" t="s">
        <v>120</v>
      </c>
      <c r="B352" s="48">
        <v>2021</v>
      </c>
      <c r="C352" s="13">
        <v>17071</v>
      </c>
      <c r="D352" t="s">
        <v>4779</v>
      </c>
      <c r="E352" s="54">
        <v>1200000</v>
      </c>
      <c r="F352" s="20">
        <v>0</v>
      </c>
      <c r="G352" s="20">
        <f t="shared" si="72"/>
        <v>0</v>
      </c>
      <c r="H352" s="16" t="s">
        <v>138</v>
      </c>
      <c r="I352" s="168" t="s">
        <v>2982</v>
      </c>
      <c r="J352" t="s">
        <v>64</v>
      </c>
      <c r="K352" s="20">
        <v>0</v>
      </c>
      <c r="L352" s="20">
        <v>0</v>
      </c>
      <c r="M352" s="20">
        <v>0</v>
      </c>
      <c r="N352" s="20">
        <v>0</v>
      </c>
      <c r="O352" s="20">
        <v>0</v>
      </c>
      <c r="P352" s="20">
        <v>0</v>
      </c>
      <c r="Q352" s="20">
        <v>0</v>
      </c>
      <c r="R352" s="20">
        <v>0</v>
      </c>
      <c r="S352" s="20"/>
      <c r="T352" s="20">
        <f t="shared" si="68"/>
        <v>1200000</v>
      </c>
      <c r="U352" s="20">
        <f t="shared" si="93"/>
        <v>0</v>
      </c>
    </row>
    <row r="353" spans="1:21" s="21" customFormat="1" ht="16" customHeight="1">
      <c r="A353" s="33" t="s">
        <v>120</v>
      </c>
      <c r="B353" s="48">
        <v>2021</v>
      </c>
      <c r="C353" s="13">
        <v>17348</v>
      </c>
      <c r="D353" t="s">
        <v>4780</v>
      </c>
      <c r="E353" s="54">
        <v>3500000</v>
      </c>
      <c r="F353" s="20">
        <v>0</v>
      </c>
      <c r="G353" s="20">
        <f t="shared" si="72"/>
        <v>0</v>
      </c>
      <c r="H353" s="16" t="s">
        <v>138</v>
      </c>
      <c r="I353" s="168" t="s">
        <v>2982</v>
      </c>
      <c r="J353" t="s">
        <v>64</v>
      </c>
      <c r="K353" s="20">
        <v>0</v>
      </c>
      <c r="L353" s="20">
        <v>0</v>
      </c>
      <c r="M353" s="20">
        <v>0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/>
      <c r="T353" s="20">
        <f t="shared" si="68"/>
        <v>3500000</v>
      </c>
      <c r="U353" s="20">
        <f t="shared" si="93"/>
        <v>0</v>
      </c>
    </row>
    <row r="354" spans="1:21" s="21" customFormat="1" ht="16" customHeight="1">
      <c r="A354" s="33" t="s">
        <v>120</v>
      </c>
      <c r="B354" s="48">
        <v>2021</v>
      </c>
      <c r="C354" s="13">
        <v>17481</v>
      </c>
      <c r="D354" t="s">
        <v>4781</v>
      </c>
      <c r="E354" s="54">
        <v>10400000</v>
      </c>
      <c r="F354" s="20">
        <v>0</v>
      </c>
      <c r="G354" s="20">
        <f t="shared" si="72"/>
        <v>0</v>
      </c>
      <c r="H354" s="16" t="s">
        <v>138</v>
      </c>
      <c r="I354" s="168" t="s">
        <v>2982</v>
      </c>
      <c r="J354" t="s">
        <v>64</v>
      </c>
      <c r="K354" s="20">
        <v>0</v>
      </c>
      <c r="L354" s="20">
        <v>0</v>
      </c>
      <c r="M354" s="20">
        <v>0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/>
      <c r="T354" s="20">
        <f t="shared" si="68"/>
        <v>10400000</v>
      </c>
      <c r="U354" s="20">
        <f t="shared" si="93"/>
        <v>0</v>
      </c>
    </row>
    <row r="355" spans="1:21" s="21" customFormat="1" ht="16" customHeight="1">
      <c r="A355" s="33" t="s">
        <v>120</v>
      </c>
      <c r="B355" s="48">
        <v>2021</v>
      </c>
      <c r="C355" s="13">
        <v>16909</v>
      </c>
      <c r="D355" t="s">
        <v>4782</v>
      </c>
      <c r="E355" s="54">
        <v>1050000</v>
      </c>
      <c r="F355" s="20">
        <v>0</v>
      </c>
      <c r="G355" s="20">
        <f t="shared" si="72"/>
        <v>0</v>
      </c>
      <c r="H355" s="16" t="s">
        <v>138</v>
      </c>
      <c r="I355" s="168" t="s">
        <v>3015</v>
      </c>
      <c r="J355" t="s">
        <v>64</v>
      </c>
      <c r="K355" s="20">
        <v>0</v>
      </c>
      <c r="L355" s="20">
        <v>0</v>
      </c>
      <c r="M355" s="20">
        <v>0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/>
      <c r="T355" s="20">
        <f t="shared" si="68"/>
        <v>1050000</v>
      </c>
      <c r="U355" s="20">
        <f t="shared" si="93"/>
        <v>0</v>
      </c>
    </row>
    <row r="356" spans="1:21" s="21" customFormat="1" ht="16" customHeight="1">
      <c r="A356" s="33" t="s">
        <v>120</v>
      </c>
      <c r="B356" s="48">
        <v>2021</v>
      </c>
      <c r="C356" s="13">
        <v>17525</v>
      </c>
      <c r="D356" t="s">
        <v>4783</v>
      </c>
      <c r="E356" s="54">
        <v>3800000</v>
      </c>
      <c r="F356" s="20">
        <v>0</v>
      </c>
      <c r="G356" s="20">
        <f t="shared" si="72"/>
        <v>0</v>
      </c>
      <c r="H356" s="16" t="s">
        <v>138</v>
      </c>
      <c r="I356" s="168" t="s">
        <v>2998</v>
      </c>
      <c r="J356" t="s">
        <v>64</v>
      </c>
      <c r="K356" s="20">
        <v>0</v>
      </c>
      <c r="L356" s="20">
        <v>0</v>
      </c>
      <c r="M356" s="20">
        <v>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/>
      <c r="T356" s="20">
        <f t="shared" si="68"/>
        <v>3800000</v>
      </c>
      <c r="U356" s="20">
        <f t="shared" si="93"/>
        <v>0</v>
      </c>
    </row>
    <row r="357" spans="1:21" s="21" customFormat="1" ht="16" customHeight="1">
      <c r="A357" s="33" t="s">
        <v>120</v>
      </c>
      <c r="B357" s="48">
        <v>2021</v>
      </c>
      <c r="C357" s="13">
        <v>16731</v>
      </c>
      <c r="D357" t="s">
        <v>4784</v>
      </c>
      <c r="E357" s="54">
        <v>1100000</v>
      </c>
      <c r="F357" s="20">
        <v>0</v>
      </c>
      <c r="G357" s="20">
        <f t="shared" si="72"/>
        <v>0</v>
      </c>
      <c r="H357" s="16" t="s">
        <v>138</v>
      </c>
      <c r="I357" s="168" t="s">
        <v>3014</v>
      </c>
      <c r="J357" t="s">
        <v>64</v>
      </c>
      <c r="K357" s="20">
        <v>0</v>
      </c>
      <c r="L357" s="20">
        <v>0</v>
      </c>
      <c r="M357" s="20">
        <v>0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/>
      <c r="T357" s="20">
        <f t="shared" si="68"/>
        <v>1100000</v>
      </c>
      <c r="U357" s="20">
        <f t="shared" si="93"/>
        <v>0</v>
      </c>
    </row>
    <row r="358" spans="1:21" s="21" customFormat="1" ht="16" customHeight="1">
      <c r="A358" s="33" t="s">
        <v>120</v>
      </c>
      <c r="B358" s="48">
        <v>2021</v>
      </c>
      <c r="C358" s="13">
        <v>15810</v>
      </c>
      <c r="D358" t="s">
        <v>4785</v>
      </c>
      <c r="E358" s="54">
        <v>1300000</v>
      </c>
      <c r="F358" s="20">
        <v>0</v>
      </c>
      <c r="G358" s="20">
        <f t="shared" si="72"/>
        <v>0</v>
      </c>
      <c r="H358" s="16" t="s">
        <v>138</v>
      </c>
      <c r="I358" s="168" t="s">
        <v>3022</v>
      </c>
      <c r="J358" t="s">
        <v>64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/>
      <c r="T358" s="20">
        <f t="shared" si="68"/>
        <v>1300000</v>
      </c>
      <c r="U358" s="20">
        <f t="shared" si="93"/>
        <v>0</v>
      </c>
    </row>
    <row r="359" spans="1:21" s="21" customFormat="1" ht="16" customHeight="1">
      <c r="A359" s="33" t="s">
        <v>120</v>
      </c>
      <c r="B359" s="48">
        <v>2021</v>
      </c>
      <c r="C359" s="13">
        <v>16321</v>
      </c>
      <c r="D359" t="s">
        <v>4786</v>
      </c>
      <c r="E359" s="54">
        <v>1250000</v>
      </c>
      <c r="F359" s="20">
        <v>0</v>
      </c>
      <c r="G359" s="20">
        <f t="shared" si="72"/>
        <v>0</v>
      </c>
      <c r="H359" s="16" t="s">
        <v>138</v>
      </c>
      <c r="I359" s="168" t="s">
        <v>3013</v>
      </c>
      <c r="J359" t="s">
        <v>64</v>
      </c>
      <c r="K359" s="20">
        <v>0</v>
      </c>
      <c r="L359" s="20">
        <v>0</v>
      </c>
      <c r="M359" s="20">
        <v>0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/>
      <c r="T359" s="20">
        <f t="shared" si="68"/>
        <v>1250000</v>
      </c>
      <c r="U359" s="20">
        <f t="shared" si="93"/>
        <v>0</v>
      </c>
    </row>
    <row r="360" spans="1:21" s="21" customFormat="1" ht="16" customHeight="1">
      <c r="A360" s="33" t="s">
        <v>120</v>
      </c>
      <c r="B360" s="48">
        <v>2021</v>
      </c>
      <c r="C360" s="13">
        <v>16659</v>
      </c>
      <c r="D360" t="s">
        <v>4787</v>
      </c>
      <c r="E360" s="54">
        <v>2925000</v>
      </c>
      <c r="F360" s="20">
        <v>0</v>
      </c>
      <c r="G360" s="20">
        <f t="shared" si="72"/>
        <v>0</v>
      </c>
      <c r="H360" s="16" t="s">
        <v>138</v>
      </c>
      <c r="I360" s="168" t="s">
        <v>3013</v>
      </c>
      <c r="J360" t="s">
        <v>64</v>
      </c>
      <c r="K360" s="20">
        <v>0</v>
      </c>
      <c r="L360" s="20">
        <v>0</v>
      </c>
      <c r="M360" s="20">
        <v>0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/>
      <c r="T360" s="20">
        <f t="shared" si="68"/>
        <v>2925000</v>
      </c>
      <c r="U360" s="20">
        <f t="shared" si="93"/>
        <v>0</v>
      </c>
    </row>
    <row r="361" spans="1:21" s="21" customFormat="1" ht="16" customHeight="1">
      <c r="A361" s="33" t="s">
        <v>120</v>
      </c>
      <c r="B361" s="48">
        <v>2021</v>
      </c>
      <c r="C361" s="13">
        <v>16716</v>
      </c>
      <c r="D361" t="s">
        <v>4788</v>
      </c>
      <c r="E361" s="54">
        <v>400000</v>
      </c>
      <c r="F361" s="20">
        <v>0</v>
      </c>
      <c r="G361" s="20">
        <f t="shared" si="72"/>
        <v>0</v>
      </c>
      <c r="H361" s="16" t="s">
        <v>138</v>
      </c>
      <c r="I361" s="168" t="s">
        <v>3017</v>
      </c>
      <c r="J361" t="s">
        <v>64</v>
      </c>
      <c r="K361" s="20">
        <v>0</v>
      </c>
      <c r="L361" s="20">
        <v>0</v>
      </c>
      <c r="M361" s="20">
        <v>0</v>
      </c>
      <c r="N361" s="20">
        <v>0</v>
      </c>
      <c r="O361" s="20">
        <v>0</v>
      </c>
      <c r="P361" s="20">
        <v>0</v>
      </c>
      <c r="Q361" s="20">
        <v>0</v>
      </c>
      <c r="R361" s="20">
        <v>0</v>
      </c>
      <c r="S361" s="20"/>
      <c r="T361" s="20">
        <f t="shared" si="68"/>
        <v>400000</v>
      </c>
      <c r="U361" s="20">
        <f t="shared" si="93"/>
        <v>0</v>
      </c>
    </row>
    <row r="362" spans="1:21" s="21" customFormat="1" ht="16" customHeight="1">
      <c r="A362" s="33" t="s">
        <v>120</v>
      </c>
      <c r="B362" s="48">
        <v>2021</v>
      </c>
      <c r="C362" s="13">
        <v>17650</v>
      </c>
      <c r="D362" t="s">
        <v>4789</v>
      </c>
      <c r="E362" s="54">
        <v>450000</v>
      </c>
      <c r="F362" s="20">
        <v>0</v>
      </c>
      <c r="G362" s="20">
        <f t="shared" si="72"/>
        <v>0</v>
      </c>
      <c r="H362" s="16" t="s">
        <v>138</v>
      </c>
      <c r="I362" s="168" t="s">
        <v>3391</v>
      </c>
      <c r="J362" t="s">
        <v>64</v>
      </c>
      <c r="K362" s="20">
        <v>0</v>
      </c>
      <c r="L362" s="20">
        <v>0</v>
      </c>
      <c r="M362" s="20">
        <v>0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/>
      <c r="T362" s="20">
        <f t="shared" si="68"/>
        <v>450000</v>
      </c>
      <c r="U362" s="20">
        <f t="shared" si="93"/>
        <v>0</v>
      </c>
    </row>
    <row r="363" spans="1:21" s="21" customFormat="1" ht="16" customHeight="1">
      <c r="A363" s="33" t="s">
        <v>120</v>
      </c>
      <c r="B363" s="48">
        <v>2021</v>
      </c>
      <c r="C363" s="13">
        <v>17747</v>
      </c>
      <c r="D363" t="s">
        <v>4790</v>
      </c>
      <c r="E363" s="54">
        <v>6300000</v>
      </c>
      <c r="F363" s="20">
        <v>0</v>
      </c>
      <c r="G363" s="20">
        <f t="shared" si="72"/>
        <v>0</v>
      </c>
      <c r="H363" s="16" t="s">
        <v>138</v>
      </c>
      <c r="I363" s="168" t="s">
        <v>3391</v>
      </c>
      <c r="J363" t="s">
        <v>64</v>
      </c>
      <c r="K363" s="20">
        <v>0</v>
      </c>
      <c r="L363" s="20">
        <v>0</v>
      </c>
      <c r="M363" s="20">
        <v>0</v>
      </c>
      <c r="N363" s="20">
        <v>0</v>
      </c>
      <c r="O363" s="20">
        <v>0</v>
      </c>
      <c r="P363" s="20">
        <v>0</v>
      </c>
      <c r="Q363" s="20">
        <v>0</v>
      </c>
      <c r="R363" s="20">
        <v>0</v>
      </c>
      <c r="S363" s="20"/>
      <c r="T363" s="20">
        <f t="shared" si="68"/>
        <v>6300000</v>
      </c>
      <c r="U363" s="20">
        <f t="shared" si="93"/>
        <v>0</v>
      </c>
    </row>
    <row r="364" spans="1:21" s="21" customFormat="1" ht="16" customHeight="1">
      <c r="A364" s="33" t="s">
        <v>120</v>
      </c>
      <c r="B364" s="48">
        <v>2021</v>
      </c>
      <c r="C364" s="13">
        <v>17748</v>
      </c>
      <c r="D364" t="s">
        <v>4791</v>
      </c>
      <c r="E364" s="54">
        <v>600000</v>
      </c>
      <c r="F364" s="20">
        <v>0</v>
      </c>
      <c r="G364" s="20">
        <f t="shared" si="72"/>
        <v>0</v>
      </c>
      <c r="H364" s="16" t="s">
        <v>138</v>
      </c>
      <c r="I364" s="168" t="s">
        <v>3391</v>
      </c>
      <c r="J364" t="s">
        <v>64</v>
      </c>
      <c r="K364" s="20">
        <v>0</v>
      </c>
      <c r="L364" s="20">
        <v>0</v>
      </c>
      <c r="M364" s="20">
        <v>0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0"/>
      <c r="T364" s="20">
        <f t="shared" si="68"/>
        <v>600000</v>
      </c>
      <c r="U364" s="20">
        <f t="shared" si="93"/>
        <v>0</v>
      </c>
    </row>
    <row r="365" spans="1:21" s="21" customFormat="1" ht="16" customHeight="1">
      <c r="A365" s="33" t="s">
        <v>120</v>
      </c>
      <c r="B365" s="48">
        <v>2021</v>
      </c>
      <c r="C365" s="13">
        <v>17753</v>
      </c>
      <c r="D365" t="s">
        <v>4792</v>
      </c>
      <c r="E365" s="54">
        <v>18356700</v>
      </c>
      <c r="F365" s="20">
        <v>0</v>
      </c>
      <c r="G365" s="20">
        <f t="shared" si="72"/>
        <v>0</v>
      </c>
      <c r="H365" s="16" t="s">
        <v>138</v>
      </c>
      <c r="I365" s="168" t="s">
        <v>3391</v>
      </c>
      <c r="J365" t="s">
        <v>64</v>
      </c>
      <c r="K365" s="20">
        <v>0</v>
      </c>
      <c r="L365" s="20">
        <v>0</v>
      </c>
      <c r="M365" s="20">
        <v>0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0"/>
      <c r="T365" s="20">
        <f t="shared" si="68"/>
        <v>18356700</v>
      </c>
      <c r="U365" s="20">
        <f t="shared" si="93"/>
        <v>0</v>
      </c>
    </row>
    <row r="366" spans="1:21" s="21" customFormat="1" ht="16" customHeight="1">
      <c r="A366" s="33" t="s">
        <v>120</v>
      </c>
      <c r="B366" s="48">
        <v>2021</v>
      </c>
      <c r="C366" s="13">
        <v>17755</v>
      </c>
      <c r="D366" t="s">
        <v>4793</v>
      </c>
      <c r="E366" s="54">
        <v>7700000</v>
      </c>
      <c r="F366" s="20">
        <v>0</v>
      </c>
      <c r="G366" s="20">
        <f t="shared" si="72"/>
        <v>0</v>
      </c>
      <c r="H366" s="16" t="s">
        <v>138</v>
      </c>
      <c r="I366" s="168" t="s">
        <v>3391</v>
      </c>
      <c r="J366" t="s">
        <v>64</v>
      </c>
      <c r="K366" s="20">
        <v>0</v>
      </c>
      <c r="L366" s="20">
        <v>0</v>
      </c>
      <c r="M366" s="20">
        <v>0</v>
      </c>
      <c r="N366" s="20">
        <v>0</v>
      </c>
      <c r="O366" s="20">
        <v>0</v>
      </c>
      <c r="P366" s="20">
        <v>0</v>
      </c>
      <c r="Q366" s="20">
        <v>0</v>
      </c>
      <c r="R366" s="20">
        <v>0</v>
      </c>
      <c r="S366" s="20"/>
      <c r="T366" s="20">
        <f t="shared" si="68"/>
        <v>7700000</v>
      </c>
      <c r="U366" s="20">
        <f t="shared" si="93"/>
        <v>0</v>
      </c>
    </row>
    <row r="367" spans="1:21" s="21" customFormat="1" ht="16" customHeight="1">
      <c r="A367" s="33" t="s">
        <v>120</v>
      </c>
      <c r="B367" s="48">
        <v>2021</v>
      </c>
      <c r="C367" s="13">
        <v>17756</v>
      </c>
      <c r="D367" t="s">
        <v>4794</v>
      </c>
      <c r="E367" s="54">
        <v>2350000</v>
      </c>
      <c r="F367" s="20">
        <v>0</v>
      </c>
      <c r="G367" s="20">
        <f t="shared" si="72"/>
        <v>0</v>
      </c>
      <c r="H367" s="16" t="s">
        <v>138</v>
      </c>
      <c r="I367" s="168" t="s">
        <v>4753</v>
      </c>
      <c r="J367" t="s">
        <v>64</v>
      </c>
      <c r="K367" s="20">
        <v>0</v>
      </c>
      <c r="L367" s="20">
        <v>0</v>
      </c>
      <c r="M367" s="20">
        <v>0</v>
      </c>
      <c r="N367" s="20">
        <v>0</v>
      </c>
      <c r="O367" s="20">
        <v>0</v>
      </c>
      <c r="P367" s="20">
        <v>0</v>
      </c>
      <c r="Q367" s="20">
        <v>0</v>
      </c>
      <c r="R367" s="20">
        <v>0</v>
      </c>
      <c r="S367" s="20"/>
      <c r="T367" s="20">
        <f t="shared" si="68"/>
        <v>2350000</v>
      </c>
      <c r="U367" s="20">
        <f t="shared" si="93"/>
        <v>0</v>
      </c>
    </row>
    <row r="368" spans="1:21" s="21" customFormat="1" ht="16" customHeight="1">
      <c r="A368" s="33" t="s">
        <v>120</v>
      </c>
      <c r="B368" s="48">
        <v>2021</v>
      </c>
      <c r="C368" s="13">
        <v>17829</v>
      </c>
      <c r="D368" t="s">
        <v>4795</v>
      </c>
      <c r="E368" s="54">
        <v>2500000</v>
      </c>
      <c r="F368" s="20">
        <v>0</v>
      </c>
      <c r="G368" s="20">
        <f t="shared" si="72"/>
        <v>0</v>
      </c>
      <c r="H368" s="16" t="s">
        <v>138</v>
      </c>
      <c r="I368" s="168" t="s">
        <v>4753</v>
      </c>
      <c r="J368" t="s">
        <v>64</v>
      </c>
      <c r="K368" s="20">
        <v>0</v>
      </c>
      <c r="L368" s="20">
        <v>0</v>
      </c>
      <c r="M368" s="20">
        <v>0</v>
      </c>
      <c r="N368" s="20">
        <v>0</v>
      </c>
      <c r="O368" s="20">
        <v>0</v>
      </c>
      <c r="P368" s="20">
        <v>0</v>
      </c>
      <c r="Q368" s="20">
        <v>0</v>
      </c>
      <c r="R368" s="20">
        <v>0</v>
      </c>
      <c r="S368" s="20"/>
      <c r="T368" s="20">
        <f t="shared" si="68"/>
        <v>2500000</v>
      </c>
      <c r="U368" s="20">
        <f t="shared" si="93"/>
        <v>0</v>
      </c>
    </row>
    <row r="369" spans="1:21" s="21" customFormat="1" ht="16" customHeight="1">
      <c r="A369" s="33" t="s">
        <v>120</v>
      </c>
      <c r="B369" s="48">
        <v>2021</v>
      </c>
      <c r="C369" s="13">
        <v>17830</v>
      </c>
      <c r="D369" t="s">
        <v>4796</v>
      </c>
      <c r="E369" s="54">
        <v>2500000</v>
      </c>
      <c r="F369" s="20">
        <v>0</v>
      </c>
      <c r="G369" s="20">
        <f t="shared" si="72"/>
        <v>0</v>
      </c>
      <c r="H369" s="16" t="s">
        <v>138</v>
      </c>
      <c r="I369" s="168" t="s">
        <v>4753</v>
      </c>
      <c r="J369" t="s">
        <v>64</v>
      </c>
      <c r="K369" s="20">
        <v>0</v>
      </c>
      <c r="L369" s="20">
        <v>0</v>
      </c>
      <c r="M369" s="20">
        <v>0</v>
      </c>
      <c r="N369" s="20">
        <v>0</v>
      </c>
      <c r="O369" s="20">
        <v>0</v>
      </c>
      <c r="P369" s="20">
        <v>0</v>
      </c>
      <c r="Q369" s="20">
        <v>0</v>
      </c>
      <c r="R369" s="20">
        <v>0</v>
      </c>
      <c r="S369" s="20"/>
      <c r="T369" s="20">
        <f t="shared" si="68"/>
        <v>2500000</v>
      </c>
      <c r="U369" s="20">
        <f t="shared" ref="U369:U387" si="96">G369+Q369+R369</f>
        <v>0</v>
      </c>
    </row>
    <row r="370" spans="1:21" s="21" customFormat="1" ht="16" customHeight="1">
      <c r="A370" s="33" t="s">
        <v>120</v>
      </c>
      <c r="B370" s="48">
        <v>2021</v>
      </c>
      <c r="C370" s="13">
        <v>18080</v>
      </c>
      <c r="D370" t="s">
        <v>4797</v>
      </c>
      <c r="E370" s="54">
        <v>2500000</v>
      </c>
      <c r="F370" s="20">
        <v>0</v>
      </c>
      <c r="G370" s="20">
        <f t="shared" si="72"/>
        <v>0</v>
      </c>
      <c r="H370" s="16" t="s">
        <v>138</v>
      </c>
      <c r="I370" s="168" t="s">
        <v>4753</v>
      </c>
      <c r="J370" t="s">
        <v>64</v>
      </c>
      <c r="K370" s="20">
        <v>0</v>
      </c>
      <c r="L370" s="20">
        <v>0</v>
      </c>
      <c r="M370" s="20">
        <v>0</v>
      </c>
      <c r="N370" s="20">
        <v>0</v>
      </c>
      <c r="O370" s="20">
        <v>0</v>
      </c>
      <c r="P370" s="20">
        <v>0</v>
      </c>
      <c r="Q370" s="20">
        <v>0</v>
      </c>
      <c r="R370" s="20">
        <v>0</v>
      </c>
      <c r="S370" s="20"/>
      <c r="T370" s="20">
        <f t="shared" si="68"/>
        <v>2500000</v>
      </c>
      <c r="U370" s="20">
        <f t="shared" ref="U370" si="97">G370+Q370+R370</f>
        <v>0</v>
      </c>
    </row>
    <row r="371" spans="1:21" s="21" customFormat="1" ht="16" customHeight="1">
      <c r="A371" s="33" t="s">
        <v>120</v>
      </c>
      <c r="B371" s="48">
        <v>2021</v>
      </c>
      <c r="C371" s="13">
        <v>18135</v>
      </c>
      <c r="D371" s="14" t="s">
        <v>4870</v>
      </c>
      <c r="E371" s="53">
        <v>750000</v>
      </c>
      <c r="F371" s="20">
        <v>0</v>
      </c>
      <c r="G371" s="20">
        <f t="shared" ref="G371:G434" si="98">(F371*$G$3)/$D$536</f>
        <v>0</v>
      </c>
      <c r="H371" s="16" t="s">
        <v>138</v>
      </c>
      <c r="I371" s="168" t="s">
        <v>4753</v>
      </c>
      <c r="J371" s="14" t="s">
        <v>64</v>
      </c>
      <c r="K371" s="20">
        <v>0</v>
      </c>
      <c r="L371" s="20">
        <v>0</v>
      </c>
      <c r="M371" s="20">
        <v>0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0"/>
      <c r="T371" s="20">
        <f t="shared" si="68"/>
        <v>750000</v>
      </c>
      <c r="U371" s="20">
        <f t="shared" si="96"/>
        <v>0</v>
      </c>
    </row>
    <row r="372" spans="1:21" s="21" customFormat="1" ht="16" customHeight="1">
      <c r="A372" s="33" t="s">
        <v>120</v>
      </c>
      <c r="B372" s="48">
        <v>2021</v>
      </c>
      <c r="C372" s="13">
        <v>17349</v>
      </c>
      <c r="D372" s="14" t="s">
        <v>4798</v>
      </c>
      <c r="E372" s="53">
        <v>3500000</v>
      </c>
      <c r="F372" s="20">
        <v>0</v>
      </c>
      <c r="G372" s="20">
        <f t="shared" si="98"/>
        <v>0</v>
      </c>
      <c r="H372" s="16" t="s">
        <v>138</v>
      </c>
      <c r="I372" s="168" t="s">
        <v>3018</v>
      </c>
      <c r="J372" s="14" t="s">
        <v>64</v>
      </c>
      <c r="K372" s="20">
        <v>0</v>
      </c>
      <c r="L372" s="20">
        <v>0</v>
      </c>
      <c r="M372" s="20">
        <v>0</v>
      </c>
      <c r="N372" s="20">
        <v>0</v>
      </c>
      <c r="O372" s="20">
        <v>0</v>
      </c>
      <c r="P372" s="20">
        <v>0</v>
      </c>
      <c r="Q372" s="20">
        <v>0</v>
      </c>
      <c r="R372" s="20">
        <v>0</v>
      </c>
      <c r="S372" s="20"/>
      <c r="T372" s="20">
        <f t="shared" si="68"/>
        <v>3500000</v>
      </c>
      <c r="U372" s="20">
        <f t="shared" si="96"/>
        <v>0</v>
      </c>
    </row>
    <row r="373" spans="1:21" s="21" customFormat="1" ht="16" customHeight="1">
      <c r="A373" s="33" t="s">
        <v>120</v>
      </c>
      <c r="B373" s="48">
        <v>2021</v>
      </c>
      <c r="C373" s="13">
        <v>15811</v>
      </c>
      <c r="D373" t="s">
        <v>4799</v>
      </c>
      <c r="E373" s="54">
        <v>1200000</v>
      </c>
      <c r="F373" s="20">
        <v>0</v>
      </c>
      <c r="G373" s="20">
        <f t="shared" si="98"/>
        <v>0</v>
      </c>
      <c r="H373" s="16" t="s">
        <v>138</v>
      </c>
      <c r="I373" s="168" t="s">
        <v>245</v>
      </c>
      <c r="J373" t="s">
        <v>64</v>
      </c>
      <c r="K373" s="20">
        <v>0</v>
      </c>
      <c r="L373" s="20">
        <v>0</v>
      </c>
      <c r="M373" s="20">
        <v>0</v>
      </c>
      <c r="N373" s="20">
        <v>0</v>
      </c>
      <c r="O373" s="20">
        <v>0</v>
      </c>
      <c r="P373" s="20">
        <v>0</v>
      </c>
      <c r="Q373" s="20">
        <v>0</v>
      </c>
      <c r="R373" s="20">
        <v>0</v>
      </c>
      <c r="S373" s="20"/>
      <c r="T373" s="20">
        <f t="shared" si="68"/>
        <v>1200000</v>
      </c>
      <c r="U373" s="20">
        <f t="shared" si="96"/>
        <v>0</v>
      </c>
    </row>
    <row r="374" spans="1:21" s="21" customFormat="1" ht="16" customHeight="1">
      <c r="A374" s="33" t="s">
        <v>120</v>
      </c>
      <c r="B374" s="48">
        <v>2021</v>
      </c>
      <c r="C374" s="13">
        <v>18139</v>
      </c>
      <c r="D374" s="14" t="s">
        <v>4871</v>
      </c>
      <c r="E374" s="53">
        <v>1600000</v>
      </c>
      <c r="F374" s="20">
        <v>0</v>
      </c>
      <c r="G374" s="20">
        <f t="shared" si="98"/>
        <v>0</v>
      </c>
      <c r="H374" s="16" t="s">
        <v>138</v>
      </c>
      <c r="I374" s="168" t="s">
        <v>2984</v>
      </c>
      <c r="J374" s="14" t="s">
        <v>64</v>
      </c>
      <c r="K374" s="20">
        <v>0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/>
      <c r="T374" s="20">
        <f t="shared" si="68"/>
        <v>1600000</v>
      </c>
      <c r="U374" s="20">
        <f t="shared" ref="U374" si="99">G374+Q374+R374</f>
        <v>0</v>
      </c>
    </row>
    <row r="375" spans="1:21" s="21" customFormat="1" ht="16" customHeight="1">
      <c r="A375" s="33" t="s">
        <v>120</v>
      </c>
      <c r="B375" s="48">
        <v>2021</v>
      </c>
      <c r="C375" s="13">
        <v>17406</v>
      </c>
      <c r="D375" t="s">
        <v>4800</v>
      </c>
      <c r="E375" s="54">
        <v>1250000</v>
      </c>
      <c r="F375" s="20">
        <v>0</v>
      </c>
      <c r="G375" s="20">
        <f t="shared" si="98"/>
        <v>0</v>
      </c>
      <c r="H375" s="16" t="s">
        <v>138</v>
      </c>
      <c r="I375" s="168" t="s">
        <v>3021</v>
      </c>
      <c r="J375" t="s">
        <v>64</v>
      </c>
      <c r="K375" s="20">
        <v>0</v>
      </c>
      <c r="L375" s="20">
        <v>0</v>
      </c>
      <c r="M375" s="20">
        <v>0</v>
      </c>
      <c r="N375" s="20">
        <v>0</v>
      </c>
      <c r="O375" s="20">
        <v>0</v>
      </c>
      <c r="P375" s="20">
        <v>0</v>
      </c>
      <c r="Q375" s="20">
        <v>0</v>
      </c>
      <c r="R375" s="20">
        <v>0</v>
      </c>
      <c r="S375" s="20"/>
      <c r="T375" s="20">
        <f t="shared" si="68"/>
        <v>1250000</v>
      </c>
      <c r="U375" s="20">
        <f t="shared" si="96"/>
        <v>0</v>
      </c>
    </row>
    <row r="376" spans="1:21" s="21" customFormat="1" ht="16" customHeight="1">
      <c r="A376" s="33" t="s">
        <v>120</v>
      </c>
      <c r="B376" s="48">
        <v>2021</v>
      </c>
      <c r="C376" s="13">
        <v>17480</v>
      </c>
      <c r="D376" t="s">
        <v>4801</v>
      </c>
      <c r="E376" s="54">
        <v>2625000</v>
      </c>
      <c r="F376" s="20">
        <v>0</v>
      </c>
      <c r="G376" s="20">
        <f t="shared" si="98"/>
        <v>0</v>
      </c>
      <c r="H376" s="16" t="s">
        <v>138</v>
      </c>
      <c r="I376" s="168" t="s">
        <v>3021</v>
      </c>
      <c r="J376" t="s">
        <v>64</v>
      </c>
      <c r="K376" s="20">
        <v>0</v>
      </c>
      <c r="L376" s="20">
        <v>0</v>
      </c>
      <c r="M376" s="20">
        <v>0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/>
      <c r="T376" s="20">
        <f t="shared" si="68"/>
        <v>2625000</v>
      </c>
      <c r="U376" s="20">
        <f t="shared" si="96"/>
        <v>0</v>
      </c>
    </row>
    <row r="377" spans="1:21" s="21" customFormat="1" ht="16" customHeight="1">
      <c r="A377" s="33" t="s">
        <v>120</v>
      </c>
      <c r="B377" s="48">
        <v>2021</v>
      </c>
      <c r="C377" s="13">
        <v>17667</v>
      </c>
      <c r="D377" t="s">
        <v>4802</v>
      </c>
      <c r="E377" s="54">
        <v>27292500</v>
      </c>
      <c r="F377" s="20">
        <v>0</v>
      </c>
      <c r="G377" s="20">
        <f t="shared" si="98"/>
        <v>0</v>
      </c>
      <c r="H377" s="16" t="s">
        <v>138</v>
      </c>
      <c r="I377" s="168" t="s">
        <v>3021</v>
      </c>
      <c r="J377" t="s">
        <v>64</v>
      </c>
      <c r="K377" s="20">
        <v>0</v>
      </c>
      <c r="L377" s="20">
        <v>0</v>
      </c>
      <c r="M377" s="20">
        <v>0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/>
      <c r="T377" s="20">
        <f t="shared" si="68"/>
        <v>27292500</v>
      </c>
      <c r="U377" s="20">
        <f t="shared" si="96"/>
        <v>0</v>
      </c>
    </row>
    <row r="378" spans="1:21" s="21" customFormat="1" ht="16" customHeight="1">
      <c r="A378" s="33" t="s">
        <v>120</v>
      </c>
      <c r="B378" s="48">
        <v>2021</v>
      </c>
      <c r="C378" s="13">
        <v>16953</v>
      </c>
      <c r="D378" t="s">
        <v>4803</v>
      </c>
      <c r="E378" s="54">
        <v>800000</v>
      </c>
      <c r="F378" s="20">
        <v>0</v>
      </c>
      <c r="G378" s="20">
        <f t="shared" si="98"/>
        <v>0</v>
      </c>
      <c r="H378" s="16" t="s">
        <v>138</v>
      </c>
      <c r="I378" s="168" t="s">
        <v>3037</v>
      </c>
      <c r="J378" t="s">
        <v>64</v>
      </c>
      <c r="K378" s="20">
        <v>0</v>
      </c>
      <c r="L378" s="20">
        <v>0</v>
      </c>
      <c r="M378" s="20">
        <v>0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/>
      <c r="T378" s="20">
        <f t="shared" si="68"/>
        <v>800000</v>
      </c>
      <c r="U378" s="20">
        <f t="shared" si="96"/>
        <v>0</v>
      </c>
    </row>
    <row r="379" spans="1:21" s="21" customFormat="1" ht="16" customHeight="1">
      <c r="A379" s="33" t="s">
        <v>120</v>
      </c>
      <c r="B379" s="48">
        <v>2021</v>
      </c>
      <c r="C379" s="13">
        <v>17347</v>
      </c>
      <c r="D379" t="s">
        <v>4804</v>
      </c>
      <c r="E379" s="54">
        <v>3500000</v>
      </c>
      <c r="F379" s="20">
        <v>0</v>
      </c>
      <c r="G379" s="20">
        <f t="shared" si="98"/>
        <v>0</v>
      </c>
      <c r="H379" s="16" t="s">
        <v>138</v>
      </c>
      <c r="I379" s="168" t="s">
        <v>3037</v>
      </c>
      <c r="J379" t="s">
        <v>64</v>
      </c>
      <c r="K379" s="20">
        <v>0</v>
      </c>
      <c r="L379" s="20">
        <v>0</v>
      </c>
      <c r="M379" s="20">
        <v>0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/>
      <c r="T379" s="20">
        <f t="shared" ref="T379:T438" si="100">E379+K379+L379+M379+N379+O379+P379</f>
        <v>3500000</v>
      </c>
      <c r="U379" s="20">
        <f t="shared" si="96"/>
        <v>0</v>
      </c>
    </row>
    <row r="380" spans="1:21" s="21" customFormat="1" ht="16" customHeight="1">
      <c r="A380" s="33" t="s">
        <v>120</v>
      </c>
      <c r="B380" s="48">
        <v>2021</v>
      </c>
      <c r="C380" s="13">
        <v>17053</v>
      </c>
      <c r="D380" t="s">
        <v>4805</v>
      </c>
      <c r="E380" s="54">
        <v>39600000</v>
      </c>
      <c r="F380" s="20">
        <v>0</v>
      </c>
      <c r="G380" s="20">
        <f t="shared" si="98"/>
        <v>0</v>
      </c>
      <c r="H380" s="16" t="s">
        <v>138</v>
      </c>
      <c r="I380" s="168" t="s">
        <v>3037</v>
      </c>
      <c r="J380" t="s">
        <v>64</v>
      </c>
      <c r="K380" s="20">
        <v>0</v>
      </c>
      <c r="L380" s="20">
        <v>0</v>
      </c>
      <c r="M380" s="20">
        <v>0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/>
      <c r="T380" s="20">
        <f t="shared" si="100"/>
        <v>39600000</v>
      </c>
      <c r="U380" s="20">
        <f t="shared" si="96"/>
        <v>0</v>
      </c>
    </row>
    <row r="381" spans="1:21" s="21" customFormat="1" ht="16" customHeight="1">
      <c r="A381" s="33" t="s">
        <v>120</v>
      </c>
      <c r="B381" s="48">
        <v>2021</v>
      </c>
      <c r="C381" s="13">
        <v>17741</v>
      </c>
      <c r="D381" t="s">
        <v>4806</v>
      </c>
      <c r="E381" s="54">
        <v>3350000</v>
      </c>
      <c r="F381" s="20">
        <v>0</v>
      </c>
      <c r="G381" s="20">
        <f t="shared" si="98"/>
        <v>0</v>
      </c>
      <c r="H381" s="16" t="s">
        <v>138</v>
      </c>
      <c r="I381" s="168" t="s">
        <v>3037</v>
      </c>
      <c r="J381" t="s">
        <v>64</v>
      </c>
      <c r="K381" s="20">
        <v>0</v>
      </c>
      <c r="L381" s="20">
        <v>0</v>
      </c>
      <c r="M381" s="20">
        <v>0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/>
      <c r="T381" s="20">
        <f t="shared" si="100"/>
        <v>3350000</v>
      </c>
      <c r="U381" s="20">
        <f t="shared" si="96"/>
        <v>0</v>
      </c>
    </row>
    <row r="382" spans="1:21" s="21" customFormat="1" ht="16" customHeight="1">
      <c r="A382" s="33" t="s">
        <v>120</v>
      </c>
      <c r="B382" s="48">
        <v>2021</v>
      </c>
      <c r="C382" s="13">
        <v>16948</v>
      </c>
      <c r="D382" t="s">
        <v>4807</v>
      </c>
      <c r="E382" s="54">
        <v>400000</v>
      </c>
      <c r="F382" s="20">
        <v>0</v>
      </c>
      <c r="G382" s="20">
        <f t="shared" si="98"/>
        <v>0</v>
      </c>
      <c r="H382" s="16" t="s">
        <v>138</v>
      </c>
      <c r="I382" s="168" t="s">
        <v>3041</v>
      </c>
      <c r="J382" t="s">
        <v>64</v>
      </c>
      <c r="K382" s="20">
        <v>0</v>
      </c>
      <c r="L382" s="20">
        <v>0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/>
      <c r="T382" s="20">
        <f t="shared" si="100"/>
        <v>400000</v>
      </c>
      <c r="U382" s="20">
        <f t="shared" si="96"/>
        <v>0</v>
      </c>
    </row>
    <row r="383" spans="1:21" s="21" customFormat="1" ht="16" customHeight="1">
      <c r="A383" s="33" t="s">
        <v>120</v>
      </c>
      <c r="B383" s="48">
        <v>2021</v>
      </c>
      <c r="C383" s="13">
        <v>17886</v>
      </c>
      <c r="D383" t="s">
        <v>4808</v>
      </c>
      <c r="E383" s="54">
        <v>1000000</v>
      </c>
      <c r="F383" s="20">
        <v>0</v>
      </c>
      <c r="G383" s="20">
        <f t="shared" si="98"/>
        <v>0</v>
      </c>
      <c r="H383" s="16" t="s">
        <v>138</v>
      </c>
      <c r="I383" s="168" t="s">
        <v>3045</v>
      </c>
      <c r="J383" t="s">
        <v>64</v>
      </c>
      <c r="K383" s="20">
        <v>0</v>
      </c>
      <c r="L383" s="20">
        <v>0</v>
      </c>
      <c r="M383" s="20">
        <v>0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0"/>
      <c r="T383" s="20">
        <f t="shared" si="100"/>
        <v>1000000</v>
      </c>
      <c r="U383" s="20">
        <f t="shared" si="96"/>
        <v>0</v>
      </c>
    </row>
    <row r="384" spans="1:21" s="21" customFormat="1" ht="16" customHeight="1">
      <c r="A384" s="33" t="s">
        <v>120</v>
      </c>
      <c r="B384" s="48">
        <v>2021</v>
      </c>
      <c r="C384" s="13">
        <v>17826</v>
      </c>
      <c r="D384" t="s">
        <v>4809</v>
      </c>
      <c r="E384" s="54">
        <v>909600</v>
      </c>
      <c r="F384" s="20">
        <v>0</v>
      </c>
      <c r="G384" s="20">
        <f t="shared" si="98"/>
        <v>0</v>
      </c>
      <c r="H384" s="16" t="s">
        <v>138</v>
      </c>
      <c r="I384" s="168" t="s">
        <v>3045</v>
      </c>
      <c r="J384" t="s">
        <v>64</v>
      </c>
      <c r="K384" s="20">
        <v>0</v>
      </c>
      <c r="L384" s="20">
        <v>0</v>
      </c>
      <c r="M384" s="20">
        <v>0</v>
      </c>
      <c r="N384" s="20">
        <v>0</v>
      </c>
      <c r="O384" s="20">
        <v>0</v>
      </c>
      <c r="P384" s="20">
        <v>0</v>
      </c>
      <c r="Q384" s="20">
        <v>0</v>
      </c>
      <c r="R384" s="20">
        <v>0</v>
      </c>
      <c r="S384" s="20"/>
      <c r="T384" s="20">
        <f t="shared" si="100"/>
        <v>909600</v>
      </c>
      <c r="U384" s="20">
        <f t="shared" si="96"/>
        <v>0</v>
      </c>
    </row>
    <row r="385" spans="1:21" s="21" customFormat="1" ht="16" customHeight="1">
      <c r="A385" s="33" t="s">
        <v>120</v>
      </c>
      <c r="B385" s="48">
        <v>2021</v>
      </c>
      <c r="C385" s="13">
        <v>17827</v>
      </c>
      <c r="D385" t="s">
        <v>4810</v>
      </c>
      <c r="E385" s="54">
        <v>598100</v>
      </c>
      <c r="F385" s="20">
        <v>0</v>
      </c>
      <c r="G385" s="20">
        <f t="shared" si="98"/>
        <v>0</v>
      </c>
      <c r="H385" s="16" t="s">
        <v>138</v>
      </c>
      <c r="I385" s="168" t="s">
        <v>3045</v>
      </c>
      <c r="J385" t="s">
        <v>64</v>
      </c>
      <c r="K385" s="20">
        <v>0</v>
      </c>
      <c r="L385" s="20">
        <v>0</v>
      </c>
      <c r="M385" s="20">
        <v>0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/>
      <c r="T385" s="20">
        <f t="shared" si="100"/>
        <v>598100</v>
      </c>
      <c r="U385" s="20">
        <f t="shared" si="96"/>
        <v>0</v>
      </c>
    </row>
    <row r="386" spans="1:21" s="21" customFormat="1" ht="16" customHeight="1">
      <c r="A386" s="33" t="s">
        <v>120</v>
      </c>
      <c r="B386" s="48">
        <v>2021</v>
      </c>
      <c r="C386" s="13">
        <v>17866</v>
      </c>
      <c r="D386" t="s">
        <v>4811</v>
      </c>
      <c r="E386" s="54">
        <v>2320000</v>
      </c>
      <c r="F386" s="20">
        <v>0</v>
      </c>
      <c r="G386" s="20">
        <f t="shared" si="98"/>
        <v>0</v>
      </c>
      <c r="H386" s="16" t="s">
        <v>138</v>
      </c>
      <c r="I386" s="168" t="s">
        <v>3045</v>
      </c>
      <c r="J386" t="s">
        <v>64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/>
      <c r="T386" s="20">
        <f t="shared" si="100"/>
        <v>2320000</v>
      </c>
      <c r="U386" s="20">
        <f t="shared" si="96"/>
        <v>0</v>
      </c>
    </row>
    <row r="387" spans="1:21" s="21" customFormat="1" ht="16" customHeight="1">
      <c r="A387" s="33" t="s">
        <v>120</v>
      </c>
      <c r="B387" s="48">
        <v>2021</v>
      </c>
      <c r="C387" s="13">
        <v>17867</v>
      </c>
      <c r="D387" t="s">
        <v>4812</v>
      </c>
      <c r="E387" s="54">
        <v>7500000</v>
      </c>
      <c r="F387" s="20">
        <v>0</v>
      </c>
      <c r="G387" s="20">
        <f t="shared" si="98"/>
        <v>0</v>
      </c>
      <c r="H387" s="16" t="s">
        <v>138</v>
      </c>
      <c r="I387" s="168" t="s">
        <v>3045</v>
      </c>
      <c r="J387" t="s">
        <v>64</v>
      </c>
      <c r="K387" s="20">
        <v>0</v>
      </c>
      <c r="L387" s="20">
        <v>0</v>
      </c>
      <c r="M387" s="20">
        <v>0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/>
      <c r="T387" s="20">
        <f t="shared" si="100"/>
        <v>7500000</v>
      </c>
      <c r="U387" s="20">
        <f t="shared" si="96"/>
        <v>0</v>
      </c>
    </row>
    <row r="388" spans="1:21" s="21" customFormat="1" ht="16" customHeight="1">
      <c r="A388" s="33" t="s">
        <v>120</v>
      </c>
      <c r="B388" s="48">
        <v>2021</v>
      </c>
      <c r="C388" s="13">
        <v>17868</v>
      </c>
      <c r="D388" t="s">
        <v>4813</v>
      </c>
      <c r="E388" s="54">
        <v>16500000</v>
      </c>
      <c r="F388" s="20">
        <v>0</v>
      </c>
      <c r="G388" s="20">
        <f t="shared" si="98"/>
        <v>0</v>
      </c>
      <c r="H388" s="16" t="s">
        <v>138</v>
      </c>
      <c r="I388" s="168" t="s">
        <v>3045</v>
      </c>
      <c r="J388" t="s">
        <v>64</v>
      </c>
      <c r="K388" s="20">
        <v>0</v>
      </c>
      <c r="L388" s="20">
        <v>0</v>
      </c>
      <c r="M388" s="20">
        <v>0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/>
      <c r="T388" s="20">
        <f t="shared" si="100"/>
        <v>16500000</v>
      </c>
      <c r="U388" s="20">
        <f t="shared" ref="U388:U419" si="101">G388+Q388+R388</f>
        <v>0</v>
      </c>
    </row>
    <row r="389" spans="1:21" s="21" customFormat="1" ht="16" customHeight="1">
      <c r="A389" s="33" t="s">
        <v>120</v>
      </c>
      <c r="B389" s="48">
        <v>2021</v>
      </c>
      <c r="C389" s="13">
        <v>17869</v>
      </c>
      <c r="D389" t="s">
        <v>4814</v>
      </c>
      <c r="E389" s="54">
        <v>6000000</v>
      </c>
      <c r="F389" s="20">
        <v>0</v>
      </c>
      <c r="G389" s="20">
        <f t="shared" si="98"/>
        <v>0</v>
      </c>
      <c r="H389" s="16" t="s">
        <v>138</v>
      </c>
      <c r="I389" s="168" t="s">
        <v>3045</v>
      </c>
      <c r="J389" t="s">
        <v>64</v>
      </c>
      <c r="K389" s="20">
        <v>0</v>
      </c>
      <c r="L389" s="20">
        <v>0</v>
      </c>
      <c r="M389" s="20">
        <v>0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0"/>
      <c r="T389" s="20">
        <f t="shared" si="100"/>
        <v>6000000</v>
      </c>
      <c r="U389" s="20">
        <f t="shared" si="101"/>
        <v>0</v>
      </c>
    </row>
    <row r="390" spans="1:21" s="21" customFormat="1" ht="16" customHeight="1">
      <c r="A390" s="33" t="s">
        <v>120</v>
      </c>
      <c r="B390" s="48">
        <v>2021</v>
      </c>
      <c r="C390" s="13">
        <v>17882</v>
      </c>
      <c r="D390" t="s">
        <v>4815</v>
      </c>
      <c r="E390" s="54">
        <v>10650000</v>
      </c>
      <c r="F390" s="20">
        <v>0</v>
      </c>
      <c r="G390" s="20">
        <f t="shared" si="98"/>
        <v>0</v>
      </c>
      <c r="H390" s="16" t="s">
        <v>138</v>
      </c>
      <c r="I390" s="168" t="s">
        <v>3045</v>
      </c>
      <c r="J390" t="s">
        <v>64</v>
      </c>
      <c r="K390" s="20">
        <v>0</v>
      </c>
      <c r="L390" s="20">
        <v>0</v>
      </c>
      <c r="M390" s="20">
        <v>0</v>
      </c>
      <c r="N390" s="20">
        <v>0</v>
      </c>
      <c r="O390" s="20">
        <v>0</v>
      </c>
      <c r="P390" s="20">
        <v>0</v>
      </c>
      <c r="Q390" s="20">
        <v>0</v>
      </c>
      <c r="R390" s="20">
        <v>0</v>
      </c>
      <c r="S390" s="20"/>
      <c r="T390" s="20">
        <f t="shared" si="100"/>
        <v>10650000</v>
      </c>
      <c r="U390" s="20">
        <f t="shared" si="101"/>
        <v>0</v>
      </c>
    </row>
    <row r="391" spans="1:21" s="21" customFormat="1" ht="16" customHeight="1">
      <c r="A391" s="33" t="s">
        <v>120</v>
      </c>
      <c r="B391" s="48">
        <v>2021</v>
      </c>
      <c r="C391" s="13">
        <v>17883</v>
      </c>
      <c r="D391" t="s">
        <v>4816</v>
      </c>
      <c r="E391" s="54">
        <v>11900000</v>
      </c>
      <c r="F391" s="20">
        <v>0</v>
      </c>
      <c r="G391" s="20">
        <f t="shared" si="98"/>
        <v>0</v>
      </c>
      <c r="H391" s="16" t="s">
        <v>138</v>
      </c>
      <c r="I391" s="168" t="s">
        <v>3045</v>
      </c>
      <c r="J391" t="s">
        <v>64</v>
      </c>
      <c r="K391" s="20">
        <v>0</v>
      </c>
      <c r="L391" s="20">
        <v>0</v>
      </c>
      <c r="M391" s="20">
        <v>0</v>
      </c>
      <c r="N391" s="20">
        <v>0</v>
      </c>
      <c r="O391" s="20">
        <v>0</v>
      </c>
      <c r="P391" s="20">
        <v>0</v>
      </c>
      <c r="Q391" s="20">
        <v>0</v>
      </c>
      <c r="R391" s="20">
        <v>0</v>
      </c>
      <c r="S391" s="20"/>
      <c r="T391" s="20">
        <f t="shared" si="100"/>
        <v>11900000</v>
      </c>
      <c r="U391" s="20">
        <f t="shared" si="101"/>
        <v>0</v>
      </c>
    </row>
    <row r="392" spans="1:21" s="21" customFormat="1" ht="16" customHeight="1">
      <c r="A392" s="33" t="s">
        <v>120</v>
      </c>
      <c r="B392" s="48">
        <v>2021</v>
      </c>
      <c r="C392" s="13">
        <v>17991</v>
      </c>
      <c r="D392" t="s">
        <v>4817</v>
      </c>
      <c r="E392" s="54">
        <v>4700000</v>
      </c>
      <c r="F392" s="20">
        <v>0</v>
      </c>
      <c r="G392" s="20">
        <f t="shared" si="98"/>
        <v>0</v>
      </c>
      <c r="H392" s="16" t="s">
        <v>138</v>
      </c>
      <c r="I392" s="168" t="s">
        <v>3045</v>
      </c>
      <c r="J392" t="s">
        <v>64</v>
      </c>
      <c r="K392" s="20">
        <v>0</v>
      </c>
      <c r="L392" s="20">
        <v>0</v>
      </c>
      <c r="M392" s="20">
        <v>0</v>
      </c>
      <c r="N392" s="20">
        <v>0</v>
      </c>
      <c r="O392" s="20">
        <v>0</v>
      </c>
      <c r="P392" s="20">
        <v>0</v>
      </c>
      <c r="Q392" s="20">
        <v>0</v>
      </c>
      <c r="R392" s="20">
        <v>0</v>
      </c>
      <c r="S392" s="20"/>
      <c r="T392" s="20">
        <f t="shared" si="100"/>
        <v>4700000</v>
      </c>
      <c r="U392" s="20">
        <f t="shared" si="101"/>
        <v>0</v>
      </c>
    </row>
    <row r="393" spans="1:21" s="21" customFormat="1" ht="16" customHeight="1">
      <c r="A393" s="33" t="s">
        <v>120</v>
      </c>
      <c r="B393" s="48">
        <v>2021</v>
      </c>
      <c r="C393" s="13">
        <v>17833</v>
      </c>
      <c r="D393" t="s">
        <v>4818</v>
      </c>
      <c r="E393" s="54">
        <v>342000</v>
      </c>
      <c r="F393" s="20">
        <v>0</v>
      </c>
      <c r="G393" s="20">
        <f t="shared" si="98"/>
        <v>0</v>
      </c>
      <c r="H393" s="16" t="s">
        <v>138</v>
      </c>
      <c r="I393" s="168" t="s">
        <v>3045</v>
      </c>
      <c r="J393" t="s">
        <v>64</v>
      </c>
      <c r="K393" s="20">
        <v>0</v>
      </c>
      <c r="L393" s="20">
        <v>0</v>
      </c>
      <c r="M393" s="20">
        <v>0</v>
      </c>
      <c r="N393" s="20">
        <v>0</v>
      </c>
      <c r="O393" s="20">
        <v>0</v>
      </c>
      <c r="P393" s="20">
        <v>0</v>
      </c>
      <c r="Q393" s="20">
        <v>0</v>
      </c>
      <c r="R393" s="20">
        <v>0</v>
      </c>
      <c r="S393" s="20"/>
      <c r="T393" s="20">
        <f t="shared" si="100"/>
        <v>342000</v>
      </c>
      <c r="U393" s="20">
        <f t="shared" si="101"/>
        <v>0</v>
      </c>
    </row>
    <row r="394" spans="1:21" s="21" customFormat="1" ht="16" customHeight="1">
      <c r="A394" s="33" t="s">
        <v>120</v>
      </c>
      <c r="B394" s="48">
        <v>2021</v>
      </c>
      <c r="C394" s="13">
        <v>18082</v>
      </c>
      <c r="D394" t="s">
        <v>4867</v>
      </c>
      <c r="E394" s="54">
        <v>15700000</v>
      </c>
      <c r="F394" s="20">
        <v>0</v>
      </c>
      <c r="G394" s="20">
        <f t="shared" si="98"/>
        <v>0</v>
      </c>
      <c r="H394" s="16" t="s">
        <v>138</v>
      </c>
      <c r="I394" s="168" t="s">
        <v>3045</v>
      </c>
      <c r="J394" t="s">
        <v>64</v>
      </c>
      <c r="K394" s="20">
        <v>0</v>
      </c>
      <c r="L394" s="20">
        <v>0</v>
      </c>
      <c r="M394" s="20">
        <v>0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/>
      <c r="T394" s="20">
        <f t="shared" si="100"/>
        <v>15700000</v>
      </c>
      <c r="U394" s="20">
        <f t="shared" ref="U394:U399" si="102">G394+Q394+R394</f>
        <v>0</v>
      </c>
    </row>
    <row r="395" spans="1:21" s="21" customFormat="1" ht="16" customHeight="1">
      <c r="A395" s="33" t="s">
        <v>120</v>
      </c>
      <c r="B395" s="48">
        <v>2021</v>
      </c>
      <c r="C395" s="13">
        <v>18083</v>
      </c>
      <c r="D395" t="s">
        <v>4868</v>
      </c>
      <c r="E395" s="54">
        <v>74458990</v>
      </c>
      <c r="F395" s="20">
        <v>0</v>
      </c>
      <c r="G395" s="20">
        <f t="shared" si="98"/>
        <v>0</v>
      </c>
      <c r="H395" s="16" t="s">
        <v>138</v>
      </c>
      <c r="I395" s="168" t="s">
        <v>3045</v>
      </c>
      <c r="J395" t="s">
        <v>64</v>
      </c>
      <c r="K395" s="20">
        <v>0</v>
      </c>
      <c r="L395" s="20">
        <v>0</v>
      </c>
      <c r="M395" s="20">
        <v>0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/>
      <c r="T395" s="20">
        <f t="shared" si="100"/>
        <v>74458990</v>
      </c>
      <c r="U395" s="20">
        <f t="shared" ref="U395" si="103">G395+Q395+R395</f>
        <v>0</v>
      </c>
    </row>
    <row r="396" spans="1:21" s="21" customFormat="1" ht="16" customHeight="1">
      <c r="A396" s="33" t="s">
        <v>120</v>
      </c>
      <c r="B396" s="48">
        <v>2021</v>
      </c>
      <c r="C396" s="13">
        <v>18097</v>
      </c>
      <c r="D396" s="14" t="s">
        <v>4872</v>
      </c>
      <c r="E396" s="53">
        <v>4250000</v>
      </c>
      <c r="F396" s="20">
        <v>0</v>
      </c>
      <c r="G396" s="20">
        <f t="shared" si="98"/>
        <v>0</v>
      </c>
      <c r="H396" s="16" t="s">
        <v>138</v>
      </c>
      <c r="I396" s="168" t="s">
        <v>3045</v>
      </c>
      <c r="J396" s="14"/>
      <c r="K396" s="20">
        <v>0</v>
      </c>
      <c r="L396" s="20">
        <v>0</v>
      </c>
      <c r="M396" s="20">
        <v>0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/>
      <c r="T396" s="20">
        <f t="shared" si="100"/>
        <v>4250000</v>
      </c>
      <c r="U396" s="20">
        <f t="shared" ref="U396:U398" si="104">G396+Q396+R396</f>
        <v>0</v>
      </c>
    </row>
    <row r="397" spans="1:21" s="21" customFormat="1" ht="16" customHeight="1">
      <c r="A397" s="33" t="s">
        <v>120</v>
      </c>
      <c r="B397" s="48">
        <v>2021</v>
      </c>
      <c r="C397" s="13">
        <v>18098</v>
      </c>
      <c r="D397" s="14" t="s">
        <v>4873</v>
      </c>
      <c r="E397" s="53">
        <v>3875000</v>
      </c>
      <c r="F397" s="20">
        <v>0</v>
      </c>
      <c r="G397" s="20">
        <f t="shared" si="98"/>
        <v>0</v>
      </c>
      <c r="H397" s="16" t="s">
        <v>138</v>
      </c>
      <c r="I397" s="168" t="s">
        <v>3045</v>
      </c>
      <c r="J397" s="14"/>
      <c r="K397" s="20">
        <v>0</v>
      </c>
      <c r="L397" s="20">
        <v>0</v>
      </c>
      <c r="M397" s="20">
        <v>0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/>
      <c r="T397" s="20">
        <f t="shared" si="100"/>
        <v>3875000</v>
      </c>
      <c r="U397" s="20">
        <f t="shared" si="104"/>
        <v>0</v>
      </c>
    </row>
    <row r="398" spans="1:21" s="21" customFormat="1" ht="16" customHeight="1">
      <c r="A398" s="33" t="s">
        <v>120</v>
      </c>
      <c r="B398" s="48">
        <v>2021</v>
      </c>
      <c r="C398" s="13">
        <v>18156</v>
      </c>
      <c r="D398" s="14" t="s">
        <v>4874</v>
      </c>
      <c r="E398" s="53">
        <v>25370000</v>
      </c>
      <c r="F398" s="20">
        <v>0</v>
      </c>
      <c r="G398" s="20">
        <f t="shared" si="98"/>
        <v>0</v>
      </c>
      <c r="H398" s="16" t="s">
        <v>138</v>
      </c>
      <c r="I398" s="168" t="s">
        <v>3045</v>
      </c>
      <c r="J398" s="14"/>
      <c r="K398" s="20">
        <v>0</v>
      </c>
      <c r="L398" s="20">
        <v>0</v>
      </c>
      <c r="M398" s="20">
        <v>0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/>
      <c r="T398" s="20">
        <f t="shared" si="100"/>
        <v>25370000</v>
      </c>
      <c r="U398" s="20">
        <f t="shared" si="104"/>
        <v>0</v>
      </c>
    </row>
    <row r="399" spans="1:21" s="21" customFormat="1" ht="16" customHeight="1">
      <c r="A399" s="33" t="s">
        <v>120</v>
      </c>
      <c r="B399" s="48">
        <v>2021</v>
      </c>
      <c r="C399" s="13">
        <v>18157</v>
      </c>
      <c r="D399" s="14" t="s">
        <v>4875</v>
      </c>
      <c r="E399" s="53">
        <v>8646000</v>
      </c>
      <c r="F399" s="20">
        <v>0</v>
      </c>
      <c r="G399" s="20">
        <f t="shared" si="98"/>
        <v>0</v>
      </c>
      <c r="H399" s="16" t="s">
        <v>138</v>
      </c>
      <c r="I399" s="168" t="s">
        <v>3045</v>
      </c>
      <c r="J399" s="14" t="s">
        <v>64</v>
      </c>
      <c r="K399" s="20">
        <v>0</v>
      </c>
      <c r="L399" s="20">
        <v>0</v>
      </c>
      <c r="M399" s="20">
        <v>0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/>
      <c r="T399" s="20">
        <f t="shared" si="100"/>
        <v>8646000</v>
      </c>
      <c r="U399" s="20">
        <f t="shared" si="102"/>
        <v>0</v>
      </c>
    </row>
    <row r="400" spans="1:21" s="21" customFormat="1" ht="16" customHeight="1">
      <c r="A400" s="33" t="s">
        <v>120</v>
      </c>
      <c r="B400" s="48">
        <v>2021</v>
      </c>
      <c r="C400" s="13">
        <v>15984</v>
      </c>
      <c r="D400" t="s">
        <v>4819</v>
      </c>
      <c r="E400" s="54">
        <v>400000</v>
      </c>
      <c r="F400" s="20">
        <v>0</v>
      </c>
      <c r="G400" s="20">
        <f t="shared" si="98"/>
        <v>0</v>
      </c>
      <c r="H400" s="16" t="s">
        <v>138</v>
      </c>
      <c r="I400" s="168" t="s">
        <v>3031</v>
      </c>
      <c r="J400" t="s">
        <v>64</v>
      </c>
      <c r="K400" s="20">
        <v>0</v>
      </c>
      <c r="L400" s="20">
        <v>0</v>
      </c>
      <c r="M400" s="20">
        <v>0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/>
      <c r="T400" s="20">
        <f t="shared" si="100"/>
        <v>400000</v>
      </c>
      <c r="U400" s="20">
        <f t="shared" si="101"/>
        <v>0</v>
      </c>
    </row>
    <row r="401" spans="1:21" s="21" customFormat="1" ht="16" customHeight="1">
      <c r="A401" s="33" t="s">
        <v>120</v>
      </c>
      <c r="B401" s="48">
        <v>2021</v>
      </c>
      <c r="C401" s="13">
        <v>16293</v>
      </c>
      <c r="D401" t="s">
        <v>4820</v>
      </c>
      <c r="E401" s="54">
        <v>5400000</v>
      </c>
      <c r="F401" s="20">
        <v>0</v>
      </c>
      <c r="G401" s="20">
        <f t="shared" si="98"/>
        <v>0</v>
      </c>
      <c r="H401" s="16" t="s">
        <v>138</v>
      </c>
      <c r="I401" s="168" t="s">
        <v>3031</v>
      </c>
      <c r="J401" t="s">
        <v>64</v>
      </c>
      <c r="K401" s="20">
        <v>0</v>
      </c>
      <c r="L401" s="20">
        <v>0</v>
      </c>
      <c r="M401" s="20">
        <v>0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/>
      <c r="T401" s="20">
        <f t="shared" si="100"/>
        <v>5400000</v>
      </c>
      <c r="U401" s="20">
        <f t="shared" si="101"/>
        <v>0</v>
      </c>
    </row>
    <row r="402" spans="1:21" s="21" customFormat="1" ht="16" customHeight="1">
      <c r="A402" s="33" t="s">
        <v>120</v>
      </c>
      <c r="B402" s="48">
        <v>2021</v>
      </c>
      <c r="C402" s="13">
        <v>16090</v>
      </c>
      <c r="D402" t="s">
        <v>4821</v>
      </c>
      <c r="E402" s="54">
        <v>400000</v>
      </c>
      <c r="F402" s="20">
        <v>0</v>
      </c>
      <c r="G402" s="20">
        <f t="shared" si="98"/>
        <v>0</v>
      </c>
      <c r="H402" s="16" t="s">
        <v>138</v>
      </c>
      <c r="I402" s="168" t="s">
        <v>3032</v>
      </c>
      <c r="J402" t="s">
        <v>64</v>
      </c>
      <c r="K402" s="20">
        <v>0</v>
      </c>
      <c r="L402" s="20">
        <v>0</v>
      </c>
      <c r="M402" s="20">
        <v>0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/>
      <c r="T402" s="20">
        <f t="shared" si="100"/>
        <v>400000</v>
      </c>
      <c r="U402" s="20">
        <f t="shared" si="101"/>
        <v>0</v>
      </c>
    </row>
    <row r="403" spans="1:21" s="21" customFormat="1" ht="16" customHeight="1">
      <c r="A403" s="33" t="s">
        <v>120</v>
      </c>
      <c r="B403" s="48">
        <v>2021</v>
      </c>
      <c r="C403" s="13">
        <v>15812</v>
      </c>
      <c r="D403" t="s">
        <v>4822</v>
      </c>
      <c r="E403" s="54">
        <v>1050000</v>
      </c>
      <c r="F403" s="20">
        <v>0</v>
      </c>
      <c r="G403" s="20">
        <f t="shared" si="98"/>
        <v>0</v>
      </c>
      <c r="H403" s="16" t="s">
        <v>138</v>
      </c>
      <c r="I403" s="168" t="s">
        <v>990</v>
      </c>
      <c r="J403" t="s">
        <v>64</v>
      </c>
      <c r="K403" s="20">
        <v>0</v>
      </c>
      <c r="L403" s="20">
        <v>0</v>
      </c>
      <c r="M403" s="20">
        <v>0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0"/>
      <c r="T403" s="20">
        <f t="shared" si="100"/>
        <v>1050000</v>
      </c>
      <c r="U403" s="20">
        <f t="shared" si="101"/>
        <v>0</v>
      </c>
    </row>
    <row r="404" spans="1:21" s="21" customFormat="1" ht="16" customHeight="1">
      <c r="A404" s="33" t="s">
        <v>120</v>
      </c>
      <c r="B404" s="48">
        <v>2021</v>
      </c>
      <c r="C404" s="13">
        <v>16221</v>
      </c>
      <c r="D404" t="s">
        <v>4823</v>
      </c>
      <c r="E404" s="54">
        <v>800000</v>
      </c>
      <c r="F404" s="20">
        <v>0</v>
      </c>
      <c r="G404" s="20">
        <f t="shared" si="98"/>
        <v>0</v>
      </c>
      <c r="H404" s="16" t="s">
        <v>138</v>
      </c>
      <c r="I404" s="168" t="s">
        <v>4140</v>
      </c>
      <c r="J404" t="s">
        <v>64</v>
      </c>
      <c r="K404" s="20">
        <v>0</v>
      </c>
      <c r="L404" s="20">
        <v>0</v>
      </c>
      <c r="M404" s="20">
        <v>0</v>
      </c>
      <c r="N404" s="20">
        <v>0</v>
      </c>
      <c r="O404" s="20">
        <v>0</v>
      </c>
      <c r="P404" s="20">
        <v>0</v>
      </c>
      <c r="Q404" s="20">
        <v>0</v>
      </c>
      <c r="R404" s="20">
        <v>0</v>
      </c>
      <c r="S404" s="20"/>
      <c r="T404" s="20">
        <f t="shared" si="100"/>
        <v>800000</v>
      </c>
      <c r="U404" s="20">
        <f t="shared" si="101"/>
        <v>0</v>
      </c>
    </row>
    <row r="405" spans="1:21" s="21" customFormat="1" ht="16" customHeight="1">
      <c r="A405" s="33" t="s">
        <v>120</v>
      </c>
      <c r="B405" s="48">
        <v>2021</v>
      </c>
      <c r="C405" s="13">
        <v>16688</v>
      </c>
      <c r="D405" t="s">
        <v>4824</v>
      </c>
      <c r="E405" s="54">
        <v>800000</v>
      </c>
      <c r="F405" s="20">
        <v>0</v>
      </c>
      <c r="G405" s="20">
        <f t="shared" si="98"/>
        <v>0</v>
      </c>
      <c r="H405" s="16" t="s">
        <v>138</v>
      </c>
      <c r="I405" s="168" t="s">
        <v>3024</v>
      </c>
      <c r="J405" t="s">
        <v>64</v>
      </c>
      <c r="K405" s="20">
        <v>0</v>
      </c>
      <c r="L405" s="20">
        <v>0</v>
      </c>
      <c r="M405" s="20">
        <v>0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/>
      <c r="T405" s="20">
        <f t="shared" si="100"/>
        <v>800000</v>
      </c>
      <c r="U405" s="20">
        <f t="shared" si="101"/>
        <v>0</v>
      </c>
    </row>
    <row r="406" spans="1:21" s="21" customFormat="1" ht="16" customHeight="1">
      <c r="A406" s="33" t="s">
        <v>120</v>
      </c>
      <c r="B406" s="48">
        <v>2021</v>
      </c>
      <c r="C406" s="13">
        <v>17327</v>
      </c>
      <c r="D406" t="s">
        <v>4825</v>
      </c>
      <c r="E406" s="54">
        <v>400000</v>
      </c>
      <c r="F406" s="20">
        <v>0</v>
      </c>
      <c r="G406" s="20">
        <f t="shared" si="98"/>
        <v>0</v>
      </c>
      <c r="H406" s="16" t="s">
        <v>138</v>
      </c>
      <c r="I406" s="168" t="s">
        <v>3025</v>
      </c>
      <c r="J406" t="s">
        <v>64</v>
      </c>
      <c r="K406" s="20">
        <v>0</v>
      </c>
      <c r="L406" s="20">
        <v>0</v>
      </c>
      <c r="M406" s="20">
        <v>0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/>
      <c r="T406" s="20">
        <f t="shared" si="100"/>
        <v>400000</v>
      </c>
      <c r="U406" s="20">
        <f t="shared" si="101"/>
        <v>0</v>
      </c>
    </row>
    <row r="407" spans="1:21" s="21" customFormat="1" ht="16" customHeight="1">
      <c r="A407" s="33" t="s">
        <v>120</v>
      </c>
      <c r="B407" s="48">
        <v>2021</v>
      </c>
      <c r="C407" s="13">
        <v>17370</v>
      </c>
      <c r="D407" t="s">
        <v>4826</v>
      </c>
      <c r="E407" s="54">
        <v>750000</v>
      </c>
      <c r="F407" s="20">
        <v>0</v>
      </c>
      <c r="G407" s="20">
        <f t="shared" si="98"/>
        <v>0</v>
      </c>
      <c r="H407" s="16" t="s">
        <v>138</v>
      </c>
      <c r="I407" s="168" t="s">
        <v>3025</v>
      </c>
      <c r="J407" t="s">
        <v>64</v>
      </c>
      <c r="K407" s="20">
        <v>0</v>
      </c>
      <c r="L407" s="20">
        <v>0</v>
      </c>
      <c r="M407" s="20">
        <v>0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/>
      <c r="T407" s="20">
        <f t="shared" si="100"/>
        <v>750000</v>
      </c>
      <c r="U407" s="20">
        <f t="shared" si="101"/>
        <v>0</v>
      </c>
    </row>
    <row r="408" spans="1:21" s="21" customFormat="1" ht="16" customHeight="1">
      <c r="A408" s="33" t="s">
        <v>120</v>
      </c>
      <c r="B408" s="48">
        <v>2021</v>
      </c>
      <c r="C408" s="13">
        <v>15807</v>
      </c>
      <c r="D408" t="s">
        <v>4827</v>
      </c>
      <c r="E408" s="54">
        <v>1650000</v>
      </c>
      <c r="F408" s="20">
        <v>0</v>
      </c>
      <c r="G408" s="20">
        <f t="shared" si="98"/>
        <v>0</v>
      </c>
      <c r="H408" s="16" t="s">
        <v>138</v>
      </c>
      <c r="I408" s="168" t="s">
        <v>173</v>
      </c>
      <c r="J408" t="s">
        <v>64</v>
      </c>
      <c r="K408" s="20">
        <v>0</v>
      </c>
      <c r="L408" s="20">
        <v>0</v>
      </c>
      <c r="M408" s="20">
        <v>0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/>
      <c r="T408" s="20">
        <f t="shared" si="100"/>
        <v>1650000</v>
      </c>
      <c r="U408" s="20">
        <f t="shared" si="101"/>
        <v>0</v>
      </c>
    </row>
    <row r="409" spans="1:21" s="21" customFormat="1" ht="16" customHeight="1">
      <c r="A409" s="33" t="s">
        <v>120</v>
      </c>
      <c r="B409" s="48">
        <v>2021</v>
      </c>
      <c r="C409" s="13">
        <v>16581</v>
      </c>
      <c r="D409" t="s">
        <v>4828</v>
      </c>
      <c r="E409" s="54">
        <v>2000000</v>
      </c>
      <c r="F409" s="20">
        <v>0</v>
      </c>
      <c r="G409" s="20">
        <f t="shared" si="98"/>
        <v>0</v>
      </c>
      <c r="H409" s="16" t="s">
        <v>138</v>
      </c>
      <c r="I409" s="168" t="s">
        <v>3052</v>
      </c>
      <c r="J409" t="s">
        <v>64</v>
      </c>
      <c r="K409" s="20">
        <v>0</v>
      </c>
      <c r="L409" s="20">
        <v>0</v>
      </c>
      <c r="M409" s="20">
        <v>0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/>
      <c r="T409" s="20">
        <f t="shared" si="100"/>
        <v>2000000</v>
      </c>
      <c r="U409" s="20">
        <f t="shared" si="101"/>
        <v>0</v>
      </c>
    </row>
    <row r="410" spans="1:21" s="21" customFormat="1" ht="16" customHeight="1">
      <c r="A410" s="33" t="s">
        <v>120</v>
      </c>
      <c r="B410" s="48">
        <v>2021</v>
      </c>
      <c r="C410" s="13">
        <v>16968</v>
      </c>
      <c r="D410" t="s">
        <v>4780</v>
      </c>
      <c r="E410" s="54">
        <v>3500000</v>
      </c>
      <c r="F410" s="20">
        <v>0</v>
      </c>
      <c r="G410" s="20">
        <f t="shared" si="98"/>
        <v>0</v>
      </c>
      <c r="H410" s="16" t="s">
        <v>138</v>
      </c>
      <c r="I410" s="168" t="s">
        <v>3052</v>
      </c>
      <c r="J410" t="s">
        <v>64</v>
      </c>
      <c r="K410" s="20">
        <v>0</v>
      </c>
      <c r="L410" s="20">
        <v>0</v>
      </c>
      <c r="M410" s="20">
        <v>0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/>
      <c r="T410" s="20">
        <f t="shared" si="100"/>
        <v>3500000</v>
      </c>
      <c r="U410" s="20">
        <f t="shared" si="101"/>
        <v>0</v>
      </c>
    </row>
    <row r="411" spans="1:21" s="21" customFormat="1" ht="16" customHeight="1">
      <c r="A411" s="33" t="s">
        <v>120</v>
      </c>
      <c r="B411" s="48">
        <v>2021</v>
      </c>
      <c r="C411" s="13">
        <v>17052</v>
      </c>
      <c r="D411" t="s">
        <v>4829</v>
      </c>
      <c r="E411" s="54">
        <v>9030000</v>
      </c>
      <c r="F411" s="20">
        <v>0</v>
      </c>
      <c r="G411" s="20">
        <f t="shared" si="98"/>
        <v>0</v>
      </c>
      <c r="H411" s="16" t="s">
        <v>138</v>
      </c>
      <c r="I411" s="168" t="s">
        <v>3052</v>
      </c>
      <c r="J411" t="s">
        <v>64</v>
      </c>
      <c r="K411" s="20">
        <v>0</v>
      </c>
      <c r="L411" s="20">
        <v>0</v>
      </c>
      <c r="M411" s="20">
        <v>0</v>
      </c>
      <c r="N411" s="20">
        <v>0</v>
      </c>
      <c r="O411" s="20">
        <v>0</v>
      </c>
      <c r="P411" s="20">
        <v>0</v>
      </c>
      <c r="Q411" s="20">
        <v>0</v>
      </c>
      <c r="R411" s="20">
        <v>0</v>
      </c>
      <c r="S411" s="20"/>
      <c r="T411" s="20">
        <f t="shared" si="100"/>
        <v>9030000</v>
      </c>
      <c r="U411" s="20">
        <f t="shared" si="101"/>
        <v>0</v>
      </c>
    </row>
    <row r="412" spans="1:21" s="21" customFormat="1" ht="16" customHeight="1">
      <c r="A412" s="33" t="s">
        <v>120</v>
      </c>
      <c r="B412" s="48">
        <v>2021</v>
      </c>
      <c r="C412" s="13">
        <v>16888</v>
      </c>
      <c r="D412" t="s">
        <v>4830</v>
      </c>
      <c r="E412" s="54">
        <v>800000</v>
      </c>
      <c r="F412" s="20">
        <v>0</v>
      </c>
      <c r="G412" s="20">
        <f t="shared" si="98"/>
        <v>0</v>
      </c>
      <c r="H412" s="16" t="s">
        <v>138</v>
      </c>
      <c r="I412" s="168" t="s">
        <v>3036</v>
      </c>
      <c r="J412" t="s">
        <v>64</v>
      </c>
      <c r="K412" s="20">
        <v>0</v>
      </c>
      <c r="L412" s="20">
        <v>0</v>
      </c>
      <c r="M412" s="20">
        <v>0</v>
      </c>
      <c r="N412" s="20">
        <v>0</v>
      </c>
      <c r="O412" s="20">
        <v>0</v>
      </c>
      <c r="P412" s="20">
        <v>0</v>
      </c>
      <c r="Q412" s="20">
        <v>0</v>
      </c>
      <c r="R412" s="20">
        <v>0</v>
      </c>
      <c r="S412" s="20"/>
      <c r="T412" s="20">
        <f t="shared" si="100"/>
        <v>800000</v>
      </c>
      <c r="U412" s="20">
        <f t="shared" si="101"/>
        <v>0</v>
      </c>
    </row>
    <row r="413" spans="1:21" s="21" customFormat="1" ht="16" customHeight="1">
      <c r="A413" s="33" t="s">
        <v>120</v>
      </c>
      <c r="B413" s="48">
        <v>2021</v>
      </c>
      <c r="C413" s="13">
        <v>15808</v>
      </c>
      <c r="D413" t="s">
        <v>4831</v>
      </c>
      <c r="E413" s="54">
        <v>900000</v>
      </c>
      <c r="F413" s="20">
        <v>0</v>
      </c>
      <c r="G413" s="20">
        <f t="shared" si="98"/>
        <v>0</v>
      </c>
      <c r="H413" s="16" t="s">
        <v>138</v>
      </c>
      <c r="I413" s="168" t="s">
        <v>883</v>
      </c>
      <c r="J413" t="s">
        <v>64</v>
      </c>
      <c r="K413" s="20">
        <v>0</v>
      </c>
      <c r="L413" s="20">
        <v>0</v>
      </c>
      <c r="M413" s="20">
        <v>0</v>
      </c>
      <c r="N413" s="20">
        <v>0</v>
      </c>
      <c r="O413" s="20">
        <v>0</v>
      </c>
      <c r="P413" s="20">
        <v>0</v>
      </c>
      <c r="Q413" s="20">
        <v>0</v>
      </c>
      <c r="R413" s="20">
        <v>0</v>
      </c>
      <c r="S413" s="20"/>
      <c r="T413" s="20">
        <f t="shared" si="100"/>
        <v>900000</v>
      </c>
      <c r="U413" s="20">
        <f t="shared" si="101"/>
        <v>0</v>
      </c>
    </row>
    <row r="414" spans="1:21" s="21" customFormat="1" ht="16" customHeight="1">
      <c r="A414" s="33" t="s">
        <v>120</v>
      </c>
      <c r="B414" s="48">
        <v>2021</v>
      </c>
      <c r="C414" s="13">
        <v>17187</v>
      </c>
      <c r="D414" t="s">
        <v>4832</v>
      </c>
      <c r="E414" s="54">
        <v>18900000</v>
      </c>
      <c r="F414" s="20">
        <v>0</v>
      </c>
      <c r="G414" s="20">
        <f t="shared" si="98"/>
        <v>0</v>
      </c>
      <c r="H414" s="16" t="s">
        <v>138</v>
      </c>
      <c r="I414" s="168" t="s">
        <v>2988</v>
      </c>
      <c r="J414" t="s">
        <v>64</v>
      </c>
      <c r="K414" s="20">
        <v>0</v>
      </c>
      <c r="L414" s="20">
        <v>0</v>
      </c>
      <c r="M414" s="20">
        <v>0</v>
      </c>
      <c r="N414" s="20">
        <v>0</v>
      </c>
      <c r="O414" s="20">
        <v>0</v>
      </c>
      <c r="P414" s="20">
        <v>0</v>
      </c>
      <c r="Q414" s="20">
        <v>0</v>
      </c>
      <c r="R414" s="20">
        <v>0</v>
      </c>
      <c r="S414" s="20"/>
      <c r="T414" s="20">
        <f t="shared" si="100"/>
        <v>18900000</v>
      </c>
      <c r="U414" s="20">
        <f t="shared" si="101"/>
        <v>0</v>
      </c>
    </row>
    <row r="415" spans="1:21" s="21" customFormat="1" ht="16" customHeight="1">
      <c r="A415" s="33" t="s">
        <v>120</v>
      </c>
      <c r="B415" s="48">
        <v>2021</v>
      </c>
      <c r="C415" s="13">
        <v>16709</v>
      </c>
      <c r="D415" t="s">
        <v>4833</v>
      </c>
      <c r="E415" s="54">
        <v>5509000</v>
      </c>
      <c r="F415" s="20">
        <v>0</v>
      </c>
      <c r="G415" s="20">
        <f t="shared" si="98"/>
        <v>0</v>
      </c>
      <c r="H415" s="16" t="s">
        <v>138</v>
      </c>
      <c r="I415" s="168" t="s">
        <v>4141</v>
      </c>
      <c r="J415" t="s">
        <v>64</v>
      </c>
      <c r="K415" s="20">
        <v>0</v>
      </c>
      <c r="L415" s="20">
        <v>0</v>
      </c>
      <c r="M415" s="20">
        <v>0</v>
      </c>
      <c r="N415" s="20">
        <v>0</v>
      </c>
      <c r="O415" s="20">
        <v>0</v>
      </c>
      <c r="P415" s="20">
        <v>0</v>
      </c>
      <c r="Q415" s="20">
        <v>0</v>
      </c>
      <c r="R415" s="20">
        <v>0</v>
      </c>
      <c r="S415" s="20"/>
      <c r="T415" s="20">
        <f t="shared" si="100"/>
        <v>5509000</v>
      </c>
      <c r="U415" s="20">
        <f t="shared" si="101"/>
        <v>0</v>
      </c>
    </row>
    <row r="416" spans="1:21" s="21" customFormat="1" ht="16" customHeight="1">
      <c r="A416" s="33" t="s">
        <v>120</v>
      </c>
      <c r="B416" s="48">
        <v>2021</v>
      </c>
      <c r="C416" s="13">
        <v>15758</v>
      </c>
      <c r="D416" t="s">
        <v>4834</v>
      </c>
      <c r="E416" s="54">
        <v>3000000</v>
      </c>
      <c r="F416" s="20">
        <v>0</v>
      </c>
      <c r="G416" s="20">
        <f t="shared" si="98"/>
        <v>0</v>
      </c>
      <c r="H416" s="16" t="s">
        <v>138</v>
      </c>
      <c r="I416" s="168" t="s">
        <v>1015</v>
      </c>
      <c r="J416" t="s">
        <v>64</v>
      </c>
      <c r="K416" s="20">
        <v>0</v>
      </c>
      <c r="L416" s="20">
        <v>0</v>
      </c>
      <c r="M416" s="20">
        <v>0</v>
      </c>
      <c r="N416" s="20">
        <v>0</v>
      </c>
      <c r="O416" s="20">
        <v>0</v>
      </c>
      <c r="P416" s="20">
        <v>0</v>
      </c>
      <c r="Q416" s="20">
        <v>0</v>
      </c>
      <c r="R416" s="20">
        <v>0</v>
      </c>
      <c r="S416" s="20"/>
      <c r="T416" s="20">
        <f t="shared" si="100"/>
        <v>3000000</v>
      </c>
      <c r="U416" s="20">
        <f t="shared" si="101"/>
        <v>0</v>
      </c>
    </row>
    <row r="417" spans="1:21" s="21" customFormat="1" ht="16" customHeight="1">
      <c r="A417" s="33" t="s">
        <v>120</v>
      </c>
      <c r="B417" s="48">
        <v>2021</v>
      </c>
      <c r="C417" s="13">
        <v>15813</v>
      </c>
      <c r="D417" t="s">
        <v>5136</v>
      </c>
      <c r="E417" s="54">
        <v>1200000</v>
      </c>
      <c r="F417" s="20">
        <v>0</v>
      </c>
      <c r="G417" s="20">
        <f t="shared" si="98"/>
        <v>0</v>
      </c>
      <c r="H417" s="16" t="s">
        <v>138</v>
      </c>
      <c r="I417" s="168" t="s">
        <v>1015</v>
      </c>
      <c r="J417" t="s">
        <v>64</v>
      </c>
      <c r="K417" s="20">
        <v>0</v>
      </c>
      <c r="L417" s="20">
        <v>0</v>
      </c>
      <c r="M417" s="20">
        <v>0</v>
      </c>
      <c r="N417" s="20">
        <v>0</v>
      </c>
      <c r="O417" s="20">
        <v>0</v>
      </c>
      <c r="P417" s="20">
        <v>0</v>
      </c>
      <c r="Q417" s="20">
        <v>0</v>
      </c>
      <c r="R417" s="20">
        <v>0</v>
      </c>
      <c r="S417" s="20"/>
      <c r="T417" s="20">
        <f t="shared" si="100"/>
        <v>1200000</v>
      </c>
      <c r="U417" s="20">
        <f t="shared" si="101"/>
        <v>0</v>
      </c>
    </row>
    <row r="418" spans="1:21" s="21" customFormat="1" ht="16" customHeight="1">
      <c r="A418" s="33" t="s">
        <v>120</v>
      </c>
      <c r="B418" s="48">
        <v>2021</v>
      </c>
      <c r="C418" s="13">
        <v>17089</v>
      </c>
      <c r="D418" t="s">
        <v>4835</v>
      </c>
      <c r="E418" s="54">
        <v>800000</v>
      </c>
      <c r="F418" s="20">
        <v>0</v>
      </c>
      <c r="G418" s="20">
        <f t="shared" si="98"/>
        <v>0</v>
      </c>
      <c r="H418" s="16" t="s">
        <v>138</v>
      </c>
      <c r="I418" s="168" t="s">
        <v>3039</v>
      </c>
      <c r="J418" t="s">
        <v>64</v>
      </c>
      <c r="K418" s="20">
        <v>0</v>
      </c>
      <c r="L418" s="20">
        <v>0</v>
      </c>
      <c r="M418" s="20">
        <v>0</v>
      </c>
      <c r="N418" s="20">
        <v>0</v>
      </c>
      <c r="O418" s="20">
        <v>0</v>
      </c>
      <c r="P418" s="20">
        <v>0</v>
      </c>
      <c r="Q418" s="20">
        <v>0</v>
      </c>
      <c r="R418" s="20">
        <v>0</v>
      </c>
      <c r="S418" s="20"/>
      <c r="T418" s="20">
        <f t="shared" si="100"/>
        <v>800000</v>
      </c>
      <c r="U418" s="20">
        <f t="shared" si="101"/>
        <v>0</v>
      </c>
    </row>
    <row r="419" spans="1:21" s="21" customFormat="1" ht="16" customHeight="1">
      <c r="A419" s="33" t="s">
        <v>120</v>
      </c>
      <c r="B419" s="48">
        <v>2021</v>
      </c>
      <c r="C419" s="13">
        <v>17592</v>
      </c>
      <c r="D419" t="s">
        <v>4836</v>
      </c>
      <c r="E419" s="54">
        <v>3780000</v>
      </c>
      <c r="F419" s="20">
        <v>0</v>
      </c>
      <c r="G419" s="20">
        <f t="shared" si="98"/>
        <v>0</v>
      </c>
      <c r="H419" s="16" t="s">
        <v>138</v>
      </c>
      <c r="I419" s="168" t="s">
        <v>2994</v>
      </c>
      <c r="J419" t="s">
        <v>64</v>
      </c>
      <c r="K419" s="20">
        <v>0</v>
      </c>
      <c r="L419" s="20">
        <v>0</v>
      </c>
      <c r="M419" s="20">
        <v>0</v>
      </c>
      <c r="N419" s="20">
        <v>0</v>
      </c>
      <c r="O419" s="20">
        <v>0</v>
      </c>
      <c r="P419" s="20">
        <v>0</v>
      </c>
      <c r="Q419" s="20">
        <v>0</v>
      </c>
      <c r="R419" s="20">
        <v>0</v>
      </c>
      <c r="S419" s="20"/>
      <c r="T419" s="20">
        <f t="shared" si="100"/>
        <v>3780000</v>
      </c>
      <c r="U419" s="20">
        <f t="shared" si="101"/>
        <v>0</v>
      </c>
    </row>
    <row r="420" spans="1:21" s="21" customFormat="1" ht="16" customHeight="1">
      <c r="A420" s="33" t="s">
        <v>120</v>
      </c>
      <c r="B420" s="48">
        <v>2021</v>
      </c>
      <c r="C420" s="13">
        <v>17724</v>
      </c>
      <c r="D420" t="s">
        <v>4837</v>
      </c>
      <c r="E420" s="54">
        <v>800000</v>
      </c>
      <c r="F420" s="20">
        <v>0</v>
      </c>
      <c r="G420" s="20">
        <f t="shared" si="98"/>
        <v>0</v>
      </c>
      <c r="H420" s="16" t="s">
        <v>138</v>
      </c>
      <c r="I420" s="168" t="s">
        <v>3046</v>
      </c>
      <c r="J420" t="s">
        <v>64</v>
      </c>
      <c r="K420" s="20">
        <v>0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/>
      <c r="T420" s="20">
        <f t="shared" si="100"/>
        <v>800000</v>
      </c>
      <c r="U420" s="20">
        <f t="shared" ref="U420:U447" si="105">G420+Q420+R420</f>
        <v>0</v>
      </c>
    </row>
    <row r="421" spans="1:21" s="21" customFormat="1" ht="16" customHeight="1">
      <c r="A421" s="33" t="s">
        <v>120</v>
      </c>
      <c r="B421" s="48">
        <v>2021</v>
      </c>
      <c r="C421" s="13">
        <v>17734</v>
      </c>
      <c r="D421" t="s">
        <v>4838</v>
      </c>
      <c r="E421" s="54">
        <v>1000000</v>
      </c>
      <c r="F421" s="20">
        <v>0</v>
      </c>
      <c r="G421" s="20">
        <f t="shared" si="98"/>
        <v>0</v>
      </c>
      <c r="H421" s="16" t="s">
        <v>138</v>
      </c>
      <c r="I421" s="168" t="s">
        <v>3046</v>
      </c>
      <c r="J421" t="s">
        <v>64</v>
      </c>
      <c r="K421" s="20">
        <v>0</v>
      </c>
      <c r="L421" s="20">
        <v>0</v>
      </c>
      <c r="M421" s="20">
        <v>0</v>
      </c>
      <c r="N421" s="20">
        <v>0</v>
      </c>
      <c r="O421" s="20">
        <v>0</v>
      </c>
      <c r="P421" s="20">
        <v>0</v>
      </c>
      <c r="Q421" s="20">
        <v>0</v>
      </c>
      <c r="R421" s="20">
        <v>0</v>
      </c>
      <c r="S421" s="20"/>
      <c r="T421" s="20">
        <f t="shared" si="100"/>
        <v>1000000</v>
      </c>
      <c r="U421" s="20">
        <f t="shared" si="105"/>
        <v>0</v>
      </c>
    </row>
    <row r="422" spans="1:21" s="21" customFormat="1" ht="16" customHeight="1">
      <c r="A422" s="33" t="s">
        <v>120</v>
      </c>
      <c r="B422" s="48">
        <v>2021</v>
      </c>
      <c r="C422" s="13">
        <v>17763</v>
      </c>
      <c r="D422" t="s">
        <v>4839</v>
      </c>
      <c r="E422" s="54">
        <v>41320000</v>
      </c>
      <c r="F422" s="20">
        <v>0</v>
      </c>
      <c r="G422" s="20">
        <f t="shared" si="98"/>
        <v>0</v>
      </c>
      <c r="H422" s="16" t="s">
        <v>138</v>
      </c>
      <c r="I422" s="168" t="s">
        <v>3046</v>
      </c>
      <c r="J422" t="s">
        <v>64</v>
      </c>
      <c r="K422" s="20">
        <v>0</v>
      </c>
      <c r="L422" s="20">
        <v>0</v>
      </c>
      <c r="M422" s="20">
        <v>0</v>
      </c>
      <c r="N422" s="20">
        <v>0</v>
      </c>
      <c r="O422" s="20">
        <v>0</v>
      </c>
      <c r="P422" s="20">
        <v>0</v>
      </c>
      <c r="Q422" s="20">
        <v>0</v>
      </c>
      <c r="R422" s="20">
        <v>0</v>
      </c>
      <c r="S422" s="20"/>
      <c r="T422" s="20">
        <f t="shared" si="100"/>
        <v>41320000</v>
      </c>
      <c r="U422" s="20">
        <f t="shared" si="105"/>
        <v>0</v>
      </c>
    </row>
    <row r="423" spans="1:21" s="21" customFormat="1" ht="16" customHeight="1">
      <c r="A423" s="33" t="s">
        <v>120</v>
      </c>
      <c r="B423" s="48">
        <v>2021</v>
      </c>
      <c r="C423" s="13">
        <v>17769</v>
      </c>
      <c r="D423" t="s">
        <v>4840</v>
      </c>
      <c r="E423" s="54">
        <v>7000000</v>
      </c>
      <c r="F423" s="20">
        <v>0</v>
      </c>
      <c r="G423" s="20">
        <f t="shared" si="98"/>
        <v>0</v>
      </c>
      <c r="H423" s="16" t="s">
        <v>138</v>
      </c>
      <c r="I423" s="168" t="s">
        <v>3046</v>
      </c>
      <c r="J423" t="s">
        <v>64</v>
      </c>
      <c r="K423" s="20">
        <v>0</v>
      </c>
      <c r="L423" s="20">
        <v>0</v>
      </c>
      <c r="M423" s="20">
        <v>0</v>
      </c>
      <c r="N423" s="20">
        <v>0</v>
      </c>
      <c r="O423" s="20">
        <v>0</v>
      </c>
      <c r="P423" s="20">
        <v>0</v>
      </c>
      <c r="Q423" s="20">
        <v>0</v>
      </c>
      <c r="R423" s="20">
        <v>0</v>
      </c>
      <c r="S423" s="20"/>
      <c r="T423" s="20">
        <f t="shared" si="100"/>
        <v>7000000</v>
      </c>
      <c r="U423" s="20">
        <f t="shared" si="105"/>
        <v>0</v>
      </c>
    </row>
    <row r="424" spans="1:21" s="21" customFormat="1" ht="16" customHeight="1">
      <c r="A424" s="33" t="s">
        <v>120</v>
      </c>
      <c r="B424" s="48">
        <v>2021</v>
      </c>
      <c r="C424" s="13">
        <v>17772</v>
      </c>
      <c r="D424" t="s">
        <v>4841</v>
      </c>
      <c r="E424" s="54">
        <v>14000000</v>
      </c>
      <c r="F424" s="20">
        <v>0</v>
      </c>
      <c r="G424" s="20">
        <f t="shared" si="98"/>
        <v>0</v>
      </c>
      <c r="H424" s="16" t="s">
        <v>138</v>
      </c>
      <c r="I424" s="168" t="s">
        <v>3046</v>
      </c>
      <c r="J424" t="s">
        <v>64</v>
      </c>
      <c r="K424" s="20">
        <v>0</v>
      </c>
      <c r="L424" s="20">
        <v>0</v>
      </c>
      <c r="M424" s="20">
        <v>0</v>
      </c>
      <c r="N424" s="20">
        <v>0</v>
      </c>
      <c r="O424" s="20">
        <v>0</v>
      </c>
      <c r="P424" s="20">
        <v>0</v>
      </c>
      <c r="Q424" s="20">
        <v>0</v>
      </c>
      <c r="R424" s="20">
        <v>0</v>
      </c>
      <c r="S424" s="20"/>
      <c r="T424" s="20">
        <f t="shared" si="100"/>
        <v>14000000</v>
      </c>
      <c r="U424" s="20">
        <f t="shared" ref="U424" si="106">G424+Q424+R424</f>
        <v>0</v>
      </c>
    </row>
    <row r="425" spans="1:21" s="21" customFormat="1" ht="16" customHeight="1">
      <c r="A425" s="33" t="s">
        <v>120</v>
      </c>
      <c r="B425" s="48">
        <v>2021</v>
      </c>
      <c r="C425" s="13">
        <v>18140</v>
      </c>
      <c r="D425" s="14" t="s">
        <v>4834</v>
      </c>
      <c r="E425" s="53">
        <v>2500000</v>
      </c>
      <c r="F425" s="20">
        <v>0</v>
      </c>
      <c r="G425" s="20">
        <f t="shared" si="98"/>
        <v>0</v>
      </c>
      <c r="H425" s="16" t="s">
        <v>138</v>
      </c>
      <c r="I425" s="168" t="s">
        <v>3046</v>
      </c>
      <c r="J425" s="14" t="s">
        <v>64</v>
      </c>
      <c r="K425" s="20">
        <v>0</v>
      </c>
      <c r="L425" s="20">
        <v>0</v>
      </c>
      <c r="M425" s="20">
        <v>0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0"/>
      <c r="T425" s="20">
        <f t="shared" si="100"/>
        <v>2500000</v>
      </c>
      <c r="U425" s="20">
        <f t="shared" si="105"/>
        <v>0</v>
      </c>
    </row>
    <row r="426" spans="1:21" s="21" customFormat="1" ht="16" customHeight="1">
      <c r="A426" s="33" t="s">
        <v>120</v>
      </c>
      <c r="B426" s="48">
        <v>2021</v>
      </c>
      <c r="C426" s="13">
        <v>16769</v>
      </c>
      <c r="D426" t="s">
        <v>4842</v>
      </c>
      <c r="E426" s="54">
        <v>800000</v>
      </c>
      <c r="F426" s="20">
        <v>0</v>
      </c>
      <c r="G426" s="20">
        <f t="shared" si="98"/>
        <v>0</v>
      </c>
      <c r="H426" s="16" t="s">
        <v>138</v>
      </c>
      <c r="I426" s="168" t="s">
        <v>4389</v>
      </c>
      <c r="J426" t="s">
        <v>64</v>
      </c>
      <c r="K426" s="20">
        <v>0</v>
      </c>
      <c r="L426" s="20">
        <v>0</v>
      </c>
      <c r="M426" s="20">
        <v>0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0"/>
      <c r="T426" s="20">
        <f t="shared" si="100"/>
        <v>800000</v>
      </c>
      <c r="U426" s="20">
        <f t="shared" si="105"/>
        <v>0</v>
      </c>
    </row>
    <row r="427" spans="1:21" s="21" customFormat="1" ht="16" customHeight="1">
      <c r="A427" s="33" t="s">
        <v>120</v>
      </c>
      <c r="B427" s="48">
        <v>2021</v>
      </c>
      <c r="C427" s="13">
        <v>17967</v>
      </c>
      <c r="D427" t="s">
        <v>4843</v>
      </c>
      <c r="E427" s="54">
        <v>400000</v>
      </c>
      <c r="F427" s="20">
        <v>0</v>
      </c>
      <c r="G427" s="20">
        <f t="shared" si="98"/>
        <v>0</v>
      </c>
      <c r="H427" s="16" t="s">
        <v>138</v>
      </c>
      <c r="I427" s="168" t="s">
        <v>3000</v>
      </c>
      <c r="J427" t="s">
        <v>64</v>
      </c>
      <c r="K427" s="20">
        <v>0</v>
      </c>
      <c r="L427" s="20">
        <v>0</v>
      </c>
      <c r="M427" s="20">
        <v>0</v>
      </c>
      <c r="N427" s="20">
        <v>0</v>
      </c>
      <c r="O427" s="20">
        <v>0</v>
      </c>
      <c r="P427" s="20">
        <v>0</v>
      </c>
      <c r="Q427" s="20">
        <v>0</v>
      </c>
      <c r="R427" s="20">
        <v>0</v>
      </c>
      <c r="S427" s="20"/>
      <c r="T427" s="20">
        <f t="shared" si="100"/>
        <v>400000</v>
      </c>
      <c r="U427" s="20">
        <f t="shared" si="105"/>
        <v>0</v>
      </c>
    </row>
    <row r="428" spans="1:21" s="21" customFormat="1" ht="16" customHeight="1">
      <c r="A428" s="33" t="s">
        <v>120</v>
      </c>
      <c r="B428" s="48">
        <v>2021</v>
      </c>
      <c r="C428" s="13">
        <v>17968</v>
      </c>
      <c r="D428" t="s">
        <v>4844</v>
      </c>
      <c r="E428" s="54">
        <v>150000</v>
      </c>
      <c r="F428" s="20">
        <v>0</v>
      </c>
      <c r="G428" s="20">
        <f t="shared" si="98"/>
        <v>0</v>
      </c>
      <c r="H428" s="16" t="s">
        <v>138</v>
      </c>
      <c r="I428" s="168" t="s">
        <v>3000</v>
      </c>
      <c r="J428" t="s">
        <v>64</v>
      </c>
      <c r="K428" s="20">
        <v>0</v>
      </c>
      <c r="L428" s="20">
        <v>0</v>
      </c>
      <c r="M428" s="20">
        <v>0</v>
      </c>
      <c r="N428" s="20">
        <v>0</v>
      </c>
      <c r="O428" s="20">
        <v>0</v>
      </c>
      <c r="P428" s="20">
        <v>0</v>
      </c>
      <c r="Q428" s="20">
        <v>0</v>
      </c>
      <c r="R428" s="20">
        <v>0</v>
      </c>
      <c r="S428" s="20"/>
      <c r="T428" s="20">
        <f t="shared" si="100"/>
        <v>150000</v>
      </c>
      <c r="U428" s="20">
        <f t="shared" si="105"/>
        <v>0</v>
      </c>
    </row>
    <row r="429" spans="1:21" s="21" customFormat="1" ht="16" customHeight="1">
      <c r="A429" s="33" t="s">
        <v>120</v>
      </c>
      <c r="B429" s="48">
        <v>2021</v>
      </c>
      <c r="C429" s="13">
        <v>17969</v>
      </c>
      <c r="D429" t="s">
        <v>4845</v>
      </c>
      <c r="E429" s="54">
        <v>3007444</v>
      </c>
      <c r="F429" s="20">
        <v>0</v>
      </c>
      <c r="G429" s="20">
        <f t="shared" si="98"/>
        <v>0</v>
      </c>
      <c r="H429" s="16" t="s">
        <v>138</v>
      </c>
      <c r="I429" s="168" t="s">
        <v>3000</v>
      </c>
      <c r="J429" t="s">
        <v>64</v>
      </c>
      <c r="K429" s="20">
        <v>0</v>
      </c>
      <c r="L429" s="20">
        <v>0</v>
      </c>
      <c r="M429" s="20">
        <v>0</v>
      </c>
      <c r="N429" s="20">
        <v>0</v>
      </c>
      <c r="O429" s="20">
        <v>0</v>
      </c>
      <c r="P429" s="20">
        <v>0</v>
      </c>
      <c r="Q429" s="20">
        <v>0</v>
      </c>
      <c r="R429" s="20">
        <v>0</v>
      </c>
      <c r="S429" s="20"/>
      <c r="T429" s="20">
        <f t="shared" si="100"/>
        <v>3007444</v>
      </c>
      <c r="U429" s="20">
        <f t="shared" ref="U429" si="107">G429+Q429+R429</f>
        <v>0</v>
      </c>
    </row>
    <row r="430" spans="1:21" s="21" customFormat="1" ht="16" customHeight="1">
      <c r="A430" s="33" t="s">
        <v>120</v>
      </c>
      <c r="B430" s="48">
        <v>2021</v>
      </c>
      <c r="C430" s="13">
        <v>18145</v>
      </c>
      <c r="D430" s="14" t="s">
        <v>4876</v>
      </c>
      <c r="E430" s="53">
        <v>50329495</v>
      </c>
      <c r="F430" s="20">
        <v>0</v>
      </c>
      <c r="G430" s="20">
        <f t="shared" si="98"/>
        <v>0</v>
      </c>
      <c r="H430" s="16" t="s">
        <v>138</v>
      </c>
      <c r="I430" s="168" t="s">
        <v>3000</v>
      </c>
      <c r="J430" s="14" t="s">
        <v>64</v>
      </c>
      <c r="K430" s="20">
        <v>0</v>
      </c>
      <c r="L430" s="20">
        <v>0</v>
      </c>
      <c r="M430" s="20">
        <v>0</v>
      </c>
      <c r="N430" s="20">
        <v>0</v>
      </c>
      <c r="O430" s="20">
        <v>0</v>
      </c>
      <c r="P430" s="20">
        <v>0</v>
      </c>
      <c r="Q430" s="20">
        <v>0</v>
      </c>
      <c r="R430" s="20">
        <v>0</v>
      </c>
      <c r="S430" s="20"/>
      <c r="T430" s="20">
        <f t="shared" si="100"/>
        <v>50329495</v>
      </c>
      <c r="U430" s="20">
        <f t="shared" si="105"/>
        <v>0</v>
      </c>
    </row>
    <row r="431" spans="1:21" s="21" customFormat="1" ht="16" customHeight="1">
      <c r="A431" s="33" t="s">
        <v>120</v>
      </c>
      <c r="B431" s="48">
        <v>2021</v>
      </c>
      <c r="C431" s="13">
        <v>17781</v>
      </c>
      <c r="D431" t="s">
        <v>4846</v>
      </c>
      <c r="E431" s="54">
        <v>77000000</v>
      </c>
      <c r="F431" s="20">
        <v>0</v>
      </c>
      <c r="G431" s="20">
        <f t="shared" si="98"/>
        <v>0</v>
      </c>
      <c r="H431" s="16" t="s">
        <v>138</v>
      </c>
      <c r="I431" s="168" t="s">
        <v>2965</v>
      </c>
      <c r="J431" t="s">
        <v>64</v>
      </c>
      <c r="K431" s="20">
        <v>0</v>
      </c>
      <c r="L431" s="20">
        <v>0</v>
      </c>
      <c r="M431" s="20">
        <v>0</v>
      </c>
      <c r="N431" s="20">
        <v>0</v>
      </c>
      <c r="O431" s="20">
        <v>0</v>
      </c>
      <c r="P431" s="20">
        <v>0</v>
      </c>
      <c r="Q431" s="20">
        <v>0</v>
      </c>
      <c r="R431" s="20">
        <v>0</v>
      </c>
      <c r="S431" s="20"/>
      <c r="T431" s="20">
        <f t="shared" si="100"/>
        <v>77000000</v>
      </c>
      <c r="U431" s="20">
        <f t="shared" si="105"/>
        <v>0</v>
      </c>
    </row>
    <row r="432" spans="1:21" s="21" customFormat="1" ht="16" customHeight="1">
      <c r="A432" s="33" t="s">
        <v>120</v>
      </c>
      <c r="B432" s="48">
        <v>2021</v>
      </c>
      <c r="C432" s="13">
        <v>17782</v>
      </c>
      <c r="D432" t="s">
        <v>4846</v>
      </c>
      <c r="E432" s="54">
        <v>11000000</v>
      </c>
      <c r="F432" s="20">
        <v>0</v>
      </c>
      <c r="G432" s="20">
        <f t="shared" si="98"/>
        <v>0</v>
      </c>
      <c r="H432" s="16" t="s">
        <v>138</v>
      </c>
      <c r="I432" s="168" t="s">
        <v>2965</v>
      </c>
      <c r="J432" t="s">
        <v>64</v>
      </c>
      <c r="K432" s="20">
        <v>0</v>
      </c>
      <c r="L432" s="20">
        <v>0</v>
      </c>
      <c r="M432" s="20">
        <v>0</v>
      </c>
      <c r="N432" s="20">
        <v>0</v>
      </c>
      <c r="O432" s="20">
        <v>0</v>
      </c>
      <c r="P432" s="20">
        <v>0</v>
      </c>
      <c r="Q432" s="20">
        <v>0</v>
      </c>
      <c r="R432" s="20">
        <v>0</v>
      </c>
      <c r="S432" s="20"/>
      <c r="T432" s="20">
        <f t="shared" si="100"/>
        <v>11000000</v>
      </c>
      <c r="U432" s="20">
        <f t="shared" si="105"/>
        <v>0</v>
      </c>
    </row>
    <row r="433" spans="1:21" s="21" customFormat="1" ht="16" customHeight="1">
      <c r="A433" s="33" t="s">
        <v>120</v>
      </c>
      <c r="B433" s="48">
        <v>2021</v>
      </c>
      <c r="C433" s="13">
        <v>17853</v>
      </c>
      <c r="D433" t="s">
        <v>4847</v>
      </c>
      <c r="E433" s="54">
        <v>10000000</v>
      </c>
      <c r="F433" s="20">
        <v>0</v>
      </c>
      <c r="G433" s="20">
        <f t="shared" si="98"/>
        <v>0</v>
      </c>
      <c r="H433" s="16" t="s">
        <v>138</v>
      </c>
      <c r="I433" s="168" t="s">
        <v>2965</v>
      </c>
      <c r="J433" t="s">
        <v>64</v>
      </c>
      <c r="K433" s="20">
        <v>0</v>
      </c>
      <c r="L433" s="20">
        <v>0</v>
      </c>
      <c r="M433" s="20">
        <v>0</v>
      </c>
      <c r="N433" s="20">
        <v>0</v>
      </c>
      <c r="O433" s="20">
        <v>0</v>
      </c>
      <c r="P433" s="20">
        <v>0</v>
      </c>
      <c r="Q433" s="20">
        <v>0</v>
      </c>
      <c r="R433" s="20">
        <v>0</v>
      </c>
      <c r="S433" s="20"/>
      <c r="T433" s="20">
        <f t="shared" si="100"/>
        <v>10000000</v>
      </c>
      <c r="U433" s="20">
        <f t="shared" si="105"/>
        <v>0</v>
      </c>
    </row>
    <row r="434" spans="1:21" s="21" customFormat="1" ht="16" customHeight="1">
      <c r="A434" s="33" t="s">
        <v>120</v>
      </c>
      <c r="B434" s="48">
        <v>2021</v>
      </c>
      <c r="C434" s="13">
        <v>18043</v>
      </c>
      <c r="D434" t="s">
        <v>4848</v>
      </c>
      <c r="E434" s="131">
        <v>9644500</v>
      </c>
      <c r="F434" s="20">
        <v>0</v>
      </c>
      <c r="G434" s="20">
        <f t="shared" si="98"/>
        <v>0</v>
      </c>
      <c r="H434" s="16" t="s">
        <v>138</v>
      </c>
      <c r="I434" s="168" t="s">
        <v>4143</v>
      </c>
      <c r="J434" t="s">
        <v>64</v>
      </c>
      <c r="K434" s="20">
        <v>0</v>
      </c>
      <c r="L434" s="20">
        <v>0</v>
      </c>
      <c r="M434" s="20">
        <v>0</v>
      </c>
      <c r="N434" s="20">
        <v>0</v>
      </c>
      <c r="O434" s="20">
        <v>0</v>
      </c>
      <c r="P434" s="20">
        <v>0</v>
      </c>
      <c r="Q434" s="20">
        <v>0</v>
      </c>
      <c r="R434" s="20">
        <v>0</v>
      </c>
      <c r="S434" s="20"/>
      <c r="T434" s="20">
        <f t="shared" si="100"/>
        <v>9644500</v>
      </c>
      <c r="U434" s="20">
        <f t="shared" si="105"/>
        <v>0</v>
      </c>
    </row>
    <row r="435" spans="1:21" s="21" customFormat="1" ht="16" customHeight="1">
      <c r="A435" s="33" t="s">
        <v>120</v>
      </c>
      <c r="B435" s="48">
        <v>2021</v>
      </c>
      <c r="C435" s="13">
        <v>17875</v>
      </c>
      <c r="D435" t="s">
        <v>4849</v>
      </c>
      <c r="E435" s="54">
        <v>45683303</v>
      </c>
      <c r="F435" s="20">
        <v>0</v>
      </c>
      <c r="G435" s="20">
        <f t="shared" ref="G435:G498" si="108">(F435*$G$3)/$D$536</f>
        <v>0</v>
      </c>
      <c r="H435" s="16" t="s">
        <v>138</v>
      </c>
      <c r="I435" s="168" t="s">
        <v>4748</v>
      </c>
      <c r="J435" t="s">
        <v>64</v>
      </c>
      <c r="K435" s="20">
        <v>0</v>
      </c>
      <c r="L435" s="20">
        <v>0</v>
      </c>
      <c r="M435" s="20">
        <v>0</v>
      </c>
      <c r="N435" s="20">
        <v>0</v>
      </c>
      <c r="O435" s="20">
        <v>0</v>
      </c>
      <c r="P435" s="20">
        <v>0</v>
      </c>
      <c r="Q435" s="20">
        <v>0</v>
      </c>
      <c r="R435" s="20">
        <v>0</v>
      </c>
      <c r="S435" s="20"/>
      <c r="T435" s="20">
        <f t="shared" si="100"/>
        <v>45683303</v>
      </c>
      <c r="U435" s="20">
        <f t="shared" si="105"/>
        <v>0</v>
      </c>
    </row>
    <row r="436" spans="1:21" s="21" customFormat="1" ht="16" customHeight="1">
      <c r="A436" s="33" t="s">
        <v>120</v>
      </c>
      <c r="B436" s="48">
        <v>2021</v>
      </c>
      <c r="C436" s="13">
        <v>17910</v>
      </c>
      <c r="D436" t="s">
        <v>4850</v>
      </c>
      <c r="E436" s="54">
        <v>15113700</v>
      </c>
      <c r="F436" s="20">
        <v>0</v>
      </c>
      <c r="G436" s="20">
        <f t="shared" si="108"/>
        <v>0</v>
      </c>
      <c r="H436" s="16" t="s">
        <v>138</v>
      </c>
      <c r="I436" s="168" t="s">
        <v>3030</v>
      </c>
      <c r="J436" t="s">
        <v>64</v>
      </c>
      <c r="K436" s="20">
        <v>0</v>
      </c>
      <c r="L436" s="20">
        <v>0</v>
      </c>
      <c r="M436" s="20">
        <v>0</v>
      </c>
      <c r="N436" s="20">
        <v>0</v>
      </c>
      <c r="O436" s="20">
        <v>0</v>
      </c>
      <c r="P436" s="20">
        <v>0</v>
      </c>
      <c r="Q436" s="20">
        <v>0</v>
      </c>
      <c r="R436" s="20">
        <v>0</v>
      </c>
      <c r="S436" s="20"/>
      <c r="T436" s="20">
        <f t="shared" si="100"/>
        <v>15113700</v>
      </c>
      <c r="U436" s="20">
        <f t="shared" si="105"/>
        <v>0</v>
      </c>
    </row>
    <row r="437" spans="1:21" s="21" customFormat="1" ht="16" customHeight="1">
      <c r="A437" s="33" t="s">
        <v>120</v>
      </c>
      <c r="B437" s="48">
        <v>2021</v>
      </c>
      <c r="C437" s="13">
        <v>17921</v>
      </c>
      <c r="D437" t="s">
        <v>4851</v>
      </c>
      <c r="E437" s="54">
        <v>7210000</v>
      </c>
      <c r="F437" s="20">
        <v>0</v>
      </c>
      <c r="G437" s="20">
        <f t="shared" si="108"/>
        <v>0</v>
      </c>
      <c r="H437" s="16" t="s">
        <v>138</v>
      </c>
      <c r="I437" s="168" t="s">
        <v>3759</v>
      </c>
      <c r="J437" t="s">
        <v>64</v>
      </c>
      <c r="K437" s="20">
        <v>0</v>
      </c>
      <c r="L437" s="20">
        <v>0</v>
      </c>
      <c r="M437" s="20">
        <v>0</v>
      </c>
      <c r="N437" s="20">
        <v>0</v>
      </c>
      <c r="O437" s="20">
        <v>0</v>
      </c>
      <c r="P437" s="20">
        <v>0</v>
      </c>
      <c r="Q437" s="20">
        <v>0</v>
      </c>
      <c r="R437" s="20">
        <v>0</v>
      </c>
      <c r="S437" s="20"/>
      <c r="T437" s="20">
        <f t="shared" si="100"/>
        <v>7210000</v>
      </c>
      <c r="U437" s="20">
        <f t="shared" si="105"/>
        <v>0</v>
      </c>
    </row>
    <row r="438" spans="1:21" s="21" customFormat="1" ht="16" customHeight="1">
      <c r="A438" s="33" t="s">
        <v>120</v>
      </c>
      <c r="B438" s="48">
        <v>2021</v>
      </c>
      <c r="C438" s="13">
        <v>18009</v>
      </c>
      <c r="D438" t="s">
        <v>4852</v>
      </c>
      <c r="E438" s="54">
        <v>7396649</v>
      </c>
      <c r="F438" s="20">
        <v>0</v>
      </c>
      <c r="G438" s="20">
        <f t="shared" si="108"/>
        <v>0</v>
      </c>
      <c r="H438" s="16" t="s">
        <v>138</v>
      </c>
      <c r="I438" s="168" t="s">
        <v>2952</v>
      </c>
      <c r="J438" t="s">
        <v>64</v>
      </c>
      <c r="K438" s="20">
        <v>0</v>
      </c>
      <c r="L438" s="20">
        <v>0</v>
      </c>
      <c r="M438" s="20">
        <v>0</v>
      </c>
      <c r="N438" s="20">
        <v>0</v>
      </c>
      <c r="O438" s="20">
        <v>0</v>
      </c>
      <c r="P438" s="20">
        <v>0</v>
      </c>
      <c r="Q438" s="20">
        <v>0</v>
      </c>
      <c r="R438" s="20">
        <v>0</v>
      </c>
      <c r="S438" s="20"/>
      <c r="T438" s="20">
        <f t="shared" si="100"/>
        <v>7396649</v>
      </c>
      <c r="U438" s="20">
        <f t="shared" si="105"/>
        <v>0</v>
      </c>
    </row>
    <row r="439" spans="1:21" s="21" customFormat="1" ht="16" customHeight="1">
      <c r="A439" s="33" t="s">
        <v>120</v>
      </c>
      <c r="B439" s="48">
        <v>2021</v>
      </c>
      <c r="C439" s="13">
        <v>17974</v>
      </c>
      <c r="D439" t="s">
        <v>4853</v>
      </c>
      <c r="E439" s="54">
        <v>20001782</v>
      </c>
      <c r="F439" s="20">
        <v>0</v>
      </c>
      <c r="G439" s="20">
        <f t="shared" si="108"/>
        <v>0</v>
      </c>
      <c r="H439" s="16" t="s">
        <v>138</v>
      </c>
      <c r="I439" s="168" t="s">
        <v>4754</v>
      </c>
      <c r="J439" t="s">
        <v>64</v>
      </c>
      <c r="K439" s="20">
        <v>0</v>
      </c>
      <c r="L439" s="20">
        <v>0</v>
      </c>
      <c r="M439" s="20">
        <v>0</v>
      </c>
      <c r="N439" s="20">
        <v>0</v>
      </c>
      <c r="O439" s="20">
        <v>0</v>
      </c>
      <c r="P439" s="20">
        <v>0</v>
      </c>
      <c r="Q439" s="20">
        <v>0</v>
      </c>
      <c r="R439" s="20">
        <v>0</v>
      </c>
      <c r="S439" s="20"/>
      <c r="T439" s="20">
        <f t="shared" ref="T439:T502" si="109">E439+K439+L439+M439+N439+O439+P439</f>
        <v>20001782</v>
      </c>
      <c r="U439" s="20">
        <f t="shared" si="105"/>
        <v>0</v>
      </c>
    </row>
    <row r="440" spans="1:21" s="21" customFormat="1" ht="16" customHeight="1">
      <c r="A440" s="33" t="s">
        <v>120</v>
      </c>
      <c r="B440" s="48">
        <v>2021</v>
      </c>
      <c r="C440" s="13">
        <v>18040</v>
      </c>
      <c r="D440" t="s">
        <v>4854</v>
      </c>
      <c r="E440" s="54">
        <v>1512000</v>
      </c>
      <c r="F440" s="20">
        <v>0</v>
      </c>
      <c r="G440" s="20">
        <f t="shared" si="108"/>
        <v>0</v>
      </c>
      <c r="H440" s="16" t="s">
        <v>138</v>
      </c>
      <c r="I440" s="168" t="s">
        <v>4754</v>
      </c>
      <c r="J440" t="s">
        <v>64</v>
      </c>
      <c r="K440" s="20">
        <v>0</v>
      </c>
      <c r="L440" s="20">
        <v>0</v>
      </c>
      <c r="M440" s="20">
        <v>0</v>
      </c>
      <c r="N440" s="20">
        <v>0</v>
      </c>
      <c r="O440" s="20">
        <v>0</v>
      </c>
      <c r="P440" s="20">
        <v>0</v>
      </c>
      <c r="Q440" s="20">
        <v>0</v>
      </c>
      <c r="R440" s="20">
        <v>0</v>
      </c>
      <c r="S440" s="20"/>
      <c r="T440" s="20">
        <f t="shared" si="109"/>
        <v>1512000</v>
      </c>
      <c r="U440" s="20">
        <f t="shared" si="105"/>
        <v>0</v>
      </c>
    </row>
    <row r="441" spans="1:21" s="21" customFormat="1" ht="16" customHeight="1">
      <c r="A441" s="33" t="s">
        <v>120</v>
      </c>
      <c r="B441" s="48">
        <v>2021</v>
      </c>
      <c r="C441" s="13">
        <v>18019</v>
      </c>
      <c r="D441" t="s">
        <v>4855</v>
      </c>
      <c r="E441" s="54">
        <v>29924000</v>
      </c>
      <c r="F441" s="20">
        <v>0</v>
      </c>
      <c r="G441" s="20">
        <f t="shared" si="108"/>
        <v>0</v>
      </c>
      <c r="H441" s="16" t="s">
        <v>138</v>
      </c>
      <c r="I441" s="168" t="s">
        <v>2974</v>
      </c>
      <c r="J441" t="s">
        <v>64</v>
      </c>
      <c r="K441" s="20">
        <v>0</v>
      </c>
      <c r="L441" s="20">
        <v>0</v>
      </c>
      <c r="M441" s="20">
        <v>0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/>
      <c r="T441" s="20">
        <f t="shared" si="109"/>
        <v>29924000</v>
      </c>
      <c r="U441" s="20">
        <f t="shared" si="105"/>
        <v>0</v>
      </c>
    </row>
    <row r="442" spans="1:21" s="21" customFormat="1" ht="16" customHeight="1">
      <c r="A442" s="33" t="s">
        <v>120</v>
      </c>
      <c r="B442" s="48">
        <v>2021</v>
      </c>
      <c r="C442" s="13">
        <v>18042</v>
      </c>
      <c r="D442" t="s">
        <v>4856</v>
      </c>
      <c r="E442" s="54">
        <v>10000000</v>
      </c>
      <c r="F442" s="20">
        <v>0</v>
      </c>
      <c r="G442" s="20">
        <f t="shared" si="108"/>
        <v>0</v>
      </c>
      <c r="H442" s="16" t="s">
        <v>138</v>
      </c>
      <c r="I442" s="168" t="s">
        <v>2974</v>
      </c>
      <c r="J442" t="s">
        <v>64</v>
      </c>
      <c r="K442" s="20">
        <v>0</v>
      </c>
      <c r="L442" s="20">
        <v>0</v>
      </c>
      <c r="M442" s="20">
        <v>0</v>
      </c>
      <c r="N442" s="20">
        <v>0</v>
      </c>
      <c r="O442" s="20">
        <v>0</v>
      </c>
      <c r="P442" s="20">
        <v>0</v>
      </c>
      <c r="Q442" s="20">
        <v>0</v>
      </c>
      <c r="R442" s="20">
        <v>0</v>
      </c>
      <c r="S442" s="20"/>
      <c r="T442" s="20">
        <f t="shared" si="109"/>
        <v>10000000</v>
      </c>
      <c r="U442" s="20">
        <f t="shared" si="105"/>
        <v>0</v>
      </c>
    </row>
    <row r="443" spans="1:21" s="21" customFormat="1" ht="16" customHeight="1">
      <c r="A443" s="33" t="s">
        <v>120</v>
      </c>
      <c r="B443" s="48">
        <v>2021</v>
      </c>
      <c r="C443" s="13">
        <v>17171</v>
      </c>
      <c r="D443" t="s">
        <v>4857</v>
      </c>
      <c r="E443" s="54">
        <v>2300000</v>
      </c>
      <c r="F443" s="20">
        <v>0</v>
      </c>
      <c r="G443" s="20">
        <f t="shared" si="108"/>
        <v>0</v>
      </c>
      <c r="H443" s="16" t="s">
        <v>138</v>
      </c>
      <c r="I443" s="168" t="s">
        <v>4755</v>
      </c>
      <c r="J443" t="s">
        <v>64</v>
      </c>
      <c r="K443" s="20">
        <v>0</v>
      </c>
      <c r="L443" s="20">
        <v>0</v>
      </c>
      <c r="M443" s="20">
        <v>0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0"/>
      <c r="T443" s="20">
        <f t="shared" si="109"/>
        <v>2300000</v>
      </c>
      <c r="U443" s="20">
        <f t="shared" si="105"/>
        <v>0</v>
      </c>
    </row>
    <row r="444" spans="1:21" s="21" customFormat="1" ht="16" customHeight="1">
      <c r="A444" s="33" t="s">
        <v>120</v>
      </c>
      <c r="B444" s="48">
        <v>2021</v>
      </c>
      <c r="C444" s="13">
        <v>18056</v>
      </c>
      <c r="D444" t="s">
        <v>4858</v>
      </c>
      <c r="E444" s="54">
        <v>4197980</v>
      </c>
      <c r="F444" s="20">
        <v>0</v>
      </c>
      <c r="G444" s="20">
        <f t="shared" si="108"/>
        <v>0</v>
      </c>
      <c r="H444" s="16" t="s">
        <v>138</v>
      </c>
      <c r="I444" s="168" t="s">
        <v>4756</v>
      </c>
      <c r="J444" t="s">
        <v>64</v>
      </c>
      <c r="K444" s="20">
        <v>0</v>
      </c>
      <c r="L444" s="20">
        <v>0</v>
      </c>
      <c r="M444" s="20">
        <v>0</v>
      </c>
      <c r="N444" s="20">
        <v>0</v>
      </c>
      <c r="O444" s="20">
        <v>0</v>
      </c>
      <c r="P444" s="20">
        <v>0</v>
      </c>
      <c r="Q444" s="20">
        <v>0</v>
      </c>
      <c r="R444" s="20">
        <v>0</v>
      </c>
      <c r="S444" s="20"/>
      <c r="T444" s="20">
        <f t="shared" si="109"/>
        <v>4197980</v>
      </c>
      <c r="U444" s="20">
        <f t="shared" si="105"/>
        <v>0</v>
      </c>
    </row>
    <row r="445" spans="1:21" s="21" customFormat="1" ht="16" customHeight="1">
      <c r="A445" s="33" t="s">
        <v>120</v>
      </c>
      <c r="B445" s="48">
        <v>2021</v>
      </c>
      <c r="C445" s="13">
        <v>17988</v>
      </c>
      <c r="D445" t="s">
        <v>4859</v>
      </c>
      <c r="E445" s="54">
        <v>1350000</v>
      </c>
      <c r="F445" s="20">
        <v>0</v>
      </c>
      <c r="G445" s="20">
        <f t="shared" si="108"/>
        <v>0</v>
      </c>
      <c r="H445" s="16" t="s">
        <v>138</v>
      </c>
      <c r="I445" s="168" t="s">
        <v>4757</v>
      </c>
      <c r="J445" t="s">
        <v>64</v>
      </c>
      <c r="K445" s="20">
        <v>0</v>
      </c>
      <c r="L445" s="20">
        <v>0</v>
      </c>
      <c r="M445" s="20">
        <v>0</v>
      </c>
      <c r="N445" s="20">
        <v>0</v>
      </c>
      <c r="O445" s="20">
        <v>0</v>
      </c>
      <c r="P445" s="20">
        <v>0</v>
      </c>
      <c r="Q445" s="20">
        <v>0</v>
      </c>
      <c r="R445" s="20">
        <v>0</v>
      </c>
      <c r="S445" s="20"/>
      <c r="T445" s="20">
        <f t="shared" si="109"/>
        <v>1350000</v>
      </c>
      <c r="U445" s="20">
        <f t="shared" si="105"/>
        <v>0</v>
      </c>
    </row>
    <row r="446" spans="1:21" s="21" customFormat="1" ht="16" customHeight="1">
      <c r="A446" s="33" t="s">
        <v>120</v>
      </c>
      <c r="B446" s="48">
        <v>2021</v>
      </c>
      <c r="C446" s="13">
        <v>17989</v>
      </c>
      <c r="D446" t="s">
        <v>4860</v>
      </c>
      <c r="E446" s="54">
        <v>7050000</v>
      </c>
      <c r="F446" s="20">
        <v>0</v>
      </c>
      <c r="G446" s="20">
        <f t="shared" si="108"/>
        <v>0</v>
      </c>
      <c r="H446" s="16" t="s">
        <v>138</v>
      </c>
      <c r="I446" s="168" t="s">
        <v>4757</v>
      </c>
      <c r="J446" t="s">
        <v>64</v>
      </c>
      <c r="K446" s="20">
        <v>0</v>
      </c>
      <c r="L446" s="20">
        <v>0</v>
      </c>
      <c r="M446" s="20">
        <v>0</v>
      </c>
      <c r="N446" s="20">
        <v>0</v>
      </c>
      <c r="O446" s="20">
        <v>0</v>
      </c>
      <c r="P446" s="20">
        <v>0</v>
      </c>
      <c r="Q446" s="20">
        <v>0</v>
      </c>
      <c r="R446" s="20">
        <v>0</v>
      </c>
      <c r="S446" s="20"/>
      <c r="T446" s="20">
        <f t="shared" si="109"/>
        <v>7050000</v>
      </c>
      <c r="U446" s="20">
        <f t="shared" ref="U446" si="110">G446+Q446+R446</f>
        <v>0</v>
      </c>
    </row>
    <row r="447" spans="1:21" s="21" customFormat="1" ht="16" customHeight="1">
      <c r="A447" s="33" t="s">
        <v>120</v>
      </c>
      <c r="B447" s="48">
        <v>2021</v>
      </c>
      <c r="C447" s="13">
        <v>18091</v>
      </c>
      <c r="D447" s="14" t="s">
        <v>4877</v>
      </c>
      <c r="E447" s="53">
        <v>1680000</v>
      </c>
      <c r="F447" s="20">
        <v>0</v>
      </c>
      <c r="G447" s="20">
        <f t="shared" si="108"/>
        <v>0</v>
      </c>
      <c r="H447" s="16" t="s">
        <v>138</v>
      </c>
      <c r="I447" s="168" t="s">
        <v>4757</v>
      </c>
      <c r="J447" s="14" t="s">
        <v>64</v>
      </c>
      <c r="K447" s="20">
        <v>0</v>
      </c>
      <c r="L447" s="20">
        <v>0</v>
      </c>
      <c r="M447" s="20">
        <v>0</v>
      </c>
      <c r="N447" s="20">
        <v>0</v>
      </c>
      <c r="O447" s="20">
        <v>0</v>
      </c>
      <c r="P447" s="20">
        <v>0</v>
      </c>
      <c r="Q447" s="20">
        <v>0</v>
      </c>
      <c r="R447" s="20">
        <v>0</v>
      </c>
      <c r="S447" s="20"/>
      <c r="T447" s="20">
        <f t="shared" si="109"/>
        <v>1680000</v>
      </c>
      <c r="U447" s="20">
        <f t="shared" si="105"/>
        <v>0</v>
      </c>
    </row>
    <row r="448" spans="1:21" s="21" customFormat="1" ht="16" customHeight="1">
      <c r="A448" s="33" t="s">
        <v>120</v>
      </c>
      <c r="B448" s="48">
        <v>2021</v>
      </c>
      <c r="C448" s="13">
        <v>15806</v>
      </c>
      <c r="D448" t="s">
        <v>4861</v>
      </c>
      <c r="E448" s="54">
        <v>1050000</v>
      </c>
      <c r="F448" s="20">
        <v>0</v>
      </c>
      <c r="G448" s="20">
        <f t="shared" si="108"/>
        <v>0</v>
      </c>
      <c r="H448" s="16" t="s">
        <v>138</v>
      </c>
      <c r="I448" s="168" t="s">
        <v>175</v>
      </c>
      <c r="J448" t="s">
        <v>64</v>
      </c>
      <c r="K448" s="20">
        <v>0</v>
      </c>
      <c r="L448" s="20">
        <v>0</v>
      </c>
      <c r="M448" s="20">
        <v>0</v>
      </c>
      <c r="N448" s="20">
        <v>0</v>
      </c>
      <c r="O448" s="20">
        <v>0</v>
      </c>
      <c r="P448" s="20">
        <v>0</v>
      </c>
      <c r="Q448" s="20">
        <v>0</v>
      </c>
      <c r="R448" s="20">
        <v>0</v>
      </c>
      <c r="S448" s="20"/>
      <c r="T448" s="20">
        <f t="shared" si="109"/>
        <v>1050000</v>
      </c>
      <c r="U448" s="20">
        <f t="shared" ref="U448" si="111">G448+Q448+R448</f>
        <v>0</v>
      </c>
    </row>
    <row r="449" spans="1:21" s="21" customFormat="1" ht="16" customHeight="1">
      <c r="A449" s="33" t="s">
        <v>120</v>
      </c>
      <c r="B449" s="48">
        <v>2021</v>
      </c>
      <c r="C449" s="13">
        <v>18181</v>
      </c>
      <c r="D449" t="s">
        <v>3046</v>
      </c>
      <c r="E449" s="54">
        <v>3600000</v>
      </c>
      <c r="F449" s="20">
        <v>0</v>
      </c>
      <c r="G449" s="20">
        <f t="shared" si="108"/>
        <v>0</v>
      </c>
      <c r="H449" s="16" t="s">
        <v>138</v>
      </c>
      <c r="I449" s="168" t="s">
        <v>3046</v>
      </c>
      <c r="J449" t="s">
        <v>64</v>
      </c>
      <c r="K449" s="20">
        <v>0</v>
      </c>
      <c r="L449" s="20">
        <v>0</v>
      </c>
      <c r="M449" s="20">
        <v>0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20"/>
      <c r="T449" s="20">
        <f t="shared" ref="T449" si="112">E449+K449+L449+M449+N449+O449+P449</f>
        <v>3600000</v>
      </c>
      <c r="U449" s="20">
        <f t="shared" ref="U449" si="113">G449+Q449+R449</f>
        <v>0</v>
      </c>
    </row>
    <row r="450" spans="1:21" s="21" customFormat="1" ht="16" customHeight="1">
      <c r="A450" s="33" t="s">
        <v>120</v>
      </c>
      <c r="B450" s="48">
        <v>2021</v>
      </c>
      <c r="C450" s="13">
        <v>18182</v>
      </c>
      <c r="D450" t="s">
        <v>5010</v>
      </c>
      <c r="E450" s="54">
        <v>2340000</v>
      </c>
      <c r="F450" s="20">
        <v>0</v>
      </c>
      <c r="G450" s="20">
        <f t="shared" si="108"/>
        <v>0</v>
      </c>
      <c r="H450" s="16" t="s">
        <v>138</v>
      </c>
      <c r="I450" s="168" t="s">
        <v>3017</v>
      </c>
      <c r="J450" t="s">
        <v>64</v>
      </c>
      <c r="K450" s="20">
        <v>0</v>
      </c>
      <c r="L450" s="20">
        <v>0</v>
      </c>
      <c r="M450" s="20">
        <v>0</v>
      </c>
      <c r="N450" s="20">
        <v>0</v>
      </c>
      <c r="O450" s="20">
        <v>0</v>
      </c>
      <c r="P450" s="20">
        <v>0</v>
      </c>
      <c r="Q450" s="20">
        <v>0</v>
      </c>
      <c r="R450" s="20">
        <v>0</v>
      </c>
      <c r="S450" s="20"/>
      <c r="T450" s="20">
        <f t="shared" ref="T450:T451" si="114">E450+K450+L450+M450+N450+O450+P450</f>
        <v>2340000</v>
      </c>
      <c r="U450" s="20">
        <f t="shared" ref="U450:U451" si="115">G450+Q450+R450</f>
        <v>0</v>
      </c>
    </row>
    <row r="451" spans="1:21" s="21" customFormat="1" ht="16" customHeight="1">
      <c r="A451" s="33" t="s">
        <v>120</v>
      </c>
      <c r="B451" s="48">
        <v>2021</v>
      </c>
      <c r="C451" s="13">
        <v>18183</v>
      </c>
      <c r="D451" t="s">
        <v>5011</v>
      </c>
      <c r="E451" s="54">
        <v>500000</v>
      </c>
      <c r="F451" s="20">
        <v>0</v>
      </c>
      <c r="G451" s="20">
        <f t="shared" si="108"/>
        <v>0</v>
      </c>
      <c r="H451" s="16" t="s">
        <v>138</v>
      </c>
      <c r="I451" s="168" t="s">
        <v>3037</v>
      </c>
      <c r="J451" t="s">
        <v>64</v>
      </c>
      <c r="K451" s="20">
        <v>0</v>
      </c>
      <c r="L451" s="20">
        <v>0</v>
      </c>
      <c r="M451" s="20">
        <v>0</v>
      </c>
      <c r="N451" s="20">
        <v>0</v>
      </c>
      <c r="O451" s="20">
        <v>0</v>
      </c>
      <c r="P451" s="20">
        <v>0</v>
      </c>
      <c r="Q451" s="20">
        <v>0</v>
      </c>
      <c r="R451" s="20">
        <v>0</v>
      </c>
      <c r="S451" s="20"/>
      <c r="T451" s="20">
        <f t="shared" si="114"/>
        <v>500000</v>
      </c>
      <c r="U451" s="20">
        <f t="shared" si="115"/>
        <v>0</v>
      </c>
    </row>
    <row r="452" spans="1:21" s="21" customFormat="1" ht="16" customHeight="1">
      <c r="A452" s="33" t="s">
        <v>120</v>
      </c>
      <c r="B452" s="48">
        <v>2021</v>
      </c>
      <c r="C452" s="13">
        <v>18379</v>
      </c>
      <c r="D452" t="s">
        <v>5012</v>
      </c>
      <c r="E452" s="54">
        <v>1500000</v>
      </c>
      <c r="F452" s="20">
        <v>0</v>
      </c>
      <c r="G452" s="20">
        <f t="shared" si="108"/>
        <v>0</v>
      </c>
      <c r="H452" s="16" t="s">
        <v>138</v>
      </c>
      <c r="I452" s="168" t="s">
        <v>5012</v>
      </c>
      <c r="J452" t="s">
        <v>64</v>
      </c>
      <c r="K452" s="20">
        <v>0</v>
      </c>
      <c r="L452" s="20">
        <v>0</v>
      </c>
      <c r="M452" s="20">
        <v>0</v>
      </c>
      <c r="N452" s="20">
        <v>0</v>
      </c>
      <c r="O452" s="20">
        <v>0</v>
      </c>
      <c r="P452" s="20">
        <v>0</v>
      </c>
      <c r="Q452" s="20">
        <v>0</v>
      </c>
      <c r="R452" s="20">
        <v>0</v>
      </c>
      <c r="S452" s="20"/>
      <c r="T452" s="20">
        <f t="shared" ref="T452" si="116">E452+K452+L452+M452+N452+O452+P452</f>
        <v>1500000</v>
      </c>
      <c r="U452" s="20">
        <f t="shared" ref="U452" si="117">G452+Q452+R452</f>
        <v>0</v>
      </c>
    </row>
    <row r="453" spans="1:21" s="21" customFormat="1" ht="16" customHeight="1">
      <c r="A453" s="33" t="s">
        <v>120</v>
      </c>
      <c r="B453" s="48">
        <v>2021</v>
      </c>
      <c r="C453" s="13" t="s">
        <v>444</v>
      </c>
      <c r="D453" s="13" t="s">
        <v>5189</v>
      </c>
      <c r="E453" s="54">
        <f>150000000-51785236+7448772</f>
        <v>105663536</v>
      </c>
      <c r="F453" s="20">
        <v>0</v>
      </c>
      <c r="G453" s="20">
        <f t="shared" si="108"/>
        <v>0</v>
      </c>
      <c r="H453" s="16" t="s">
        <v>138</v>
      </c>
      <c r="I453" s="168" t="s">
        <v>4917</v>
      </c>
      <c r="J453" t="s">
        <v>64</v>
      </c>
      <c r="K453" s="20">
        <v>0</v>
      </c>
      <c r="L453" s="20">
        <v>0</v>
      </c>
      <c r="M453" s="20">
        <v>0</v>
      </c>
      <c r="N453" s="20">
        <v>0</v>
      </c>
      <c r="O453" s="20">
        <v>0</v>
      </c>
      <c r="P453" s="20">
        <v>0</v>
      </c>
      <c r="Q453" s="20">
        <v>0</v>
      </c>
      <c r="R453" s="20">
        <v>0</v>
      </c>
      <c r="S453" s="20"/>
      <c r="T453" s="20">
        <f t="shared" si="109"/>
        <v>105663536</v>
      </c>
      <c r="U453" s="20">
        <f t="shared" ref="U453" si="118">G453+Q453+R453</f>
        <v>0</v>
      </c>
    </row>
    <row r="454" spans="1:21" s="21" customFormat="1" ht="16" customHeight="1">
      <c r="A454" s="33" t="s">
        <v>120</v>
      </c>
      <c r="B454" s="48">
        <v>2021</v>
      </c>
      <c r="C454" s="13" t="s">
        <v>444</v>
      </c>
      <c r="D454" s="13" t="s">
        <v>444</v>
      </c>
      <c r="E454" s="54">
        <v>32991000</v>
      </c>
      <c r="F454" s="20">
        <v>0</v>
      </c>
      <c r="G454" s="20">
        <f t="shared" si="108"/>
        <v>0</v>
      </c>
      <c r="H454" s="16" t="s">
        <v>138</v>
      </c>
      <c r="I454" s="168" t="s">
        <v>2986</v>
      </c>
      <c r="J454" t="s">
        <v>64</v>
      </c>
      <c r="K454" s="20">
        <v>0</v>
      </c>
      <c r="L454" s="20">
        <v>0</v>
      </c>
      <c r="M454" s="20">
        <v>0</v>
      </c>
      <c r="N454" s="20">
        <v>0</v>
      </c>
      <c r="O454" s="20">
        <v>0</v>
      </c>
      <c r="P454" s="20">
        <v>0</v>
      </c>
      <c r="Q454" s="20">
        <v>0</v>
      </c>
      <c r="R454" s="20">
        <v>0</v>
      </c>
      <c r="S454" s="20"/>
      <c r="T454" s="20">
        <f t="shared" si="109"/>
        <v>32991000</v>
      </c>
      <c r="U454" s="20">
        <f t="shared" ref="U454:U470" si="119">G454+Q454+R454</f>
        <v>0</v>
      </c>
    </row>
    <row r="455" spans="1:21" s="21" customFormat="1" ht="16" customHeight="1">
      <c r="A455" s="33" t="s">
        <v>120</v>
      </c>
      <c r="B455" s="48">
        <v>2021</v>
      </c>
      <c r="C455" s="13" t="s">
        <v>444</v>
      </c>
      <c r="D455" s="13" t="s">
        <v>444</v>
      </c>
      <c r="E455" s="54">
        <f>3270028+35472</f>
        <v>3305500</v>
      </c>
      <c r="F455" s="20">
        <v>0</v>
      </c>
      <c r="G455" s="20">
        <f t="shared" si="108"/>
        <v>0</v>
      </c>
      <c r="H455" s="16" t="s">
        <v>138</v>
      </c>
      <c r="I455" s="168" t="s">
        <v>2965</v>
      </c>
      <c r="J455" t="s">
        <v>64</v>
      </c>
      <c r="K455" s="20">
        <v>0</v>
      </c>
      <c r="L455" s="20">
        <v>0</v>
      </c>
      <c r="M455" s="20">
        <v>0</v>
      </c>
      <c r="N455" s="20">
        <v>0</v>
      </c>
      <c r="O455" s="20">
        <v>0</v>
      </c>
      <c r="P455" s="20">
        <v>0</v>
      </c>
      <c r="Q455" s="20">
        <v>0</v>
      </c>
      <c r="R455" s="20">
        <v>0</v>
      </c>
      <c r="S455" s="20"/>
      <c r="T455" s="20">
        <f t="shared" si="109"/>
        <v>3305500</v>
      </c>
      <c r="U455" s="20">
        <f t="shared" ref="U455" si="120">G455+Q455+R455</f>
        <v>0</v>
      </c>
    </row>
    <row r="456" spans="1:21" s="21" customFormat="1" ht="16" customHeight="1">
      <c r="A456" s="33" t="s">
        <v>120</v>
      </c>
      <c r="B456" s="48">
        <v>2021</v>
      </c>
      <c r="C456" s="13" t="s">
        <v>444</v>
      </c>
      <c r="D456" s="13" t="s">
        <v>444</v>
      </c>
      <c r="E456" s="54">
        <v>68000000</v>
      </c>
      <c r="F456" s="20">
        <v>0</v>
      </c>
      <c r="G456" s="20">
        <f t="shared" si="108"/>
        <v>0</v>
      </c>
      <c r="H456" s="16" t="s">
        <v>138</v>
      </c>
      <c r="I456" s="168" t="s">
        <v>2965</v>
      </c>
      <c r="J456" t="s">
        <v>64</v>
      </c>
      <c r="K456" s="20">
        <v>0</v>
      </c>
      <c r="L456" s="20">
        <v>0</v>
      </c>
      <c r="M456" s="20">
        <v>0</v>
      </c>
      <c r="N456" s="20">
        <v>0</v>
      </c>
      <c r="O456" s="20">
        <v>0</v>
      </c>
      <c r="P456" s="20">
        <v>0</v>
      </c>
      <c r="Q456" s="20">
        <v>0</v>
      </c>
      <c r="R456" s="20">
        <v>0</v>
      </c>
      <c r="S456" s="20"/>
      <c r="T456" s="20">
        <f t="shared" si="109"/>
        <v>68000000</v>
      </c>
      <c r="U456" s="20">
        <f t="shared" si="119"/>
        <v>0</v>
      </c>
    </row>
    <row r="457" spans="1:21" s="21" customFormat="1" ht="16" customHeight="1">
      <c r="A457" s="33" t="s">
        <v>120</v>
      </c>
      <c r="B457" s="48">
        <v>2021</v>
      </c>
      <c r="C457" s="13" t="s">
        <v>444</v>
      </c>
      <c r="D457" s="13" t="s">
        <v>444</v>
      </c>
      <c r="E457" s="54">
        <v>39316600</v>
      </c>
      <c r="F457" s="20">
        <v>0</v>
      </c>
      <c r="G457" s="20">
        <f t="shared" si="108"/>
        <v>0</v>
      </c>
      <c r="H457" s="16" t="s">
        <v>138</v>
      </c>
      <c r="I457" s="168" t="s">
        <v>2991</v>
      </c>
      <c r="J457" t="s">
        <v>64</v>
      </c>
      <c r="K457" s="20">
        <v>0</v>
      </c>
      <c r="L457" s="20">
        <v>0</v>
      </c>
      <c r="M457" s="20">
        <v>0</v>
      </c>
      <c r="N457" s="20">
        <v>0</v>
      </c>
      <c r="O457" s="20">
        <v>0</v>
      </c>
      <c r="P457" s="20">
        <v>0</v>
      </c>
      <c r="Q457" s="20">
        <v>0</v>
      </c>
      <c r="R457" s="20">
        <v>0</v>
      </c>
      <c r="S457" s="20"/>
      <c r="T457" s="20">
        <f t="shared" si="109"/>
        <v>39316600</v>
      </c>
      <c r="U457" s="20">
        <f t="shared" si="119"/>
        <v>0</v>
      </c>
    </row>
    <row r="458" spans="1:21" s="21" customFormat="1" ht="16" customHeight="1">
      <c r="A458" s="33" t="s">
        <v>120</v>
      </c>
      <c r="B458" s="48">
        <v>2021</v>
      </c>
      <c r="C458" s="13" t="s">
        <v>444</v>
      </c>
      <c r="D458" s="13" t="s">
        <v>5083</v>
      </c>
      <c r="E458" s="54">
        <v>32762500</v>
      </c>
      <c r="F458" s="20">
        <v>0</v>
      </c>
      <c r="G458" s="20">
        <f t="shared" si="108"/>
        <v>0</v>
      </c>
      <c r="H458" s="16" t="s">
        <v>138</v>
      </c>
      <c r="I458" t="s">
        <v>2972</v>
      </c>
      <c r="J458" t="s">
        <v>64</v>
      </c>
      <c r="K458" s="20">
        <v>0</v>
      </c>
      <c r="L458" s="20">
        <v>0</v>
      </c>
      <c r="M458" s="20">
        <v>0</v>
      </c>
      <c r="N458" s="20">
        <v>0</v>
      </c>
      <c r="O458" s="20">
        <v>0</v>
      </c>
      <c r="P458" s="20">
        <v>0</v>
      </c>
      <c r="Q458" s="20">
        <v>0</v>
      </c>
      <c r="R458" s="20">
        <v>0</v>
      </c>
      <c r="S458" s="20"/>
      <c r="T458" s="20">
        <f t="shared" si="109"/>
        <v>32762500</v>
      </c>
      <c r="U458" s="20">
        <f t="shared" si="119"/>
        <v>0</v>
      </c>
    </row>
    <row r="459" spans="1:21" s="21" customFormat="1" ht="16" customHeight="1">
      <c r="A459" s="33" t="s">
        <v>120</v>
      </c>
      <c r="B459" s="48">
        <v>2021</v>
      </c>
      <c r="C459" s="13" t="s">
        <v>444</v>
      </c>
      <c r="D459" s="13" t="s">
        <v>444</v>
      </c>
      <c r="E459" s="54">
        <f>659378153+805100</f>
        <v>660183253</v>
      </c>
      <c r="F459" s="20">
        <v>0</v>
      </c>
      <c r="G459" s="20">
        <f t="shared" si="108"/>
        <v>0</v>
      </c>
      <c r="H459" s="16" t="s">
        <v>138</v>
      </c>
      <c r="I459" s="168" t="s">
        <v>4143</v>
      </c>
      <c r="J459" t="s">
        <v>64</v>
      </c>
      <c r="K459" s="20">
        <v>0</v>
      </c>
      <c r="L459" s="20">
        <v>0</v>
      </c>
      <c r="M459" s="20">
        <v>0</v>
      </c>
      <c r="N459" s="20">
        <v>0</v>
      </c>
      <c r="O459" s="20">
        <v>0</v>
      </c>
      <c r="P459" s="20">
        <v>0</v>
      </c>
      <c r="Q459" s="20">
        <v>0</v>
      </c>
      <c r="R459" s="20">
        <v>0</v>
      </c>
      <c r="S459" s="20"/>
      <c r="T459" s="20">
        <f t="shared" si="109"/>
        <v>660183253</v>
      </c>
      <c r="U459" s="20">
        <f t="shared" si="119"/>
        <v>0</v>
      </c>
    </row>
    <row r="460" spans="1:21" s="21" customFormat="1" ht="16" customHeight="1">
      <c r="A460" s="33" t="s">
        <v>120</v>
      </c>
      <c r="B460" s="48">
        <v>2021</v>
      </c>
      <c r="C460" s="13" t="s">
        <v>444</v>
      </c>
      <c r="D460" s="13" t="s">
        <v>444</v>
      </c>
      <c r="E460" s="54">
        <f>131426284-11037740</f>
        <v>120388544</v>
      </c>
      <c r="F460" s="20">
        <v>0</v>
      </c>
      <c r="G460" s="20">
        <f t="shared" si="108"/>
        <v>0</v>
      </c>
      <c r="H460" s="16" t="s">
        <v>138</v>
      </c>
      <c r="I460" s="168" t="s">
        <v>3073</v>
      </c>
      <c r="J460" t="s">
        <v>64</v>
      </c>
      <c r="K460" s="20">
        <v>0</v>
      </c>
      <c r="L460" s="20">
        <v>0</v>
      </c>
      <c r="M460" s="20">
        <v>0</v>
      </c>
      <c r="N460" s="20">
        <v>0</v>
      </c>
      <c r="O460" s="20">
        <v>0</v>
      </c>
      <c r="P460" s="20">
        <v>0</v>
      </c>
      <c r="Q460" s="20">
        <v>0</v>
      </c>
      <c r="R460" s="20">
        <v>0</v>
      </c>
      <c r="S460" s="20"/>
      <c r="T460" s="20">
        <f t="shared" si="109"/>
        <v>120388544</v>
      </c>
      <c r="U460" s="20">
        <f t="shared" si="119"/>
        <v>0</v>
      </c>
    </row>
    <row r="461" spans="1:21" s="21" customFormat="1" ht="16" customHeight="1">
      <c r="A461" s="33" t="s">
        <v>120</v>
      </c>
      <c r="B461" s="48">
        <v>2021</v>
      </c>
      <c r="C461" s="13" t="s">
        <v>444</v>
      </c>
      <c r="D461" s="13" t="s">
        <v>5083</v>
      </c>
      <c r="E461" s="54">
        <v>51447219</v>
      </c>
      <c r="F461" s="20">
        <v>0</v>
      </c>
      <c r="G461" s="20">
        <f t="shared" si="108"/>
        <v>0</v>
      </c>
      <c r="H461" s="16" t="s">
        <v>138</v>
      </c>
      <c r="I461" s="168" t="s">
        <v>4748</v>
      </c>
      <c r="J461" t="s">
        <v>64</v>
      </c>
      <c r="K461" s="20">
        <v>0</v>
      </c>
      <c r="L461" s="20">
        <v>0</v>
      </c>
      <c r="M461" s="20">
        <v>0</v>
      </c>
      <c r="N461" s="20">
        <v>0</v>
      </c>
      <c r="O461" s="20">
        <v>0</v>
      </c>
      <c r="P461" s="20">
        <v>0</v>
      </c>
      <c r="Q461" s="20">
        <v>0</v>
      </c>
      <c r="R461" s="20">
        <v>0</v>
      </c>
      <c r="S461" s="20"/>
      <c r="T461" s="20">
        <f t="shared" si="109"/>
        <v>51447219</v>
      </c>
      <c r="U461" s="20">
        <f t="shared" si="119"/>
        <v>0</v>
      </c>
    </row>
    <row r="462" spans="1:21" s="21" customFormat="1" ht="16" customHeight="1">
      <c r="A462" s="33" t="s">
        <v>120</v>
      </c>
      <c r="B462" s="48">
        <v>2021</v>
      </c>
      <c r="C462" s="13" t="s">
        <v>444</v>
      </c>
      <c r="D462" s="13" t="s">
        <v>444</v>
      </c>
      <c r="E462" s="54">
        <v>255916</v>
      </c>
      <c r="F462" s="20">
        <v>0</v>
      </c>
      <c r="G462" s="20">
        <f t="shared" si="108"/>
        <v>0</v>
      </c>
      <c r="H462" s="16" t="s">
        <v>138</v>
      </c>
      <c r="I462" s="168" t="s">
        <v>3030</v>
      </c>
      <c r="J462" t="s">
        <v>64</v>
      </c>
      <c r="K462" s="20">
        <v>0</v>
      </c>
      <c r="L462" s="20">
        <v>0</v>
      </c>
      <c r="M462" s="20">
        <v>0</v>
      </c>
      <c r="N462" s="20">
        <v>0</v>
      </c>
      <c r="O462" s="20">
        <v>0</v>
      </c>
      <c r="P462" s="20">
        <v>0</v>
      </c>
      <c r="Q462" s="20">
        <v>0</v>
      </c>
      <c r="R462" s="20">
        <v>0</v>
      </c>
      <c r="S462" s="20"/>
      <c r="T462" s="20">
        <f t="shared" si="109"/>
        <v>255916</v>
      </c>
      <c r="U462" s="20">
        <f t="shared" si="119"/>
        <v>0</v>
      </c>
    </row>
    <row r="463" spans="1:21" s="21" customFormat="1" ht="16" customHeight="1">
      <c r="A463" s="33" t="s">
        <v>120</v>
      </c>
      <c r="B463" s="48">
        <v>2021</v>
      </c>
      <c r="C463" s="13" t="s">
        <v>444</v>
      </c>
      <c r="D463" s="13" t="s">
        <v>444</v>
      </c>
      <c r="E463" s="54">
        <f>84516168-8095805</f>
        <v>76420363</v>
      </c>
      <c r="F463" s="20">
        <v>0</v>
      </c>
      <c r="G463" s="20">
        <f t="shared" si="108"/>
        <v>0</v>
      </c>
      <c r="H463" s="16" t="s">
        <v>138</v>
      </c>
      <c r="I463" s="168" t="s">
        <v>3030</v>
      </c>
      <c r="J463" t="s">
        <v>64</v>
      </c>
      <c r="K463" s="20">
        <v>0</v>
      </c>
      <c r="L463" s="20">
        <v>0</v>
      </c>
      <c r="M463" s="20">
        <v>0</v>
      </c>
      <c r="N463" s="20">
        <v>0</v>
      </c>
      <c r="O463" s="20">
        <v>0</v>
      </c>
      <c r="P463" s="20">
        <v>0</v>
      </c>
      <c r="Q463" s="20">
        <v>0</v>
      </c>
      <c r="R463" s="20">
        <v>0</v>
      </c>
      <c r="S463" s="20"/>
      <c r="T463" s="20">
        <f t="shared" si="109"/>
        <v>76420363</v>
      </c>
      <c r="U463" s="20">
        <f t="shared" ref="U463" si="121">G463+Q463+R463</f>
        <v>0</v>
      </c>
    </row>
    <row r="464" spans="1:21" s="21" customFormat="1" ht="16" customHeight="1">
      <c r="A464" s="33" t="s">
        <v>120</v>
      </c>
      <c r="B464" s="48">
        <v>2021</v>
      </c>
      <c r="C464" s="13" t="s">
        <v>444</v>
      </c>
      <c r="D464" s="13" t="s">
        <v>444</v>
      </c>
      <c r="E464" s="54">
        <v>26917988</v>
      </c>
      <c r="F464" s="20">
        <v>0</v>
      </c>
      <c r="G464" s="20">
        <f t="shared" si="108"/>
        <v>0</v>
      </c>
      <c r="H464" s="16" t="s">
        <v>138</v>
      </c>
      <c r="I464" s="168" t="s">
        <v>4144</v>
      </c>
      <c r="J464" t="s">
        <v>64</v>
      </c>
      <c r="K464" s="20">
        <v>0</v>
      </c>
      <c r="L464" s="20">
        <v>0</v>
      </c>
      <c r="M464" s="20">
        <v>0</v>
      </c>
      <c r="N464" s="20">
        <v>0</v>
      </c>
      <c r="O464" s="20">
        <v>0</v>
      </c>
      <c r="P464" s="20">
        <v>0</v>
      </c>
      <c r="Q464" s="20">
        <v>0</v>
      </c>
      <c r="R464" s="20">
        <v>0</v>
      </c>
      <c r="S464" s="20"/>
      <c r="T464" s="20">
        <f t="shared" si="109"/>
        <v>26917988</v>
      </c>
      <c r="U464" s="20">
        <f t="shared" si="119"/>
        <v>0</v>
      </c>
    </row>
    <row r="465" spans="1:21" s="21" customFormat="1" ht="16" customHeight="1">
      <c r="A465" s="33" t="s">
        <v>120</v>
      </c>
      <c r="B465" s="48">
        <v>2021</v>
      </c>
      <c r="C465" s="13" t="s">
        <v>444</v>
      </c>
      <c r="D465" s="13" t="s">
        <v>444</v>
      </c>
      <c r="E465" s="54">
        <v>56997794</v>
      </c>
      <c r="F465" s="20">
        <v>0</v>
      </c>
      <c r="G465" s="20">
        <f t="shared" si="108"/>
        <v>0</v>
      </c>
      <c r="H465" s="16" t="s">
        <v>138</v>
      </c>
      <c r="I465" s="168" t="s">
        <v>2953</v>
      </c>
      <c r="J465" t="s">
        <v>64</v>
      </c>
      <c r="K465" s="20">
        <v>0</v>
      </c>
      <c r="L465" s="20">
        <v>0</v>
      </c>
      <c r="M465" s="20">
        <v>0</v>
      </c>
      <c r="N465" s="20">
        <v>0</v>
      </c>
      <c r="O465" s="20">
        <v>0</v>
      </c>
      <c r="P465" s="20">
        <v>0</v>
      </c>
      <c r="Q465" s="20">
        <v>0</v>
      </c>
      <c r="R465" s="20">
        <v>0</v>
      </c>
      <c r="S465" s="20"/>
      <c r="T465" s="20">
        <f t="shared" si="109"/>
        <v>56997794</v>
      </c>
      <c r="U465" s="20">
        <f t="shared" si="119"/>
        <v>0</v>
      </c>
    </row>
    <row r="466" spans="1:21" s="21" customFormat="1" ht="16" customHeight="1">
      <c r="A466" s="33" t="s">
        <v>120</v>
      </c>
      <c r="B466" s="48">
        <v>2021</v>
      </c>
      <c r="C466" s="13" t="s">
        <v>444</v>
      </c>
      <c r="D466" s="13" t="s">
        <v>444</v>
      </c>
      <c r="E466" s="54">
        <v>399398468</v>
      </c>
      <c r="F466" s="20">
        <v>0</v>
      </c>
      <c r="G466" s="20">
        <f t="shared" si="108"/>
        <v>0</v>
      </c>
      <c r="H466" s="16" t="s">
        <v>138</v>
      </c>
      <c r="I466" s="168" t="s">
        <v>2960</v>
      </c>
      <c r="J466" t="s">
        <v>64</v>
      </c>
      <c r="K466" s="20">
        <v>0</v>
      </c>
      <c r="L466" s="20">
        <v>0</v>
      </c>
      <c r="M466" s="20">
        <v>0</v>
      </c>
      <c r="N466" s="20">
        <v>0</v>
      </c>
      <c r="O466" s="20">
        <v>0</v>
      </c>
      <c r="P466" s="20">
        <v>0</v>
      </c>
      <c r="Q466" s="20">
        <v>0</v>
      </c>
      <c r="R466" s="20">
        <v>0</v>
      </c>
      <c r="S466" s="20"/>
      <c r="T466" s="20">
        <f t="shared" si="109"/>
        <v>399398468</v>
      </c>
      <c r="U466" s="20">
        <f t="shared" si="119"/>
        <v>0</v>
      </c>
    </row>
    <row r="467" spans="1:21" s="21" customFormat="1" ht="16" customHeight="1">
      <c r="A467" s="33" t="s">
        <v>120</v>
      </c>
      <c r="B467" s="48">
        <v>2021</v>
      </c>
      <c r="C467" s="13" t="s">
        <v>444</v>
      </c>
      <c r="D467" s="13" t="s">
        <v>5084</v>
      </c>
      <c r="E467" s="54">
        <v>23189446</v>
      </c>
      <c r="F467" s="20">
        <v>0</v>
      </c>
      <c r="G467" s="20">
        <f t="shared" si="108"/>
        <v>0</v>
      </c>
      <c r="H467" s="16" t="s">
        <v>138</v>
      </c>
      <c r="I467" s="168" t="s">
        <v>2952</v>
      </c>
      <c r="J467" t="s">
        <v>64</v>
      </c>
      <c r="K467" s="20">
        <v>0</v>
      </c>
      <c r="L467" s="20">
        <v>0</v>
      </c>
      <c r="M467" s="20">
        <v>0</v>
      </c>
      <c r="N467" s="20">
        <v>0</v>
      </c>
      <c r="O467" s="20">
        <v>0</v>
      </c>
      <c r="P467" s="20">
        <v>0</v>
      </c>
      <c r="Q467" s="20">
        <v>0</v>
      </c>
      <c r="R467" s="20">
        <v>0</v>
      </c>
      <c r="S467" s="20"/>
      <c r="T467" s="20">
        <f t="shared" si="109"/>
        <v>23189446</v>
      </c>
      <c r="U467" s="20">
        <f t="shared" si="119"/>
        <v>0</v>
      </c>
    </row>
    <row r="468" spans="1:21" s="21" customFormat="1" ht="16" customHeight="1">
      <c r="A468" s="33" t="s">
        <v>120</v>
      </c>
      <c r="B468" s="48">
        <v>2021</v>
      </c>
      <c r="C468" s="13" t="s">
        <v>444</v>
      </c>
      <c r="D468" s="13" t="s">
        <v>444</v>
      </c>
      <c r="E468" s="54">
        <v>64510218</v>
      </c>
      <c r="F468" s="20">
        <v>0</v>
      </c>
      <c r="G468" s="20">
        <f t="shared" si="108"/>
        <v>0</v>
      </c>
      <c r="H468" s="16" t="s">
        <v>138</v>
      </c>
      <c r="I468" s="168" t="s">
        <v>2975</v>
      </c>
      <c r="J468" t="s">
        <v>64</v>
      </c>
      <c r="K468" s="20">
        <v>0</v>
      </c>
      <c r="L468" s="20">
        <v>0</v>
      </c>
      <c r="M468" s="20">
        <v>0</v>
      </c>
      <c r="N468" s="20">
        <v>0</v>
      </c>
      <c r="O468" s="20">
        <v>0</v>
      </c>
      <c r="P468" s="20">
        <v>0</v>
      </c>
      <c r="Q468" s="20">
        <v>0</v>
      </c>
      <c r="R468" s="20">
        <v>0</v>
      </c>
      <c r="S468" s="20"/>
      <c r="T468" s="20">
        <f t="shared" si="109"/>
        <v>64510218</v>
      </c>
      <c r="U468" s="20">
        <f t="shared" si="119"/>
        <v>0</v>
      </c>
    </row>
    <row r="469" spans="1:21" s="21" customFormat="1" ht="16" customHeight="1">
      <c r="A469" s="33" t="s">
        <v>120</v>
      </c>
      <c r="B469" s="48">
        <v>2021</v>
      </c>
      <c r="C469" s="13" t="s">
        <v>444</v>
      </c>
      <c r="D469" s="13" t="s">
        <v>444</v>
      </c>
      <c r="E469" s="54">
        <v>167845000</v>
      </c>
      <c r="F469" s="20">
        <v>0</v>
      </c>
      <c r="G469" s="20">
        <f t="shared" si="108"/>
        <v>0</v>
      </c>
      <c r="H469" s="16" t="s">
        <v>138</v>
      </c>
      <c r="I469" s="168" t="s">
        <v>2974</v>
      </c>
      <c r="J469" t="s">
        <v>64</v>
      </c>
      <c r="K469" s="20">
        <v>0</v>
      </c>
      <c r="L469" s="20">
        <v>0</v>
      </c>
      <c r="M469" s="20">
        <v>0</v>
      </c>
      <c r="N469" s="20">
        <v>0</v>
      </c>
      <c r="O469" s="20">
        <v>0</v>
      </c>
      <c r="P469" s="20">
        <v>0</v>
      </c>
      <c r="Q469" s="20">
        <v>0</v>
      </c>
      <c r="R469" s="20">
        <v>0</v>
      </c>
      <c r="S469" s="20"/>
      <c r="T469" s="20">
        <f t="shared" si="109"/>
        <v>167845000</v>
      </c>
      <c r="U469" s="20">
        <f t="shared" si="119"/>
        <v>0</v>
      </c>
    </row>
    <row r="470" spans="1:21" s="21" customFormat="1" ht="16" customHeight="1">
      <c r="A470" s="33" t="s">
        <v>120</v>
      </c>
      <c r="B470" s="48">
        <v>2021</v>
      </c>
      <c r="C470" s="13" t="s">
        <v>444</v>
      </c>
      <c r="D470" s="13" t="s">
        <v>444</v>
      </c>
      <c r="E470" s="54">
        <f>614959020-13001020</f>
        <v>601958000</v>
      </c>
      <c r="F470" s="20">
        <v>0</v>
      </c>
      <c r="G470" s="20">
        <f t="shared" si="108"/>
        <v>0</v>
      </c>
      <c r="H470" s="16" t="s">
        <v>138</v>
      </c>
      <c r="I470" s="168" t="s">
        <v>3395</v>
      </c>
      <c r="J470" t="s">
        <v>64</v>
      </c>
      <c r="K470" s="20">
        <v>0</v>
      </c>
      <c r="L470" s="20">
        <v>0</v>
      </c>
      <c r="M470" s="20">
        <v>0</v>
      </c>
      <c r="N470" s="20">
        <v>0</v>
      </c>
      <c r="O470" s="20">
        <v>0</v>
      </c>
      <c r="P470" s="20">
        <v>0</v>
      </c>
      <c r="Q470" s="20">
        <v>0</v>
      </c>
      <c r="R470" s="20">
        <v>0</v>
      </c>
      <c r="S470" s="20"/>
      <c r="T470" s="20">
        <f t="shared" si="109"/>
        <v>601958000</v>
      </c>
      <c r="U470" s="20">
        <f t="shared" si="119"/>
        <v>0</v>
      </c>
    </row>
    <row r="471" spans="1:21" s="21" customFormat="1" ht="16" customHeight="1">
      <c r="A471" s="33" t="s">
        <v>441</v>
      </c>
      <c r="B471" s="48">
        <v>2021</v>
      </c>
      <c r="C471" s="13" t="s">
        <v>4946</v>
      </c>
      <c r="D471" s="13" t="s">
        <v>4919</v>
      </c>
      <c r="E471" s="54">
        <v>18845750</v>
      </c>
      <c r="F471" s="20">
        <v>0</v>
      </c>
      <c r="G471" s="20">
        <f t="shared" si="108"/>
        <v>0</v>
      </c>
      <c r="H471" s="13" t="s">
        <v>4946</v>
      </c>
      <c r="I471" s="168" t="s">
        <v>2965</v>
      </c>
      <c r="J471" t="s">
        <v>64</v>
      </c>
      <c r="K471" s="20">
        <v>0</v>
      </c>
      <c r="L471" s="20">
        <v>0</v>
      </c>
      <c r="M471" s="20">
        <v>0</v>
      </c>
      <c r="N471" s="20">
        <v>0</v>
      </c>
      <c r="O471" s="20">
        <v>0</v>
      </c>
      <c r="P471" s="20">
        <v>0</v>
      </c>
      <c r="Q471" s="20">
        <v>0</v>
      </c>
      <c r="R471" s="20">
        <v>0</v>
      </c>
      <c r="S471" s="20"/>
      <c r="T471" s="20">
        <f t="shared" si="109"/>
        <v>18845750</v>
      </c>
      <c r="U471" s="20">
        <f t="shared" ref="U471:U528" si="122">G471+Q471+R471</f>
        <v>0</v>
      </c>
    </row>
    <row r="472" spans="1:21" s="21" customFormat="1" ht="16" customHeight="1">
      <c r="A472" s="33" t="s">
        <v>441</v>
      </c>
      <c r="B472" s="48">
        <v>2021</v>
      </c>
      <c r="C472" s="13" t="s">
        <v>4946</v>
      </c>
      <c r="D472" s="13" t="s">
        <v>4920</v>
      </c>
      <c r="E472" s="54">
        <v>16924999.960000001</v>
      </c>
      <c r="F472" s="20">
        <v>0</v>
      </c>
      <c r="G472" s="20">
        <f t="shared" si="108"/>
        <v>0</v>
      </c>
      <c r="H472" s="13" t="s">
        <v>4946</v>
      </c>
      <c r="I472" s="168" t="s">
        <v>3030</v>
      </c>
      <c r="J472" t="s">
        <v>64</v>
      </c>
      <c r="K472" s="20">
        <v>0</v>
      </c>
      <c r="L472" s="20">
        <v>0</v>
      </c>
      <c r="M472" s="20">
        <v>0</v>
      </c>
      <c r="N472" s="20">
        <v>0</v>
      </c>
      <c r="O472" s="20">
        <v>0</v>
      </c>
      <c r="P472" s="20">
        <v>0</v>
      </c>
      <c r="Q472" s="20">
        <v>0</v>
      </c>
      <c r="R472" s="20">
        <v>0</v>
      </c>
      <c r="S472" s="20"/>
      <c r="T472" s="20">
        <f t="shared" si="109"/>
        <v>16924999.960000001</v>
      </c>
      <c r="U472" s="20">
        <f t="shared" si="122"/>
        <v>0</v>
      </c>
    </row>
    <row r="473" spans="1:21" s="21" customFormat="1" ht="16" customHeight="1">
      <c r="A473" s="33" t="s">
        <v>441</v>
      </c>
      <c r="B473" s="48">
        <v>2021</v>
      </c>
      <c r="C473" s="13" t="s">
        <v>4946</v>
      </c>
      <c r="D473" s="13" t="s">
        <v>4921</v>
      </c>
      <c r="E473" s="54">
        <v>12283600</v>
      </c>
      <c r="F473" s="20">
        <v>0</v>
      </c>
      <c r="G473" s="20">
        <f t="shared" si="108"/>
        <v>0</v>
      </c>
      <c r="H473" s="13" t="s">
        <v>4946</v>
      </c>
      <c r="I473" s="168" t="s">
        <v>2972</v>
      </c>
      <c r="J473" t="s">
        <v>64</v>
      </c>
      <c r="K473" s="20">
        <v>0</v>
      </c>
      <c r="L473" s="20">
        <v>0</v>
      </c>
      <c r="M473" s="20">
        <v>0</v>
      </c>
      <c r="N473" s="20">
        <v>0</v>
      </c>
      <c r="O473" s="20">
        <v>0</v>
      </c>
      <c r="P473" s="20">
        <v>0</v>
      </c>
      <c r="Q473" s="20">
        <v>0</v>
      </c>
      <c r="R473" s="20">
        <v>0</v>
      </c>
      <c r="S473" s="20"/>
      <c r="T473" s="20">
        <f t="shared" si="109"/>
        <v>12283600</v>
      </c>
      <c r="U473" s="20">
        <f t="shared" si="122"/>
        <v>0</v>
      </c>
    </row>
    <row r="474" spans="1:21" s="21" customFormat="1" ht="16" customHeight="1">
      <c r="A474" s="33" t="s">
        <v>441</v>
      </c>
      <c r="B474" s="48">
        <v>2021</v>
      </c>
      <c r="C474" s="13" t="s">
        <v>4946</v>
      </c>
      <c r="D474" s="13" t="s">
        <v>4922</v>
      </c>
      <c r="E474" s="54">
        <v>52732130</v>
      </c>
      <c r="F474" s="20">
        <v>0</v>
      </c>
      <c r="G474" s="20">
        <f t="shared" si="108"/>
        <v>0</v>
      </c>
      <c r="H474" s="13" t="s">
        <v>4946</v>
      </c>
      <c r="I474" s="168" t="s">
        <v>3037</v>
      </c>
      <c r="J474" t="s">
        <v>64</v>
      </c>
      <c r="K474" s="20">
        <v>0</v>
      </c>
      <c r="L474" s="20">
        <v>0</v>
      </c>
      <c r="M474" s="20">
        <v>0</v>
      </c>
      <c r="N474" s="20">
        <v>0</v>
      </c>
      <c r="O474" s="20">
        <v>0</v>
      </c>
      <c r="P474" s="20">
        <v>0</v>
      </c>
      <c r="Q474" s="20">
        <v>0</v>
      </c>
      <c r="R474" s="20">
        <v>0</v>
      </c>
      <c r="S474" s="20"/>
      <c r="T474" s="20">
        <f t="shared" si="109"/>
        <v>52732130</v>
      </c>
      <c r="U474" s="20">
        <f t="shared" si="122"/>
        <v>0</v>
      </c>
    </row>
    <row r="475" spans="1:21" s="21" customFormat="1" ht="16" customHeight="1">
      <c r="A475" s="33" t="s">
        <v>441</v>
      </c>
      <c r="B475" s="48">
        <v>2021</v>
      </c>
      <c r="C475" s="13" t="s">
        <v>4946</v>
      </c>
      <c r="D475" s="13" t="s">
        <v>4923</v>
      </c>
      <c r="E475" s="54">
        <v>32126491.900000002</v>
      </c>
      <c r="F475" s="20">
        <v>0</v>
      </c>
      <c r="G475" s="20">
        <f t="shared" si="108"/>
        <v>0</v>
      </c>
      <c r="H475" s="13" t="s">
        <v>4946</v>
      </c>
      <c r="I475" s="168" t="s">
        <v>3073</v>
      </c>
      <c r="J475" t="s">
        <v>64</v>
      </c>
      <c r="K475" s="20">
        <v>0</v>
      </c>
      <c r="L475" s="20">
        <v>0</v>
      </c>
      <c r="M475" s="20">
        <v>0</v>
      </c>
      <c r="N475" s="20">
        <v>0</v>
      </c>
      <c r="O475" s="20">
        <v>0</v>
      </c>
      <c r="P475" s="20">
        <v>0</v>
      </c>
      <c r="Q475" s="20">
        <v>0</v>
      </c>
      <c r="R475" s="20">
        <v>0</v>
      </c>
      <c r="S475" s="20"/>
      <c r="T475" s="20">
        <f t="shared" si="109"/>
        <v>32126491.900000002</v>
      </c>
      <c r="U475" s="20">
        <f t="shared" si="122"/>
        <v>0</v>
      </c>
    </row>
    <row r="476" spans="1:21" s="21" customFormat="1" ht="16" customHeight="1">
      <c r="A476" s="33" t="s">
        <v>441</v>
      </c>
      <c r="B476" s="48">
        <v>2021</v>
      </c>
      <c r="C476" s="13" t="s">
        <v>4946</v>
      </c>
      <c r="D476" s="13" t="s">
        <v>4924</v>
      </c>
      <c r="E476" s="54">
        <v>27150000</v>
      </c>
      <c r="F476" s="20">
        <v>0</v>
      </c>
      <c r="G476" s="20">
        <f t="shared" si="108"/>
        <v>0</v>
      </c>
      <c r="H476" s="13" t="s">
        <v>4946</v>
      </c>
      <c r="I476" s="168" t="s">
        <v>3018</v>
      </c>
      <c r="J476" t="s">
        <v>64</v>
      </c>
      <c r="K476" s="20">
        <v>0</v>
      </c>
      <c r="L476" s="20">
        <v>0</v>
      </c>
      <c r="M476" s="20">
        <v>0</v>
      </c>
      <c r="N476" s="20">
        <v>0</v>
      </c>
      <c r="O476" s="20">
        <v>0</v>
      </c>
      <c r="P476" s="20">
        <v>0</v>
      </c>
      <c r="Q476" s="20">
        <v>0</v>
      </c>
      <c r="R476" s="20">
        <v>0</v>
      </c>
      <c r="S476" s="20"/>
      <c r="T476" s="20">
        <f t="shared" si="109"/>
        <v>27150000</v>
      </c>
      <c r="U476" s="20">
        <f t="shared" si="122"/>
        <v>0</v>
      </c>
    </row>
    <row r="477" spans="1:21" s="21" customFormat="1" ht="16" customHeight="1">
      <c r="A477" s="33" t="s">
        <v>441</v>
      </c>
      <c r="B477" s="48">
        <v>2021</v>
      </c>
      <c r="C477" s="13" t="s">
        <v>4946</v>
      </c>
      <c r="D477" s="13" t="s">
        <v>4925</v>
      </c>
      <c r="E477" s="54">
        <v>12474000</v>
      </c>
      <c r="F477" s="20">
        <v>0</v>
      </c>
      <c r="G477" s="20">
        <f t="shared" si="108"/>
        <v>0</v>
      </c>
      <c r="H477" s="13" t="s">
        <v>4946</v>
      </c>
      <c r="I477" s="168" t="s">
        <v>2986</v>
      </c>
      <c r="J477" t="s">
        <v>64</v>
      </c>
      <c r="K477" s="20">
        <v>0</v>
      </c>
      <c r="L477" s="20">
        <v>0</v>
      </c>
      <c r="M477" s="20">
        <v>0</v>
      </c>
      <c r="N477" s="20">
        <v>0</v>
      </c>
      <c r="O477" s="20">
        <v>0</v>
      </c>
      <c r="P477" s="20">
        <v>0</v>
      </c>
      <c r="Q477" s="20">
        <v>0</v>
      </c>
      <c r="R477" s="20">
        <v>0</v>
      </c>
      <c r="S477" s="20"/>
      <c r="T477" s="20">
        <f t="shared" si="109"/>
        <v>12474000</v>
      </c>
      <c r="U477" s="20">
        <f t="shared" si="122"/>
        <v>0</v>
      </c>
    </row>
    <row r="478" spans="1:21" s="21" customFormat="1" ht="16" customHeight="1">
      <c r="A478" s="33" t="s">
        <v>441</v>
      </c>
      <c r="B478" s="48">
        <v>2021</v>
      </c>
      <c r="C478" s="13" t="s">
        <v>4946</v>
      </c>
      <c r="D478" s="13" t="s">
        <v>4926</v>
      </c>
      <c r="E478" s="54">
        <v>2583900</v>
      </c>
      <c r="F478" s="20">
        <v>0</v>
      </c>
      <c r="G478" s="20">
        <f t="shared" si="108"/>
        <v>0</v>
      </c>
      <c r="H478" s="13" t="s">
        <v>4946</v>
      </c>
      <c r="I478" s="168" t="s">
        <v>4142</v>
      </c>
      <c r="J478" t="s">
        <v>64</v>
      </c>
      <c r="K478" s="20">
        <v>0</v>
      </c>
      <c r="L478" s="20">
        <v>0</v>
      </c>
      <c r="M478" s="20">
        <v>0</v>
      </c>
      <c r="N478" s="20">
        <v>0</v>
      </c>
      <c r="O478" s="20">
        <v>0</v>
      </c>
      <c r="P478" s="20">
        <v>0</v>
      </c>
      <c r="Q478" s="20">
        <v>0</v>
      </c>
      <c r="R478" s="20">
        <v>0</v>
      </c>
      <c r="S478" s="20"/>
      <c r="T478" s="20">
        <f t="shared" si="109"/>
        <v>2583900</v>
      </c>
      <c r="U478" s="20">
        <f t="shared" si="122"/>
        <v>0</v>
      </c>
    </row>
    <row r="479" spans="1:21" s="21" customFormat="1" ht="16" customHeight="1">
      <c r="A479" s="33" t="s">
        <v>441</v>
      </c>
      <c r="B479" s="48">
        <v>2021</v>
      </c>
      <c r="C479" s="13" t="s">
        <v>4946</v>
      </c>
      <c r="D479" s="13" t="s">
        <v>4927</v>
      </c>
      <c r="E479" s="54">
        <v>78057648</v>
      </c>
      <c r="F479" s="20">
        <v>0</v>
      </c>
      <c r="G479" s="20">
        <f t="shared" si="108"/>
        <v>0</v>
      </c>
      <c r="H479" s="13" t="s">
        <v>4946</v>
      </c>
      <c r="I479" s="168" t="s">
        <v>4143</v>
      </c>
      <c r="J479" t="s">
        <v>64</v>
      </c>
      <c r="K479" s="20">
        <v>0</v>
      </c>
      <c r="L479" s="20">
        <v>0</v>
      </c>
      <c r="M479" s="20">
        <v>0</v>
      </c>
      <c r="N479" s="20">
        <v>0</v>
      </c>
      <c r="O479" s="20">
        <v>0</v>
      </c>
      <c r="P479" s="20">
        <v>0</v>
      </c>
      <c r="Q479" s="20">
        <v>0</v>
      </c>
      <c r="R479" s="20">
        <v>0</v>
      </c>
      <c r="S479" s="20"/>
      <c r="T479" s="20">
        <f t="shared" si="109"/>
        <v>78057648</v>
      </c>
      <c r="U479" s="20">
        <f t="shared" si="122"/>
        <v>0</v>
      </c>
    </row>
    <row r="480" spans="1:21" s="21" customFormat="1" ht="16" customHeight="1">
      <c r="A480" s="33" t="s">
        <v>441</v>
      </c>
      <c r="B480" s="48">
        <v>2021</v>
      </c>
      <c r="C480" s="13" t="s">
        <v>4946</v>
      </c>
      <c r="D480" s="13" t="s">
        <v>4928</v>
      </c>
      <c r="E480" s="54">
        <v>31341750</v>
      </c>
      <c r="F480" s="20">
        <v>0</v>
      </c>
      <c r="G480" s="20">
        <f t="shared" si="108"/>
        <v>0</v>
      </c>
      <c r="H480" s="13" t="s">
        <v>4946</v>
      </c>
      <c r="I480" s="168" t="s">
        <v>3045</v>
      </c>
      <c r="J480" t="s">
        <v>64</v>
      </c>
      <c r="K480" s="20">
        <v>0</v>
      </c>
      <c r="L480" s="20">
        <v>0</v>
      </c>
      <c r="M480" s="20">
        <v>0</v>
      </c>
      <c r="N480" s="20">
        <v>0</v>
      </c>
      <c r="O480" s="20">
        <v>0</v>
      </c>
      <c r="P480" s="20">
        <v>0</v>
      </c>
      <c r="Q480" s="20">
        <v>0</v>
      </c>
      <c r="R480" s="20">
        <v>0</v>
      </c>
      <c r="S480" s="20"/>
      <c r="T480" s="20">
        <f t="shared" si="109"/>
        <v>31341750</v>
      </c>
      <c r="U480" s="20">
        <f t="shared" ref="U480:U525" si="123">G480+Q480+R480</f>
        <v>0</v>
      </c>
    </row>
    <row r="481" spans="1:21" s="21" customFormat="1" ht="16" customHeight="1">
      <c r="A481" s="33" t="s">
        <v>441</v>
      </c>
      <c r="B481" s="48">
        <v>2021</v>
      </c>
      <c r="C481" s="13" t="s">
        <v>4946</v>
      </c>
      <c r="D481" s="13" t="s">
        <v>5108</v>
      </c>
      <c r="E481" s="54">
        <v>27272727</v>
      </c>
      <c r="F481" s="20">
        <v>0</v>
      </c>
      <c r="G481" s="20">
        <f t="shared" si="108"/>
        <v>0</v>
      </c>
      <c r="H481" s="13" t="s">
        <v>4946</v>
      </c>
      <c r="I481" s="168" t="s">
        <v>3045</v>
      </c>
      <c r="J481" t="s">
        <v>64</v>
      </c>
      <c r="K481" s="20">
        <v>0</v>
      </c>
      <c r="L481" s="20">
        <v>0</v>
      </c>
      <c r="M481" s="20">
        <v>0</v>
      </c>
      <c r="N481" s="20">
        <v>0</v>
      </c>
      <c r="O481" s="20">
        <v>0</v>
      </c>
      <c r="P481" s="20">
        <v>0</v>
      </c>
      <c r="Q481" s="20">
        <v>0</v>
      </c>
      <c r="R481" s="20">
        <v>0</v>
      </c>
      <c r="S481" s="20"/>
      <c r="T481" s="20">
        <f t="shared" ref="T481" si="124">E481+K481+L481+M481+N481+O481+P481</f>
        <v>27272727</v>
      </c>
      <c r="U481" s="20">
        <f t="shared" ref="U481" si="125">G481+Q481+R481</f>
        <v>0</v>
      </c>
    </row>
    <row r="482" spans="1:21" s="21" customFormat="1" ht="16" customHeight="1">
      <c r="A482" s="33" t="s">
        <v>441</v>
      </c>
      <c r="B482" s="48">
        <v>2021</v>
      </c>
      <c r="C482" s="13" t="s">
        <v>4946</v>
      </c>
      <c r="D482" s="13" t="s">
        <v>4929</v>
      </c>
      <c r="E482" s="54">
        <v>19250000</v>
      </c>
      <c r="F482" s="20">
        <v>0</v>
      </c>
      <c r="G482" s="20">
        <f t="shared" si="108"/>
        <v>0</v>
      </c>
      <c r="H482" s="13" t="s">
        <v>4946</v>
      </c>
      <c r="I482" s="168" t="s">
        <v>2991</v>
      </c>
      <c r="J482" t="s">
        <v>64</v>
      </c>
      <c r="K482" s="20">
        <v>0</v>
      </c>
      <c r="L482" s="20">
        <v>0</v>
      </c>
      <c r="M482" s="20">
        <v>0</v>
      </c>
      <c r="N482" s="20">
        <v>0</v>
      </c>
      <c r="O482" s="20">
        <v>0</v>
      </c>
      <c r="P482" s="20">
        <v>0</v>
      </c>
      <c r="Q482" s="20">
        <v>0</v>
      </c>
      <c r="R482" s="20">
        <v>0</v>
      </c>
      <c r="S482" s="20"/>
      <c r="T482" s="20">
        <f t="shared" si="109"/>
        <v>19250000</v>
      </c>
      <c r="U482" s="20">
        <f t="shared" si="123"/>
        <v>0</v>
      </c>
    </row>
    <row r="483" spans="1:21" s="21" customFormat="1" ht="16" customHeight="1">
      <c r="A483" s="33" t="s">
        <v>441</v>
      </c>
      <c r="B483" s="48">
        <v>2021</v>
      </c>
      <c r="C483" s="13" t="s">
        <v>4946</v>
      </c>
      <c r="D483" s="13" t="s">
        <v>4930</v>
      </c>
      <c r="E483" s="54">
        <v>41860000</v>
      </c>
      <c r="F483" s="20">
        <v>0</v>
      </c>
      <c r="G483" s="20">
        <f t="shared" si="108"/>
        <v>0</v>
      </c>
      <c r="H483" s="13" t="s">
        <v>4946</v>
      </c>
      <c r="I483" s="168" t="s">
        <v>2992</v>
      </c>
      <c r="J483" t="s">
        <v>64</v>
      </c>
      <c r="K483" s="20">
        <v>0</v>
      </c>
      <c r="L483" s="20">
        <v>0</v>
      </c>
      <c r="M483" s="20">
        <v>0</v>
      </c>
      <c r="N483" s="20">
        <v>0</v>
      </c>
      <c r="O483" s="20">
        <v>0</v>
      </c>
      <c r="P483" s="20">
        <v>0</v>
      </c>
      <c r="Q483" s="20">
        <v>0</v>
      </c>
      <c r="R483" s="20">
        <v>0</v>
      </c>
      <c r="S483" s="20"/>
      <c r="T483" s="20">
        <f t="shared" si="109"/>
        <v>41860000</v>
      </c>
      <c r="U483" s="20">
        <f t="shared" si="123"/>
        <v>0</v>
      </c>
    </row>
    <row r="484" spans="1:21" s="21" customFormat="1" ht="16" customHeight="1">
      <c r="A484" s="33" t="s">
        <v>441</v>
      </c>
      <c r="B484" s="48">
        <v>2021</v>
      </c>
      <c r="C484" s="13" t="s">
        <v>4946</v>
      </c>
      <c r="D484" s="13" t="s">
        <v>4931</v>
      </c>
      <c r="E484" s="54">
        <v>13988475.600000001</v>
      </c>
      <c r="F484" s="20">
        <v>0</v>
      </c>
      <c r="G484" s="20">
        <f t="shared" si="108"/>
        <v>0</v>
      </c>
      <c r="H484" s="13" t="s">
        <v>4946</v>
      </c>
      <c r="I484" s="168" t="s">
        <v>3010</v>
      </c>
      <c r="J484" t="s">
        <v>64</v>
      </c>
      <c r="K484" s="20">
        <v>0</v>
      </c>
      <c r="L484" s="20">
        <v>0</v>
      </c>
      <c r="M484" s="20">
        <v>0</v>
      </c>
      <c r="N484" s="20">
        <v>0</v>
      </c>
      <c r="O484" s="20">
        <v>0</v>
      </c>
      <c r="P484" s="20">
        <v>0</v>
      </c>
      <c r="Q484" s="20">
        <v>0</v>
      </c>
      <c r="R484" s="20">
        <v>0</v>
      </c>
      <c r="S484" s="20"/>
      <c r="T484" s="20">
        <f t="shared" si="109"/>
        <v>13988475.600000001</v>
      </c>
      <c r="U484" s="20">
        <f t="shared" si="123"/>
        <v>0</v>
      </c>
    </row>
    <row r="485" spans="1:21" s="21" customFormat="1" ht="16" customHeight="1">
      <c r="A485" s="33" t="s">
        <v>441</v>
      </c>
      <c r="B485" s="48">
        <v>2021</v>
      </c>
      <c r="C485" s="13" t="s">
        <v>4946</v>
      </c>
      <c r="D485" s="13" t="s">
        <v>5133</v>
      </c>
      <c r="E485" s="54">
        <v>969767</v>
      </c>
      <c r="F485" s="20">
        <v>0</v>
      </c>
      <c r="G485" s="20">
        <f t="shared" si="108"/>
        <v>0</v>
      </c>
      <c r="H485" s="13" t="s">
        <v>4946</v>
      </c>
      <c r="I485" s="168" t="s">
        <v>3001</v>
      </c>
      <c r="J485" t="s">
        <v>64</v>
      </c>
      <c r="K485" s="20">
        <v>0</v>
      </c>
      <c r="L485" s="20">
        <v>0</v>
      </c>
      <c r="M485" s="20">
        <v>0</v>
      </c>
      <c r="N485" s="20">
        <v>0</v>
      </c>
      <c r="O485" s="20">
        <v>0</v>
      </c>
      <c r="P485" s="20">
        <v>0</v>
      </c>
      <c r="Q485" s="20">
        <v>0</v>
      </c>
      <c r="R485" s="20">
        <v>0</v>
      </c>
      <c r="S485" s="20"/>
      <c r="T485" s="20">
        <f t="shared" si="109"/>
        <v>969767</v>
      </c>
      <c r="U485" s="20">
        <f t="shared" si="123"/>
        <v>0</v>
      </c>
    </row>
    <row r="486" spans="1:21" s="21" customFormat="1" ht="16" customHeight="1">
      <c r="A486" s="33" t="s">
        <v>441</v>
      </c>
      <c r="B486" s="48">
        <v>2021</v>
      </c>
      <c r="C486" s="13" t="s">
        <v>4946</v>
      </c>
      <c r="D486" s="13" t="s">
        <v>5134</v>
      </c>
      <c r="E486" s="54">
        <v>940123</v>
      </c>
      <c r="F486" s="20">
        <v>0</v>
      </c>
      <c r="G486" s="20">
        <f t="shared" si="108"/>
        <v>0</v>
      </c>
      <c r="H486" s="13" t="s">
        <v>4946</v>
      </c>
      <c r="I486" s="168" t="s">
        <v>3001</v>
      </c>
      <c r="J486" t="s">
        <v>64</v>
      </c>
      <c r="K486" s="20">
        <v>0</v>
      </c>
      <c r="L486" s="20">
        <v>0</v>
      </c>
      <c r="M486" s="20">
        <v>0</v>
      </c>
      <c r="N486" s="20">
        <v>0</v>
      </c>
      <c r="O486" s="20">
        <v>0</v>
      </c>
      <c r="P486" s="20">
        <v>0</v>
      </c>
      <c r="Q486" s="20">
        <v>0</v>
      </c>
      <c r="R486" s="20">
        <v>0</v>
      </c>
      <c r="S486" s="20"/>
      <c r="T486" s="20">
        <f t="shared" ref="T486" si="126">E486+K486+L486+M486+N486+O486+P486</f>
        <v>940123</v>
      </c>
      <c r="U486" s="20">
        <f t="shared" ref="U486" si="127">G486+Q486+R486</f>
        <v>0</v>
      </c>
    </row>
    <row r="487" spans="1:21" s="21" customFormat="1" ht="16" customHeight="1">
      <c r="A487" s="33" t="s">
        <v>441</v>
      </c>
      <c r="B487" s="48">
        <v>2021</v>
      </c>
      <c r="C487" s="13" t="s">
        <v>4946</v>
      </c>
      <c r="D487" s="13" t="s">
        <v>4932</v>
      </c>
      <c r="E487" s="54">
        <v>21269850</v>
      </c>
      <c r="F487" s="20">
        <v>0</v>
      </c>
      <c r="G487" s="20">
        <f t="shared" si="108"/>
        <v>0</v>
      </c>
      <c r="H487" s="13" t="s">
        <v>4946</v>
      </c>
      <c r="I487" s="168" t="s">
        <v>3046</v>
      </c>
      <c r="J487" t="s">
        <v>64</v>
      </c>
      <c r="K487" s="20">
        <v>0</v>
      </c>
      <c r="L487" s="20">
        <v>0</v>
      </c>
      <c r="M487" s="20">
        <v>0</v>
      </c>
      <c r="N487" s="20">
        <v>0</v>
      </c>
      <c r="O487" s="20">
        <v>0</v>
      </c>
      <c r="P487" s="20">
        <v>0</v>
      </c>
      <c r="Q487" s="20">
        <v>0</v>
      </c>
      <c r="R487" s="20">
        <v>0</v>
      </c>
      <c r="S487" s="20"/>
      <c r="T487" s="20">
        <f t="shared" si="109"/>
        <v>21269850</v>
      </c>
      <c r="U487" s="20">
        <f t="shared" si="123"/>
        <v>0</v>
      </c>
    </row>
    <row r="488" spans="1:21" s="21" customFormat="1" ht="16" customHeight="1">
      <c r="A488" s="33" t="s">
        <v>441</v>
      </c>
      <c r="B488" s="48">
        <v>2021</v>
      </c>
      <c r="C488" s="13" t="s">
        <v>4946</v>
      </c>
      <c r="D488" s="13" t="s">
        <v>4933</v>
      </c>
      <c r="E488" s="54">
        <v>9580200</v>
      </c>
      <c r="F488" s="20">
        <v>0</v>
      </c>
      <c r="G488" s="20">
        <f t="shared" si="108"/>
        <v>0</v>
      </c>
      <c r="H488" s="13" t="s">
        <v>4946</v>
      </c>
      <c r="I488" s="168" t="s">
        <v>3046</v>
      </c>
      <c r="J488" t="s">
        <v>64</v>
      </c>
      <c r="K488" s="20">
        <v>0</v>
      </c>
      <c r="L488" s="20">
        <v>0</v>
      </c>
      <c r="M488" s="20">
        <v>0</v>
      </c>
      <c r="N488" s="20">
        <v>0</v>
      </c>
      <c r="O488" s="20">
        <v>0</v>
      </c>
      <c r="P488" s="20">
        <v>0</v>
      </c>
      <c r="Q488" s="20">
        <v>0</v>
      </c>
      <c r="R488" s="20">
        <v>0</v>
      </c>
      <c r="S488" s="20"/>
      <c r="T488" s="20">
        <f t="shared" si="109"/>
        <v>9580200</v>
      </c>
      <c r="U488" s="20">
        <f t="shared" si="123"/>
        <v>0</v>
      </c>
    </row>
    <row r="489" spans="1:21" s="21" customFormat="1" ht="16" customHeight="1">
      <c r="A489" s="33" t="s">
        <v>441</v>
      </c>
      <c r="B489" s="48">
        <v>2021</v>
      </c>
      <c r="C489" s="13" t="s">
        <v>4946</v>
      </c>
      <c r="D489" s="13" t="s">
        <v>4934</v>
      </c>
      <c r="E489" s="54">
        <v>25896750</v>
      </c>
      <c r="F489" s="20">
        <v>0</v>
      </c>
      <c r="G489" s="20">
        <f t="shared" si="108"/>
        <v>0</v>
      </c>
      <c r="H489" s="13" t="s">
        <v>4946</v>
      </c>
      <c r="I489" s="168" t="s">
        <v>3391</v>
      </c>
      <c r="J489" t="s">
        <v>64</v>
      </c>
      <c r="K489" s="20">
        <v>0</v>
      </c>
      <c r="L489" s="20">
        <v>0</v>
      </c>
      <c r="M489" s="20">
        <v>0</v>
      </c>
      <c r="N489" s="20">
        <v>0</v>
      </c>
      <c r="O489" s="20">
        <v>0</v>
      </c>
      <c r="P489" s="20">
        <v>0</v>
      </c>
      <c r="Q489" s="20">
        <v>0</v>
      </c>
      <c r="R489" s="20">
        <v>0</v>
      </c>
      <c r="S489" s="20"/>
      <c r="T489" s="20">
        <f t="shared" si="109"/>
        <v>25896750</v>
      </c>
      <c r="U489" s="20">
        <f t="shared" si="123"/>
        <v>0</v>
      </c>
    </row>
    <row r="490" spans="1:21" s="21" customFormat="1" ht="16" customHeight="1">
      <c r="A490" s="33" t="s">
        <v>441</v>
      </c>
      <c r="B490" s="48">
        <v>2021</v>
      </c>
      <c r="C490" s="13" t="s">
        <v>4946</v>
      </c>
      <c r="D490" s="13" t="s">
        <v>4935</v>
      </c>
      <c r="E490" s="54">
        <v>7712982</v>
      </c>
      <c r="F490" s="20">
        <v>0</v>
      </c>
      <c r="G490" s="20">
        <f t="shared" si="108"/>
        <v>0</v>
      </c>
      <c r="H490" s="13" t="s">
        <v>4946</v>
      </c>
      <c r="I490" s="168" t="s">
        <v>3018</v>
      </c>
      <c r="J490" t="s">
        <v>64</v>
      </c>
      <c r="K490" s="20">
        <v>0</v>
      </c>
      <c r="L490" s="20">
        <v>0</v>
      </c>
      <c r="M490" s="20">
        <v>0</v>
      </c>
      <c r="N490" s="20">
        <v>0</v>
      </c>
      <c r="O490" s="20">
        <v>0</v>
      </c>
      <c r="P490" s="20">
        <v>0</v>
      </c>
      <c r="Q490" s="20">
        <v>0</v>
      </c>
      <c r="R490" s="20">
        <v>0</v>
      </c>
      <c r="S490" s="20"/>
      <c r="T490" s="20">
        <f t="shared" si="109"/>
        <v>7712982</v>
      </c>
      <c r="U490" s="20">
        <f t="shared" si="123"/>
        <v>0</v>
      </c>
    </row>
    <row r="491" spans="1:21" s="21" customFormat="1" ht="16" customHeight="1">
      <c r="A491" s="33" t="s">
        <v>441</v>
      </c>
      <c r="B491" s="48">
        <v>2021</v>
      </c>
      <c r="C491" s="13" t="s">
        <v>4946</v>
      </c>
      <c r="D491" s="13" t="s">
        <v>4936</v>
      </c>
      <c r="E491" s="54">
        <v>82188073</v>
      </c>
      <c r="F491" s="20">
        <v>0</v>
      </c>
      <c r="G491" s="20">
        <f t="shared" si="108"/>
        <v>0</v>
      </c>
      <c r="H491" s="13" t="s">
        <v>4946</v>
      </c>
      <c r="I491" s="168" t="s">
        <v>3395</v>
      </c>
      <c r="J491" t="s">
        <v>64</v>
      </c>
      <c r="K491" s="20">
        <v>0</v>
      </c>
      <c r="L491" s="20">
        <v>0</v>
      </c>
      <c r="M491" s="20">
        <v>0</v>
      </c>
      <c r="N491" s="20">
        <v>0</v>
      </c>
      <c r="O491" s="20">
        <v>0</v>
      </c>
      <c r="P491" s="20">
        <v>0</v>
      </c>
      <c r="Q491" s="20">
        <v>0</v>
      </c>
      <c r="R491" s="20">
        <v>0</v>
      </c>
      <c r="S491" s="20"/>
      <c r="T491" s="20">
        <f t="shared" si="109"/>
        <v>82188073</v>
      </c>
      <c r="U491" s="20">
        <f t="shared" si="123"/>
        <v>0</v>
      </c>
    </row>
    <row r="492" spans="1:21" s="21" customFormat="1" ht="16" customHeight="1">
      <c r="A492" s="33" t="s">
        <v>441</v>
      </c>
      <c r="B492" s="48">
        <v>2021</v>
      </c>
      <c r="C492" s="13" t="s">
        <v>4946</v>
      </c>
      <c r="D492" s="13" t="s">
        <v>4937</v>
      </c>
      <c r="E492" s="54">
        <v>69660000</v>
      </c>
      <c r="F492" s="20">
        <v>0</v>
      </c>
      <c r="G492" s="20">
        <f t="shared" si="108"/>
        <v>0</v>
      </c>
      <c r="H492" s="13" t="s">
        <v>4946</v>
      </c>
      <c r="I492" s="168" t="s">
        <v>3000</v>
      </c>
      <c r="J492" t="s">
        <v>64</v>
      </c>
      <c r="K492" s="20">
        <v>0</v>
      </c>
      <c r="L492" s="20">
        <v>0</v>
      </c>
      <c r="M492" s="20">
        <v>0</v>
      </c>
      <c r="N492" s="20">
        <v>0</v>
      </c>
      <c r="O492" s="20">
        <v>0</v>
      </c>
      <c r="P492" s="20">
        <v>0</v>
      </c>
      <c r="Q492" s="20">
        <v>0</v>
      </c>
      <c r="R492" s="20">
        <v>0</v>
      </c>
      <c r="S492" s="20"/>
      <c r="T492" s="20">
        <f t="shared" si="109"/>
        <v>69660000</v>
      </c>
      <c r="U492" s="20">
        <f t="shared" ref="U492:U516" si="128">G492+Q492+R492</f>
        <v>0</v>
      </c>
    </row>
    <row r="493" spans="1:21" s="21" customFormat="1" ht="16" customHeight="1">
      <c r="A493" s="33" t="s">
        <v>441</v>
      </c>
      <c r="B493" s="48">
        <v>2021</v>
      </c>
      <c r="C493" s="13" t="s">
        <v>4946</v>
      </c>
      <c r="D493" s="13" t="s">
        <v>4938</v>
      </c>
      <c r="E493" s="54">
        <v>32989000</v>
      </c>
      <c r="F493" s="20">
        <v>0</v>
      </c>
      <c r="G493" s="20">
        <f t="shared" si="108"/>
        <v>0</v>
      </c>
      <c r="H493" s="13" t="s">
        <v>4946</v>
      </c>
      <c r="I493" s="168" t="s">
        <v>4137</v>
      </c>
      <c r="J493" t="s">
        <v>64</v>
      </c>
      <c r="K493" s="20">
        <v>0</v>
      </c>
      <c r="L493" s="20">
        <v>0</v>
      </c>
      <c r="M493" s="20">
        <v>0</v>
      </c>
      <c r="N493" s="20">
        <v>0</v>
      </c>
      <c r="O493" s="20">
        <v>0</v>
      </c>
      <c r="P493" s="20">
        <v>0</v>
      </c>
      <c r="Q493" s="20">
        <v>0</v>
      </c>
      <c r="R493" s="20">
        <v>0</v>
      </c>
      <c r="S493" s="20"/>
      <c r="T493" s="20">
        <f t="shared" si="109"/>
        <v>32989000</v>
      </c>
      <c r="U493" s="20">
        <f t="shared" si="128"/>
        <v>0</v>
      </c>
    </row>
    <row r="494" spans="1:21" s="21" customFormat="1" ht="16" customHeight="1">
      <c r="A494" s="33" t="s">
        <v>441</v>
      </c>
      <c r="B494" s="48">
        <v>2021</v>
      </c>
      <c r="C494" s="13" t="s">
        <v>4946</v>
      </c>
      <c r="D494" s="13" t="s">
        <v>4939</v>
      </c>
      <c r="E494" s="54">
        <v>10711250</v>
      </c>
      <c r="F494" s="20">
        <v>0</v>
      </c>
      <c r="G494" s="20">
        <f t="shared" si="108"/>
        <v>0</v>
      </c>
      <c r="H494" s="13" t="s">
        <v>4946</v>
      </c>
      <c r="I494" s="168" t="s">
        <v>4144</v>
      </c>
      <c r="J494" t="s">
        <v>64</v>
      </c>
      <c r="K494" s="20">
        <v>0</v>
      </c>
      <c r="L494" s="20">
        <v>0</v>
      </c>
      <c r="M494" s="20">
        <v>0</v>
      </c>
      <c r="N494" s="20">
        <v>0</v>
      </c>
      <c r="O494" s="20">
        <v>0</v>
      </c>
      <c r="P494" s="20">
        <v>0</v>
      </c>
      <c r="Q494" s="20">
        <v>0</v>
      </c>
      <c r="R494" s="20">
        <v>0</v>
      </c>
      <c r="S494" s="20"/>
      <c r="T494" s="20">
        <f t="shared" si="109"/>
        <v>10711250</v>
      </c>
      <c r="U494" s="20">
        <f t="shared" si="128"/>
        <v>0</v>
      </c>
    </row>
    <row r="495" spans="1:21" s="21" customFormat="1" ht="16" customHeight="1">
      <c r="A495" s="33" t="s">
        <v>441</v>
      </c>
      <c r="B495" s="48">
        <v>2021</v>
      </c>
      <c r="C495" s="13" t="s">
        <v>4946</v>
      </c>
      <c r="D495" s="13" t="s">
        <v>4940</v>
      </c>
      <c r="E495" s="54">
        <v>477273</v>
      </c>
      <c r="F495" s="20">
        <v>0</v>
      </c>
      <c r="G495" s="20">
        <f t="shared" si="108"/>
        <v>0</v>
      </c>
      <c r="H495" s="13" t="s">
        <v>4946</v>
      </c>
      <c r="I495" s="168" t="s">
        <v>2996</v>
      </c>
      <c r="J495" t="s">
        <v>64</v>
      </c>
      <c r="K495" s="20">
        <v>0</v>
      </c>
      <c r="L495" s="20">
        <v>0</v>
      </c>
      <c r="M495" s="20">
        <v>0</v>
      </c>
      <c r="N495" s="20">
        <v>0</v>
      </c>
      <c r="O495" s="20">
        <v>0</v>
      </c>
      <c r="P495" s="20">
        <v>0</v>
      </c>
      <c r="Q495" s="20">
        <v>0</v>
      </c>
      <c r="R495" s="20">
        <v>0</v>
      </c>
      <c r="S495" s="20"/>
      <c r="T495" s="20">
        <f t="shared" si="109"/>
        <v>477273</v>
      </c>
      <c r="U495" s="20">
        <f t="shared" si="128"/>
        <v>0</v>
      </c>
    </row>
    <row r="496" spans="1:21" s="21" customFormat="1" ht="16" customHeight="1">
      <c r="A496" s="33" t="s">
        <v>441</v>
      </c>
      <c r="B496" s="48">
        <v>2021</v>
      </c>
      <c r="C496" s="13" t="s">
        <v>4946</v>
      </c>
      <c r="D496" s="13" t="s">
        <v>4941</v>
      </c>
      <c r="E496" s="54">
        <v>15895000</v>
      </c>
      <c r="F496" s="20">
        <v>0</v>
      </c>
      <c r="G496" s="20">
        <f t="shared" si="108"/>
        <v>0</v>
      </c>
      <c r="H496" s="13" t="s">
        <v>4946</v>
      </c>
      <c r="I496" s="168" t="s">
        <v>3391</v>
      </c>
      <c r="J496" t="s">
        <v>64</v>
      </c>
      <c r="K496" s="20">
        <v>0</v>
      </c>
      <c r="L496" s="20">
        <v>0</v>
      </c>
      <c r="M496" s="20">
        <v>0</v>
      </c>
      <c r="N496" s="20">
        <v>0</v>
      </c>
      <c r="O496" s="20">
        <v>0</v>
      </c>
      <c r="P496" s="20">
        <v>0</v>
      </c>
      <c r="Q496" s="20">
        <v>0</v>
      </c>
      <c r="R496" s="20">
        <v>0</v>
      </c>
      <c r="S496" s="20"/>
      <c r="T496" s="20">
        <f t="shared" si="109"/>
        <v>15895000</v>
      </c>
      <c r="U496" s="20">
        <f t="shared" si="128"/>
        <v>0</v>
      </c>
    </row>
    <row r="497" spans="1:21" s="21" customFormat="1" ht="16" customHeight="1">
      <c r="A497" s="33" t="s">
        <v>441</v>
      </c>
      <c r="B497" s="48">
        <v>2021</v>
      </c>
      <c r="C497" s="13" t="s">
        <v>4946</v>
      </c>
      <c r="D497" s="13" t="s">
        <v>4942</v>
      </c>
      <c r="E497" s="54">
        <v>2915000</v>
      </c>
      <c r="F497" s="20">
        <v>0</v>
      </c>
      <c r="G497" s="20">
        <f t="shared" si="108"/>
        <v>0</v>
      </c>
      <c r="H497" s="13" t="s">
        <v>4946</v>
      </c>
      <c r="I497" s="168" t="s">
        <v>3391</v>
      </c>
      <c r="J497" t="s">
        <v>64</v>
      </c>
      <c r="K497" s="20">
        <v>0</v>
      </c>
      <c r="L497" s="20">
        <v>0</v>
      </c>
      <c r="M497" s="20">
        <v>0</v>
      </c>
      <c r="N497" s="20">
        <v>0</v>
      </c>
      <c r="O497" s="20">
        <v>0</v>
      </c>
      <c r="P497" s="20">
        <v>0</v>
      </c>
      <c r="Q497" s="20">
        <v>0</v>
      </c>
      <c r="R497" s="20">
        <v>0</v>
      </c>
      <c r="S497" s="20"/>
      <c r="T497" s="20">
        <f t="shared" si="109"/>
        <v>2915000</v>
      </c>
      <c r="U497" s="20">
        <f t="shared" si="128"/>
        <v>0</v>
      </c>
    </row>
    <row r="498" spans="1:21" s="21" customFormat="1" ht="16" customHeight="1">
      <c r="A498" s="33" t="s">
        <v>441</v>
      </c>
      <c r="B498" s="48">
        <v>2021</v>
      </c>
      <c r="C498" s="13" t="s">
        <v>4946</v>
      </c>
      <c r="D498" s="13" t="s">
        <v>4943</v>
      </c>
      <c r="E498" s="54">
        <v>23000</v>
      </c>
      <c r="F498" s="20">
        <v>0</v>
      </c>
      <c r="G498" s="20">
        <f t="shared" si="108"/>
        <v>0</v>
      </c>
      <c r="H498" s="13" t="s">
        <v>4946</v>
      </c>
      <c r="I498" s="168" t="s">
        <v>2994</v>
      </c>
      <c r="J498" t="s">
        <v>64</v>
      </c>
      <c r="K498" s="20">
        <v>0</v>
      </c>
      <c r="L498" s="20">
        <v>0</v>
      </c>
      <c r="M498" s="20">
        <v>0</v>
      </c>
      <c r="N498" s="20">
        <v>0</v>
      </c>
      <c r="O498" s="20">
        <v>0</v>
      </c>
      <c r="P498" s="20">
        <v>0</v>
      </c>
      <c r="Q498" s="20">
        <v>0</v>
      </c>
      <c r="R498" s="20">
        <v>0</v>
      </c>
      <c r="S498" s="20"/>
      <c r="T498" s="20">
        <f t="shared" si="109"/>
        <v>23000</v>
      </c>
      <c r="U498" s="20">
        <f t="shared" si="128"/>
        <v>0</v>
      </c>
    </row>
    <row r="499" spans="1:21" s="21" customFormat="1" ht="16" customHeight="1">
      <c r="A499" s="33" t="s">
        <v>441</v>
      </c>
      <c r="B499" s="48">
        <v>2021</v>
      </c>
      <c r="C499" s="13" t="s">
        <v>4946</v>
      </c>
      <c r="D499" s="13" t="s">
        <v>5020</v>
      </c>
      <c r="E499" s="54">
        <v>1320000</v>
      </c>
      <c r="F499" s="20">
        <v>0</v>
      </c>
      <c r="G499" s="20">
        <f t="shared" ref="G499:G532" si="129">(F499*$G$3)/$D$536</f>
        <v>0</v>
      </c>
      <c r="H499" s="13" t="s">
        <v>4946</v>
      </c>
      <c r="I499" s="168" t="s">
        <v>4137</v>
      </c>
      <c r="J499" t="s">
        <v>64</v>
      </c>
      <c r="K499" s="20">
        <v>0</v>
      </c>
      <c r="L499" s="20">
        <v>0</v>
      </c>
      <c r="M499" s="20">
        <v>0</v>
      </c>
      <c r="N499" s="20">
        <v>0</v>
      </c>
      <c r="O499" s="20">
        <v>0</v>
      </c>
      <c r="P499" s="20">
        <v>0</v>
      </c>
      <c r="Q499" s="20">
        <v>0</v>
      </c>
      <c r="R499" s="20">
        <v>0</v>
      </c>
      <c r="S499" s="20"/>
      <c r="T499" s="20">
        <f t="shared" ref="T499" si="130">E499+K499+L499+M499+N499+O499+P499</f>
        <v>1320000</v>
      </c>
      <c r="U499" s="20">
        <f t="shared" ref="U499" si="131">G499+Q499+R499</f>
        <v>0</v>
      </c>
    </row>
    <row r="500" spans="1:21" s="21" customFormat="1" ht="16" customHeight="1">
      <c r="A500" s="33" t="s">
        <v>441</v>
      </c>
      <c r="B500" s="48">
        <v>2021</v>
      </c>
      <c r="C500" s="13" t="s">
        <v>5013</v>
      </c>
      <c r="D500" s="13" t="s">
        <v>4919</v>
      </c>
      <c r="E500" s="54">
        <v>3769150</v>
      </c>
      <c r="F500" s="20">
        <v>0</v>
      </c>
      <c r="G500" s="20">
        <f t="shared" si="129"/>
        <v>0</v>
      </c>
      <c r="H500" s="13" t="s">
        <v>4950</v>
      </c>
      <c r="I500" s="168" t="s">
        <v>2965</v>
      </c>
      <c r="J500" t="s">
        <v>64</v>
      </c>
      <c r="K500" s="20">
        <v>0</v>
      </c>
      <c r="L500" s="20">
        <v>0</v>
      </c>
      <c r="M500" s="20">
        <v>0</v>
      </c>
      <c r="N500" s="20">
        <v>0</v>
      </c>
      <c r="O500" s="20">
        <v>0</v>
      </c>
      <c r="P500" s="20">
        <v>0</v>
      </c>
      <c r="Q500" s="20">
        <v>0</v>
      </c>
      <c r="R500" s="20">
        <v>0</v>
      </c>
      <c r="S500" s="20"/>
      <c r="T500" s="20">
        <f t="shared" si="109"/>
        <v>3769150</v>
      </c>
      <c r="U500" s="20">
        <f t="shared" si="128"/>
        <v>0</v>
      </c>
    </row>
    <row r="501" spans="1:21" s="21" customFormat="1" ht="16" customHeight="1">
      <c r="A501" s="33" t="s">
        <v>441</v>
      </c>
      <c r="B501" s="48">
        <v>2021</v>
      </c>
      <c r="C501" s="13" t="s">
        <v>5013</v>
      </c>
      <c r="D501" s="13" t="s">
        <v>4920</v>
      </c>
      <c r="E501" s="54">
        <v>3384999.9920000001</v>
      </c>
      <c r="F501" s="20">
        <v>0</v>
      </c>
      <c r="G501" s="20">
        <f t="shared" si="129"/>
        <v>0</v>
      </c>
      <c r="H501" s="13" t="s">
        <v>4950</v>
      </c>
      <c r="I501" s="168" t="s">
        <v>3030</v>
      </c>
      <c r="J501" t="s">
        <v>64</v>
      </c>
      <c r="K501" s="20">
        <v>0</v>
      </c>
      <c r="L501" s="20">
        <v>0</v>
      </c>
      <c r="M501" s="20">
        <v>0</v>
      </c>
      <c r="N501" s="20">
        <v>0</v>
      </c>
      <c r="O501" s="20">
        <v>0</v>
      </c>
      <c r="P501" s="20">
        <v>0</v>
      </c>
      <c r="Q501" s="20">
        <v>0</v>
      </c>
      <c r="R501" s="20">
        <v>0</v>
      </c>
      <c r="S501" s="20"/>
      <c r="T501" s="20">
        <f t="shared" si="109"/>
        <v>3384999.9920000001</v>
      </c>
      <c r="U501" s="20">
        <f t="shared" si="128"/>
        <v>0</v>
      </c>
    </row>
    <row r="502" spans="1:21" s="21" customFormat="1" ht="16" customHeight="1">
      <c r="A502" s="33" t="s">
        <v>441</v>
      </c>
      <c r="B502" s="48">
        <v>2021</v>
      </c>
      <c r="C502" s="13" t="s">
        <v>5013</v>
      </c>
      <c r="D502" s="13" t="s">
        <v>4921</v>
      </c>
      <c r="E502" s="54">
        <v>1963220</v>
      </c>
      <c r="F502" s="20">
        <v>0</v>
      </c>
      <c r="G502" s="20">
        <f t="shared" si="129"/>
        <v>0</v>
      </c>
      <c r="H502" s="13" t="s">
        <v>4950</v>
      </c>
      <c r="I502" s="168" t="s">
        <v>2972</v>
      </c>
      <c r="J502" t="s">
        <v>64</v>
      </c>
      <c r="K502" s="20">
        <v>0</v>
      </c>
      <c r="L502" s="20">
        <v>0</v>
      </c>
      <c r="M502" s="20">
        <v>0</v>
      </c>
      <c r="N502" s="20">
        <v>0</v>
      </c>
      <c r="O502" s="20">
        <v>0</v>
      </c>
      <c r="P502" s="20">
        <v>0</v>
      </c>
      <c r="Q502" s="20">
        <v>0</v>
      </c>
      <c r="R502" s="20">
        <v>0</v>
      </c>
      <c r="S502" s="20"/>
      <c r="T502" s="20">
        <f t="shared" si="109"/>
        <v>1963220</v>
      </c>
      <c r="U502" s="20">
        <f t="shared" si="128"/>
        <v>0</v>
      </c>
    </row>
    <row r="503" spans="1:21" s="21" customFormat="1" ht="16" customHeight="1">
      <c r="A503" s="33" t="s">
        <v>441</v>
      </c>
      <c r="B503" s="48">
        <v>2021</v>
      </c>
      <c r="C503" s="13" t="s">
        <v>5013</v>
      </c>
      <c r="D503" s="13" t="s">
        <v>4922</v>
      </c>
      <c r="E503" s="54">
        <v>10546426</v>
      </c>
      <c r="F503" s="20">
        <v>0</v>
      </c>
      <c r="G503" s="20">
        <f t="shared" si="129"/>
        <v>0</v>
      </c>
      <c r="H503" s="13" t="s">
        <v>4950</v>
      </c>
      <c r="I503" s="168" t="s">
        <v>3037</v>
      </c>
      <c r="J503" t="s">
        <v>64</v>
      </c>
      <c r="K503" s="20">
        <v>0</v>
      </c>
      <c r="L503" s="20">
        <v>0</v>
      </c>
      <c r="M503" s="20">
        <v>0</v>
      </c>
      <c r="N503" s="20">
        <v>0</v>
      </c>
      <c r="O503" s="20">
        <v>0</v>
      </c>
      <c r="P503" s="20">
        <v>0</v>
      </c>
      <c r="Q503" s="20">
        <v>0</v>
      </c>
      <c r="R503" s="20">
        <v>0</v>
      </c>
      <c r="S503" s="20"/>
      <c r="T503" s="20">
        <f t="shared" ref="T503:T528" si="132">E503+K503+L503+M503+N503+O503+P503</f>
        <v>10546426</v>
      </c>
      <c r="U503" s="20">
        <f t="shared" si="128"/>
        <v>0</v>
      </c>
    </row>
    <row r="504" spans="1:21" s="21" customFormat="1" ht="16" customHeight="1">
      <c r="A504" s="33" t="s">
        <v>441</v>
      </c>
      <c r="B504" s="48">
        <v>2021</v>
      </c>
      <c r="C504" s="13" t="s">
        <v>5013</v>
      </c>
      <c r="D504" s="13" t="s">
        <v>4923</v>
      </c>
      <c r="E504" s="54">
        <v>6425298.3799999999</v>
      </c>
      <c r="F504" s="20">
        <v>0</v>
      </c>
      <c r="G504" s="20">
        <f t="shared" si="129"/>
        <v>0</v>
      </c>
      <c r="H504" s="13" t="s">
        <v>4950</v>
      </c>
      <c r="I504" s="168" t="s">
        <v>3073</v>
      </c>
      <c r="J504" t="s">
        <v>64</v>
      </c>
      <c r="K504" s="20">
        <v>0</v>
      </c>
      <c r="L504" s="20">
        <v>0</v>
      </c>
      <c r="M504" s="20">
        <v>0</v>
      </c>
      <c r="N504" s="20">
        <v>0</v>
      </c>
      <c r="O504" s="20">
        <v>0</v>
      </c>
      <c r="P504" s="20">
        <v>0</v>
      </c>
      <c r="Q504" s="20">
        <v>0</v>
      </c>
      <c r="R504" s="20">
        <v>0</v>
      </c>
      <c r="S504" s="20"/>
      <c r="T504" s="20">
        <f t="shared" si="132"/>
        <v>6425298.3799999999</v>
      </c>
      <c r="U504" s="20">
        <f t="shared" ref="U504:U514" si="133">G504+Q504+R504</f>
        <v>0</v>
      </c>
    </row>
    <row r="505" spans="1:21" s="21" customFormat="1" ht="16" customHeight="1">
      <c r="A505" s="33" t="s">
        <v>441</v>
      </c>
      <c r="B505" s="48">
        <v>2021</v>
      </c>
      <c r="C505" s="13" t="s">
        <v>5013</v>
      </c>
      <c r="D505" s="13" t="s">
        <v>4947</v>
      </c>
      <c r="E505" s="54">
        <v>500000</v>
      </c>
      <c r="F505" s="20">
        <v>0</v>
      </c>
      <c r="G505" s="20">
        <f t="shared" si="129"/>
        <v>0</v>
      </c>
      <c r="H505" s="13" t="s">
        <v>4950</v>
      </c>
      <c r="I505" s="168" t="s">
        <v>2979</v>
      </c>
      <c r="J505" t="s">
        <v>64</v>
      </c>
      <c r="K505" s="20">
        <v>0</v>
      </c>
      <c r="L505" s="20">
        <v>0</v>
      </c>
      <c r="M505" s="20">
        <v>0</v>
      </c>
      <c r="N505" s="20">
        <v>0</v>
      </c>
      <c r="O505" s="20">
        <v>0</v>
      </c>
      <c r="P505" s="20">
        <v>0</v>
      </c>
      <c r="Q505" s="20">
        <v>0</v>
      </c>
      <c r="R505" s="20">
        <v>0</v>
      </c>
      <c r="S505" s="20"/>
      <c r="T505" s="20">
        <f t="shared" si="132"/>
        <v>500000</v>
      </c>
      <c r="U505" s="20">
        <f t="shared" si="133"/>
        <v>0</v>
      </c>
    </row>
    <row r="506" spans="1:21" s="21" customFormat="1" ht="16" customHeight="1">
      <c r="A506" s="33" t="s">
        <v>441</v>
      </c>
      <c r="B506" s="48">
        <v>2021</v>
      </c>
      <c r="C506" s="13" t="s">
        <v>5013</v>
      </c>
      <c r="D506" s="13" t="s">
        <v>4924</v>
      </c>
      <c r="E506" s="54">
        <v>5430000</v>
      </c>
      <c r="F506" s="20">
        <v>0</v>
      </c>
      <c r="G506" s="20">
        <f t="shared" si="129"/>
        <v>0</v>
      </c>
      <c r="H506" s="13" t="s">
        <v>4950</v>
      </c>
      <c r="I506" s="168" t="s">
        <v>3018</v>
      </c>
      <c r="J506" t="s">
        <v>64</v>
      </c>
      <c r="K506" s="20">
        <v>0</v>
      </c>
      <c r="L506" s="20">
        <v>0</v>
      </c>
      <c r="M506" s="20">
        <v>0</v>
      </c>
      <c r="N506" s="20">
        <v>0</v>
      </c>
      <c r="O506" s="20">
        <v>0</v>
      </c>
      <c r="P506" s="20">
        <v>0</v>
      </c>
      <c r="Q506" s="20">
        <v>0</v>
      </c>
      <c r="R506" s="20">
        <v>0</v>
      </c>
      <c r="S506" s="20"/>
      <c r="T506" s="20">
        <f t="shared" si="132"/>
        <v>5430000</v>
      </c>
      <c r="U506" s="20">
        <f t="shared" si="133"/>
        <v>0</v>
      </c>
    </row>
    <row r="507" spans="1:21" s="21" customFormat="1" ht="16" customHeight="1">
      <c r="A507" s="33" t="s">
        <v>441</v>
      </c>
      <c r="B507" s="48">
        <v>2021</v>
      </c>
      <c r="C507" s="13" t="s">
        <v>5013</v>
      </c>
      <c r="D507" s="13" t="s">
        <v>4925</v>
      </c>
      <c r="E507" s="54">
        <v>2494800</v>
      </c>
      <c r="F507" s="20">
        <v>0</v>
      </c>
      <c r="G507" s="20">
        <f t="shared" si="129"/>
        <v>0</v>
      </c>
      <c r="H507" s="13" t="s">
        <v>4950</v>
      </c>
      <c r="I507" s="168" t="s">
        <v>2986</v>
      </c>
      <c r="J507" t="s">
        <v>64</v>
      </c>
      <c r="K507" s="20">
        <v>0</v>
      </c>
      <c r="L507" s="20">
        <v>0</v>
      </c>
      <c r="M507" s="20">
        <v>0</v>
      </c>
      <c r="N507" s="20">
        <v>0</v>
      </c>
      <c r="O507" s="20">
        <v>0</v>
      </c>
      <c r="P507" s="20">
        <v>0</v>
      </c>
      <c r="Q507" s="20">
        <v>0</v>
      </c>
      <c r="R507" s="20">
        <v>0</v>
      </c>
      <c r="S507" s="20"/>
      <c r="T507" s="20">
        <f t="shared" si="132"/>
        <v>2494800</v>
      </c>
      <c r="U507" s="20">
        <f t="shared" si="133"/>
        <v>0</v>
      </c>
    </row>
    <row r="508" spans="1:21" s="21" customFormat="1" ht="16" customHeight="1">
      <c r="A508" s="33" t="s">
        <v>441</v>
      </c>
      <c r="B508" s="48">
        <v>2021</v>
      </c>
      <c r="C508" s="13" t="s">
        <v>5013</v>
      </c>
      <c r="D508" s="13" t="s">
        <v>4926</v>
      </c>
      <c r="E508" s="54">
        <v>516780</v>
      </c>
      <c r="F508" s="20">
        <v>0</v>
      </c>
      <c r="G508" s="20">
        <f t="shared" si="129"/>
        <v>0</v>
      </c>
      <c r="H508" s="13" t="s">
        <v>4950</v>
      </c>
      <c r="I508" s="168" t="s">
        <v>4142</v>
      </c>
      <c r="J508" t="s">
        <v>64</v>
      </c>
      <c r="K508" s="20">
        <v>0</v>
      </c>
      <c r="L508" s="20">
        <v>0</v>
      </c>
      <c r="M508" s="20">
        <v>0</v>
      </c>
      <c r="N508" s="20">
        <v>0</v>
      </c>
      <c r="O508" s="20">
        <v>0</v>
      </c>
      <c r="P508" s="20">
        <v>0</v>
      </c>
      <c r="Q508" s="20">
        <v>0</v>
      </c>
      <c r="R508" s="20">
        <v>0</v>
      </c>
      <c r="S508" s="20"/>
      <c r="T508" s="20">
        <f t="shared" si="132"/>
        <v>516780</v>
      </c>
      <c r="U508" s="20">
        <f t="shared" si="133"/>
        <v>0</v>
      </c>
    </row>
    <row r="509" spans="1:21" s="21" customFormat="1" ht="16" customHeight="1">
      <c r="A509" s="33" t="s">
        <v>441</v>
      </c>
      <c r="B509" s="48">
        <v>2021</v>
      </c>
      <c r="C509" s="13" t="s">
        <v>5013</v>
      </c>
      <c r="D509" s="13" t="s">
        <v>4927</v>
      </c>
      <c r="E509" s="54">
        <v>15611529.6</v>
      </c>
      <c r="F509" s="20">
        <v>0</v>
      </c>
      <c r="G509" s="20">
        <f t="shared" si="129"/>
        <v>0</v>
      </c>
      <c r="H509" s="13" t="s">
        <v>4950</v>
      </c>
      <c r="I509" s="168" t="s">
        <v>4143</v>
      </c>
      <c r="J509" t="s">
        <v>64</v>
      </c>
      <c r="K509" s="20">
        <v>0</v>
      </c>
      <c r="L509" s="20">
        <v>0</v>
      </c>
      <c r="M509" s="20">
        <v>0</v>
      </c>
      <c r="N509" s="20">
        <v>0</v>
      </c>
      <c r="O509" s="20">
        <v>0</v>
      </c>
      <c r="P509" s="20">
        <v>0</v>
      </c>
      <c r="Q509" s="20">
        <v>0</v>
      </c>
      <c r="R509" s="20">
        <v>0</v>
      </c>
      <c r="S509" s="20"/>
      <c r="T509" s="20">
        <f t="shared" si="132"/>
        <v>15611529.6</v>
      </c>
      <c r="U509" s="20">
        <f t="shared" si="133"/>
        <v>0</v>
      </c>
    </row>
    <row r="510" spans="1:21" s="21" customFormat="1" ht="16" customHeight="1">
      <c r="A510" s="33" t="s">
        <v>441</v>
      </c>
      <c r="B510" s="48">
        <v>2021</v>
      </c>
      <c r="C510" s="13" t="s">
        <v>5013</v>
      </c>
      <c r="D510" s="13" t="s">
        <v>4928</v>
      </c>
      <c r="E510" s="54">
        <v>6268350</v>
      </c>
      <c r="F510" s="20">
        <v>0</v>
      </c>
      <c r="G510" s="20">
        <f t="shared" si="129"/>
        <v>0</v>
      </c>
      <c r="H510" s="13" t="s">
        <v>4950</v>
      </c>
      <c r="I510" s="168" t="s">
        <v>3045</v>
      </c>
      <c r="J510" t="s">
        <v>64</v>
      </c>
      <c r="K510" s="20">
        <v>0</v>
      </c>
      <c r="L510" s="20">
        <v>0</v>
      </c>
      <c r="M510" s="20">
        <v>0</v>
      </c>
      <c r="N510" s="20">
        <v>0</v>
      </c>
      <c r="O510" s="20">
        <v>0</v>
      </c>
      <c r="P510" s="20">
        <v>0</v>
      </c>
      <c r="Q510" s="20">
        <v>0</v>
      </c>
      <c r="R510" s="20">
        <v>0</v>
      </c>
      <c r="S510" s="20"/>
      <c r="T510" s="20">
        <f t="shared" si="132"/>
        <v>6268350</v>
      </c>
      <c r="U510" s="20">
        <f t="shared" si="133"/>
        <v>0</v>
      </c>
    </row>
    <row r="511" spans="1:21" s="21" customFormat="1" ht="16" customHeight="1">
      <c r="A511" s="33" t="s">
        <v>441</v>
      </c>
      <c r="B511" s="48">
        <v>2021</v>
      </c>
      <c r="C511" s="13" t="s">
        <v>5013</v>
      </c>
      <c r="D511" s="13" t="s">
        <v>4929</v>
      </c>
      <c r="E511" s="54">
        <v>3850000</v>
      </c>
      <c r="F511" s="20">
        <v>0</v>
      </c>
      <c r="G511" s="20">
        <f t="shared" si="129"/>
        <v>0</v>
      </c>
      <c r="H511" s="13" t="s">
        <v>4950</v>
      </c>
      <c r="I511" s="168" t="s">
        <v>2991</v>
      </c>
      <c r="J511" t="s">
        <v>64</v>
      </c>
      <c r="K511" s="20">
        <v>0</v>
      </c>
      <c r="L511" s="20">
        <v>0</v>
      </c>
      <c r="M511" s="20">
        <v>0</v>
      </c>
      <c r="N511" s="20">
        <v>0</v>
      </c>
      <c r="O511" s="20">
        <v>0</v>
      </c>
      <c r="P511" s="20">
        <v>0</v>
      </c>
      <c r="Q511" s="20">
        <v>0</v>
      </c>
      <c r="R511" s="20">
        <v>0</v>
      </c>
      <c r="S511" s="20"/>
      <c r="T511" s="20">
        <f t="shared" si="132"/>
        <v>3850000</v>
      </c>
      <c r="U511" s="20">
        <f t="shared" si="133"/>
        <v>0</v>
      </c>
    </row>
    <row r="512" spans="1:21" s="21" customFormat="1" ht="16" customHeight="1">
      <c r="A512" s="33" t="s">
        <v>441</v>
      </c>
      <c r="B512" s="48">
        <v>2021</v>
      </c>
      <c r="C512" s="13" t="s">
        <v>5013</v>
      </c>
      <c r="D512" s="13" t="s">
        <v>4930</v>
      </c>
      <c r="E512" s="54">
        <v>6397000</v>
      </c>
      <c r="F512" s="20">
        <v>0</v>
      </c>
      <c r="G512" s="20">
        <f t="shared" si="129"/>
        <v>0</v>
      </c>
      <c r="H512" s="13" t="s">
        <v>4950</v>
      </c>
      <c r="I512" s="168" t="s">
        <v>2992</v>
      </c>
      <c r="J512" t="s">
        <v>64</v>
      </c>
      <c r="K512" s="20">
        <v>0</v>
      </c>
      <c r="L512" s="20">
        <v>0</v>
      </c>
      <c r="M512" s="20">
        <v>0</v>
      </c>
      <c r="N512" s="20">
        <v>0</v>
      </c>
      <c r="O512" s="20">
        <v>0</v>
      </c>
      <c r="P512" s="20">
        <v>0</v>
      </c>
      <c r="Q512" s="20">
        <v>0</v>
      </c>
      <c r="R512" s="20">
        <v>0</v>
      </c>
      <c r="S512" s="20"/>
      <c r="T512" s="20">
        <f t="shared" si="132"/>
        <v>6397000</v>
      </c>
      <c r="U512" s="20">
        <f t="shared" si="133"/>
        <v>0</v>
      </c>
    </row>
    <row r="513" spans="1:21" s="21" customFormat="1" ht="16" customHeight="1">
      <c r="A513" s="33" t="s">
        <v>441</v>
      </c>
      <c r="B513" s="48">
        <v>2021</v>
      </c>
      <c r="C513" s="13" t="s">
        <v>5013</v>
      </c>
      <c r="D513" s="13" t="s">
        <v>4931</v>
      </c>
      <c r="E513" s="54">
        <v>2797695.12</v>
      </c>
      <c r="F513" s="20">
        <v>0</v>
      </c>
      <c r="G513" s="20">
        <f t="shared" si="129"/>
        <v>0</v>
      </c>
      <c r="H513" s="13" t="s">
        <v>4950</v>
      </c>
      <c r="I513" s="168" t="s">
        <v>3010</v>
      </c>
      <c r="J513" t="s">
        <v>64</v>
      </c>
      <c r="K513" s="20">
        <v>0</v>
      </c>
      <c r="L513" s="20">
        <v>0</v>
      </c>
      <c r="M513" s="20">
        <v>0</v>
      </c>
      <c r="N513" s="20">
        <v>0</v>
      </c>
      <c r="O513" s="20">
        <v>0</v>
      </c>
      <c r="P513" s="20">
        <v>0</v>
      </c>
      <c r="Q513" s="20">
        <v>0</v>
      </c>
      <c r="R513" s="20">
        <v>0</v>
      </c>
      <c r="S513" s="20"/>
      <c r="T513" s="20">
        <f t="shared" si="132"/>
        <v>2797695.12</v>
      </c>
      <c r="U513" s="20">
        <f t="shared" si="133"/>
        <v>0</v>
      </c>
    </row>
    <row r="514" spans="1:21" s="21" customFormat="1" ht="16" customHeight="1">
      <c r="A514" s="33" t="s">
        <v>441</v>
      </c>
      <c r="B514" s="48">
        <v>2021</v>
      </c>
      <c r="C514" s="13" t="s">
        <v>5013</v>
      </c>
      <c r="D514" s="13" t="s">
        <v>5133</v>
      </c>
      <c r="E514" s="54">
        <v>176321</v>
      </c>
      <c r="F514" s="20">
        <v>0</v>
      </c>
      <c r="G514" s="20">
        <f t="shared" si="129"/>
        <v>0</v>
      </c>
      <c r="H514" s="13" t="s">
        <v>4950</v>
      </c>
      <c r="I514" s="168" t="s">
        <v>3001</v>
      </c>
      <c r="J514" t="s">
        <v>64</v>
      </c>
      <c r="K514" s="20">
        <v>0</v>
      </c>
      <c r="L514" s="20">
        <v>0</v>
      </c>
      <c r="M514" s="20">
        <v>0</v>
      </c>
      <c r="N514" s="20">
        <v>0</v>
      </c>
      <c r="O514" s="20">
        <v>0</v>
      </c>
      <c r="P514" s="20">
        <v>0</v>
      </c>
      <c r="Q514" s="20">
        <v>0</v>
      </c>
      <c r="R514" s="20">
        <v>0</v>
      </c>
      <c r="S514" s="20"/>
      <c r="T514" s="20">
        <f t="shared" si="132"/>
        <v>176321</v>
      </c>
      <c r="U514" s="20">
        <f t="shared" si="133"/>
        <v>0</v>
      </c>
    </row>
    <row r="515" spans="1:21" s="21" customFormat="1" ht="16" customHeight="1">
      <c r="A515" s="33" t="s">
        <v>441</v>
      </c>
      <c r="B515" s="48">
        <v>2021</v>
      </c>
      <c r="C515" s="13" t="s">
        <v>5013</v>
      </c>
      <c r="D515" s="13" t="s">
        <v>5134</v>
      </c>
      <c r="E515" s="54">
        <v>170931</v>
      </c>
      <c r="F515" s="20">
        <v>0</v>
      </c>
      <c r="G515" s="20">
        <f t="shared" si="129"/>
        <v>0</v>
      </c>
      <c r="H515" s="13" t="s">
        <v>4950</v>
      </c>
      <c r="I515" s="168" t="s">
        <v>3001</v>
      </c>
      <c r="J515" t="s">
        <v>64</v>
      </c>
      <c r="K515" s="20">
        <v>0</v>
      </c>
      <c r="L515" s="20">
        <v>0</v>
      </c>
      <c r="M515" s="20">
        <v>0</v>
      </c>
      <c r="N515" s="20">
        <v>0</v>
      </c>
      <c r="O515" s="20">
        <v>0</v>
      </c>
      <c r="P515" s="20">
        <v>0</v>
      </c>
      <c r="Q515" s="20">
        <v>0</v>
      </c>
      <c r="R515" s="20">
        <v>0</v>
      </c>
      <c r="S515" s="20"/>
      <c r="T515" s="20">
        <f t="shared" ref="T515" si="134">E515+K515+L515+M515+N515+O515+P515</f>
        <v>170931</v>
      </c>
      <c r="U515" s="20">
        <f t="shared" ref="U515" si="135">G515+Q515+R515</f>
        <v>0</v>
      </c>
    </row>
    <row r="516" spans="1:21" s="21" customFormat="1" ht="16" customHeight="1">
      <c r="A516" s="33" t="s">
        <v>441</v>
      </c>
      <c r="B516" s="48">
        <v>2021</v>
      </c>
      <c r="C516" s="13" t="s">
        <v>5013</v>
      </c>
      <c r="D516" s="13" t="s">
        <v>4932</v>
      </c>
      <c r="E516" s="54">
        <v>4253970</v>
      </c>
      <c r="F516" s="20">
        <v>0</v>
      </c>
      <c r="G516" s="20">
        <f t="shared" si="129"/>
        <v>0</v>
      </c>
      <c r="H516" s="13" t="s">
        <v>4950</v>
      </c>
      <c r="I516" s="168" t="s">
        <v>3046</v>
      </c>
      <c r="J516" t="s">
        <v>64</v>
      </c>
      <c r="K516" s="20">
        <v>0</v>
      </c>
      <c r="L516" s="20">
        <v>0</v>
      </c>
      <c r="M516" s="20">
        <v>0</v>
      </c>
      <c r="N516" s="20">
        <v>0</v>
      </c>
      <c r="O516" s="20">
        <v>0</v>
      </c>
      <c r="P516" s="20">
        <v>0</v>
      </c>
      <c r="Q516" s="20">
        <v>0</v>
      </c>
      <c r="R516" s="20">
        <v>0</v>
      </c>
      <c r="S516" s="20"/>
      <c r="T516" s="20">
        <f t="shared" si="132"/>
        <v>4253970</v>
      </c>
      <c r="U516" s="20">
        <f t="shared" si="128"/>
        <v>0</v>
      </c>
    </row>
    <row r="517" spans="1:21" s="21" customFormat="1" ht="16" customHeight="1">
      <c r="A517" s="33" t="s">
        <v>441</v>
      </c>
      <c r="B517" s="48">
        <v>2021</v>
      </c>
      <c r="C517" s="13" t="s">
        <v>5013</v>
      </c>
      <c r="D517" s="13" t="s">
        <v>4933</v>
      </c>
      <c r="E517" s="54">
        <v>1916040</v>
      </c>
      <c r="F517" s="20">
        <v>0</v>
      </c>
      <c r="G517" s="20">
        <f t="shared" si="129"/>
        <v>0</v>
      </c>
      <c r="H517" s="13" t="s">
        <v>4950</v>
      </c>
      <c r="I517" s="168" t="s">
        <v>3046</v>
      </c>
      <c r="J517" t="s">
        <v>64</v>
      </c>
      <c r="K517" s="20">
        <v>0</v>
      </c>
      <c r="L517" s="20">
        <v>0</v>
      </c>
      <c r="M517" s="20">
        <v>0</v>
      </c>
      <c r="N517" s="20">
        <v>0</v>
      </c>
      <c r="O517" s="20">
        <v>0</v>
      </c>
      <c r="P517" s="20">
        <v>0</v>
      </c>
      <c r="Q517" s="20">
        <v>0</v>
      </c>
      <c r="R517" s="20">
        <v>0</v>
      </c>
      <c r="S517" s="20"/>
      <c r="T517" s="20">
        <f t="shared" si="132"/>
        <v>1916040</v>
      </c>
      <c r="U517" s="20">
        <f t="shared" si="123"/>
        <v>0</v>
      </c>
    </row>
    <row r="518" spans="1:21" s="21" customFormat="1" ht="16" customHeight="1">
      <c r="A518" s="33" t="s">
        <v>441</v>
      </c>
      <c r="B518" s="48">
        <v>2021</v>
      </c>
      <c r="C518" s="13" t="s">
        <v>5013</v>
      </c>
      <c r="D518" s="13" t="s">
        <v>4934</v>
      </c>
      <c r="E518" s="54">
        <v>5179350</v>
      </c>
      <c r="F518" s="20">
        <v>0</v>
      </c>
      <c r="G518" s="20">
        <f t="shared" si="129"/>
        <v>0</v>
      </c>
      <c r="H518" s="13" t="s">
        <v>4950</v>
      </c>
      <c r="I518" s="168" t="s">
        <v>3391</v>
      </c>
      <c r="J518" t="s">
        <v>64</v>
      </c>
      <c r="K518" s="20">
        <v>0</v>
      </c>
      <c r="L518" s="20">
        <v>0</v>
      </c>
      <c r="M518" s="20">
        <v>0</v>
      </c>
      <c r="N518" s="20">
        <v>0</v>
      </c>
      <c r="O518" s="20">
        <v>0</v>
      </c>
      <c r="P518" s="20">
        <v>0</v>
      </c>
      <c r="Q518" s="20">
        <v>0</v>
      </c>
      <c r="R518" s="20">
        <v>0</v>
      </c>
      <c r="S518" s="20"/>
      <c r="T518" s="20">
        <f t="shared" si="132"/>
        <v>5179350</v>
      </c>
      <c r="U518" s="20">
        <f t="shared" si="123"/>
        <v>0</v>
      </c>
    </row>
    <row r="519" spans="1:21" s="21" customFormat="1" ht="16" customHeight="1">
      <c r="A519" s="33" t="s">
        <v>441</v>
      </c>
      <c r="B519" s="48">
        <v>2021</v>
      </c>
      <c r="C519" s="13" t="s">
        <v>5013</v>
      </c>
      <c r="D519" s="13" t="s">
        <v>4935</v>
      </c>
      <c r="E519" s="54">
        <v>1542596</v>
      </c>
      <c r="F519" s="20">
        <v>0</v>
      </c>
      <c r="G519" s="20">
        <f t="shared" si="129"/>
        <v>0</v>
      </c>
      <c r="H519" s="13" t="s">
        <v>4950</v>
      </c>
      <c r="I519" s="168" t="s">
        <v>3018</v>
      </c>
      <c r="J519" t="s">
        <v>64</v>
      </c>
      <c r="K519" s="20">
        <v>0</v>
      </c>
      <c r="L519" s="20">
        <v>0</v>
      </c>
      <c r="M519" s="20">
        <v>0</v>
      </c>
      <c r="N519" s="20">
        <v>0</v>
      </c>
      <c r="O519" s="20">
        <v>0</v>
      </c>
      <c r="P519" s="20">
        <v>0</v>
      </c>
      <c r="Q519" s="20">
        <v>0</v>
      </c>
      <c r="R519" s="20">
        <v>0</v>
      </c>
      <c r="S519" s="20"/>
      <c r="T519" s="20">
        <f t="shared" si="132"/>
        <v>1542596</v>
      </c>
      <c r="U519" s="20">
        <f t="shared" si="123"/>
        <v>0</v>
      </c>
    </row>
    <row r="520" spans="1:21" s="21" customFormat="1" ht="16" customHeight="1">
      <c r="A520" s="33" t="s">
        <v>441</v>
      </c>
      <c r="B520" s="48">
        <v>2021</v>
      </c>
      <c r="C520" s="13" t="s">
        <v>5013</v>
      </c>
      <c r="D520" s="13" t="s">
        <v>4948</v>
      </c>
      <c r="E520" s="54">
        <v>396627.60000000003</v>
      </c>
      <c r="F520" s="20">
        <v>0</v>
      </c>
      <c r="G520" s="20">
        <f t="shared" si="129"/>
        <v>0</v>
      </c>
      <c r="H520" s="13" t="s">
        <v>4950</v>
      </c>
      <c r="I520" s="168" t="s">
        <v>4862</v>
      </c>
      <c r="J520" t="s">
        <v>64</v>
      </c>
      <c r="K520" s="20">
        <v>0</v>
      </c>
      <c r="L520" s="20">
        <v>0</v>
      </c>
      <c r="M520" s="20">
        <v>0</v>
      </c>
      <c r="N520" s="20">
        <v>0</v>
      </c>
      <c r="O520" s="20">
        <v>0</v>
      </c>
      <c r="P520" s="20">
        <v>0</v>
      </c>
      <c r="Q520" s="20">
        <v>0</v>
      </c>
      <c r="R520" s="20">
        <v>0</v>
      </c>
      <c r="S520" s="20"/>
      <c r="T520" s="20">
        <f t="shared" si="132"/>
        <v>396627.60000000003</v>
      </c>
      <c r="U520" s="20">
        <f t="shared" si="123"/>
        <v>0</v>
      </c>
    </row>
    <row r="521" spans="1:21" s="21" customFormat="1" ht="16" customHeight="1">
      <c r="A521" s="33" t="s">
        <v>441</v>
      </c>
      <c r="B521" s="48">
        <v>2021</v>
      </c>
      <c r="C521" s="13" t="s">
        <v>5013</v>
      </c>
      <c r="D521" s="13" t="s">
        <v>4936</v>
      </c>
      <c r="E521" s="54">
        <v>14943286</v>
      </c>
      <c r="F521" s="20">
        <v>0</v>
      </c>
      <c r="G521" s="20">
        <f t="shared" si="129"/>
        <v>0</v>
      </c>
      <c r="H521" s="13" t="s">
        <v>4950</v>
      </c>
      <c r="I521" s="168" t="s">
        <v>3395</v>
      </c>
      <c r="J521" t="s">
        <v>64</v>
      </c>
      <c r="K521" s="20">
        <v>0</v>
      </c>
      <c r="L521" s="20">
        <v>0</v>
      </c>
      <c r="M521" s="20">
        <v>0</v>
      </c>
      <c r="N521" s="20">
        <v>0</v>
      </c>
      <c r="O521" s="20">
        <v>0</v>
      </c>
      <c r="P521" s="20">
        <v>0</v>
      </c>
      <c r="Q521" s="20">
        <v>0</v>
      </c>
      <c r="R521" s="20">
        <v>0</v>
      </c>
      <c r="S521" s="20"/>
      <c r="T521" s="20">
        <f t="shared" si="132"/>
        <v>14943286</v>
      </c>
      <c r="U521" s="20">
        <f t="shared" si="123"/>
        <v>0</v>
      </c>
    </row>
    <row r="522" spans="1:21" s="21" customFormat="1" ht="16" customHeight="1">
      <c r="A522" s="33" t="s">
        <v>441</v>
      </c>
      <c r="B522" s="48">
        <v>2021</v>
      </c>
      <c r="C522" s="13" t="s">
        <v>5013</v>
      </c>
      <c r="D522" s="13" t="s">
        <v>4937</v>
      </c>
      <c r="E522" s="54">
        <v>13932000</v>
      </c>
      <c r="F522" s="20">
        <v>0</v>
      </c>
      <c r="G522" s="20">
        <f t="shared" si="129"/>
        <v>0</v>
      </c>
      <c r="H522" s="13" t="s">
        <v>4950</v>
      </c>
      <c r="I522" s="168" t="s">
        <v>3000</v>
      </c>
      <c r="J522" t="s">
        <v>64</v>
      </c>
      <c r="K522" s="20">
        <v>0</v>
      </c>
      <c r="L522" s="20">
        <v>0</v>
      </c>
      <c r="M522" s="20">
        <v>0</v>
      </c>
      <c r="N522" s="20">
        <v>0</v>
      </c>
      <c r="O522" s="20">
        <v>0</v>
      </c>
      <c r="P522" s="20">
        <v>0</v>
      </c>
      <c r="Q522" s="20">
        <v>0</v>
      </c>
      <c r="R522" s="20">
        <v>0</v>
      </c>
      <c r="S522" s="20"/>
      <c r="T522" s="20">
        <f t="shared" si="132"/>
        <v>13932000</v>
      </c>
      <c r="U522" s="20">
        <f t="shared" si="123"/>
        <v>0</v>
      </c>
    </row>
    <row r="523" spans="1:21" s="21" customFormat="1" ht="16" customHeight="1">
      <c r="A523" s="33" t="s">
        <v>441</v>
      </c>
      <c r="B523" s="48">
        <v>2021</v>
      </c>
      <c r="C523" s="13" t="s">
        <v>5013</v>
      </c>
      <c r="D523" s="13" t="s">
        <v>4938</v>
      </c>
      <c r="E523" s="54">
        <v>6597800</v>
      </c>
      <c r="F523" s="20">
        <v>0</v>
      </c>
      <c r="G523" s="20">
        <f t="shared" si="129"/>
        <v>0</v>
      </c>
      <c r="H523" s="13" t="s">
        <v>4950</v>
      </c>
      <c r="I523" s="168" t="s">
        <v>4137</v>
      </c>
      <c r="J523" t="s">
        <v>64</v>
      </c>
      <c r="K523" s="20">
        <v>0</v>
      </c>
      <c r="L523" s="20">
        <v>0</v>
      </c>
      <c r="M523" s="20">
        <v>0</v>
      </c>
      <c r="N523" s="20">
        <v>0</v>
      </c>
      <c r="O523" s="20">
        <v>0</v>
      </c>
      <c r="P523" s="20">
        <v>0</v>
      </c>
      <c r="Q523" s="20">
        <v>0</v>
      </c>
      <c r="R523" s="20">
        <v>0</v>
      </c>
      <c r="S523" s="20"/>
      <c r="T523" s="20">
        <f t="shared" si="132"/>
        <v>6597800</v>
      </c>
      <c r="U523" s="20">
        <f t="shared" si="123"/>
        <v>0</v>
      </c>
    </row>
    <row r="524" spans="1:21" s="21" customFormat="1" ht="16" customHeight="1">
      <c r="A524" s="33" t="s">
        <v>441</v>
      </c>
      <c r="B524" s="48">
        <v>2021</v>
      </c>
      <c r="C524" s="13" t="s">
        <v>5013</v>
      </c>
      <c r="D524" s="13" t="s">
        <v>4939</v>
      </c>
      <c r="E524" s="54">
        <v>2142250</v>
      </c>
      <c r="F524" s="20">
        <v>0</v>
      </c>
      <c r="G524" s="20">
        <f t="shared" si="129"/>
        <v>0</v>
      </c>
      <c r="H524" s="13" t="s">
        <v>4950</v>
      </c>
      <c r="I524" s="168" t="s">
        <v>4144</v>
      </c>
      <c r="J524" t="s">
        <v>64</v>
      </c>
      <c r="K524" s="20">
        <v>0</v>
      </c>
      <c r="L524" s="20">
        <v>0</v>
      </c>
      <c r="M524" s="20">
        <v>0</v>
      </c>
      <c r="N524" s="20">
        <v>0</v>
      </c>
      <c r="O524" s="20">
        <v>0</v>
      </c>
      <c r="P524" s="20">
        <v>0</v>
      </c>
      <c r="Q524" s="20">
        <v>0</v>
      </c>
      <c r="R524" s="20">
        <v>0</v>
      </c>
      <c r="S524" s="20"/>
      <c r="T524" s="20">
        <f t="shared" si="132"/>
        <v>2142250</v>
      </c>
      <c r="U524" s="20">
        <f t="shared" si="123"/>
        <v>0</v>
      </c>
    </row>
    <row r="525" spans="1:21" s="21" customFormat="1" ht="16" customHeight="1">
      <c r="A525" s="33" t="s">
        <v>441</v>
      </c>
      <c r="B525" s="48">
        <v>2021</v>
      </c>
      <c r="C525" s="13" t="s">
        <v>5013</v>
      </c>
      <c r="D525" s="13" t="s">
        <v>4949</v>
      </c>
      <c r="E525" s="54">
        <v>15000</v>
      </c>
      <c r="F525" s="20">
        <v>0</v>
      </c>
      <c r="G525" s="20">
        <f t="shared" si="129"/>
        <v>0</v>
      </c>
      <c r="H525" s="13" t="s">
        <v>4950</v>
      </c>
      <c r="I525" s="168" t="s">
        <v>3044</v>
      </c>
      <c r="J525" t="s">
        <v>64</v>
      </c>
      <c r="K525" s="20">
        <v>0</v>
      </c>
      <c r="L525" s="20">
        <v>0</v>
      </c>
      <c r="M525" s="20">
        <v>0</v>
      </c>
      <c r="N525" s="20">
        <v>0</v>
      </c>
      <c r="O525" s="20">
        <v>0</v>
      </c>
      <c r="P525" s="20">
        <v>0</v>
      </c>
      <c r="Q525" s="20">
        <v>0</v>
      </c>
      <c r="R525" s="20">
        <v>0</v>
      </c>
      <c r="S525" s="20"/>
      <c r="T525" s="20">
        <f t="shared" si="132"/>
        <v>15000</v>
      </c>
      <c r="U525" s="20">
        <f t="shared" si="123"/>
        <v>0</v>
      </c>
    </row>
    <row r="526" spans="1:21" s="21" customFormat="1" ht="16" customHeight="1">
      <c r="A526" s="33" t="s">
        <v>441</v>
      </c>
      <c r="B526" s="48">
        <v>2021</v>
      </c>
      <c r="C526" s="13" t="s">
        <v>5013</v>
      </c>
      <c r="D526" s="13" t="s">
        <v>4941</v>
      </c>
      <c r="E526" s="54">
        <v>3179000</v>
      </c>
      <c r="F526" s="20">
        <v>0</v>
      </c>
      <c r="G526" s="20">
        <f t="shared" si="129"/>
        <v>0</v>
      </c>
      <c r="H526" s="13" t="s">
        <v>4950</v>
      </c>
      <c r="I526" s="168" t="s">
        <v>3391</v>
      </c>
      <c r="J526" t="s">
        <v>64</v>
      </c>
      <c r="K526" s="20">
        <v>0</v>
      </c>
      <c r="L526" s="20">
        <v>0</v>
      </c>
      <c r="M526" s="20">
        <v>0</v>
      </c>
      <c r="N526" s="20">
        <v>0</v>
      </c>
      <c r="O526" s="20">
        <v>0</v>
      </c>
      <c r="P526" s="20">
        <v>0</v>
      </c>
      <c r="Q526" s="20">
        <v>0</v>
      </c>
      <c r="R526" s="20">
        <v>0</v>
      </c>
      <c r="S526" s="20"/>
      <c r="T526" s="20">
        <f t="shared" si="132"/>
        <v>3179000</v>
      </c>
      <c r="U526" s="20">
        <f t="shared" si="122"/>
        <v>0</v>
      </c>
    </row>
    <row r="527" spans="1:21" s="21" customFormat="1" ht="16" customHeight="1">
      <c r="A527" s="33" t="s">
        <v>441</v>
      </c>
      <c r="B527" s="48">
        <v>2021</v>
      </c>
      <c r="C527" s="13" t="s">
        <v>5013</v>
      </c>
      <c r="D527" s="13" t="s">
        <v>4942</v>
      </c>
      <c r="E527" s="54">
        <v>583000</v>
      </c>
      <c r="F527" s="20">
        <v>0</v>
      </c>
      <c r="G527" s="20">
        <f t="shared" si="129"/>
        <v>0</v>
      </c>
      <c r="H527" s="13" t="s">
        <v>4950</v>
      </c>
      <c r="I527" s="168" t="s">
        <v>3391</v>
      </c>
      <c r="J527" t="s">
        <v>64</v>
      </c>
      <c r="K527" s="20">
        <v>0</v>
      </c>
      <c r="L527" s="20">
        <v>0</v>
      </c>
      <c r="M527" s="20">
        <v>0</v>
      </c>
      <c r="N527" s="20">
        <v>0</v>
      </c>
      <c r="O527" s="20">
        <v>0</v>
      </c>
      <c r="P527" s="20">
        <v>0</v>
      </c>
      <c r="Q527" s="20">
        <v>0</v>
      </c>
      <c r="R527" s="20">
        <v>0</v>
      </c>
      <c r="S527" s="20"/>
      <c r="T527" s="20">
        <f t="shared" si="132"/>
        <v>583000</v>
      </c>
      <c r="U527" s="20">
        <f t="shared" si="122"/>
        <v>0</v>
      </c>
    </row>
    <row r="528" spans="1:21" s="21" customFormat="1" ht="16" customHeight="1">
      <c r="A528" s="33" t="s">
        <v>441</v>
      </c>
      <c r="B528" s="48">
        <v>2021</v>
      </c>
      <c r="C528" s="13" t="s">
        <v>5013</v>
      </c>
      <c r="D528" s="13" t="s">
        <v>4944</v>
      </c>
      <c r="E528" s="54">
        <v>365953.5</v>
      </c>
      <c r="F528" s="20">
        <v>0</v>
      </c>
      <c r="G528" s="20">
        <f t="shared" si="129"/>
        <v>0</v>
      </c>
      <c r="H528" s="13" t="s">
        <v>4950</v>
      </c>
      <c r="I528" s="168" t="s">
        <v>2985</v>
      </c>
      <c r="J528" t="s">
        <v>64</v>
      </c>
      <c r="K528" s="20">
        <v>0</v>
      </c>
      <c r="L528" s="20">
        <v>0</v>
      </c>
      <c r="M528" s="20">
        <v>0</v>
      </c>
      <c r="N528" s="20">
        <v>0</v>
      </c>
      <c r="O528" s="20">
        <v>0</v>
      </c>
      <c r="P528" s="20">
        <v>0</v>
      </c>
      <c r="Q528" s="20">
        <v>0</v>
      </c>
      <c r="R528" s="20">
        <v>0</v>
      </c>
      <c r="S528" s="20"/>
      <c r="T528" s="20">
        <f t="shared" si="132"/>
        <v>365953.5</v>
      </c>
      <c r="U528" s="20">
        <f t="shared" si="122"/>
        <v>0</v>
      </c>
    </row>
    <row r="529" spans="1:23" s="21" customFormat="1" ht="16" customHeight="1">
      <c r="A529" s="33" t="s">
        <v>441</v>
      </c>
      <c r="B529" s="48">
        <v>2021</v>
      </c>
      <c r="C529" s="13" t="s">
        <v>5013</v>
      </c>
      <c r="D529" s="13" t="s">
        <v>4945</v>
      </c>
      <c r="E529" s="54">
        <v>1992812.74</v>
      </c>
      <c r="F529" s="20">
        <v>0</v>
      </c>
      <c r="G529" s="20">
        <f t="shared" si="129"/>
        <v>0</v>
      </c>
      <c r="H529" s="13" t="s">
        <v>4950</v>
      </c>
      <c r="I529" s="168" t="s">
        <v>4137</v>
      </c>
      <c r="J529" t="s">
        <v>64</v>
      </c>
      <c r="K529" s="20">
        <v>0</v>
      </c>
      <c r="L529" s="20">
        <v>0</v>
      </c>
      <c r="M529" s="20">
        <v>0</v>
      </c>
      <c r="N529" s="20">
        <v>0</v>
      </c>
      <c r="O529" s="20">
        <v>0</v>
      </c>
      <c r="P529" s="20">
        <v>0</v>
      </c>
      <c r="Q529" s="20">
        <v>0</v>
      </c>
      <c r="R529" s="20">
        <v>0</v>
      </c>
      <c r="S529" s="20"/>
      <c r="T529" s="20">
        <f t="shared" ref="T529:T530" si="136">E529+K529+L529+M529+N529+O529+P529</f>
        <v>1992812.74</v>
      </c>
      <c r="U529" s="20">
        <f t="shared" ref="U529:U530" si="137">G529+Q529+R529</f>
        <v>0</v>
      </c>
    </row>
    <row r="530" spans="1:23" s="21" customFormat="1" ht="16" customHeight="1">
      <c r="A530" s="33" t="s">
        <v>441</v>
      </c>
      <c r="B530" s="48">
        <v>2021</v>
      </c>
      <c r="C530" s="13" t="s">
        <v>5013</v>
      </c>
      <c r="D530" s="13" t="s">
        <v>5020</v>
      </c>
      <c r="E530" s="54">
        <v>264000</v>
      </c>
      <c r="F530" s="20">
        <v>0</v>
      </c>
      <c r="G530" s="20">
        <f t="shared" si="129"/>
        <v>0</v>
      </c>
      <c r="H530" s="13" t="s">
        <v>4950</v>
      </c>
      <c r="I530" s="168" t="s">
        <v>4137</v>
      </c>
      <c r="J530" t="s">
        <v>64</v>
      </c>
      <c r="K530" s="20">
        <v>0</v>
      </c>
      <c r="L530" s="20">
        <v>0</v>
      </c>
      <c r="M530" s="20">
        <v>0</v>
      </c>
      <c r="N530" s="20">
        <v>0</v>
      </c>
      <c r="O530" s="20">
        <v>0</v>
      </c>
      <c r="P530" s="20">
        <v>0</v>
      </c>
      <c r="Q530" s="20">
        <v>0</v>
      </c>
      <c r="R530" s="20">
        <v>0</v>
      </c>
      <c r="S530" s="20"/>
      <c r="T530" s="20">
        <f t="shared" si="136"/>
        <v>264000</v>
      </c>
      <c r="U530" s="20">
        <f t="shared" si="137"/>
        <v>0</v>
      </c>
    </row>
    <row r="531" spans="1:23" s="21" customFormat="1" ht="16" customHeight="1">
      <c r="A531" s="33" t="s">
        <v>441</v>
      </c>
      <c r="B531" s="48">
        <v>2021</v>
      </c>
      <c r="C531" s="13" t="s">
        <v>5113</v>
      </c>
      <c r="D531" t="s">
        <v>4847</v>
      </c>
      <c r="E531" s="54">
        <v>0</v>
      </c>
      <c r="F531" s="20">
        <v>0</v>
      </c>
      <c r="G531" s="20">
        <f t="shared" si="129"/>
        <v>0</v>
      </c>
      <c r="H531" s="13" t="s">
        <v>5135</v>
      </c>
      <c r="I531" s="168" t="s">
        <v>64</v>
      </c>
      <c r="J531" t="s">
        <v>64</v>
      </c>
      <c r="K531" s="20">
        <v>0</v>
      </c>
      <c r="L531" s="20">
        <v>0</v>
      </c>
      <c r="M531" s="20">
        <v>0</v>
      </c>
      <c r="N531" s="20">
        <v>0</v>
      </c>
      <c r="O531" s="20">
        <v>0</v>
      </c>
      <c r="P531" s="20">
        <v>1000000</v>
      </c>
      <c r="Q531" s="20">
        <v>0</v>
      </c>
      <c r="R531" s="20">
        <v>0</v>
      </c>
      <c r="S531" s="20"/>
      <c r="T531" s="20">
        <f t="shared" ref="T531" si="138">E531+K531+L531+M531+N531+O531+P531</f>
        <v>1000000</v>
      </c>
      <c r="U531" s="20">
        <f t="shared" ref="U531" si="139">G531+Q531+R531</f>
        <v>0</v>
      </c>
    </row>
    <row r="532" spans="1:23" s="21" customFormat="1" ht="16" customHeight="1">
      <c r="A532" s="33" t="s">
        <v>441</v>
      </c>
      <c r="B532" s="48">
        <v>2021</v>
      </c>
      <c r="C532" s="13" t="s">
        <v>5113</v>
      </c>
      <c r="D532" s="13" t="s">
        <v>5119</v>
      </c>
      <c r="E532" s="54">
        <v>2325724</v>
      </c>
      <c r="F532" s="20">
        <v>0</v>
      </c>
      <c r="G532" s="20">
        <f t="shared" si="129"/>
        <v>0</v>
      </c>
      <c r="H532" s="13" t="s">
        <v>5121</v>
      </c>
      <c r="I532" s="168" t="s">
        <v>5122</v>
      </c>
      <c r="J532" t="s">
        <v>64</v>
      </c>
      <c r="K532" s="20">
        <v>0</v>
      </c>
      <c r="L532" s="20">
        <v>0</v>
      </c>
      <c r="M532" s="20">
        <v>0</v>
      </c>
      <c r="N532" s="20">
        <v>0</v>
      </c>
      <c r="O532" s="20">
        <v>0</v>
      </c>
      <c r="P532" s="20">
        <v>0</v>
      </c>
      <c r="Q532" s="20">
        <v>0</v>
      </c>
      <c r="R532" s="20">
        <v>0</v>
      </c>
      <c r="S532" s="20"/>
      <c r="T532" s="20">
        <f>E532+K532+L532+M532+N532+O532+P532</f>
        <v>2325724</v>
      </c>
      <c r="U532" s="20">
        <f>G532+Q532+R532</f>
        <v>0</v>
      </c>
    </row>
    <row r="534" spans="1:23">
      <c r="E534" s="17">
        <f>SUBTOTAL(9,E4:E533)</f>
        <v>13245114631.779999</v>
      </c>
      <c r="F534" s="17">
        <f>SUBTOTAL(9,F4:F533)</f>
        <v>0</v>
      </c>
      <c r="G534" s="17">
        <f>SUBTOTAL(9,G4:G533)</f>
        <v>0</v>
      </c>
      <c r="H534" s="65" t="s">
        <v>64</v>
      </c>
      <c r="I534" s="66" t="s">
        <v>64</v>
      </c>
      <c r="K534" s="67">
        <f t="shared" ref="K534:R534" si="140">SUBTOTAL(9,K4:K533)</f>
        <v>-1300511258</v>
      </c>
      <c r="L534" s="67">
        <f t="shared" si="140"/>
        <v>476268210</v>
      </c>
      <c r="M534" s="67">
        <f t="shared" si="140"/>
        <v>0</v>
      </c>
      <c r="N534" s="67">
        <f t="shared" si="140"/>
        <v>-3596808333</v>
      </c>
      <c r="O534" s="67">
        <f t="shared" si="140"/>
        <v>-4608003</v>
      </c>
      <c r="P534" s="67">
        <f t="shared" si="140"/>
        <v>-223271250.38799995</v>
      </c>
      <c r="Q534" s="67">
        <f t="shared" si="140"/>
        <v>0</v>
      </c>
      <c r="R534" s="67">
        <f t="shared" si="140"/>
        <v>0</v>
      </c>
      <c r="S534" s="68"/>
      <c r="T534" s="67">
        <f>SUBTOTAL(9,T4:T533)</f>
        <v>8596183997.3920002</v>
      </c>
      <c r="U534" s="67">
        <f>SUBTOTAL(9,U4:U533)</f>
        <v>0</v>
      </c>
      <c r="W534" s="19"/>
    </row>
    <row r="536" spans="1:23">
      <c r="D536" s="69">
        <v>14500</v>
      </c>
      <c r="E536" s="17">
        <f>E534+(F534*D536)</f>
        <v>13245114631.779999</v>
      </c>
      <c r="K536" s="70">
        <v>0</v>
      </c>
      <c r="L536" s="70">
        <v>0</v>
      </c>
      <c r="M536" s="70">
        <v>0</v>
      </c>
      <c r="N536" s="70">
        <v>0</v>
      </c>
      <c r="O536" s="70">
        <v>0</v>
      </c>
      <c r="P536" s="70">
        <v>-502556783.36799991</v>
      </c>
      <c r="Q536" s="70">
        <v>0</v>
      </c>
      <c r="R536" s="70">
        <v>0</v>
      </c>
      <c r="S536" s="70" t="s">
        <v>64</v>
      </c>
      <c r="T536" s="20">
        <f>T534+(U534*D536)</f>
        <v>8596183997.3920002</v>
      </c>
      <c r="W536" s="19"/>
    </row>
    <row r="545" spans="6:6">
      <c r="F545" s="20"/>
    </row>
  </sheetData>
  <autoFilter ref="A3:V532" xr:uid="{00000000-0009-0000-0000-00000B000000}">
    <sortState xmlns:xlrd2="http://schemas.microsoft.com/office/spreadsheetml/2017/richdata2" ref="A25:U613">
      <sortCondition sortBy="fontColor" ref="D3:D617" dxfId="2"/>
    </sortState>
  </autoFilter>
  <mergeCells count="2">
    <mergeCell ref="K2:R2"/>
    <mergeCell ref="T2:U2"/>
  </mergeCells>
  <pageMargins left="0.45" right="0.45" top="0.75" bottom="0.75" header="0.3" footer="0.3"/>
  <pageSetup scale="25" orientation="landscape" horizontalDpi="4294967292" verticalDpi="429496729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5DB7-92E8-9147-AE47-50FE359C6793}">
  <sheetPr>
    <pageSetUpPr fitToPage="1"/>
  </sheetPr>
  <dimension ref="A2:V145"/>
  <sheetViews>
    <sheetView workbookViewId="0">
      <selection activeCell="C98" sqref="C98"/>
    </sheetView>
  </sheetViews>
  <sheetFormatPr baseColWidth="10" defaultRowHeight="16"/>
  <cols>
    <col min="1" max="2" width="11.33203125" style="16" customWidth="1"/>
    <col min="3" max="3" width="37.6640625" style="16" customWidth="1"/>
    <col min="4" max="4" width="14.33203125" style="16" customWidth="1"/>
    <col min="5" max="5" width="6.6640625" style="16" customWidth="1"/>
    <col min="6" max="6" width="13.83203125" style="16" customWidth="1"/>
    <col min="7" max="7" width="12.6640625" style="16" customWidth="1"/>
    <col min="8" max="8" width="11.6640625" style="16" customWidth="1"/>
    <col min="9" max="9" width="12.5" style="16" customWidth="1"/>
    <col min="10" max="10" width="12.6640625" style="16" customWidth="1"/>
    <col min="11" max="11" width="12.5" style="16" customWidth="1"/>
    <col min="12" max="12" width="12.83203125" style="16" customWidth="1"/>
    <col min="13" max="13" width="13.1640625" style="16" customWidth="1"/>
    <col min="14" max="14" width="13" style="16" customWidth="1"/>
    <col min="15" max="15" width="13.1640625" style="16" customWidth="1"/>
    <col min="16" max="16" width="12.83203125" style="16" customWidth="1"/>
    <col min="17" max="17" width="13.33203125" style="16" customWidth="1"/>
    <col min="18" max="18" width="13.1640625" style="16" customWidth="1"/>
    <col min="19" max="20" width="16.33203125" style="16" customWidth="1"/>
    <col min="21" max="21" width="15.83203125" style="16" customWidth="1"/>
    <col min="22" max="16384" width="10.83203125" style="16"/>
  </cols>
  <sheetData>
    <row r="2" spans="1:22">
      <c r="A2" s="179" t="s">
        <v>4502</v>
      </c>
      <c r="B2" s="179"/>
    </row>
    <row r="3" spans="1:22">
      <c r="A3" s="41"/>
      <c r="B3" s="41"/>
      <c r="D3" s="41" t="s">
        <v>4503</v>
      </c>
      <c r="E3" s="16" t="s">
        <v>4504</v>
      </c>
      <c r="F3" s="41" t="s">
        <v>4593</v>
      </c>
      <c r="G3" s="180">
        <v>44197</v>
      </c>
      <c r="H3" s="180">
        <v>44228</v>
      </c>
      <c r="I3" s="180">
        <v>44256</v>
      </c>
      <c r="J3" s="180">
        <v>44287</v>
      </c>
      <c r="K3" s="180">
        <v>44317</v>
      </c>
      <c r="L3" s="180">
        <v>44348</v>
      </c>
      <c r="M3" s="180">
        <v>44378</v>
      </c>
      <c r="N3" s="180">
        <v>44409</v>
      </c>
      <c r="O3" s="180">
        <v>44440</v>
      </c>
      <c r="P3" s="180">
        <v>44470</v>
      </c>
      <c r="Q3" s="180">
        <v>44501</v>
      </c>
      <c r="R3" s="180">
        <v>44531</v>
      </c>
      <c r="S3" s="180" t="s">
        <v>4594</v>
      </c>
      <c r="T3" s="180" t="s">
        <v>4595</v>
      </c>
      <c r="U3" s="180" t="s">
        <v>4505</v>
      </c>
      <c r="V3" s="181" t="s">
        <v>4506</v>
      </c>
    </row>
    <row r="4" spans="1:22">
      <c r="A4" s="41"/>
      <c r="B4" s="41"/>
      <c r="D4" s="41"/>
      <c r="F4" s="16" t="s">
        <v>64</v>
      </c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1"/>
    </row>
    <row r="5" spans="1:22">
      <c r="A5" s="41"/>
      <c r="B5" s="41"/>
      <c r="C5" s="183" t="s">
        <v>4507</v>
      </c>
      <c r="D5" s="41"/>
      <c r="E5" s="41" t="s">
        <v>64</v>
      </c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1"/>
    </row>
    <row r="6" spans="1:22">
      <c r="A6" s="180" t="s">
        <v>4508</v>
      </c>
      <c r="B6" s="180"/>
      <c r="C6" s="16" t="s">
        <v>4509</v>
      </c>
      <c r="D6" s="184">
        <v>2000000</v>
      </c>
      <c r="E6" s="41">
        <v>36</v>
      </c>
      <c r="F6" s="185">
        <v>1999999.9999999995</v>
      </c>
      <c r="G6" s="85">
        <v>0</v>
      </c>
      <c r="H6" s="85">
        <v>0</v>
      </c>
      <c r="I6" s="85">
        <v>0</v>
      </c>
      <c r="J6" s="85">
        <v>0</v>
      </c>
      <c r="K6" s="85">
        <v>0</v>
      </c>
      <c r="L6" s="85">
        <v>0</v>
      </c>
      <c r="M6" s="85">
        <v>0</v>
      </c>
      <c r="N6" s="85">
        <v>0</v>
      </c>
      <c r="O6" s="85">
        <v>0</v>
      </c>
      <c r="P6" s="85">
        <v>0</v>
      </c>
      <c r="Q6" s="85">
        <v>0</v>
      </c>
      <c r="R6" s="85">
        <v>0</v>
      </c>
      <c r="S6" s="154">
        <f>SUM(G6:R6)</f>
        <v>0</v>
      </c>
      <c r="T6" s="154">
        <f>+F6+S6</f>
        <v>1999999.9999999995</v>
      </c>
      <c r="U6" s="186">
        <f>+D6-T6</f>
        <v>0</v>
      </c>
      <c r="V6" s="181"/>
    </row>
    <row r="7" spans="1:22">
      <c r="A7" s="180" t="s">
        <v>4508</v>
      </c>
      <c r="B7" s="180"/>
      <c r="C7" s="16" t="s">
        <v>4510</v>
      </c>
      <c r="D7" s="184">
        <v>2000000</v>
      </c>
      <c r="E7" s="41">
        <v>36</v>
      </c>
      <c r="F7" s="185">
        <v>1999999.9999999995</v>
      </c>
      <c r="G7" s="85">
        <v>0</v>
      </c>
      <c r="H7" s="85">
        <v>0</v>
      </c>
      <c r="I7" s="85">
        <v>0</v>
      </c>
      <c r="J7" s="85">
        <v>0</v>
      </c>
      <c r="K7" s="85">
        <v>0</v>
      </c>
      <c r="L7" s="85">
        <v>0</v>
      </c>
      <c r="M7" s="85">
        <v>0</v>
      </c>
      <c r="N7" s="85">
        <v>0</v>
      </c>
      <c r="O7" s="85">
        <v>0</v>
      </c>
      <c r="P7" s="85">
        <v>0</v>
      </c>
      <c r="Q7" s="85">
        <v>0</v>
      </c>
      <c r="R7" s="85">
        <v>0</v>
      </c>
      <c r="S7" s="154">
        <f t="shared" ref="S7:S70" si="0">SUM(G7:R7)</f>
        <v>0</v>
      </c>
      <c r="T7" s="154">
        <f t="shared" ref="T7:T70" si="1">+F7+S7</f>
        <v>1999999.9999999995</v>
      </c>
      <c r="U7" s="186">
        <f t="shared" ref="U7:U70" si="2">+D7-T7</f>
        <v>0</v>
      </c>
      <c r="V7" s="181"/>
    </row>
    <row r="8" spans="1:22">
      <c r="A8" s="180" t="s">
        <v>465</v>
      </c>
      <c r="B8" s="180"/>
      <c r="C8" s="16" t="s">
        <v>4511</v>
      </c>
      <c r="D8" s="187">
        <v>2000000</v>
      </c>
      <c r="E8" s="41">
        <v>36</v>
      </c>
      <c r="F8" s="188">
        <v>1999999.9999999995</v>
      </c>
      <c r="G8" s="85">
        <v>0</v>
      </c>
      <c r="H8" s="85">
        <v>0</v>
      </c>
      <c r="I8" s="85">
        <v>0</v>
      </c>
      <c r="J8" s="85">
        <v>0</v>
      </c>
      <c r="K8" s="85">
        <v>0</v>
      </c>
      <c r="L8" s="85">
        <v>0</v>
      </c>
      <c r="M8" s="85">
        <v>0</v>
      </c>
      <c r="N8" s="85">
        <v>0</v>
      </c>
      <c r="O8" s="85">
        <v>0</v>
      </c>
      <c r="P8" s="85">
        <v>0</v>
      </c>
      <c r="Q8" s="85">
        <v>0</v>
      </c>
      <c r="R8" s="85">
        <v>0</v>
      </c>
      <c r="S8" s="154">
        <f t="shared" si="0"/>
        <v>0</v>
      </c>
      <c r="T8" s="154">
        <f t="shared" si="1"/>
        <v>1999999.9999999995</v>
      </c>
      <c r="U8" s="186">
        <f t="shared" si="2"/>
        <v>0</v>
      </c>
      <c r="V8" s="181"/>
    </row>
    <row r="9" spans="1:22">
      <c r="A9" s="180" t="s">
        <v>465</v>
      </c>
      <c r="B9" s="180"/>
      <c r="C9" s="16" t="s">
        <v>4512</v>
      </c>
      <c r="D9" s="187">
        <v>2000000</v>
      </c>
      <c r="E9" s="41">
        <v>36</v>
      </c>
      <c r="F9" s="188">
        <v>1999999.9999999995</v>
      </c>
      <c r="G9" s="85">
        <v>0</v>
      </c>
      <c r="H9" s="85">
        <v>0</v>
      </c>
      <c r="I9" s="85">
        <v>0</v>
      </c>
      <c r="J9" s="85">
        <v>0</v>
      </c>
      <c r="K9" s="85">
        <v>0</v>
      </c>
      <c r="L9" s="85">
        <v>0</v>
      </c>
      <c r="M9" s="85">
        <v>0</v>
      </c>
      <c r="N9" s="85">
        <v>0</v>
      </c>
      <c r="O9" s="85">
        <v>0</v>
      </c>
      <c r="P9" s="85">
        <v>0</v>
      </c>
      <c r="Q9" s="85">
        <v>0</v>
      </c>
      <c r="R9" s="85">
        <v>0</v>
      </c>
      <c r="S9" s="154">
        <f t="shared" si="0"/>
        <v>0</v>
      </c>
      <c r="T9" s="154">
        <f t="shared" si="1"/>
        <v>1999999.9999999995</v>
      </c>
      <c r="U9" s="186">
        <f t="shared" si="2"/>
        <v>0</v>
      </c>
      <c r="V9" s="181"/>
    </row>
    <row r="10" spans="1:22">
      <c r="A10" s="180" t="s">
        <v>465</v>
      </c>
      <c r="B10" s="180"/>
      <c r="C10" s="16" t="s">
        <v>4513</v>
      </c>
      <c r="D10" s="187">
        <v>2000000</v>
      </c>
      <c r="E10" s="41">
        <v>36</v>
      </c>
      <c r="F10" s="188">
        <v>1999999.9999999995</v>
      </c>
      <c r="G10" s="85">
        <v>0</v>
      </c>
      <c r="H10" s="85">
        <v>0</v>
      </c>
      <c r="I10" s="85">
        <v>0</v>
      </c>
      <c r="J10" s="85">
        <v>0</v>
      </c>
      <c r="K10" s="85">
        <v>0</v>
      </c>
      <c r="L10" s="85">
        <v>0</v>
      </c>
      <c r="M10" s="85">
        <v>0</v>
      </c>
      <c r="N10" s="85">
        <v>0</v>
      </c>
      <c r="O10" s="85">
        <v>0</v>
      </c>
      <c r="P10" s="85">
        <v>0</v>
      </c>
      <c r="Q10" s="85">
        <v>0</v>
      </c>
      <c r="R10" s="85">
        <v>0</v>
      </c>
      <c r="S10" s="154">
        <f t="shared" si="0"/>
        <v>0</v>
      </c>
      <c r="T10" s="154">
        <f t="shared" si="1"/>
        <v>1999999.9999999995</v>
      </c>
      <c r="U10" s="186">
        <f t="shared" si="2"/>
        <v>0</v>
      </c>
      <c r="V10" s="181"/>
    </row>
    <row r="11" spans="1:22">
      <c r="A11" s="180" t="s">
        <v>465</v>
      </c>
      <c r="B11" s="180"/>
      <c r="C11" s="16" t="s">
        <v>4514</v>
      </c>
      <c r="D11" s="187">
        <v>2000000</v>
      </c>
      <c r="E11" s="41">
        <v>36</v>
      </c>
      <c r="F11" s="188">
        <v>1999999.9999999995</v>
      </c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5">
        <v>0</v>
      </c>
      <c r="M11" s="85">
        <v>0</v>
      </c>
      <c r="N11" s="85">
        <v>0</v>
      </c>
      <c r="O11" s="85">
        <v>0</v>
      </c>
      <c r="P11" s="85">
        <v>0</v>
      </c>
      <c r="Q11" s="85">
        <v>0</v>
      </c>
      <c r="R11" s="85">
        <v>0</v>
      </c>
      <c r="S11" s="154">
        <f t="shared" si="0"/>
        <v>0</v>
      </c>
      <c r="T11" s="154">
        <f t="shared" si="1"/>
        <v>1999999.9999999995</v>
      </c>
      <c r="U11" s="186">
        <f t="shared" si="2"/>
        <v>0</v>
      </c>
      <c r="V11" s="181"/>
    </row>
    <row r="12" spans="1:22">
      <c r="A12" s="180" t="s">
        <v>465</v>
      </c>
      <c r="B12" s="180"/>
      <c r="C12" s="16" t="s">
        <v>4515</v>
      </c>
      <c r="D12" s="187">
        <v>2500000</v>
      </c>
      <c r="E12" s="41">
        <v>36</v>
      </c>
      <c r="F12" s="188">
        <v>2500000.0000000005</v>
      </c>
      <c r="G12" s="85">
        <v>0</v>
      </c>
      <c r="H12" s="85">
        <v>0</v>
      </c>
      <c r="I12" s="85">
        <v>0</v>
      </c>
      <c r="J12" s="85">
        <v>0</v>
      </c>
      <c r="K12" s="85">
        <v>0</v>
      </c>
      <c r="L12" s="85">
        <v>0</v>
      </c>
      <c r="M12" s="85">
        <v>0</v>
      </c>
      <c r="N12" s="85">
        <v>0</v>
      </c>
      <c r="O12" s="85">
        <v>0</v>
      </c>
      <c r="P12" s="85">
        <v>0</v>
      </c>
      <c r="Q12" s="85">
        <v>0</v>
      </c>
      <c r="R12" s="85">
        <v>0</v>
      </c>
      <c r="S12" s="154">
        <f t="shared" si="0"/>
        <v>0</v>
      </c>
      <c r="T12" s="154">
        <f t="shared" si="1"/>
        <v>2500000.0000000005</v>
      </c>
      <c r="U12" s="186">
        <f t="shared" si="2"/>
        <v>0</v>
      </c>
      <c r="V12" s="181"/>
    </row>
    <row r="13" spans="1:22">
      <c r="A13" s="180" t="s">
        <v>465</v>
      </c>
      <c r="B13" s="180"/>
      <c r="C13" s="16" t="s">
        <v>4516</v>
      </c>
      <c r="D13" s="187">
        <v>1000000</v>
      </c>
      <c r="E13" s="41">
        <v>36</v>
      </c>
      <c r="F13" s="188">
        <v>999999.99999999977</v>
      </c>
      <c r="G13" s="85">
        <v>0</v>
      </c>
      <c r="H13" s="85">
        <v>0</v>
      </c>
      <c r="I13" s="85">
        <v>0</v>
      </c>
      <c r="J13" s="85">
        <v>0</v>
      </c>
      <c r="K13" s="85">
        <v>0</v>
      </c>
      <c r="L13" s="85">
        <v>0</v>
      </c>
      <c r="M13" s="85">
        <v>0</v>
      </c>
      <c r="N13" s="85">
        <v>0</v>
      </c>
      <c r="O13" s="85">
        <v>0</v>
      </c>
      <c r="P13" s="85">
        <v>0</v>
      </c>
      <c r="Q13" s="85">
        <v>0</v>
      </c>
      <c r="R13" s="85">
        <v>0</v>
      </c>
      <c r="S13" s="154">
        <f t="shared" si="0"/>
        <v>0</v>
      </c>
      <c r="T13" s="154">
        <f t="shared" si="1"/>
        <v>999999.99999999977</v>
      </c>
      <c r="U13" s="186">
        <f t="shared" si="2"/>
        <v>0</v>
      </c>
      <c r="V13" s="181"/>
    </row>
    <row r="14" spans="1:22">
      <c r="A14" s="180" t="s">
        <v>465</v>
      </c>
      <c r="B14" s="180"/>
      <c r="C14" s="16" t="s">
        <v>4517</v>
      </c>
      <c r="D14" s="187">
        <v>2000000</v>
      </c>
      <c r="E14" s="41">
        <v>36</v>
      </c>
      <c r="F14" s="188">
        <v>1999999.9999999995</v>
      </c>
      <c r="G14" s="85">
        <v>0</v>
      </c>
      <c r="H14" s="85">
        <v>0</v>
      </c>
      <c r="I14" s="85">
        <v>0</v>
      </c>
      <c r="J14" s="85">
        <v>0</v>
      </c>
      <c r="K14" s="85">
        <v>0</v>
      </c>
      <c r="L14" s="85">
        <v>0</v>
      </c>
      <c r="M14" s="85">
        <v>0</v>
      </c>
      <c r="N14" s="85">
        <v>0</v>
      </c>
      <c r="O14" s="85">
        <v>0</v>
      </c>
      <c r="P14" s="85">
        <v>0</v>
      </c>
      <c r="Q14" s="85">
        <v>0</v>
      </c>
      <c r="R14" s="85">
        <v>0</v>
      </c>
      <c r="S14" s="154">
        <f t="shared" si="0"/>
        <v>0</v>
      </c>
      <c r="T14" s="154">
        <f t="shared" si="1"/>
        <v>1999999.9999999995</v>
      </c>
      <c r="U14" s="186">
        <f t="shared" si="2"/>
        <v>0</v>
      </c>
      <c r="V14" s="181"/>
    </row>
    <row r="15" spans="1:22">
      <c r="A15" s="180" t="s">
        <v>465</v>
      </c>
      <c r="B15" s="180"/>
      <c r="C15" s="16" t="s">
        <v>4518</v>
      </c>
      <c r="D15" s="187">
        <v>2000000</v>
      </c>
      <c r="E15" s="41">
        <v>36</v>
      </c>
      <c r="F15" s="188">
        <v>1999999.9999999995</v>
      </c>
      <c r="G15" s="85">
        <v>0</v>
      </c>
      <c r="H15" s="85">
        <v>0</v>
      </c>
      <c r="I15" s="85">
        <v>0</v>
      </c>
      <c r="J15" s="85">
        <v>0</v>
      </c>
      <c r="K15" s="85">
        <v>0</v>
      </c>
      <c r="L15" s="85">
        <v>0</v>
      </c>
      <c r="M15" s="85">
        <v>0</v>
      </c>
      <c r="N15" s="85">
        <v>0</v>
      </c>
      <c r="O15" s="85">
        <v>0</v>
      </c>
      <c r="P15" s="85">
        <v>0</v>
      </c>
      <c r="Q15" s="85">
        <v>0</v>
      </c>
      <c r="R15" s="85">
        <v>0</v>
      </c>
      <c r="S15" s="154">
        <f t="shared" si="0"/>
        <v>0</v>
      </c>
      <c r="T15" s="154">
        <f t="shared" si="1"/>
        <v>1999999.9999999995</v>
      </c>
      <c r="U15" s="186">
        <f t="shared" si="2"/>
        <v>0</v>
      </c>
      <c r="V15" s="181"/>
    </row>
    <row r="16" spans="1:22">
      <c r="A16" s="189">
        <v>40185</v>
      </c>
      <c r="B16" s="189"/>
      <c r="C16" s="16" t="s">
        <v>4519</v>
      </c>
      <c r="D16" s="190">
        <v>6000000</v>
      </c>
      <c r="E16" s="41">
        <v>36</v>
      </c>
      <c r="F16" s="185">
        <v>6000000.0000000009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5">
        <v>0</v>
      </c>
      <c r="M16" s="85">
        <v>0</v>
      </c>
      <c r="N16" s="85">
        <v>0</v>
      </c>
      <c r="O16" s="85">
        <v>0</v>
      </c>
      <c r="P16" s="85">
        <v>0</v>
      </c>
      <c r="Q16" s="85">
        <v>0</v>
      </c>
      <c r="R16" s="85">
        <v>0</v>
      </c>
      <c r="S16" s="154">
        <f t="shared" si="0"/>
        <v>0</v>
      </c>
      <c r="T16" s="154">
        <f t="shared" si="1"/>
        <v>6000000.0000000009</v>
      </c>
      <c r="U16" s="186">
        <f t="shared" si="2"/>
        <v>0</v>
      </c>
      <c r="V16" s="181"/>
    </row>
    <row r="17" spans="1:22">
      <c r="A17" s="189">
        <v>40191</v>
      </c>
      <c r="B17" s="189"/>
      <c r="C17" s="16" t="s">
        <v>4520</v>
      </c>
      <c r="D17" s="190">
        <v>2050000</v>
      </c>
      <c r="E17" s="41">
        <v>36</v>
      </c>
      <c r="F17" s="185">
        <v>2050000.0000000005</v>
      </c>
      <c r="G17" s="85">
        <v>0</v>
      </c>
      <c r="H17" s="85">
        <v>0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154">
        <f t="shared" si="0"/>
        <v>0</v>
      </c>
      <c r="T17" s="154">
        <f t="shared" si="1"/>
        <v>2050000.0000000005</v>
      </c>
      <c r="U17" s="186">
        <f t="shared" si="2"/>
        <v>0</v>
      </c>
      <c r="V17" s="181"/>
    </row>
    <row r="18" spans="1:22">
      <c r="A18" s="189">
        <v>40191</v>
      </c>
      <c r="B18" s="189"/>
      <c r="C18" s="16" t="s">
        <v>4521</v>
      </c>
      <c r="D18" s="190">
        <v>7200000</v>
      </c>
      <c r="E18" s="41">
        <v>36</v>
      </c>
      <c r="F18" s="185">
        <v>7200000</v>
      </c>
      <c r="G18" s="85">
        <v>0</v>
      </c>
      <c r="H18" s="85">
        <v>0</v>
      </c>
      <c r="I18" s="85">
        <v>0</v>
      </c>
      <c r="J18" s="85">
        <v>0</v>
      </c>
      <c r="K18" s="85">
        <v>0</v>
      </c>
      <c r="L18" s="85">
        <v>0</v>
      </c>
      <c r="M18" s="85">
        <v>0</v>
      </c>
      <c r="N18" s="85">
        <v>0</v>
      </c>
      <c r="O18" s="85">
        <v>0</v>
      </c>
      <c r="P18" s="85">
        <v>0</v>
      </c>
      <c r="Q18" s="85">
        <v>0</v>
      </c>
      <c r="R18" s="85">
        <v>0</v>
      </c>
      <c r="S18" s="154">
        <f t="shared" si="0"/>
        <v>0</v>
      </c>
      <c r="T18" s="154">
        <f t="shared" si="1"/>
        <v>7200000</v>
      </c>
      <c r="U18" s="186">
        <f t="shared" si="2"/>
        <v>0</v>
      </c>
      <c r="V18" s="181"/>
    </row>
    <row r="19" spans="1:22">
      <c r="A19" s="189">
        <v>40191</v>
      </c>
      <c r="B19" s="189"/>
      <c r="C19" s="16" t="s">
        <v>4522</v>
      </c>
      <c r="D19" s="190">
        <v>3100000</v>
      </c>
      <c r="E19" s="41">
        <v>36</v>
      </c>
      <c r="F19" s="185">
        <v>3100000</v>
      </c>
      <c r="G19" s="85">
        <v>0</v>
      </c>
      <c r="H19" s="85">
        <v>0</v>
      </c>
      <c r="I19" s="85">
        <v>0</v>
      </c>
      <c r="J19" s="85">
        <v>0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154">
        <f t="shared" si="0"/>
        <v>0</v>
      </c>
      <c r="T19" s="154">
        <f t="shared" si="1"/>
        <v>3100000</v>
      </c>
      <c r="U19" s="186">
        <f t="shared" si="2"/>
        <v>0</v>
      </c>
      <c r="V19" s="181"/>
    </row>
    <row r="20" spans="1:22">
      <c r="A20" s="189">
        <v>40242</v>
      </c>
      <c r="B20" s="189"/>
      <c r="C20" s="16" t="s">
        <v>4523</v>
      </c>
      <c r="D20" s="187">
        <v>16054500</v>
      </c>
      <c r="E20" s="41">
        <v>36</v>
      </c>
      <c r="F20" s="185">
        <v>16054500</v>
      </c>
      <c r="G20" s="85">
        <v>0</v>
      </c>
      <c r="H20" s="85">
        <v>0</v>
      </c>
      <c r="I20" s="85">
        <v>0</v>
      </c>
      <c r="J20" s="85">
        <v>0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154">
        <f t="shared" si="0"/>
        <v>0</v>
      </c>
      <c r="T20" s="154">
        <f t="shared" si="1"/>
        <v>16054500</v>
      </c>
      <c r="U20" s="186">
        <f t="shared" si="2"/>
        <v>0</v>
      </c>
    </row>
    <row r="21" spans="1:22">
      <c r="A21" s="189">
        <v>40546</v>
      </c>
      <c r="B21" s="189"/>
      <c r="C21" s="16" t="s">
        <v>4524</v>
      </c>
      <c r="D21" s="187">
        <v>13534445</v>
      </c>
      <c r="E21" s="41">
        <v>36</v>
      </c>
      <c r="F21" s="185">
        <v>13534445</v>
      </c>
      <c r="G21" s="85">
        <v>0</v>
      </c>
      <c r="H21" s="85">
        <v>0</v>
      </c>
      <c r="I21" s="85">
        <v>0</v>
      </c>
      <c r="J21" s="85">
        <v>0</v>
      </c>
      <c r="K21" s="85">
        <v>0</v>
      </c>
      <c r="L21" s="85">
        <v>0</v>
      </c>
      <c r="M21" s="85">
        <v>0</v>
      </c>
      <c r="N21" s="85">
        <v>0</v>
      </c>
      <c r="O21" s="85">
        <v>0</v>
      </c>
      <c r="P21" s="85">
        <v>0</v>
      </c>
      <c r="Q21" s="85">
        <v>0</v>
      </c>
      <c r="R21" s="85">
        <v>0</v>
      </c>
      <c r="S21" s="154">
        <f t="shared" si="0"/>
        <v>0</v>
      </c>
      <c r="T21" s="154">
        <f t="shared" si="1"/>
        <v>13534445</v>
      </c>
      <c r="U21" s="186">
        <f t="shared" si="2"/>
        <v>0</v>
      </c>
    </row>
    <row r="22" spans="1:22">
      <c r="A22" s="189">
        <v>40753</v>
      </c>
      <c r="B22" s="189"/>
      <c r="C22" s="16" t="s">
        <v>4525</v>
      </c>
      <c r="D22" s="187">
        <v>20601681</v>
      </c>
      <c r="E22" s="41">
        <v>36</v>
      </c>
      <c r="F22" s="185">
        <v>20601681</v>
      </c>
      <c r="G22" s="154">
        <v>0</v>
      </c>
      <c r="H22" s="154">
        <v>0</v>
      </c>
      <c r="I22" s="154">
        <v>0</v>
      </c>
      <c r="J22" s="154">
        <v>0</v>
      </c>
      <c r="K22" s="154">
        <v>0</v>
      </c>
      <c r="L22" s="154">
        <v>0</v>
      </c>
      <c r="M22" s="154">
        <v>0</v>
      </c>
      <c r="N22" s="154">
        <v>0</v>
      </c>
      <c r="O22" s="154">
        <v>0</v>
      </c>
      <c r="P22" s="154">
        <v>0</v>
      </c>
      <c r="Q22" s="154">
        <v>0</v>
      </c>
      <c r="R22" s="154">
        <v>0</v>
      </c>
      <c r="S22" s="154">
        <f t="shared" si="0"/>
        <v>0</v>
      </c>
      <c r="T22" s="154">
        <f t="shared" si="1"/>
        <v>20601681</v>
      </c>
      <c r="U22" s="186">
        <f t="shared" si="2"/>
        <v>0</v>
      </c>
    </row>
    <row r="23" spans="1:22">
      <c r="A23" s="189">
        <v>40753</v>
      </c>
      <c r="B23" s="189"/>
      <c r="C23" s="16" t="s">
        <v>4526</v>
      </c>
      <c r="D23" s="187">
        <f>13464000/2</f>
        <v>6732000</v>
      </c>
      <c r="E23" s="41">
        <v>36</v>
      </c>
      <c r="F23" s="185">
        <v>6732000</v>
      </c>
      <c r="G23" s="154">
        <v>0</v>
      </c>
      <c r="H23" s="154">
        <v>0</v>
      </c>
      <c r="I23" s="154">
        <v>0</v>
      </c>
      <c r="J23" s="154">
        <v>0</v>
      </c>
      <c r="K23" s="154">
        <v>0</v>
      </c>
      <c r="L23" s="154">
        <v>0</v>
      </c>
      <c r="M23" s="154">
        <v>0</v>
      </c>
      <c r="N23" s="154">
        <v>0</v>
      </c>
      <c r="O23" s="154">
        <v>0</v>
      </c>
      <c r="P23" s="154">
        <v>0</v>
      </c>
      <c r="Q23" s="154">
        <v>0</v>
      </c>
      <c r="R23" s="154">
        <v>0</v>
      </c>
      <c r="S23" s="154">
        <f t="shared" si="0"/>
        <v>0</v>
      </c>
      <c r="T23" s="154">
        <f t="shared" si="1"/>
        <v>6732000</v>
      </c>
      <c r="U23" s="186">
        <f t="shared" si="2"/>
        <v>0</v>
      </c>
    </row>
    <row r="24" spans="1:22">
      <c r="A24" s="189">
        <v>40753</v>
      </c>
      <c r="B24" s="189"/>
      <c r="C24" s="16" t="s">
        <v>4527</v>
      </c>
      <c r="D24" s="187">
        <f>13464000/2</f>
        <v>6732000</v>
      </c>
      <c r="E24" s="41">
        <v>36</v>
      </c>
      <c r="F24" s="185">
        <v>6732000</v>
      </c>
      <c r="G24" s="154">
        <v>0</v>
      </c>
      <c r="H24" s="154">
        <v>0</v>
      </c>
      <c r="I24" s="154">
        <v>0</v>
      </c>
      <c r="J24" s="154">
        <v>0</v>
      </c>
      <c r="K24" s="154">
        <v>0</v>
      </c>
      <c r="L24" s="154">
        <v>0</v>
      </c>
      <c r="M24" s="154">
        <v>0</v>
      </c>
      <c r="N24" s="154">
        <v>0</v>
      </c>
      <c r="O24" s="154">
        <v>0</v>
      </c>
      <c r="P24" s="154">
        <v>0</v>
      </c>
      <c r="Q24" s="154">
        <v>0</v>
      </c>
      <c r="R24" s="154">
        <v>0</v>
      </c>
      <c r="S24" s="154">
        <f t="shared" si="0"/>
        <v>0</v>
      </c>
      <c r="T24" s="154">
        <f t="shared" si="1"/>
        <v>6732000</v>
      </c>
      <c r="U24" s="186">
        <f t="shared" si="2"/>
        <v>0</v>
      </c>
    </row>
    <row r="25" spans="1:22">
      <c r="A25" s="189">
        <v>40819</v>
      </c>
      <c r="B25" s="189"/>
      <c r="C25" s="16" t="s">
        <v>4528</v>
      </c>
      <c r="D25" s="187">
        <v>6200000</v>
      </c>
      <c r="E25" s="41">
        <v>36</v>
      </c>
      <c r="F25" s="185">
        <v>6200000</v>
      </c>
      <c r="G25" s="154">
        <v>0</v>
      </c>
      <c r="H25" s="154">
        <v>0</v>
      </c>
      <c r="I25" s="154">
        <v>0</v>
      </c>
      <c r="J25" s="154">
        <v>0</v>
      </c>
      <c r="K25" s="154">
        <v>0</v>
      </c>
      <c r="L25" s="154">
        <v>0</v>
      </c>
      <c r="M25" s="154">
        <v>0</v>
      </c>
      <c r="N25" s="154">
        <v>0</v>
      </c>
      <c r="O25" s="154">
        <v>0</v>
      </c>
      <c r="P25" s="154">
        <v>0</v>
      </c>
      <c r="Q25" s="154">
        <v>0</v>
      </c>
      <c r="R25" s="154">
        <v>0</v>
      </c>
      <c r="S25" s="154">
        <f t="shared" si="0"/>
        <v>0</v>
      </c>
      <c r="T25" s="154">
        <f t="shared" si="1"/>
        <v>6200000</v>
      </c>
      <c r="U25" s="186">
        <f t="shared" si="2"/>
        <v>0</v>
      </c>
    </row>
    <row r="26" spans="1:22">
      <c r="A26" s="189">
        <v>40871</v>
      </c>
      <c r="B26" s="189"/>
      <c r="C26" s="16" t="s">
        <v>4525</v>
      </c>
      <c r="D26" s="187">
        <v>12700000</v>
      </c>
      <c r="E26" s="41">
        <v>36</v>
      </c>
      <c r="F26" s="185">
        <v>12700000.000000002</v>
      </c>
      <c r="G26" s="154">
        <v>0</v>
      </c>
      <c r="H26" s="154">
        <v>0</v>
      </c>
      <c r="I26" s="154">
        <v>0</v>
      </c>
      <c r="J26" s="154">
        <v>0</v>
      </c>
      <c r="K26" s="154">
        <v>0</v>
      </c>
      <c r="L26" s="154">
        <v>0</v>
      </c>
      <c r="M26" s="154">
        <v>0</v>
      </c>
      <c r="N26" s="154">
        <v>0</v>
      </c>
      <c r="O26" s="154">
        <v>0</v>
      </c>
      <c r="P26" s="154">
        <v>0</v>
      </c>
      <c r="Q26" s="154">
        <v>0</v>
      </c>
      <c r="R26" s="154">
        <v>0</v>
      </c>
      <c r="S26" s="154">
        <f t="shared" si="0"/>
        <v>0</v>
      </c>
      <c r="T26" s="154">
        <f t="shared" si="1"/>
        <v>12700000.000000002</v>
      </c>
      <c r="U26" s="186">
        <f t="shared" si="2"/>
        <v>0</v>
      </c>
    </row>
    <row r="27" spans="1:22">
      <c r="A27" s="189">
        <v>40896</v>
      </c>
      <c r="B27" s="189"/>
      <c r="C27" s="16" t="s">
        <v>4529</v>
      </c>
      <c r="D27" s="187">
        <v>6435000</v>
      </c>
      <c r="E27" s="41">
        <v>36</v>
      </c>
      <c r="F27" s="185">
        <v>6435000</v>
      </c>
      <c r="G27" s="154">
        <v>0</v>
      </c>
      <c r="H27" s="154">
        <v>0</v>
      </c>
      <c r="I27" s="154">
        <v>0</v>
      </c>
      <c r="J27" s="154">
        <v>0</v>
      </c>
      <c r="K27" s="154">
        <v>0</v>
      </c>
      <c r="L27" s="154">
        <v>0</v>
      </c>
      <c r="M27" s="154">
        <v>0</v>
      </c>
      <c r="N27" s="154">
        <v>0</v>
      </c>
      <c r="O27" s="154">
        <v>0</v>
      </c>
      <c r="P27" s="154">
        <v>0</v>
      </c>
      <c r="Q27" s="154">
        <v>0</v>
      </c>
      <c r="R27" s="154">
        <v>0</v>
      </c>
      <c r="S27" s="154">
        <f t="shared" si="0"/>
        <v>0</v>
      </c>
      <c r="T27" s="154">
        <f t="shared" si="1"/>
        <v>6435000</v>
      </c>
      <c r="U27" s="186">
        <f t="shared" si="2"/>
        <v>0</v>
      </c>
    </row>
    <row r="28" spans="1:22">
      <c r="A28" s="189">
        <v>40896</v>
      </c>
      <c r="B28" s="189"/>
      <c r="C28" s="16" t="s">
        <v>4530</v>
      </c>
      <c r="D28" s="187">
        <v>6000000</v>
      </c>
      <c r="E28" s="41">
        <v>36</v>
      </c>
      <c r="F28" s="185">
        <v>6000000</v>
      </c>
      <c r="G28" s="154">
        <v>0</v>
      </c>
      <c r="H28" s="154">
        <v>0</v>
      </c>
      <c r="I28" s="154">
        <v>0</v>
      </c>
      <c r="J28" s="154">
        <v>0</v>
      </c>
      <c r="K28" s="154">
        <v>0</v>
      </c>
      <c r="L28" s="154">
        <v>0</v>
      </c>
      <c r="M28" s="154">
        <v>0</v>
      </c>
      <c r="N28" s="154">
        <v>0</v>
      </c>
      <c r="O28" s="154">
        <v>0</v>
      </c>
      <c r="P28" s="154">
        <v>0</v>
      </c>
      <c r="Q28" s="154">
        <v>0</v>
      </c>
      <c r="R28" s="154">
        <v>0</v>
      </c>
      <c r="S28" s="154">
        <f t="shared" si="0"/>
        <v>0</v>
      </c>
      <c r="T28" s="154">
        <f t="shared" si="1"/>
        <v>6000000</v>
      </c>
      <c r="U28" s="186">
        <f t="shared" si="2"/>
        <v>0</v>
      </c>
    </row>
    <row r="29" spans="1:22">
      <c r="A29" s="191">
        <v>40900</v>
      </c>
      <c r="B29" s="191"/>
      <c r="C29" s="16" t="s">
        <v>4531</v>
      </c>
      <c r="D29" s="187">
        <v>8000000</v>
      </c>
      <c r="E29" s="41">
        <v>36</v>
      </c>
      <c r="F29" s="185">
        <v>7999999.9999999981</v>
      </c>
      <c r="G29" s="154">
        <v>0</v>
      </c>
      <c r="H29" s="154">
        <v>0</v>
      </c>
      <c r="I29" s="154">
        <v>0</v>
      </c>
      <c r="J29" s="154">
        <v>0</v>
      </c>
      <c r="K29" s="154">
        <v>0</v>
      </c>
      <c r="L29" s="154">
        <v>0</v>
      </c>
      <c r="M29" s="154">
        <v>0</v>
      </c>
      <c r="N29" s="154">
        <v>0</v>
      </c>
      <c r="O29" s="154">
        <v>0</v>
      </c>
      <c r="P29" s="154">
        <v>0</v>
      </c>
      <c r="Q29" s="154">
        <v>0</v>
      </c>
      <c r="R29" s="154">
        <v>0</v>
      </c>
      <c r="S29" s="154">
        <f t="shared" si="0"/>
        <v>0</v>
      </c>
      <c r="T29" s="154">
        <f t="shared" si="1"/>
        <v>7999999.9999999981</v>
      </c>
      <c r="U29" s="186">
        <f t="shared" si="2"/>
        <v>0</v>
      </c>
    </row>
    <row r="30" spans="1:22">
      <c r="A30" s="189">
        <v>40911</v>
      </c>
      <c r="B30" s="189"/>
      <c r="C30" s="16" t="s">
        <v>4532</v>
      </c>
      <c r="D30" s="187">
        <v>9400000</v>
      </c>
      <c r="E30" s="41">
        <v>36</v>
      </c>
      <c r="F30" s="185">
        <v>9399999.9999999981</v>
      </c>
      <c r="G30" s="154">
        <v>0</v>
      </c>
      <c r="H30" s="154">
        <v>0</v>
      </c>
      <c r="I30" s="154">
        <v>0</v>
      </c>
      <c r="J30" s="154">
        <v>0</v>
      </c>
      <c r="K30" s="154">
        <v>0</v>
      </c>
      <c r="L30" s="154">
        <v>0</v>
      </c>
      <c r="M30" s="154">
        <v>0</v>
      </c>
      <c r="N30" s="154">
        <v>0</v>
      </c>
      <c r="O30" s="154">
        <v>0</v>
      </c>
      <c r="P30" s="154">
        <v>0</v>
      </c>
      <c r="Q30" s="154">
        <v>0</v>
      </c>
      <c r="R30" s="154">
        <v>0</v>
      </c>
      <c r="S30" s="154">
        <f t="shared" si="0"/>
        <v>0</v>
      </c>
      <c r="T30" s="154">
        <f t="shared" si="1"/>
        <v>9399999.9999999981</v>
      </c>
      <c r="U30" s="186">
        <f t="shared" si="2"/>
        <v>0</v>
      </c>
    </row>
    <row r="31" spans="1:22">
      <c r="A31" s="189">
        <v>40973</v>
      </c>
      <c r="B31" s="189"/>
      <c r="C31" s="16" t="s">
        <v>4533</v>
      </c>
      <c r="D31" s="187">
        <v>10250000</v>
      </c>
      <c r="E31" s="41">
        <v>36</v>
      </c>
      <c r="F31" s="185">
        <v>10249999.999999998</v>
      </c>
      <c r="G31" s="154">
        <v>0</v>
      </c>
      <c r="H31" s="154">
        <v>0</v>
      </c>
      <c r="I31" s="154">
        <v>0</v>
      </c>
      <c r="J31" s="154">
        <v>0</v>
      </c>
      <c r="K31" s="154">
        <v>0</v>
      </c>
      <c r="L31" s="154">
        <v>0</v>
      </c>
      <c r="M31" s="154">
        <v>0</v>
      </c>
      <c r="N31" s="154">
        <v>0</v>
      </c>
      <c r="O31" s="154">
        <v>0</v>
      </c>
      <c r="P31" s="154">
        <v>0</v>
      </c>
      <c r="Q31" s="154">
        <v>0</v>
      </c>
      <c r="R31" s="154">
        <v>0</v>
      </c>
      <c r="S31" s="154">
        <f t="shared" si="0"/>
        <v>0</v>
      </c>
      <c r="T31" s="154">
        <f t="shared" si="1"/>
        <v>10249999.999999998</v>
      </c>
      <c r="U31" s="186">
        <f t="shared" si="2"/>
        <v>0</v>
      </c>
    </row>
    <row r="32" spans="1:22">
      <c r="A32" s="189">
        <v>40973</v>
      </c>
      <c r="B32" s="189"/>
      <c r="C32" s="16" t="s">
        <v>4534</v>
      </c>
      <c r="D32" s="187">
        <v>1217000</v>
      </c>
      <c r="E32" s="41">
        <v>36</v>
      </c>
      <c r="F32" s="185">
        <v>1217000</v>
      </c>
      <c r="G32" s="154">
        <v>0</v>
      </c>
      <c r="H32" s="154">
        <v>0</v>
      </c>
      <c r="I32" s="154">
        <v>0</v>
      </c>
      <c r="J32" s="154">
        <v>0</v>
      </c>
      <c r="K32" s="154">
        <v>0</v>
      </c>
      <c r="L32" s="154">
        <v>0</v>
      </c>
      <c r="M32" s="154">
        <v>0</v>
      </c>
      <c r="N32" s="154">
        <v>0</v>
      </c>
      <c r="O32" s="154">
        <v>0</v>
      </c>
      <c r="P32" s="154">
        <v>0</v>
      </c>
      <c r="Q32" s="154">
        <v>0</v>
      </c>
      <c r="R32" s="154">
        <v>0</v>
      </c>
      <c r="S32" s="154">
        <f t="shared" si="0"/>
        <v>0</v>
      </c>
      <c r="T32" s="154">
        <f t="shared" si="1"/>
        <v>1217000</v>
      </c>
      <c r="U32" s="186">
        <f t="shared" si="2"/>
        <v>0</v>
      </c>
    </row>
    <row r="33" spans="1:21">
      <c r="A33" s="189">
        <v>41262</v>
      </c>
      <c r="B33" s="189"/>
      <c r="C33" s="16" t="s">
        <v>4535</v>
      </c>
      <c r="D33" s="187">
        <v>10000000</v>
      </c>
      <c r="E33" s="41">
        <v>36</v>
      </c>
      <c r="F33" s="185">
        <v>10000000.000000002</v>
      </c>
      <c r="G33" s="154">
        <v>0</v>
      </c>
      <c r="H33" s="154">
        <v>0</v>
      </c>
      <c r="I33" s="154">
        <v>0</v>
      </c>
      <c r="J33" s="154">
        <v>0</v>
      </c>
      <c r="K33" s="154">
        <v>0</v>
      </c>
      <c r="L33" s="154">
        <v>0</v>
      </c>
      <c r="M33" s="154">
        <v>0</v>
      </c>
      <c r="N33" s="154">
        <v>0</v>
      </c>
      <c r="O33" s="154">
        <v>0</v>
      </c>
      <c r="P33" s="154">
        <v>0</v>
      </c>
      <c r="Q33" s="154">
        <v>0</v>
      </c>
      <c r="R33" s="154">
        <v>0</v>
      </c>
      <c r="S33" s="154">
        <f t="shared" si="0"/>
        <v>0</v>
      </c>
      <c r="T33" s="154">
        <f t="shared" si="1"/>
        <v>10000000.000000002</v>
      </c>
      <c r="U33" s="186">
        <f t="shared" si="2"/>
        <v>0</v>
      </c>
    </row>
    <row r="34" spans="1:21">
      <c r="A34" s="189">
        <v>41262</v>
      </c>
      <c r="B34" s="189"/>
      <c r="C34" s="16" t="s">
        <v>4535</v>
      </c>
      <c r="D34" s="187">
        <v>228000</v>
      </c>
      <c r="E34" s="41">
        <v>36</v>
      </c>
      <c r="F34" s="185">
        <v>228000</v>
      </c>
      <c r="G34" s="154">
        <v>0</v>
      </c>
      <c r="H34" s="154">
        <v>0</v>
      </c>
      <c r="I34" s="154">
        <v>0</v>
      </c>
      <c r="J34" s="154">
        <v>0</v>
      </c>
      <c r="K34" s="154">
        <v>0</v>
      </c>
      <c r="L34" s="154">
        <v>0</v>
      </c>
      <c r="M34" s="154">
        <v>0</v>
      </c>
      <c r="N34" s="154">
        <v>0</v>
      </c>
      <c r="O34" s="154">
        <v>0</v>
      </c>
      <c r="P34" s="154">
        <v>0</v>
      </c>
      <c r="Q34" s="154">
        <v>0</v>
      </c>
      <c r="R34" s="154">
        <v>0</v>
      </c>
      <c r="S34" s="154">
        <f t="shared" si="0"/>
        <v>0</v>
      </c>
      <c r="T34" s="154">
        <f t="shared" si="1"/>
        <v>228000</v>
      </c>
      <c r="U34" s="186">
        <f t="shared" si="2"/>
        <v>0</v>
      </c>
    </row>
    <row r="35" spans="1:21">
      <c r="A35" s="189">
        <v>40935</v>
      </c>
      <c r="B35" s="189"/>
      <c r="C35" s="16" t="s">
        <v>4536</v>
      </c>
      <c r="D35" s="187">
        <v>7000000</v>
      </c>
      <c r="E35" s="41">
        <v>36</v>
      </c>
      <c r="F35" s="185">
        <v>7000000</v>
      </c>
      <c r="G35" s="154">
        <v>0</v>
      </c>
      <c r="H35" s="154">
        <v>0</v>
      </c>
      <c r="I35" s="154">
        <v>0</v>
      </c>
      <c r="J35" s="154">
        <v>0</v>
      </c>
      <c r="K35" s="154">
        <v>0</v>
      </c>
      <c r="L35" s="154">
        <v>0</v>
      </c>
      <c r="M35" s="154">
        <v>0</v>
      </c>
      <c r="N35" s="154">
        <v>0</v>
      </c>
      <c r="O35" s="154">
        <v>0</v>
      </c>
      <c r="P35" s="154">
        <v>0</v>
      </c>
      <c r="Q35" s="154">
        <v>0</v>
      </c>
      <c r="R35" s="154">
        <v>0</v>
      </c>
      <c r="S35" s="154">
        <f t="shared" si="0"/>
        <v>0</v>
      </c>
      <c r="T35" s="154">
        <f t="shared" si="1"/>
        <v>7000000</v>
      </c>
      <c r="U35" s="186">
        <f t="shared" si="2"/>
        <v>0</v>
      </c>
    </row>
    <row r="36" spans="1:21">
      <c r="A36" s="189">
        <v>41075</v>
      </c>
      <c r="B36" s="189"/>
      <c r="C36" s="16" t="s">
        <v>4537</v>
      </c>
      <c r="D36" s="187">
        <f>2143.69*9600</f>
        <v>20579424</v>
      </c>
      <c r="E36" s="41">
        <v>36</v>
      </c>
      <c r="F36" s="185">
        <v>20579424</v>
      </c>
      <c r="G36" s="154">
        <v>0</v>
      </c>
      <c r="H36" s="154">
        <v>0</v>
      </c>
      <c r="I36" s="154">
        <v>0</v>
      </c>
      <c r="J36" s="154">
        <v>0</v>
      </c>
      <c r="K36" s="154">
        <v>0</v>
      </c>
      <c r="L36" s="154">
        <v>0</v>
      </c>
      <c r="M36" s="154">
        <v>0</v>
      </c>
      <c r="N36" s="154">
        <v>0</v>
      </c>
      <c r="O36" s="154">
        <v>0</v>
      </c>
      <c r="P36" s="154">
        <v>0</v>
      </c>
      <c r="Q36" s="154">
        <v>0</v>
      </c>
      <c r="R36" s="154">
        <v>0</v>
      </c>
      <c r="S36" s="154">
        <f t="shared" si="0"/>
        <v>0</v>
      </c>
      <c r="T36" s="154">
        <f t="shared" si="1"/>
        <v>20579424</v>
      </c>
      <c r="U36" s="186">
        <f t="shared" si="2"/>
        <v>0</v>
      </c>
    </row>
    <row r="37" spans="1:21">
      <c r="A37" s="189">
        <v>41075</v>
      </c>
      <c r="B37" s="189"/>
      <c r="C37" s="16" t="s">
        <v>4538</v>
      </c>
      <c r="D37" s="187">
        <f>552.63*9600</f>
        <v>5305248</v>
      </c>
      <c r="E37" s="41">
        <v>36</v>
      </c>
      <c r="F37" s="185">
        <v>5305248</v>
      </c>
      <c r="G37" s="154">
        <v>0</v>
      </c>
      <c r="H37" s="154">
        <v>0</v>
      </c>
      <c r="I37" s="154">
        <v>0</v>
      </c>
      <c r="J37" s="154">
        <v>0</v>
      </c>
      <c r="K37" s="154">
        <v>0</v>
      </c>
      <c r="L37" s="154">
        <v>0</v>
      </c>
      <c r="M37" s="154">
        <v>0</v>
      </c>
      <c r="N37" s="154">
        <v>0</v>
      </c>
      <c r="O37" s="154">
        <v>0</v>
      </c>
      <c r="P37" s="154">
        <v>0</v>
      </c>
      <c r="Q37" s="154">
        <v>0</v>
      </c>
      <c r="R37" s="154">
        <v>0</v>
      </c>
      <c r="S37" s="154">
        <f t="shared" si="0"/>
        <v>0</v>
      </c>
      <c r="T37" s="154">
        <f t="shared" si="1"/>
        <v>5305248</v>
      </c>
      <c r="U37" s="186">
        <f t="shared" si="2"/>
        <v>0</v>
      </c>
    </row>
    <row r="38" spans="1:21">
      <c r="A38" s="189">
        <v>41278</v>
      </c>
      <c r="B38" s="189" t="s">
        <v>0</v>
      </c>
      <c r="C38" s="16" t="s">
        <v>4539</v>
      </c>
      <c r="D38" s="187">
        <v>950000</v>
      </c>
      <c r="E38" s="41">
        <v>36</v>
      </c>
      <c r="F38" s="185">
        <v>949999.99999999977</v>
      </c>
      <c r="G38" s="154">
        <v>0</v>
      </c>
      <c r="H38" s="154">
        <v>0</v>
      </c>
      <c r="I38" s="154">
        <v>0</v>
      </c>
      <c r="J38" s="154">
        <v>0</v>
      </c>
      <c r="K38" s="154">
        <v>0</v>
      </c>
      <c r="L38" s="154">
        <v>0</v>
      </c>
      <c r="M38" s="154">
        <v>0</v>
      </c>
      <c r="N38" s="154">
        <v>0</v>
      </c>
      <c r="O38" s="154">
        <v>0</v>
      </c>
      <c r="P38" s="154">
        <v>0</v>
      </c>
      <c r="Q38" s="154">
        <v>0</v>
      </c>
      <c r="R38" s="154">
        <v>0</v>
      </c>
      <c r="S38" s="154">
        <f t="shared" si="0"/>
        <v>0</v>
      </c>
      <c r="T38" s="154">
        <f t="shared" si="1"/>
        <v>949999.99999999977</v>
      </c>
      <c r="U38" s="186">
        <f t="shared" si="2"/>
        <v>0</v>
      </c>
    </row>
    <row r="39" spans="1:21">
      <c r="A39" s="189">
        <v>41372</v>
      </c>
      <c r="B39" s="189" t="s">
        <v>0</v>
      </c>
      <c r="C39" s="16" t="s">
        <v>4540</v>
      </c>
      <c r="D39" s="187">
        <f>12999000-500000</f>
        <v>12499000</v>
      </c>
      <c r="E39" s="41">
        <v>36</v>
      </c>
      <c r="F39" s="185">
        <v>12499000.000000002</v>
      </c>
      <c r="G39" s="154">
        <v>0</v>
      </c>
      <c r="H39" s="154">
        <v>0</v>
      </c>
      <c r="I39" s="154">
        <v>0</v>
      </c>
      <c r="J39" s="154">
        <v>0</v>
      </c>
      <c r="K39" s="154">
        <v>0</v>
      </c>
      <c r="L39" s="154">
        <v>0</v>
      </c>
      <c r="M39" s="154">
        <v>0</v>
      </c>
      <c r="N39" s="154">
        <v>0</v>
      </c>
      <c r="O39" s="154">
        <v>0</v>
      </c>
      <c r="P39" s="154">
        <v>0</v>
      </c>
      <c r="Q39" s="154">
        <v>0</v>
      </c>
      <c r="R39" s="154">
        <v>0</v>
      </c>
      <c r="S39" s="154">
        <f t="shared" si="0"/>
        <v>0</v>
      </c>
      <c r="T39" s="154">
        <f t="shared" si="1"/>
        <v>12499000.000000002</v>
      </c>
      <c r="U39" s="186">
        <f t="shared" si="2"/>
        <v>0</v>
      </c>
    </row>
    <row r="40" spans="1:21">
      <c r="A40" s="189">
        <v>41382</v>
      </c>
      <c r="B40" s="189" t="s">
        <v>0</v>
      </c>
      <c r="C40" s="16" t="s">
        <v>4541</v>
      </c>
      <c r="D40" s="187">
        <v>900000</v>
      </c>
      <c r="E40" s="41">
        <v>36</v>
      </c>
      <c r="F40" s="185">
        <v>900000</v>
      </c>
      <c r="G40" s="154">
        <v>0</v>
      </c>
      <c r="H40" s="154">
        <v>0</v>
      </c>
      <c r="I40" s="154">
        <v>0</v>
      </c>
      <c r="J40" s="154">
        <v>0</v>
      </c>
      <c r="K40" s="154">
        <v>0</v>
      </c>
      <c r="L40" s="154">
        <v>0</v>
      </c>
      <c r="M40" s="154">
        <v>0</v>
      </c>
      <c r="N40" s="154">
        <v>0</v>
      </c>
      <c r="O40" s="154">
        <v>0</v>
      </c>
      <c r="P40" s="154">
        <v>0</v>
      </c>
      <c r="Q40" s="154">
        <v>0</v>
      </c>
      <c r="R40" s="154">
        <v>0</v>
      </c>
      <c r="S40" s="154">
        <f t="shared" si="0"/>
        <v>0</v>
      </c>
      <c r="T40" s="154">
        <f t="shared" si="1"/>
        <v>900000</v>
      </c>
      <c r="U40" s="186">
        <f t="shared" si="2"/>
        <v>0</v>
      </c>
    </row>
    <row r="41" spans="1:21">
      <c r="A41" s="189">
        <v>41348</v>
      </c>
      <c r="B41" s="189" t="s">
        <v>429</v>
      </c>
      <c r="C41" s="16" t="s">
        <v>4542</v>
      </c>
      <c r="D41" s="187">
        <v>7391929</v>
      </c>
      <c r="E41" s="41">
        <v>36</v>
      </c>
      <c r="F41" s="185">
        <v>7391928.9999999991</v>
      </c>
      <c r="G41" s="154">
        <v>0</v>
      </c>
      <c r="H41" s="154">
        <v>0</v>
      </c>
      <c r="I41" s="154">
        <v>0</v>
      </c>
      <c r="J41" s="154">
        <v>0</v>
      </c>
      <c r="K41" s="154">
        <v>0</v>
      </c>
      <c r="L41" s="154">
        <v>0</v>
      </c>
      <c r="M41" s="154">
        <v>0</v>
      </c>
      <c r="N41" s="154">
        <v>0</v>
      </c>
      <c r="O41" s="154">
        <v>0</v>
      </c>
      <c r="P41" s="154">
        <v>0</v>
      </c>
      <c r="Q41" s="154">
        <v>0</v>
      </c>
      <c r="R41" s="154">
        <v>0</v>
      </c>
      <c r="S41" s="154">
        <f t="shared" si="0"/>
        <v>0</v>
      </c>
      <c r="T41" s="154">
        <f t="shared" si="1"/>
        <v>7391928.9999999991</v>
      </c>
      <c r="U41" s="186">
        <f t="shared" si="2"/>
        <v>0</v>
      </c>
    </row>
    <row r="42" spans="1:21">
      <c r="A42" s="189">
        <v>41348</v>
      </c>
      <c r="B42" s="189" t="s">
        <v>429</v>
      </c>
      <c r="C42" s="16" t="s">
        <v>4543</v>
      </c>
      <c r="D42" s="187">
        <v>6500000</v>
      </c>
      <c r="E42" s="41">
        <v>36</v>
      </c>
      <c r="F42" s="185">
        <v>6499999.9999999991</v>
      </c>
      <c r="G42" s="154">
        <v>0</v>
      </c>
      <c r="H42" s="154">
        <v>0</v>
      </c>
      <c r="I42" s="154">
        <v>0</v>
      </c>
      <c r="J42" s="154">
        <v>0</v>
      </c>
      <c r="K42" s="154">
        <v>0</v>
      </c>
      <c r="L42" s="154">
        <v>0</v>
      </c>
      <c r="M42" s="154">
        <v>0</v>
      </c>
      <c r="N42" s="154">
        <v>0</v>
      </c>
      <c r="O42" s="154">
        <v>0</v>
      </c>
      <c r="P42" s="154">
        <v>0</v>
      </c>
      <c r="Q42" s="154">
        <v>0</v>
      </c>
      <c r="R42" s="154">
        <v>0</v>
      </c>
      <c r="S42" s="154">
        <f t="shared" si="0"/>
        <v>0</v>
      </c>
      <c r="T42" s="154">
        <f t="shared" si="1"/>
        <v>6499999.9999999991</v>
      </c>
      <c r="U42" s="186">
        <f t="shared" si="2"/>
        <v>0</v>
      </c>
    </row>
    <row r="43" spans="1:21">
      <c r="A43" s="189">
        <v>41537</v>
      </c>
      <c r="B43" s="189" t="s">
        <v>4544</v>
      </c>
      <c r="C43" s="16" t="s">
        <v>4545</v>
      </c>
      <c r="D43" s="187">
        <f>2485*9600</f>
        <v>23856000</v>
      </c>
      <c r="E43" s="41">
        <v>36</v>
      </c>
      <c r="F43" s="185">
        <v>23856000</v>
      </c>
      <c r="G43" s="154">
        <v>0</v>
      </c>
      <c r="H43" s="154">
        <v>0</v>
      </c>
      <c r="I43" s="154">
        <v>0</v>
      </c>
      <c r="J43" s="154">
        <v>0</v>
      </c>
      <c r="K43" s="154">
        <v>0</v>
      </c>
      <c r="L43" s="154">
        <v>0</v>
      </c>
      <c r="M43" s="154">
        <v>0</v>
      </c>
      <c r="N43" s="154">
        <v>0</v>
      </c>
      <c r="O43" s="154">
        <v>0</v>
      </c>
      <c r="P43" s="154">
        <v>0</v>
      </c>
      <c r="Q43" s="154">
        <v>0</v>
      </c>
      <c r="R43" s="154">
        <v>0</v>
      </c>
      <c r="S43" s="154">
        <f t="shared" si="0"/>
        <v>0</v>
      </c>
      <c r="T43" s="154">
        <f t="shared" si="1"/>
        <v>23856000</v>
      </c>
      <c r="U43" s="186">
        <f t="shared" si="2"/>
        <v>0</v>
      </c>
    </row>
    <row r="44" spans="1:21">
      <c r="A44" s="189">
        <v>41501</v>
      </c>
      <c r="B44" s="189" t="s">
        <v>64</v>
      </c>
      <c r="C44" s="16" t="s">
        <v>4546</v>
      </c>
      <c r="D44" s="187">
        <v>16727088</v>
      </c>
      <c r="E44" s="41">
        <v>36</v>
      </c>
      <c r="F44" s="185">
        <v>16727088</v>
      </c>
      <c r="G44" s="154">
        <v>0</v>
      </c>
      <c r="H44" s="154">
        <v>0</v>
      </c>
      <c r="I44" s="154">
        <v>0</v>
      </c>
      <c r="J44" s="154">
        <v>0</v>
      </c>
      <c r="K44" s="154">
        <v>0</v>
      </c>
      <c r="L44" s="154">
        <v>0</v>
      </c>
      <c r="M44" s="154">
        <v>0</v>
      </c>
      <c r="N44" s="154">
        <v>0</v>
      </c>
      <c r="O44" s="154">
        <v>0</v>
      </c>
      <c r="P44" s="154">
        <v>0</v>
      </c>
      <c r="Q44" s="154">
        <v>0</v>
      </c>
      <c r="R44" s="154">
        <v>0</v>
      </c>
      <c r="S44" s="154">
        <f t="shared" si="0"/>
        <v>0</v>
      </c>
      <c r="T44" s="154">
        <f t="shared" si="1"/>
        <v>16727088</v>
      </c>
      <c r="U44" s="186">
        <f t="shared" si="2"/>
        <v>0</v>
      </c>
    </row>
    <row r="45" spans="1:21">
      <c r="A45" s="189">
        <v>41669</v>
      </c>
      <c r="B45" s="189" t="s">
        <v>430</v>
      </c>
      <c r="C45" s="16" t="s">
        <v>4547</v>
      </c>
      <c r="D45" s="187">
        <v>2903500</v>
      </c>
      <c r="E45" s="41">
        <v>36</v>
      </c>
      <c r="F45" s="185">
        <v>2903499.9999999995</v>
      </c>
      <c r="G45" s="154">
        <v>0</v>
      </c>
      <c r="H45" s="154">
        <v>0</v>
      </c>
      <c r="I45" s="154">
        <v>0</v>
      </c>
      <c r="J45" s="154">
        <v>0</v>
      </c>
      <c r="K45" s="154">
        <v>0</v>
      </c>
      <c r="L45" s="154">
        <v>0</v>
      </c>
      <c r="M45" s="154">
        <v>0</v>
      </c>
      <c r="N45" s="154">
        <v>0</v>
      </c>
      <c r="O45" s="154">
        <v>0</v>
      </c>
      <c r="P45" s="154">
        <v>0</v>
      </c>
      <c r="Q45" s="154">
        <v>0</v>
      </c>
      <c r="R45" s="154">
        <v>0</v>
      </c>
      <c r="S45" s="154">
        <f t="shared" si="0"/>
        <v>0</v>
      </c>
      <c r="T45" s="154">
        <f t="shared" si="1"/>
        <v>2903499.9999999995</v>
      </c>
      <c r="U45" s="186">
        <f t="shared" si="2"/>
        <v>0</v>
      </c>
    </row>
    <row r="46" spans="1:21">
      <c r="A46" s="189">
        <v>41698</v>
      </c>
      <c r="B46" s="189" t="s">
        <v>430</v>
      </c>
      <c r="C46" s="16" t="s">
        <v>4548</v>
      </c>
      <c r="D46" s="187">
        <v>5173648</v>
      </c>
      <c r="E46" s="41">
        <v>36</v>
      </c>
      <c r="F46" s="185">
        <v>5173648.0000000009</v>
      </c>
      <c r="G46" s="154">
        <v>0</v>
      </c>
      <c r="H46" s="154">
        <v>0</v>
      </c>
      <c r="I46" s="154">
        <v>0</v>
      </c>
      <c r="J46" s="154">
        <v>0</v>
      </c>
      <c r="K46" s="154">
        <v>0</v>
      </c>
      <c r="L46" s="154">
        <v>0</v>
      </c>
      <c r="M46" s="154">
        <v>0</v>
      </c>
      <c r="N46" s="154">
        <v>0</v>
      </c>
      <c r="O46" s="154">
        <v>0</v>
      </c>
      <c r="P46" s="154">
        <v>0</v>
      </c>
      <c r="Q46" s="154">
        <v>0</v>
      </c>
      <c r="R46" s="154">
        <v>0</v>
      </c>
      <c r="S46" s="154">
        <f t="shared" si="0"/>
        <v>0</v>
      </c>
      <c r="T46" s="154">
        <f t="shared" si="1"/>
        <v>5173648.0000000009</v>
      </c>
      <c r="U46" s="186">
        <f t="shared" si="2"/>
        <v>0</v>
      </c>
    </row>
    <row r="47" spans="1:21">
      <c r="A47" s="189">
        <v>41709</v>
      </c>
      <c r="B47" s="189" t="s">
        <v>430</v>
      </c>
      <c r="C47" s="16" t="s">
        <v>4549</v>
      </c>
      <c r="D47" s="187">
        <v>10505586</v>
      </c>
      <c r="E47" s="41">
        <v>36</v>
      </c>
      <c r="F47" s="185">
        <v>10505586.000000002</v>
      </c>
      <c r="G47" s="154">
        <v>0</v>
      </c>
      <c r="H47" s="154">
        <v>0</v>
      </c>
      <c r="I47" s="154">
        <v>0</v>
      </c>
      <c r="J47" s="154">
        <v>0</v>
      </c>
      <c r="K47" s="154">
        <v>0</v>
      </c>
      <c r="L47" s="154">
        <v>0</v>
      </c>
      <c r="M47" s="154">
        <v>0</v>
      </c>
      <c r="N47" s="154">
        <v>0</v>
      </c>
      <c r="O47" s="154">
        <v>0</v>
      </c>
      <c r="P47" s="154">
        <v>0</v>
      </c>
      <c r="Q47" s="154">
        <v>0</v>
      </c>
      <c r="R47" s="154">
        <v>0</v>
      </c>
      <c r="S47" s="154">
        <f t="shared" si="0"/>
        <v>0</v>
      </c>
      <c r="T47" s="154">
        <f t="shared" si="1"/>
        <v>10505586.000000002</v>
      </c>
      <c r="U47" s="186">
        <f t="shared" si="2"/>
        <v>0</v>
      </c>
    </row>
    <row r="48" spans="1:21">
      <c r="A48" s="189">
        <v>41749</v>
      </c>
      <c r="B48" s="189" t="s">
        <v>430</v>
      </c>
      <c r="C48" s="16" t="s">
        <v>4550</v>
      </c>
      <c r="D48" s="187">
        <f>1324837*12</f>
        <v>15898044</v>
      </c>
      <c r="E48" s="41">
        <v>36</v>
      </c>
      <c r="F48" s="113">
        <v>15898044</v>
      </c>
      <c r="G48" s="154">
        <v>0</v>
      </c>
      <c r="H48" s="154">
        <v>0</v>
      </c>
      <c r="I48" s="154">
        <v>0</v>
      </c>
      <c r="J48" s="154">
        <v>0</v>
      </c>
      <c r="K48" s="154">
        <v>0</v>
      </c>
      <c r="L48" s="154">
        <v>0</v>
      </c>
      <c r="M48" s="154">
        <v>0</v>
      </c>
      <c r="N48" s="154">
        <v>0</v>
      </c>
      <c r="O48" s="154">
        <v>0</v>
      </c>
      <c r="P48" s="154">
        <v>0</v>
      </c>
      <c r="Q48" s="154">
        <v>0</v>
      </c>
      <c r="R48" s="154">
        <v>0</v>
      </c>
      <c r="S48" s="154">
        <f t="shared" si="0"/>
        <v>0</v>
      </c>
      <c r="T48" s="154">
        <f t="shared" si="1"/>
        <v>15898044</v>
      </c>
      <c r="U48" s="186">
        <f t="shared" si="2"/>
        <v>0</v>
      </c>
    </row>
    <row r="49" spans="1:21">
      <c r="A49" s="189">
        <v>41820</v>
      </c>
      <c r="B49" s="189" t="s">
        <v>430</v>
      </c>
      <c r="C49" s="16" t="s">
        <v>4551</v>
      </c>
      <c r="D49" s="187">
        <v>8563249</v>
      </c>
      <c r="E49" s="41">
        <v>36</v>
      </c>
      <c r="F49" s="113">
        <v>8563249</v>
      </c>
      <c r="G49" s="154">
        <v>0</v>
      </c>
      <c r="H49" s="154">
        <v>0</v>
      </c>
      <c r="I49" s="154">
        <v>0</v>
      </c>
      <c r="J49" s="154">
        <v>0</v>
      </c>
      <c r="K49" s="154">
        <v>0</v>
      </c>
      <c r="L49" s="154">
        <v>0</v>
      </c>
      <c r="M49" s="154">
        <v>0</v>
      </c>
      <c r="N49" s="154">
        <v>0</v>
      </c>
      <c r="O49" s="154">
        <v>0</v>
      </c>
      <c r="P49" s="154">
        <v>0</v>
      </c>
      <c r="Q49" s="154">
        <v>0</v>
      </c>
      <c r="R49" s="154">
        <v>0</v>
      </c>
      <c r="S49" s="154">
        <f t="shared" si="0"/>
        <v>0</v>
      </c>
      <c r="T49" s="154">
        <f t="shared" si="1"/>
        <v>8563249</v>
      </c>
      <c r="U49" s="186">
        <f t="shared" si="2"/>
        <v>0</v>
      </c>
    </row>
    <row r="50" spans="1:21">
      <c r="A50" s="189">
        <v>41862</v>
      </c>
      <c r="B50" s="189" t="s">
        <v>430</v>
      </c>
      <c r="C50" s="16" t="s">
        <v>4552</v>
      </c>
      <c r="D50" s="187">
        <f>1189500*6</f>
        <v>7137000</v>
      </c>
      <c r="E50" s="41">
        <v>36</v>
      </c>
      <c r="F50" s="113">
        <v>7137000</v>
      </c>
      <c r="G50" s="154">
        <v>0</v>
      </c>
      <c r="H50" s="154">
        <v>0</v>
      </c>
      <c r="I50" s="154">
        <v>0</v>
      </c>
      <c r="J50" s="154">
        <v>0</v>
      </c>
      <c r="K50" s="154">
        <v>0</v>
      </c>
      <c r="L50" s="154">
        <v>0</v>
      </c>
      <c r="M50" s="154">
        <v>0</v>
      </c>
      <c r="N50" s="154">
        <v>0</v>
      </c>
      <c r="O50" s="154">
        <v>0</v>
      </c>
      <c r="P50" s="154">
        <v>0</v>
      </c>
      <c r="Q50" s="154">
        <v>0</v>
      </c>
      <c r="R50" s="154">
        <v>0</v>
      </c>
      <c r="S50" s="154">
        <f t="shared" si="0"/>
        <v>0</v>
      </c>
      <c r="T50" s="154">
        <f t="shared" si="1"/>
        <v>7137000</v>
      </c>
      <c r="U50" s="186">
        <f t="shared" si="2"/>
        <v>0</v>
      </c>
    </row>
    <row r="51" spans="1:21">
      <c r="A51" s="189">
        <v>42010</v>
      </c>
      <c r="B51" s="189" t="s">
        <v>0</v>
      </c>
      <c r="C51" s="16" t="s">
        <v>4553</v>
      </c>
      <c r="D51" s="187">
        <v>15220000</v>
      </c>
      <c r="E51" s="41">
        <v>36</v>
      </c>
      <c r="F51" s="113">
        <v>15220000.000000004</v>
      </c>
      <c r="G51" s="154">
        <v>0</v>
      </c>
      <c r="H51" s="154">
        <v>0</v>
      </c>
      <c r="I51" s="154">
        <v>0</v>
      </c>
      <c r="J51" s="154">
        <v>0</v>
      </c>
      <c r="K51" s="154">
        <v>0</v>
      </c>
      <c r="L51" s="154">
        <v>0</v>
      </c>
      <c r="M51" s="154">
        <v>0</v>
      </c>
      <c r="N51" s="154">
        <v>0</v>
      </c>
      <c r="O51" s="154">
        <v>0</v>
      </c>
      <c r="P51" s="154">
        <v>0</v>
      </c>
      <c r="Q51" s="154">
        <v>0</v>
      </c>
      <c r="R51" s="154">
        <v>0</v>
      </c>
      <c r="S51" s="154">
        <f t="shared" si="0"/>
        <v>0</v>
      </c>
      <c r="T51" s="154">
        <f t="shared" si="1"/>
        <v>15220000.000000004</v>
      </c>
      <c r="U51" s="186">
        <f t="shared" si="2"/>
        <v>0</v>
      </c>
    </row>
    <row r="52" spans="1:21">
      <c r="A52" s="189">
        <v>42209</v>
      </c>
      <c r="B52" s="189" t="s">
        <v>430</v>
      </c>
      <c r="C52" s="16" t="s">
        <v>4554</v>
      </c>
      <c r="D52" s="187">
        <v>2344203</v>
      </c>
      <c r="E52" s="41">
        <v>36</v>
      </c>
      <c r="F52" s="113">
        <v>2344203</v>
      </c>
      <c r="G52" s="154">
        <v>0</v>
      </c>
      <c r="H52" s="154">
        <v>0</v>
      </c>
      <c r="I52" s="154">
        <v>0</v>
      </c>
      <c r="J52" s="154">
        <v>0</v>
      </c>
      <c r="K52" s="154">
        <v>0</v>
      </c>
      <c r="L52" s="154">
        <v>0</v>
      </c>
      <c r="M52" s="154">
        <v>0</v>
      </c>
      <c r="N52" s="154">
        <v>0</v>
      </c>
      <c r="O52" s="154">
        <v>0</v>
      </c>
      <c r="P52" s="154">
        <v>0</v>
      </c>
      <c r="Q52" s="154">
        <v>0</v>
      </c>
      <c r="R52" s="154">
        <v>0</v>
      </c>
      <c r="S52" s="154">
        <f t="shared" si="0"/>
        <v>0</v>
      </c>
      <c r="T52" s="154">
        <f t="shared" si="1"/>
        <v>2344203</v>
      </c>
      <c r="U52" s="186">
        <f t="shared" si="2"/>
        <v>0</v>
      </c>
    </row>
    <row r="53" spans="1:21">
      <c r="A53" s="189">
        <v>42234</v>
      </c>
      <c r="B53" s="189" t="s">
        <v>0</v>
      </c>
      <c r="C53" s="16" t="s">
        <v>4555</v>
      </c>
      <c r="D53" s="187">
        <v>13112000</v>
      </c>
      <c r="E53" s="41">
        <v>36</v>
      </c>
      <c r="F53" s="113">
        <v>13112000</v>
      </c>
      <c r="G53" s="154">
        <v>0</v>
      </c>
      <c r="H53" s="154">
        <v>0</v>
      </c>
      <c r="I53" s="154">
        <v>0</v>
      </c>
      <c r="J53" s="154">
        <v>0</v>
      </c>
      <c r="K53" s="154">
        <v>0</v>
      </c>
      <c r="L53" s="154">
        <v>0</v>
      </c>
      <c r="M53" s="154">
        <v>0</v>
      </c>
      <c r="N53" s="154">
        <v>0</v>
      </c>
      <c r="O53" s="154">
        <v>0</v>
      </c>
      <c r="P53" s="154">
        <v>0</v>
      </c>
      <c r="Q53" s="154">
        <v>0</v>
      </c>
      <c r="R53" s="154">
        <v>0</v>
      </c>
      <c r="S53" s="154">
        <f t="shared" si="0"/>
        <v>0</v>
      </c>
      <c r="T53" s="154">
        <f t="shared" si="1"/>
        <v>13112000</v>
      </c>
      <c r="U53" s="186">
        <f t="shared" si="2"/>
        <v>0</v>
      </c>
    </row>
    <row r="54" spans="1:21">
      <c r="A54" s="189">
        <v>42250</v>
      </c>
      <c r="B54" s="189" t="s">
        <v>0</v>
      </c>
      <c r="C54" s="16" t="s">
        <v>4556</v>
      </c>
      <c r="D54" s="187">
        <v>15275180</v>
      </c>
      <c r="E54" s="41">
        <v>36</v>
      </c>
      <c r="F54" s="113">
        <v>15275180.000000004</v>
      </c>
      <c r="G54" s="154">
        <v>0</v>
      </c>
      <c r="H54" s="154">
        <v>0</v>
      </c>
      <c r="I54" s="154">
        <v>0</v>
      </c>
      <c r="J54" s="154">
        <v>0</v>
      </c>
      <c r="K54" s="154">
        <v>0</v>
      </c>
      <c r="L54" s="154">
        <v>0</v>
      </c>
      <c r="M54" s="154">
        <v>0</v>
      </c>
      <c r="N54" s="154">
        <v>0</v>
      </c>
      <c r="O54" s="154">
        <v>0</v>
      </c>
      <c r="P54" s="154">
        <v>0</v>
      </c>
      <c r="Q54" s="154">
        <v>0</v>
      </c>
      <c r="R54" s="154">
        <v>0</v>
      </c>
      <c r="S54" s="154">
        <f t="shared" si="0"/>
        <v>0</v>
      </c>
      <c r="T54" s="154">
        <f t="shared" si="1"/>
        <v>15275180.000000004</v>
      </c>
      <c r="U54" s="186">
        <f t="shared" si="2"/>
        <v>0</v>
      </c>
    </row>
    <row r="55" spans="1:21">
      <c r="A55" s="189">
        <v>42265</v>
      </c>
      <c r="B55" s="189" t="s">
        <v>430</v>
      </c>
      <c r="C55" s="16" t="s">
        <v>4557</v>
      </c>
      <c r="D55" s="187">
        <v>5920000</v>
      </c>
      <c r="E55" s="41">
        <v>36</v>
      </c>
      <c r="F55" s="113">
        <v>5920000.0000000009</v>
      </c>
      <c r="G55" s="154">
        <v>0</v>
      </c>
      <c r="H55" s="154">
        <v>0</v>
      </c>
      <c r="I55" s="154">
        <v>0</v>
      </c>
      <c r="J55" s="154">
        <v>0</v>
      </c>
      <c r="K55" s="154">
        <v>0</v>
      </c>
      <c r="L55" s="154">
        <v>0</v>
      </c>
      <c r="M55" s="154">
        <v>0</v>
      </c>
      <c r="N55" s="154">
        <v>0</v>
      </c>
      <c r="O55" s="154">
        <v>0</v>
      </c>
      <c r="P55" s="154">
        <v>0</v>
      </c>
      <c r="Q55" s="154">
        <v>0</v>
      </c>
      <c r="R55" s="154">
        <v>0</v>
      </c>
      <c r="S55" s="154">
        <f t="shared" si="0"/>
        <v>0</v>
      </c>
      <c r="T55" s="154">
        <f t="shared" si="1"/>
        <v>5920000.0000000009</v>
      </c>
      <c r="U55" s="186">
        <f t="shared" si="2"/>
        <v>0</v>
      </c>
    </row>
    <row r="56" spans="1:21">
      <c r="A56" s="189">
        <v>42342</v>
      </c>
      <c r="B56" s="189" t="s">
        <v>430</v>
      </c>
      <c r="C56" s="16" t="s">
        <v>4558</v>
      </c>
      <c r="D56" s="187">
        <f>11220000/2</f>
        <v>5610000</v>
      </c>
      <c r="E56" s="41">
        <v>36</v>
      </c>
      <c r="F56" s="113">
        <v>5610000</v>
      </c>
      <c r="G56" s="154">
        <v>0</v>
      </c>
      <c r="H56" s="154">
        <v>0</v>
      </c>
      <c r="I56" s="154">
        <v>0</v>
      </c>
      <c r="J56" s="154">
        <v>0</v>
      </c>
      <c r="K56" s="154">
        <v>0</v>
      </c>
      <c r="L56" s="154">
        <v>0</v>
      </c>
      <c r="M56" s="154">
        <v>0</v>
      </c>
      <c r="N56" s="154">
        <v>0</v>
      </c>
      <c r="O56" s="154">
        <v>0</v>
      </c>
      <c r="P56" s="154">
        <v>0</v>
      </c>
      <c r="Q56" s="154">
        <v>0</v>
      </c>
      <c r="R56" s="154">
        <v>0</v>
      </c>
      <c r="S56" s="154">
        <f t="shared" si="0"/>
        <v>0</v>
      </c>
      <c r="T56" s="154">
        <f t="shared" si="1"/>
        <v>5610000</v>
      </c>
      <c r="U56" s="186">
        <f t="shared" si="2"/>
        <v>0</v>
      </c>
    </row>
    <row r="57" spans="1:21">
      <c r="A57" s="189">
        <v>42342</v>
      </c>
      <c r="B57" s="189" t="s">
        <v>430</v>
      </c>
      <c r="C57" s="16" t="s">
        <v>4559</v>
      </c>
      <c r="D57" s="187">
        <f>11220000/2</f>
        <v>5610000</v>
      </c>
      <c r="E57" s="41">
        <v>36</v>
      </c>
      <c r="F57" s="113">
        <v>5610000</v>
      </c>
      <c r="G57" s="154">
        <v>0</v>
      </c>
      <c r="H57" s="154">
        <v>0</v>
      </c>
      <c r="I57" s="154">
        <v>0</v>
      </c>
      <c r="J57" s="154">
        <v>0</v>
      </c>
      <c r="K57" s="154">
        <v>0</v>
      </c>
      <c r="L57" s="154">
        <v>0</v>
      </c>
      <c r="M57" s="154">
        <v>0</v>
      </c>
      <c r="N57" s="154">
        <v>0</v>
      </c>
      <c r="O57" s="154">
        <v>0</v>
      </c>
      <c r="P57" s="154">
        <v>0</v>
      </c>
      <c r="Q57" s="154">
        <v>0</v>
      </c>
      <c r="R57" s="154">
        <v>0</v>
      </c>
      <c r="S57" s="154">
        <f t="shared" si="0"/>
        <v>0</v>
      </c>
      <c r="T57" s="154">
        <f t="shared" si="1"/>
        <v>5610000</v>
      </c>
      <c r="U57" s="186">
        <f t="shared" si="2"/>
        <v>0</v>
      </c>
    </row>
    <row r="58" spans="1:21">
      <c r="A58" s="189">
        <v>42370</v>
      </c>
      <c r="B58" s="189" t="s">
        <v>430</v>
      </c>
      <c r="C58" s="16" t="s">
        <v>4551</v>
      </c>
      <c r="D58" s="187">
        <f>6549530-2223586</f>
        <v>4325944</v>
      </c>
      <c r="E58" s="41">
        <v>36</v>
      </c>
      <c r="F58" s="113">
        <v>4325943.9999999991</v>
      </c>
      <c r="G58" s="154">
        <v>0</v>
      </c>
      <c r="H58" s="154">
        <v>0</v>
      </c>
      <c r="I58" s="154">
        <v>0</v>
      </c>
      <c r="J58" s="154">
        <v>0</v>
      </c>
      <c r="K58" s="154">
        <v>0</v>
      </c>
      <c r="L58" s="154">
        <v>0</v>
      </c>
      <c r="M58" s="154">
        <v>0</v>
      </c>
      <c r="N58" s="154">
        <v>0</v>
      </c>
      <c r="O58" s="154">
        <v>0</v>
      </c>
      <c r="P58" s="154">
        <v>0</v>
      </c>
      <c r="Q58" s="154">
        <v>0</v>
      </c>
      <c r="R58" s="154">
        <v>0</v>
      </c>
      <c r="S58" s="154">
        <f t="shared" si="0"/>
        <v>0</v>
      </c>
      <c r="T58" s="154">
        <f t="shared" si="1"/>
        <v>4325943.9999999991</v>
      </c>
      <c r="U58" s="186">
        <f t="shared" si="2"/>
        <v>0</v>
      </c>
    </row>
    <row r="59" spans="1:21">
      <c r="A59" s="189">
        <v>42506</v>
      </c>
      <c r="B59" s="189" t="s">
        <v>430</v>
      </c>
      <c r="C59" s="16" t="s">
        <v>4548</v>
      </c>
      <c r="D59" s="187">
        <v>3285722</v>
      </c>
      <c r="E59" s="41">
        <v>36</v>
      </c>
      <c r="F59" s="113">
        <v>3285722</v>
      </c>
      <c r="G59" s="154">
        <v>0</v>
      </c>
      <c r="H59" s="154">
        <v>0</v>
      </c>
      <c r="I59" s="154">
        <v>0</v>
      </c>
      <c r="J59" s="154">
        <v>0</v>
      </c>
      <c r="K59" s="154">
        <v>0</v>
      </c>
      <c r="L59" s="154">
        <v>0</v>
      </c>
      <c r="M59" s="154">
        <v>0</v>
      </c>
      <c r="N59" s="154">
        <v>0</v>
      </c>
      <c r="O59" s="154">
        <v>0</v>
      </c>
      <c r="P59" s="154">
        <v>0</v>
      </c>
      <c r="Q59" s="154">
        <v>0</v>
      </c>
      <c r="R59" s="154">
        <v>0</v>
      </c>
      <c r="S59" s="154">
        <f t="shared" si="0"/>
        <v>0</v>
      </c>
      <c r="T59" s="154">
        <f t="shared" si="1"/>
        <v>3285722</v>
      </c>
      <c r="U59" s="186">
        <f t="shared" si="2"/>
        <v>0</v>
      </c>
    </row>
    <row r="60" spans="1:21">
      <c r="A60" s="189">
        <v>42506</v>
      </c>
      <c r="B60" s="189" t="s">
        <v>430</v>
      </c>
      <c r="C60" s="16" t="s">
        <v>4560</v>
      </c>
      <c r="D60" s="187">
        <v>995500</v>
      </c>
      <c r="E60" s="41">
        <v>36</v>
      </c>
      <c r="F60" s="113">
        <v>995499.99999999988</v>
      </c>
      <c r="G60" s="154">
        <v>0</v>
      </c>
      <c r="H60" s="154">
        <v>0</v>
      </c>
      <c r="I60" s="154">
        <v>0</v>
      </c>
      <c r="J60" s="154">
        <v>0</v>
      </c>
      <c r="K60" s="154">
        <v>0</v>
      </c>
      <c r="L60" s="154">
        <v>0</v>
      </c>
      <c r="M60" s="154">
        <v>0</v>
      </c>
      <c r="N60" s="154">
        <v>0</v>
      </c>
      <c r="O60" s="154">
        <v>0</v>
      </c>
      <c r="P60" s="154">
        <v>0</v>
      </c>
      <c r="Q60" s="154">
        <v>0</v>
      </c>
      <c r="R60" s="154">
        <v>0</v>
      </c>
      <c r="S60" s="154">
        <f t="shared" si="0"/>
        <v>0</v>
      </c>
      <c r="T60" s="154">
        <f t="shared" si="1"/>
        <v>995499.99999999988</v>
      </c>
      <c r="U60" s="186">
        <f t="shared" si="2"/>
        <v>0</v>
      </c>
    </row>
    <row r="61" spans="1:21">
      <c r="A61" s="189">
        <v>42523</v>
      </c>
      <c r="B61" s="189" t="s">
        <v>449</v>
      </c>
      <c r="C61" s="16" t="s">
        <v>4561</v>
      </c>
      <c r="D61" s="187">
        <v>25050000</v>
      </c>
      <c r="E61" s="41">
        <v>36</v>
      </c>
      <c r="F61" s="113">
        <v>25050000</v>
      </c>
      <c r="G61" s="154">
        <v>0</v>
      </c>
      <c r="H61" s="154">
        <v>0</v>
      </c>
      <c r="I61" s="154">
        <v>0</v>
      </c>
      <c r="J61" s="154">
        <v>0</v>
      </c>
      <c r="K61" s="154">
        <v>0</v>
      </c>
      <c r="L61" s="154">
        <v>0</v>
      </c>
      <c r="M61" s="154">
        <v>0</v>
      </c>
      <c r="N61" s="154">
        <v>0</v>
      </c>
      <c r="O61" s="154">
        <v>0</v>
      </c>
      <c r="P61" s="154">
        <v>0</v>
      </c>
      <c r="Q61" s="154">
        <v>0</v>
      </c>
      <c r="R61" s="154">
        <v>0</v>
      </c>
      <c r="S61" s="154">
        <f t="shared" si="0"/>
        <v>0</v>
      </c>
      <c r="T61" s="154">
        <f t="shared" si="1"/>
        <v>25050000</v>
      </c>
      <c r="U61" s="186">
        <f t="shared" si="2"/>
        <v>0</v>
      </c>
    </row>
    <row r="62" spans="1:21">
      <c r="A62" s="189">
        <v>42447</v>
      </c>
      <c r="B62" s="189" t="s">
        <v>0</v>
      </c>
      <c r="C62" s="16" t="s">
        <v>4562</v>
      </c>
      <c r="D62" s="187">
        <v>5850000</v>
      </c>
      <c r="E62" s="41">
        <v>36</v>
      </c>
      <c r="F62" s="113">
        <v>5850000</v>
      </c>
      <c r="G62" s="154">
        <v>0</v>
      </c>
      <c r="H62" s="154">
        <v>0</v>
      </c>
      <c r="I62" s="154">
        <v>0</v>
      </c>
      <c r="J62" s="154">
        <v>0</v>
      </c>
      <c r="K62" s="154">
        <v>0</v>
      </c>
      <c r="L62" s="154">
        <v>0</v>
      </c>
      <c r="M62" s="154">
        <v>0</v>
      </c>
      <c r="N62" s="154">
        <v>0</v>
      </c>
      <c r="O62" s="154">
        <v>0</v>
      </c>
      <c r="P62" s="154">
        <v>0</v>
      </c>
      <c r="Q62" s="154">
        <v>0</v>
      </c>
      <c r="R62" s="154">
        <v>0</v>
      </c>
      <c r="S62" s="154">
        <f t="shared" si="0"/>
        <v>0</v>
      </c>
      <c r="T62" s="154">
        <f t="shared" si="1"/>
        <v>5850000</v>
      </c>
      <c r="U62" s="186">
        <f t="shared" si="2"/>
        <v>0</v>
      </c>
    </row>
    <row r="63" spans="1:21">
      <c r="A63" s="189">
        <v>42592</v>
      </c>
      <c r="B63" s="189" t="s">
        <v>0</v>
      </c>
      <c r="C63" s="16" t="s">
        <v>4563</v>
      </c>
      <c r="D63" s="187">
        <v>1600000</v>
      </c>
      <c r="E63" s="41">
        <v>36</v>
      </c>
      <c r="F63" s="113">
        <v>1600000</v>
      </c>
      <c r="G63" s="154">
        <v>0</v>
      </c>
      <c r="H63" s="154">
        <v>0</v>
      </c>
      <c r="I63" s="154">
        <v>0</v>
      </c>
      <c r="J63" s="154">
        <v>0</v>
      </c>
      <c r="K63" s="154">
        <v>0</v>
      </c>
      <c r="L63" s="154">
        <v>0</v>
      </c>
      <c r="M63" s="154">
        <v>0</v>
      </c>
      <c r="N63" s="154">
        <v>0</v>
      </c>
      <c r="O63" s="154">
        <v>0</v>
      </c>
      <c r="P63" s="154">
        <v>0</v>
      </c>
      <c r="Q63" s="154">
        <v>0</v>
      </c>
      <c r="R63" s="154">
        <v>0</v>
      </c>
      <c r="S63" s="154">
        <f t="shared" si="0"/>
        <v>0</v>
      </c>
      <c r="T63" s="154">
        <f t="shared" si="1"/>
        <v>1600000</v>
      </c>
      <c r="U63" s="186">
        <f t="shared" si="2"/>
        <v>0</v>
      </c>
    </row>
    <row r="64" spans="1:21">
      <c r="A64" s="189">
        <v>42606</v>
      </c>
      <c r="B64" s="189" t="s">
        <v>0</v>
      </c>
      <c r="C64" s="16" t="s">
        <v>4564</v>
      </c>
      <c r="D64" s="187">
        <v>6500000</v>
      </c>
      <c r="E64" s="41">
        <v>36</v>
      </c>
      <c r="F64" s="113">
        <v>6499999.9999999991</v>
      </c>
      <c r="G64" s="154">
        <v>0</v>
      </c>
      <c r="H64" s="154">
        <v>0</v>
      </c>
      <c r="I64" s="154">
        <v>0</v>
      </c>
      <c r="J64" s="154">
        <v>0</v>
      </c>
      <c r="K64" s="154">
        <v>0</v>
      </c>
      <c r="L64" s="154">
        <v>0</v>
      </c>
      <c r="M64" s="154">
        <v>0</v>
      </c>
      <c r="N64" s="154">
        <v>0</v>
      </c>
      <c r="O64" s="154">
        <v>0</v>
      </c>
      <c r="P64" s="154">
        <v>0</v>
      </c>
      <c r="Q64" s="154">
        <v>0</v>
      </c>
      <c r="R64" s="154">
        <v>0</v>
      </c>
      <c r="S64" s="154">
        <f t="shared" si="0"/>
        <v>0</v>
      </c>
      <c r="T64" s="154">
        <f t="shared" si="1"/>
        <v>6499999.9999999991</v>
      </c>
      <c r="U64" s="186">
        <f t="shared" si="2"/>
        <v>0</v>
      </c>
    </row>
    <row r="65" spans="1:21">
      <c r="A65" s="189">
        <v>42623</v>
      </c>
      <c r="B65" s="189" t="s">
        <v>430</v>
      </c>
      <c r="C65" s="16" t="s">
        <v>4565</v>
      </c>
      <c r="D65" s="187">
        <v>3657500</v>
      </c>
      <c r="E65" s="41">
        <v>36</v>
      </c>
      <c r="F65" s="154">
        <v>3657500.0000000005</v>
      </c>
      <c r="G65" s="154">
        <v>0</v>
      </c>
      <c r="H65" s="154">
        <v>0</v>
      </c>
      <c r="I65" s="154">
        <v>0</v>
      </c>
      <c r="J65" s="154">
        <v>0</v>
      </c>
      <c r="K65" s="154">
        <v>0</v>
      </c>
      <c r="L65" s="154">
        <v>0</v>
      </c>
      <c r="M65" s="154">
        <v>0</v>
      </c>
      <c r="N65" s="154">
        <v>0</v>
      </c>
      <c r="O65" s="154">
        <v>0</v>
      </c>
      <c r="P65" s="154">
        <v>0</v>
      </c>
      <c r="Q65" s="154">
        <v>0</v>
      </c>
      <c r="R65" s="154">
        <v>0</v>
      </c>
      <c r="S65" s="154">
        <f t="shared" si="0"/>
        <v>0</v>
      </c>
      <c r="T65" s="154">
        <f t="shared" si="1"/>
        <v>3657500.0000000005</v>
      </c>
      <c r="U65" s="186">
        <f t="shared" si="2"/>
        <v>0</v>
      </c>
    </row>
    <row r="66" spans="1:21">
      <c r="A66" s="189">
        <v>42623</v>
      </c>
      <c r="B66" s="189" t="s">
        <v>430</v>
      </c>
      <c r="C66" s="16" t="s">
        <v>4564</v>
      </c>
      <c r="D66" s="187">
        <v>5500000</v>
      </c>
      <c r="E66" s="41">
        <v>36</v>
      </c>
      <c r="F66" s="154">
        <v>5500000</v>
      </c>
      <c r="G66" s="154">
        <v>0</v>
      </c>
      <c r="H66" s="154">
        <v>0</v>
      </c>
      <c r="I66" s="154">
        <v>0</v>
      </c>
      <c r="J66" s="154">
        <v>0</v>
      </c>
      <c r="K66" s="154">
        <v>0</v>
      </c>
      <c r="L66" s="154">
        <v>0</v>
      </c>
      <c r="M66" s="154">
        <v>0</v>
      </c>
      <c r="N66" s="154">
        <v>0</v>
      </c>
      <c r="O66" s="154">
        <v>0</v>
      </c>
      <c r="P66" s="154">
        <v>0</v>
      </c>
      <c r="Q66" s="154">
        <v>0</v>
      </c>
      <c r="R66" s="154">
        <v>0</v>
      </c>
      <c r="S66" s="154">
        <f t="shared" si="0"/>
        <v>0</v>
      </c>
      <c r="T66" s="154">
        <f t="shared" si="1"/>
        <v>5500000</v>
      </c>
      <c r="U66" s="186">
        <f t="shared" si="2"/>
        <v>0</v>
      </c>
    </row>
    <row r="67" spans="1:21">
      <c r="A67" s="189">
        <v>42655</v>
      </c>
      <c r="B67" s="189" t="s">
        <v>0</v>
      </c>
      <c r="C67" s="16" t="s">
        <v>4566</v>
      </c>
      <c r="D67" s="187">
        <v>8550000</v>
      </c>
      <c r="E67" s="41">
        <v>36</v>
      </c>
      <c r="F67" s="154">
        <v>8550000</v>
      </c>
      <c r="G67" s="154">
        <v>0</v>
      </c>
      <c r="H67" s="154">
        <v>0</v>
      </c>
      <c r="I67" s="154">
        <v>0</v>
      </c>
      <c r="J67" s="154">
        <v>0</v>
      </c>
      <c r="K67" s="154">
        <v>0</v>
      </c>
      <c r="L67" s="154">
        <v>0</v>
      </c>
      <c r="M67" s="154">
        <v>0</v>
      </c>
      <c r="N67" s="154">
        <v>0</v>
      </c>
      <c r="O67" s="154">
        <v>0</v>
      </c>
      <c r="P67" s="154">
        <v>0</v>
      </c>
      <c r="Q67" s="154">
        <v>0</v>
      </c>
      <c r="R67" s="154">
        <v>0</v>
      </c>
      <c r="S67" s="154">
        <f t="shared" si="0"/>
        <v>0</v>
      </c>
      <c r="T67" s="154">
        <f t="shared" si="1"/>
        <v>8550000</v>
      </c>
      <c r="U67" s="186">
        <f t="shared" si="2"/>
        <v>0</v>
      </c>
    </row>
    <row r="68" spans="1:21">
      <c r="A68" s="189">
        <v>42773</v>
      </c>
      <c r="B68" s="189" t="s">
        <v>449</v>
      </c>
      <c r="C68" s="16" t="s">
        <v>4567</v>
      </c>
      <c r="D68" s="187">
        <v>21150000</v>
      </c>
      <c r="E68" s="41">
        <v>36</v>
      </c>
      <c r="F68" s="154">
        <v>21150000</v>
      </c>
      <c r="G68" s="154">
        <v>0</v>
      </c>
      <c r="H68" s="154">
        <v>0</v>
      </c>
      <c r="I68" s="154">
        <v>0</v>
      </c>
      <c r="J68" s="154">
        <v>0</v>
      </c>
      <c r="K68" s="154">
        <v>0</v>
      </c>
      <c r="L68" s="154">
        <v>0</v>
      </c>
      <c r="M68" s="154">
        <v>0</v>
      </c>
      <c r="N68" s="154">
        <v>0</v>
      </c>
      <c r="O68" s="154">
        <v>0</v>
      </c>
      <c r="P68" s="154">
        <v>0</v>
      </c>
      <c r="Q68" s="154">
        <v>0</v>
      </c>
      <c r="R68" s="154">
        <v>0</v>
      </c>
      <c r="S68" s="154">
        <f t="shared" si="0"/>
        <v>0</v>
      </c>
      <c r="T68" s="154">
        <f t="shared" si="1"/>
        <v>21150000</v>
      </c>
      <c r="U68" s="186">
        <f t="shared" si="2"/>
        <v>0</v>
      </c>
    </row>
    <row r="69" spans="1:21">
      <c r="A69" s="189">
        <v>42842</v>
      </c>
      <c r="B69" s="189" t="s">
        <v>0</v>
      </c>
      <c r="C69" s="16" t="s">
        <v>4568</v>
      </c>
      <c r="D69" s="187">
        <v>13850000</v>
      </c>
      <c r="E69" s="41">
        <v>36</v>
      </c>
      <c r="F69" s="154">
        <v>13849999.999999998</v>
      </c>
      <c r="G69" s="154">
        <v>0</v>
      </c>
      <c r="H69" s="154">
        <v>0</v>
      </c>
      <c r="I69" s="154">
        <v>0</v>
      </c>
      <c r="J69" s="154">
        <v>0</v>
      </c>
      <c r="K69" s="154">
        <v>0</v>
      </c>
      <c r="L69" s="154">
        <v>0</v>
      </c>
      <c r="M69" s="154">
        <v>0</v>
      </c>
      <c r="N69" s="154">
        <v>0</v>
      </c>
      <c r="O69" s="154">
        <v>0</v>
      </c>
      <c r="P69" s="154">
        <v>0</v>
      </c>
      <c r="Q69" s="154">
        <v>0</v>
      </c>
      <c r="R69" s="154">
        <v>0</v>
      </c>
      <c r="S69" s="154">
        <f t="shared" si="0"/>
        <v>0</v>
      </c>
      <c r="T69" s="154">
        <f t="shared" si="1"/>
        <v>13849999.999999998</v>
      </c>
      <c r="U69" s="186">
        <f t="shared" si="2"/>
        <v>0</v>
      </c>
    </row>
    <row r="70" spans="1:21">
      <c r="A70" s="189">
        <v>42850</v>
      </c>
      <c r="B70" s="189" t="s">
        <v>0</v>
      </c>
      <c r="C70" s="16" t="s">
        <v>4569</v>
      </c>
      <c r="D70" s="187">
        <v>3100000</v>
      </c>
      <c r="E70" s="41">
        <v>36</v>
      </c>
      <c r="F70" s="154">
        <v>3100000.0000000005</v>
      </c>
      <c r="G70" s="154">
        <v>0</v>
      </c>
      <c r="H70" s="154">
        <v>0</v>
      </c>
      <c r="I70" s="154">
        <v>0</v>
      </c>
      <c r="J70" s="154">
        <v>0</v>
      </c>
      <c r="K70" s="154">
        <v>0</v>
      </c>
      <c r="L70" s="154">
        <v>0</v>
      </c>
      <c r="M70" s="154">
        <v>0</v>
      </c>
      <c r="N70" s="154">
        <v>0</v>
      </c>
      <c r="O70" s="154">
        <v>0</v>
      </c>
      <c r="P70" s="154">
        <v>0</v>
      </c>
      <c r="Q70" s="154">
        <v>0</v>
      </c>
      <c r="R70" s="154">
        <v>0</v>
      </c>
      <c r="S70" s="154">
        <f t="shared" si="0"/>
        <v>0</v>
      </c>
      <c r="T70" s="154">
        <f t="shared" si="1"/>
        <v>3100000.0000000005</v>
      </c>
      <c r="U70" s="186">
        <f t="shared" si="2"/>
        <v>0</v>
      </c>
    </row>
    <row r="71" spans="1:21">
      <c r="A71" s="189">
        <v>42872</v>
      </c>
      <c r="B71" s="189" t="s">
        <v>0</v>
      </c>
      <c r="C71" s="16" t="s">
        <v>4550</v>
      </c>
      <c r="D71" s="187">
        <v>28200000</v>
      </c>
      <c r="E71" s="41">
        <v>36</v>
      </c>
      <c r="F71" s="154">
        <v>28200000</v>
      </c>
      <c r="G71" s="154">
        <v>0</v>
      </c>
      <c r="H71" s="154">
        <v>0</v>
      </c>
      <c r="I71" s="154">
        <v>0</v>
      </c>
      <c r="J71" s="154">
        <v>0</v>
      </c>
      <c r="K71" s="154">
        <v>0</v>
      </c>
      <c r="L71" s="154">
        <v>0</v>
      </c>
      <c r="M71" s="154">
        <v>0</v>
      </c>
      <c r="N71" s="154">
        <v>0</v>
      </c>
      <c r="O71" s="154">
        <v>0</v>
      </c>
      <c r="P71" s="186">
        <v>0</v>
      </c>
      <c r="Q71" s="154">
        <v>0</v>
      </c>
      <c r="R71" s="154">
        <v>0</v>
      </c>
      <c r="S71" s="154">
        <f>SUM(G71:R71)</f>
        <v>0</v>
      </c>
      <c r="T71" s="154">
        <f>+F71+S71</f>
        <v>28200000</v>
      </c>
      <c r="U71" s="186">
        <f>+D71-T71</f>
        <v>0</v>
      </c>
    </row>
    <row r="72" spans="1:21">
      <c r="A72" s="189">
        <v>43186</v>
      </c>
      <c r="B72" s="189" t="s">
        <v>0</v>
      </c>
      <c r="C72" s="16" t="s">
        <v>4570</v>
      </c>
      <c r="D72" s="154">
        <v>4825000</v>
      </c>
      <c r="E72" s="41">
        <v>36</v>
      </c>
      <c r="F72" s="154">
        <v>4556944.444444444</v>
      </c>
      <c r="G72" s="154">
        <f t="shared" ref="G72:H72" si="3">$D$72/$E$72</f>
        <v>134027.77777777778</v>
      </c>
      <c r="H72" s="154">
        <f t="shared" si="3"/>
        <v>134027.77777777778</v>
      </c>
      <c r="I72" s="154">
        <v>0</v>
      </c>
      <c r="J72" s="154">
        <v>0</v>
      </c>
      <c r="K72" s="154">
        <v>0</v>
      </c>
      <c r="L72" s="154">
        <v>0</v>
      </c>
      <c r="M72" s="154">
        <v>0</v>
      </c>
      <c r="N72" s="154">
        <v>0</v>
      </c>
      <c r="O72" s="154">
        <v>0</v>
      </c>
      <c r="P72" s="154">
        <v>0</v>
      </c>
      <c r="Q72" s="154">
        <v>0</v>
      </c>
      <c r="R72" s="154">
        <v>0</v>
      </c>
      <c r="S72" s="154">
        <f>SUM(G72:R72)</f>
        <v>268055.55555555556</v>
      </c>
      <c r="T72" s="154">
        <f>+F72+S72</f>
        <v>4825000</v>
      </c>
      <c r="U72" s="186">
        <f>+D72-T72</f>
        <v>0</v>
      </c>
    </row>
    <row r="73" spans="1:21">
      <c r="A73" s="189">
        <v>43305</v>
      </c>
      <c r="B73" s="189" t="s">
        <v>0</v>
      </c>
      <c r="C73" s="16" t="s">
        <v>4571</v>
      </c>
      <c r="D73" s="187">
        <v>4600000</v>
      </c>
      <c r="E73" s="41">
        <v>36</v>
      </c>
      <c r="F73" s="154">
        <v>3833340</v>
      </c>
      <c r="G73" s="186">
        <v>127778</v>
      </c>
      <c r="H73" s="186">
        <v>127778</v>
      </c>
      <c r="I73" s="186">
        <v>127778</v>
      </c>
      <c r="J73" s="186">
        <v>127778</v>
      </c>
      <c r="K73" s="186">
        <v>127778</v>
      </c>
      <c r="L73" s="186">
        <v>127770</v>
      </c>
      <c r="M73" s="186">
        <v>0</v>
      </c>
      <c r="N73" s="186">
        <v>0</v>
      </c>
      <c r="O73" s="186">
        <v>0</v>
      </c>
      <c r="P73" s="186">
        <v>0</v>
      </c>
      <c r="Q73" s="186">
        <v>0</v>
      </c>
      <c r="R73" s="186">
        <v>0</v>
      </c>
      <c r="S73" s="154">
        <f>SUM(G73:R73)</f>
        <v>766660</v>
      </c>
      <c r="T73" s="154">
        <f t="shared" ref="T73:T86" si="4">+F73+S73</f>
        <v>4600000</v>
      </c>
      <c r="U73" s="186">
        <f t="shared" ref="U73:U86" si="5">+D73-T73</f>
        <v>0</v>
      </c>
    </row>
    <row r="74" spans="1:21">
      <c r="A74" s="189">
        <v>43467</v>
      </c>
      <c r="B74" s="189" t="s">
        <v>430</v>
      </c>
      <c r="C74" s="16" t="s">
        <v>4572</v>
      </c>
      <c r="D74" s="187">
        <v>28873216</v>
      </c>
      <c r="E74" s="41">
        <v>36</v>
      </c>
      <c r="F74" s="154">
        <v>19248810.666666668</v>
      </c>
      <c r="G74" s="186">
        <f>$D$74/$E$74</f>
        <v>802033.77777777775</v>
      </c>
      <c r="H74" s="186">
        <f t="shared" ref="H74:R74" si="6">$D$74/$E$74</f>
        <v>802033.77777777775</v>
      </c>
      <c r="I74" s="186">
        <f t="shared" si="6"/>
        <v>802033.77777777775</v>
      </c>
      <c r="J74" s="186">
        <f t="shared" si="6"/>
        <v>802033.77777777775</v>
      </c>
      <c r="K74" s="186">
        <f t="shared" si="6"/>
        <v>802033.77777777775</v>
      </c>
      <c r="L74" s="186">
        <f t="shared" si="6"/>
        <v>802033.77777777775</v>
      </c>
      <c r="M74" s="186">
        <f t="shared" si="6"/>
        <v>802033.77777777775</v>
      </c>
      <c r="N74" s="186">
        <f t="shared" si="6"/>
        <v>802033.77777777775</v>
      </c>
      <c r="O74" s="186">
        <f t="shared" si="6"/>
        <v>802033.77777777775</v>
      </c>
      <c r="P74" s="186">
        <f t="shared" si="6"/>
        <v>802033.77777777775</v>
      </c>
      <c r="Q74" s="186">
        <f>$D$74/$E$74</f>
        <v>802033.77777777775</v>
      </c>
      <c r="R74" s="186">
        <f t="shared" si="6"/>
        <v>802033.77777777775</v>
      </c>
      <c r="S74" s="154">
        <f>SUM(G74:R74)</f>
        <v>9624405.333333334</v>
      </c>
      <c r="T74" s="154">
        <f t="shared" si="4"/>
        <v>28873216</v>
      </c>
      <c r="U74" s="186">
        <f t="shared" si="5"/>
        <v>0</v>
      </c>
    </row>
    <row r="75" spans="1:21">
      <c r="A75" s="189">
        <v>43501</v>
      </c>
      <c r="B75" s="189" t="s">
        <v>430</v>
      </c>
      <c r="C75" s="49" t="s">
        <v>4573</v>
      </c>
      <c r="D75" s="80">
        <v>3599000</v>
      </c>
      <c r="E75" s="41">
        <v>36</v>
      </c>
      <c r="F75" s="154">
        <v>2399333.3333333335</v>
      </c>
      <c r="G75" s="186">
        <f t="shared" ref="G75:R75" si="7">$D$75/$E$75</f>
        <v>99972.222222222219</v>
      </c>
      <c r="H75" s="186">
        <f t="shared" si="7"/>
        <v>99972.222222222219</v>
      </c>
      <c r="I75" s="186">
        <f t="shared" si="7"/>
        <v>99972.222222222219</v>
      </c>
      <c r="J75" s="186">
        <f t="shared" si="7"/>
        <v>99972.222222222219</v>
      </c>
      <c r="K75" s="186">
        <f t="shared" si="7"/>
        <v>99972.222222222219</v>
      </c>
      <c r="L75" s="186">
        <f t="shared" si="7"/>
        <v>99972.222222222219</v>
      </c>
      <c r="M75" s="186">
        <f t="shared" si="7"/>
        <v>99972.222222222219</v>
      </c>
      <c r="N75" s="186">
        <f t="shared" si="7"/>
        <v>99972.222222222219</v>
      </c>
      <c r="O75" s="186">
        <f t="shared" si="7"/>
        <v>99972.222222222219</v>
      </c>
      <c r="P75" s="186">
        <f t="shared" si="7"/>
        <v>99972.222222222219</v>
      </c>
      <c r="Q75" s="186">
        <f t="shared" si="7"/>
        <v>99972.222222222219</v>
      </c>
      <c r="R75" s="186">
        <f t="shared" si="7"/>
        <v>99972.222222222219</v>
      </c>
      <c r="S75" s="154">
        <f>SUM(G75:R75)</f>
        <v>1199666.6666666667</v>
      </c>
      <c r="T75" s="154">
        <f t="shared" si="4"/>
        <v>3599000</v>
      </c>
      <c r="U75" s="186">
        <f t="shared" si="5"/>
        <v>0</v>
      </c>
    </row>
    <row r="76" spans="1:21">
      <c r="A76" s="189">
        <v>43524</v>
      </c>
      <c r="B76" s="189" t="s">
        <v>0</v>
      </c>
      <c r="C76" s="16" t="s">
        <v>4574</v>
      </c>
      <c r="D76" s="187">
        <v>2025000</v>
      </c>
      <c r="E76" s="41">
        <v>36</v>
      </c>
      <c r="F76" s="154">
        <v>1350000</v>
      </c>
      <c r="G76" s="186">
        <f t="shared" ref="G76:R76" si="8">$D$76/$E$76</f>
        <v>56250</v>
      </c>
      <c r="H76" s="186">
        <f t="shared" si="8"/>
        <v>56250</v>
      </c>
      <c r="I76" s="186">
        <f t="shared" si="8"/>
        <v>56250</v>
      </c>
      <c r="J76" s="186">
        <f t="shared" si="8"/>
        <v>56250</v>
      </c>
      <c r="K76" s="186">
        <f t="shared" si="8"/>
        <v>56250</v>
      </c>
      <c r="L76" s="186">
        <f t="shared" si="8"/>
        <v>56250</v>
      </c>
      <c r="M76" s="186">
        <f t="shared" si="8"/>
        <v>56250</v>
      </c>
      <c r="N76" s="186">
        <f t="shared" si="8"/>
        <v>56250</v>
      </c>
      <c r="O76" s="186">
        <f t="shared" si="8"/>
        <v>56250</v>
      </c>
      <c r="P76" s="186">
        <f t="shared" si="8"/>
        <v>56250</v>
      </c>
      <c r="Q76" s="186">
        <f t="shared" si="8"/>
        <v>56250</v>
      </c>
      <c r="R76" s="186">
        <f t="shared" si="8"/>
        <v>56250</v>
      </c>
      <c r="S76" s="154">
        <f t="shared" ref="S76:S86" si="9">SUM(G76:R76)</f>
        <v>675000</v>
      </c>
      <c r="T76" s="154">
        <f t="shared" si="4"/>
        <v>2025000</v>
      </c>
      <c r="U76" s="186">
        <f t="shared" si="5"/>
        <v>0</v>
      </c>
    </row>
    <row r="77" spans="1:21">
      <c r="A77" s="189">
        <v>43705</v>
      </c>
      <c r="B77" s="189" t="s">
        <v>0</v>
      </c>
      <c r="C77" s="16" t="s">
        <v>4575</v>
      </c>
      <c r="D77" s="187">
        <v>6000000</v>
      </c>
      <c r="E77" s="41">
        <v>36</v>
      </c>
      <c r="F77" s="154">
        <v>4000000.0000000005</v>
      </c>
      <c r="G77" s="154">
        <f t="shared" ref="G77:R77" si="10">$D$77/$E$77</f>
        <v>166666.66666666666</v>
      </c>
      <c r="H77" s="154">
        <f t="shared" si="10"/>
        <v>166666.66666666666</v>
      </c>
      <c r="I77" s="154">
        <f t="shared" si="10"/>
        <v>166666.66666666666</v>
      </c>
      <c r="J77" s="154">
        <f t="shared" si="10"/>
        <v>166666.66666666666</v>
      </c>
      <c r="K77" s="154">
        <f t="shared" si="10"/>
        <v>166666.66666666666</v>
      </c>
      <c r="L77" s="154">
        <f t="shared" si="10"/>
        <v>166666.66666666666</v>
      </c>
      <c r="M77" s="154">
        <f t="shared" si="10"/>
        <v>166666.66666666666</v>
      </c>
      <c r="N77" s="154">
        <f t="shared" si="10"/>
        <v>166666.66666666666</v>
      </c>
      <c r="O77" s="154">
        <f t="shared" si="10"/>
        <v>166666.66666666666</v>
      </c>
      <c r="P77" s="154">
        <f t="shared" si="10"/>
        <v>166666.66666666666</v>
      </c>
      <c r="Q77" s="154">
        <f t="shared" si="10"/>
        <v>166666.66666666666</v>
      </c>
      <c r="R77" s="154">
        <f t="shared" si="10"/>
        <v>166666.66666666666</v>
      </c>
      <c r="S77" s="154">
        <f t="shared" si="9"/>
        <v>2000000.0000000002</v>
      </c>
      <c r="T77" s="154">
        <f t="shared" si="4"/>
        <v>6000000.0000000009</v>
      </c>
      <c r="U77" s="186">
        <f t="shared" si="5"/>
        <v>0</v>
      </c>
    </row>
    <row r="78" spans="1:21">
      <c r="A78" s="189">
        <v>43826</v>
      </c>
      <c r="B78" s="189" t="s">
        <v>0</v>
      </c>
      <c r="C78" s="16" t="s">
        <v>4576</v>
      </c>
      <c r="D78" s="187">
        <v>5025000</v>
      </c>
      <c r="E78" s="41">
        <v>36</v>
      </c>
      <c r="F78" s="154">
        <v>3349999.9999999995</v>
      </c>
      <c r="G78" s="154">
        <f t="shared" ref="G78:R78" si="11">$D$78/$E$78</f>
        <v>139583.33333333334</v>
      </c>
      <c r="H78" s="154">
        <f t="shared" si="11"/>
        <v>139583.33333333334</v>
      </c>
      <c r="I78" s="154">
        <f t="shared" si="11"/>
        <v>139583.33333333334</v>
      </c>
      <c r="J78" s="154">
        <f t="shared" si="11"/>
        <v>139583.33333333334</v>
      </c>
      <c r="K78" s="154">
        <f t="shared" si="11"/>
        <v>139583.33333333334</v>
      </c>
      <c r="L78" s="154">
        <f t="shared" si="11"/>
        <v>139583.33333333334</v>
      </c>
      <c r="M78" s="154">
        <f t="shared" si="11"/>
        <v>139583.33333333334</v>
      </c>
      <c r="N78" s="154">
        <f t="shared" si="11"/>
        <v>139583.33333333334</v>
      </c>
      <c r="O78" s="154">
        <f t="shared" si="11"/>
        <v>139583.33333333334</v>
      </c>
      <c r="P78" s="154">
        <f t="shared" si="11"/>
        <v>139583.33333333334</v>
      </c>
      <c r="Q78" s="154">
        <f t="shared" si="11"/>
        <v>139583.33333333334</v>
      </c>
      <c r="R78" s="154">
        <f t="shared" si="11"/>
        <v>139583.33333333334</v>
      </c>
      <c r="S78" s="154">
        <f t="shared" si="9"/>
        <v>1674999.9999999998</v>
      </c>
      <c r="T78" s="154">
        <f t="shared" si="4"/>
        <v>5024999.9999999991</v>
      </c>
      <c r="U78" s="186">
        <f t="shared" si="5"/>
        <v>0</v>
      </c>
    </row>
    <row r="79" spans="1:21">
      <c r="A79" s="189">
        <v>43826</v>
      </c>
      <c r="B79" s="189" t="s">
        <v>0</v>
      </c>
      <c r="C79" s="16" t="s">
        <v>4577</v>
      </c>
      <c r="D79" s="187">
        <v>4375000</v>
      </c>
      <c r="E79" s="41">
        <v>36</v>
      </c>
      <c r="F79" s="185">
        <v>2916666.6666666665</v>
      </c>
      <c r="G79" s="154">
        <f t="shared" ref="G79:R79" si="12">$D$79/$E$79</f>
        <v>121527.77777777778</v>
      </c>
      <c r="H79" s="154">
        <f t="shared" si="12"/>
        <v>121527.77777777778</v>
      </c>
      <c r="I79" s="154">
        <f t="shared" si="12"/>
        <v>121527.77777777778</v>
      </c>
      <c r="J79" s="154">
        <f t="shared" si="12"/>
        <v>121527.77777777778</v>
      </c>
      <c r="K79" s="154">
        <f t="shared" si="12"/>
        <v>121527.77777777778</v>
      </c>
      <c r="L79" s="154">
        <f t="shared" si="12"/>
        <v>121527.77777777778</v>
      </c>
      <c r="M79" s="154">
        <f t="shared" si="12"/>
        <v>121527.77777777778</v>
      </c>
      <c r="N79" s="154">
        <f t="shared" si="12"/>
        <v>121527.77777777778</v>
      </c>
      <c r="O79" s="154">
        <f t="shared" si="12"/>
        <v>121527.77777777778</v>
      </c>
      <c r="P79" s="154">
        <f t="shared" si="12"/>
        <v>121527.77777777778</v>
      </c>
      <c r="Q79" s="154">
        <f t="shared" si="12"/>
        <v>121527.77777777778</v>
      </c>
      <c r="R79" s="154">
        <f t="shared" si="12"/>
        <v>121527.77777777778</v>
      </c>
      <c r="S79" s="154">
        <f t="shared" si="9"/>
        <v>1458333.3333333333</v>
      </c>
      <c r="T79" s="154">
        <f t="shared" si="4"/>
        <v>4375000</v>
      </c>
      <c r="U79" s="186">
        <f t="shared" si="5"/>
        <v>0</v>
      </c>
    </row>
    <row r="80" spans="1:21">
      <c r="A80" s="189">
        <v>43675</v>
      </c>
      <c r="B80" s="189" t="s">
        <v>430</v>
      </c>
      <c r="C80" s="16" t="s">
        <v>4578</v>
      </c>
      <c r="D80" s="187">
        <v>2601000</v>
      </c>
      <c r="E80" s="41">
        <v>36</v>
      </c>
      <c r="F80" s="185">
        <v>1734000</v>
      </c>
      <c r="G80" s="154">
        <f t="shared" ref="G80:R80" si="13">$D$80/$E$80</f>
        <v>72250</v>
      </c>
      <c r="H80" s="154">
        <f t="shared" si="13"/>
        <v>72250</v>
      </c>
      <c r="I80" s="154">
        <f t="shared" si="13"/>
        <v>72250</v>
      </c>
      <c r="J80" s="154">
        <f t="shared" si="13"/>
        <v>72250</v>
      </c>
      <c r="K80" s="154">
        <f t="shared" si="13"/>
        <v>72250</v>
      </c>
      <c r="L80" s="154">
        <f t="shared" si="13"/>
        <v>72250</v>
      </c>
      <c r="M80" s="154">
        <f t="shared" si="13"/>
        <v>72250</v>
      </c>
      <c r="N80" s="154">
        <f t="shared" si="13"/>
        <v>72250</v>
      </c>
      <c r="O80" s="154">
        <f t="shared" si="13"/>
        <v>72250</v>
      </c>
      <c r="P80" s="154">
        <f t="shared" si="13"/>
        <v>72250</v>
      </c>
      <c r="Q80" s="154">
        <f t="shared" si="13"/>
        <v>72250</v>
      </c>
      <c r="R80" s="154">
        <f t="shared" si="13"/>
        <v>72250</v>
      </c>
      <c r="S80" s="154">
        <f t="shared" si="9"/>
        <v>867000</v>
      </c>
      <c r="T80" s="154">
        <f t="shared" si="4"/>
        <v>2601000</v>
      </c>
      <c r="U80" s="186">
        <f t="shared" si="5"/>
        <v>0</v>
      </c>
    </row>
    <row r="81" spans="1:21">
      <c r="A81" s="189">
        <v>44095</v>
      </c>
      <c r="B81" s="189" t="s">
        <v>0</v>
      </c>
      <c r="C81" s="16" t="s">
        <v>4579</v>
      </c>
      <c r="D81" s="187">
        <v>2499000</v>
      </c>
      <c r="E81" s="41">
        <v>36</v>
      </c>
      <c r="F81" s="185">
        <v>832999.99999999988</v>
      </c>
      <c r="G81" s="154">
        <f t="shared" ref="G81:R81" si="14">$D$81/$E$81</f>
        <v>69416.666666666672</v>
      </c>
      <c r="H81" s="154">
        <f t="shared" si="14"/>
        <v>69416.666666666672</v>
      </c>
      <c r="I81" s="154">
        <f t="shared" si="14"/>
        <v>69416.666666666672</v>
      </c>
      <c r="J81" s="154">
        <f t="shared" si="14"/>
        <v>69416.666666666672</v>
      </c>
      <c r="K81" s="154">
        <f t="shared" si="14"/>
        <v>69416.666666666672</v>
      </c>
      <c r="L81" s="154">
        <f t="shared" si="14"/>
        <v>69416.666666666672</v>
      </c>
      <c r="M81" s="154">
        <f t="shared" si="14"/>
        <v>69416.666666666672</v>
      </c>
      <c r="N81" s="154">
        <f t="shared" si="14"/>
        <v>69416.666666666672</v>
      </c>
      <c r="O81" s="154">
        <f t="shared" si="14"/>
        <v>69416.666666666672</v>
      </c>
      <c r="P81" s="154">
        <f t="shared" si="14"/>
        <v>69416.666666666672</v>
      </c>
      <c r="Q81" s="154">
        <f t="shared" si="14"/>
        <v>69416.666666666672</v>
      </c>
      <c r="R81" s="154">
        <f t="shared" si="14"/>
        <v>69416.666666666672</v>
      </c>
      <c r="S81" s="154">
        <f t="shared" si="9"/>
        <v>832999.99999999988</v>
      </c>
      <c r="T81" s="154">
        <f t="shared" si="4"/>
        <v>1665999.9999999998</v>
      </c>
      <c r="U81" s="186">
        <f t="shared" si="5"/>
        <v>833000.00000000023</v>
      </c>
    </row>
    <row r="82" spans="1:21">
      <c r="A82" s="189">
        <v>44117</v>
      </c>
      <c r="B82" s="189" t="s">
        <v>0</v>
      </c>
      <c r="C82" s="16" t="s">
        <v>4580</v>
      </c>
      <c r="D82" s="187">
        <v>19510000</v>
      </c>
      <c r="E82" s="41">
        <v>36</v>
      </c>
      <c r="F82" s="185">
        <v>6503333.3333333321</v>
      </c>
      <c r="G82" s="190">
        <f t="shared" ref="G82:R82" si="15">$D$82/$E$82</f>
        <v>541944.4444444445</v>
      </c>
      <c r="H82" s="190">
        <f t="shared" si="15"/>
        <v>541944.4444444445</v>
      </c>
      <c r="I82" s="190">
        <f t="shared" si="15"/>
        <v>541944.4444444445</v>
      </c>
      <c r="J82" s="190">
        <f t="shared" si="15"/>
        <v>541944.4444444445</v>
      </c>
      <c r="K82" s="190">
        <f t="shared" si="15"/>
        <v>541944.4444444445</v>
      </c>
      <c r="L82" s="190">
        <f t="shared" si="15"/>
        <v>541944.4444444445</v>
      </c>
      <c r="M82" s="190">
        <f t="shared" si="15"/>
        <v>541944.4444444445</v>
      </c>
      <c r="N82" s="190">
        <f t="shared" si="15"/>
        <v>541944.4444444445</v>
      </c>
      <c r="O82" s="190">
        <f t="shared" si="15"/>
        <v>541944.4444444445</v>
      </c>
      <c r="P82" s="190">
        <f t="shared" si="15"/>
        <v>541944.4444444445</v>
      </c>
      <c r="Q82" s="190">
        <f t="shared" si="15"/>
        <v>541944.4444444445</v>
      </c>
      <c r="R82" s="190">
        <f t="shared" si="15"/>
        <v>541944.4444444445</v>
      </c>
      <c r="S82" s="154">
        <f t="shared" si="9"/>
        <v>6503333.3333333321</v>
      </c>
      <c r="T82" s="154">
        <f t="shared" si="4"/>
        <v>13006666.666666664</v>
      </c>
      <c r="U82" s="186">
        <f t="shared" si="5"/>
        <v>6503333.3333333358</v>
      </c>
    </row>
    <row r="83" spans="1:21">
      <c r="A83" s="189">
        <v>43894</v>
      </c>
      <c r="B83" s="189" t="s">
        <v>430</v>
      </c>
      <c r="C83" s="16" t="s">
        <v>4581</v>
      </c>
      <c r="D83" s="187">
        <v>11832000</v>
      </c>
      <c r="E83" s="41">
        <v>36</v>
      </c>
      <c r="F83" s="185">
        <v>3943999.9999999995</v>
      </c>
      <c r="G83" s="190">
        <f t="shared" ref="G83:R83" si="16">$D$83/$E$83</f>
        <v>328666.66666666669</v>
      </c>
      <c r="H83" s="190">
        <f t="shared" si="16"/>
        <v>328666.66666666669</v>
      </c>
      <c r="I83" s="190">
        <f t="shared" si="16"/>
        <v>328666.66666666669</v>
      </c>
      <c r="J83" s="190">
        <f t="shared" si="16"/>
        <v>328666.66666666669</v>
      </c>
      <c r="K83" s="190">
        <f t="shared" si="16"/>
        <v>328666.66666666669</v>
      </c>
      <c r="L83" s="190">
        <f t="shared" si="16"/>
        <v>328666.66666666669</v>
      </c>
      <c r="M83" s="190">
        <f t="shared" si="16"/>
        <v>328666.66666666669</v>
      </c>
      <c r="N83" s="190">
        <f t="shared" si="16"/>
        <v>328666.66666666669</v>
      </c>
      <c r="O83" s="190">
        <f t="shared" si="16"/>
        <v>328666.66666666669</v>
      </c>
      <c r="P83" s="190">
        <f t="shared" si="16"/>
        <v>328666.66666666669</v>
      </c>
      <c r="Q83" s="190">
        <f t="shared" si="16"/>
        <v>328666.66666666669</v>
      </c>
      <c r="R83" s="190">
        <f t="shared" si="16"/>
        <v>328666.66666666669</v>
      </c>
      <c r="S83" s="154">
        <f t="shared" ref="S83:S85" si="17">SUM(G83:R83)</f>
        <v>3943999.9999999995</v>
      </c>
      <c r="T83" s="154">
        <f t="shared" ref="T83:T85" si="18">+F83+S83</f>
        <v>7887999.9999999991</v>
      </c>
      <c r="U83" s="186">
        <f t="shared" ref="U83:U85" si="19">+D83-T83</f>
        <v>3944000.0000000009</v>
      </c>
    </row>
    <row r="84" spans="1:21">
      <c r="A84" s="189">
        <v>44223</v>
      </c>
      <c r="B84" s="189" t="s">
        <v>430</v>
      </c>
      <c r="C84" s="16" t="s">
        <v>4624</v>
      </c>
      <c r="D84" s="187">
        <v>2904600</v>
      </c>
      <c r="E84" s="41">
        <v>36</v>
      </c>
      <c r="F84" s="185">
        <v>0</v>
      </c>
      <c r="G84" s="190">
        <f t="shared" ref="G84:R84" si="20">$D$84/$E$84</f>
        <v>80683.333333333328</v>
      </c>
      <c r="H84" s="190">
        <f t="shared" si="20"/>
        <v>80683.333333333328</v>
      </c>
      <c r="I84" s="190">
        <f t="shared" si="20"/>
        <v>80683.333333333328</v>
      </c>
      <c r="J84" s="190">
        <f t="shared" si="20"/>
        <v>80683.333333333328</v>
      </c>
      <c r="K84" s="190">
        <f t="shared" si="20"/>
        <v>80683.333333333328</v>
      </c>
      <c r="L84" s="190">
        <f t="shared" si="20"/>
        <v>80683.333333333328</v>
      </c>
      <c r="M84" s="190">
        <f t="shared" si="20"/>
        <v>80683.333333333328</v>
      </c>
      <c r="N84" s="190">
        <f t="shared" si="20"/>
        <v>80683.333333333328</v>
      </c>
      <c r="O84" s="190">
        <f t="shared" si="20"/>
        <v>80683.333333333328</v>
      </c>
      <c r="P84" s="190">
        <f t="shared" si="20"/>
        <v>80683.333333333328</v>
      </c>
      <c r="Q84" s="190">
        <f t="shared" si="20"/>
        <v>80683.333333333328</v>
      </c>
      <c r="R84" s="190">
        <f t="shared" si="20"/>
        <v>80683.333333333328</v>
      </c>
      <c r="S84" s="154">
        <f t="shared" si="17"/>
        <v>968200.00000000012</v>
      </c>
      <c r="T84" s="154">
        <f t="shared" si="18"/>
        <v>968200.00000000012</v>
      </c>
      <c r="U84" s="186">
        <f t="shared" si="19"/>
        <v>1936400</v>
      </c>
    </row>
    <row r="85" spans="1:21">
      <c r="A85" s="189">
        <v>44242</v>
      </c>
      <c r="B85" s="189" t="s">
        <v>449</v>
      </c>
      <c r="C85" s="16" t="s">
        <v>789</v>
      </c>
      <c r="D85" s="187">
        <v>20100000</v>
      </c>
      <c r="E85" s="41">
        <v>36</v>
      </c>
      <c r="F85" s="185">
        <v>0</v>
      </c>
      <c r="G85" s="190">
        <f t="shared" ref="G85:R85" si="21">$D$85/$E$85</f>
        <v>558333.33333333337</v>
      </c>
      <c r="H85" s="190">
        <f t="shared" si="21"/>
        <v>558333.33333333337</v>
      </c>
      <c r="I85" s="190">
        <f t="shared" si="21"/>
        <v>558333.33333333337</v>
      </c>
      <c r="J85" s="190">
        <f t="shared" si="21"/>
        <v>558333.33333333337</v>
      </c>
      <c r="K85" s="190">
        <f t="shared" si="21"/>
        <v>558333.33333333337</v>
      </c>
      <c r="L85" s="190">
        <f t="shared" si="21"/>
        <v>558333.33333333337</v>
      </c>
      <c r="M85" s="190">
        <f t="shared" si="21"/>
        <v>558333.33333333337</v>
      </c>
      <c r="N85" s="190">
        <f t="shared" si="21"/>
        <v>558333.33333333337</v>
      </c>
      <c r="O85" s="190">
        <f t="shared" si="21"/>
        <v>558333.33333333337</v>
      </c>
      <c r="P85" s="190">
        <f t="shared" si="21"/>
        <v>558333.33333333337</v>
      </c>
      <c r="Q85" s="190">
        <f t="shared" si="21"/>
        <v>558333.33333333337</v>
      </c>
      <c r="R85" s="190">
        <f t="shared" si="21"/>
        <v>558333.33333333337</v>
      </c>
      <c r="S85" s="154">
        <f t="shared" si="17"/>
        <v>6699999.9999999991</v>
      </c>
      <c r="T85" s="154">
        <f t="shared" si="18"/>
        <v>6699999.9999999991</v>
      </c>
      <c r="U85" s="186">
        <f t="shared" si="19"/>
        <v>13400000</v>
      </c>
    </row>
    <row r="86" spans="1:21">
      <c r="A86" s="189">
        <v>44254</v>
      </c>
      <c r="B86" s="189" t="s">
        <v>449</v>
      </c>
      <c r="C86" s="16" t="s">
        <v>4625</v>
      </c>
      <c r="D86" s="187">
        <v>1249000</v>
      </c>
      <c r="E86" s="41">
        <v>36</v>
      </c>
      <c r="F86" s="185">
        <v>0</v>
      </c>
      <c r="G86" s="190">
        <f t="shared" ref="G86:R86" si="22">$D$86/$E$86</f>
        <v>34694.444444444445</v>
      </c>
      <c r="H86" s="190">
        <f t="shared" si="22"/>
        <v>34694.444444444445</v>
      </c>
      <c r="I86" s="190">
        <f t="shared" si="22"/>
        <v>34694.444444444445</v>
      </c>
      <c r="J86" s="190">
        <f t="shared" si="22"/>
        <v>34694.444444444445</v>
      </c>
      <c r="K86" s="190">
        <f t="shared" si="22"/>
        <v>34694.444444444445</v>
      </c>
      <c r="L86" s="190">
        <f t="shared" si="22"/>
        <v>34694.444444444445</v>
      </c>
      <c r="M86" s="154">
        <f t="shared" si="22"/>
        <v>34694.444444444445</v>
      </c>
      <c r="N86" s="154">
        <f t="shared" si="22"/>
        <v>34694.444444444445</v>
      </c>
      <c r="O86" s="154">
        <f t="shared" si="22"/>
        <v>34694.444444444445</v>
      </c>
      <c r="P86" s="154">
        <f t="shared" si="22"/>
        <v>34694.444444444445</v>
      </c>
      <c r="Q86" s="154">
        <f t="shared" si="22"/>
        <v>34694.444444444445</v>
      </c>
      <c r="R86" s="154">
        <f t="shared" si="22"/>
        <v>34694.444444444445</v>
      </c>
      <c r="S86" s="154">
        <f t="shared" si="9"/>
        <v>416333.33333333331</v>
      </c>
      <c r="T86" s="154">
        <f t="shared" si="4"/>
        <v>416333.33333333331</v>
      </c>
      <c r="U86" s="186">
        <f t="shared" si="5"/>
        <v>832666.66666666674</v>
      </c>
    </row>
    <row r="87" spans="1:21">
      <c r="A87" s="189"/>
      <c r="B87" s="189"/>
      <c r="D87" s="187"/>
      <c r="E87" s="41"/>
      <c r="F87" s="185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86"/>
    </row>
    <row r="88" spans="1:21">
      <c r="D88" s="192">
        <f>SUM(D6:D87)</f>
        <v>638548207</v>
      </c>
      <c r="E88" s="16" t="s">
        <v>4506</v>
      </c>
      <c r="F88" s="192">
        <f t="shared" ref="F88:U88" si="23">SUM(F6:F87)</f>
        <v>573199819.44444442</v>
      </c>
      <c r="G88" s="192">
        <f t="shared" si="23"/>
        <v>3333828.444444445</v>
      </c>
      <c r="H88" s="192">
        <f t="shared" si="23"/>
        <v>3333828.444444445</v>
      </c>
      <c r="I88" s="192">
        <f t="shared" si="23"/>
        <v>3199800.666666667</v>
      </c>
      <c r="J88" s="192">
        <f t="shared" si="23"/>
        <v>3199800.666666667</v>
      </c>
      <c r="K88" s="192">
        <f t="shared" si="23"/>
        <v>3199800.666666667</v>
      </c>
      <c r="L88" s="192">
        <f t="shared" si="23"/>
        <v>3199792.666666667</v>
      </c>
      <c r="M88" s="192">
        <f t="shared" si="23"/>
        <v>3072022.666666667</v>
      </c>
      <c r="N88" s="192">
        <f t="shared" si="23"/>
        <v>3072022.666666667</v>
      </c>
      <c r="O88" s="192">
        <f t="shared" si="23"/>
        <v>3072022.666666667</v>
      </c>
      <c r="P88" s="192">
        <f t="shared" si="23"/>
        <v>3072022.666666667</v>
      </c>
      <c r="Q88" s="192">
        <f t="shared" si="23"/>
        <v>3072022.666666667</v>
      </c>
      <c r="R88" s="192">
        <f t="shared" si="23"/>
        <v>3072022.666666667</v>
      </c>
      <c r="S88" s="192">
        <f t="shared" si="23"/>
        <v>37898987.555555552</v>
      </c>
      <c r="T88" s="192">
        <f t="shared" si="23"/>
        <v>611098807</v>
      </c>
      <c r="U88" s="192">
        <f t="shared" si="23"/>
        <v>27449400.000000004</v>
      </c>
    </row>
    <row r="89" spans="1:21">
      <c r="C89" s="16" t="s">
        <v>64</v>
      </c>
      <c r="D89" s="187"/>
      <c r="F89" s="154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86"/>
    </row>
    <row r="90" spans="1:21">
      <c r="C90" s="183" t="s">
        <v>4582</v>
      </c>
      <c r="D90" s="187" t="s">
        <v>64</v>
      </c>
      <c r="E90" s="41" t="s">
        <v>64</v>
      </c>
      <c r="F90" s="154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86"/>
    </row>
    <row r="91" spans="1:21">
      <c r="A91" s="189">
        <v>40138</v>
      </c>
      <c r="B91" s="189"/>
      <c r="C91" s="16" t="s">
        <v>4583</v>
      </c>
      <c r="D91" s="184">
        <v>0</v>
      </c>
      <c r="E91" s="41">
        <v>48</v>
      </c>
      <c r="F91" s="185">
        <v>0</v>
      </c>
      <c r="G91" s="154">
        <v>0</v>
      </c>
      <c r="H91" s="154">
        <v>0</v>
      </c>
      <c r="I91" s="154">
        <v>0</v>
      </c>
      <c r="J91" s="154">
        <v>0</v>
      </c>
      <c r="K91" s="154">
        <v>0</v>
      </c>
      <c r="L91" s="154">
        <v>0</v>
      </c>
      <c r="M91" s="154">
        <v>0</v>
      </c>
      <c r="N91" s="154">
        <v>0</v>
      </c>
      <c r="O91" s="154">
        <v>0</v>
      </c>
      <c r="P91" s="154">
        <v>0</v>
      </c>
      <c r="Q91" s="154">
        <v>0</v>
      </c>
      <c r="R91" s="154">
        <v>0</v>
      </c>
      <c r="S91" s="186">
        <f t="shared" ref="S91:S98" si="24">SUM(G91:R91)</f>
        <v>0</v>
      </c>
      <c r="T91" s="154">
        <f t="shared" ref="T91:T98" si="25">+F91+S91</f>
        <v>0</v>
      </c>
      <c r="U91" s="186">
        <f t="shared" ref="U91:U98" si="26">+D91-T91</f>
        <v>0</v>
      </c>
    </row>
    <row r="92" spans="1:21">
      <c r="A92" s="189">
        <v>40058</v>
      </c>
      <c r="B92" s="189"/>
      <c r="C92" s="16" t="s">
        <v>4584</v>
      </c>
      <c r="D92" s="184">
        <v>0</v>
      </c>
      <c r="E92" s="41">
        <v>48</v>
      </c>
      <c r="F92" s="185">
        <v>0</v>
      </c>
      <c r="G92" s="154">
        <v>0</v>
      </c>
      <c r="H92" s="154">
        <v>0</v>
      </c>
      <c r="I92" s="154">
        <v>0</v>
      </c>
      <c r="J92" s="154">
        <v>0</v>
      </c>
      <c r="K92" s="154">
        <v>0</v>
      </c>
      <c r="L92" s="154">
        <v>0</v>
      </c>
      <c r="M92" s="154">
        <v>0</v>
      </c>
      <c r="N92" s="154">
        <v>0</v>
      </c>
      <c r="O92" s="154">
        <v>0</v>
      </c>
      <c r="P92" s="154">
        <v>0</v>
      </c>
      <c r="Q92" s="154">
        <v>0</v>
      </c>
      <c r="R92" s="154">
        <v>0</v>
      </c>
      <c r="S92" s="186">
        <f t="shared" si="24"/>
        <v>0</v>
      </c>
      <c r="T92" s="154">
        <f t="shared" si="25"/>
        <v>0</v>
      </c>
      <c r="U92" s="186">
        <f t="shared" si="26"/>
        <v>0</v>
      </c>
    </row>
    <row r="93" spans="1:21">
      <c r="A93" s="189">
        <v>40665</v>
      </c>
      <c r="B93" s="189"/>
      <c r="C93" s="16" t="s">
        <v>4585</v>
      </c>
      <c r="D93" s="184">
        <v>0</v>
      </c>
      <c r="E93" s="41">
        <v>48</v>
      </c>
      <c r="F93" s="185">
        <v>0</v>
      </c>
      <c r="G93" s="154">
        <v>0</v>
      </c>
      <c r="H93" s="154">
        <v>0</v>
      </c>
      <c r="I93" s="154">
        <v>0</v>
      </c>
      <c r="J93" s="154">
        <v>0</v>
      </c>
      <c r="K93" s="154">
        <v>0</v>
      </c>
      <c r="L93" s="154">
        <v>0</v>
      </c>
      <c r="M93" s="154">
        <v>0</v>
      </c>
      <c r="N93" s="154">
        <v>0</v>
      </c>
      <c r="O93" s="154">
        <v>0</v>
      </c>
      <c r="P93" s="154">
        <v>0</v>
      </c>
      <c r="Q93" s="154">
        <v>0</v>
      </c>
      <c r="R93" s="154">
        <v>0</v>
      </c>
      <c r="S93" s="186">
        <f t="shared" si="24"/>
        <v>0</v>
      </c>
      <c r="T93" s="154">
        <f t="shared" si="25"/>
        <v>0</v>
      </c>
      <c r="U93" s="186">
        <f t="shared" si="26"/>
        <v>0</v>
      </c>
    </row>
    <row r="94" spans="1:21">
      <c r="A94" s="189">
        <v>40805</v>
      </c>
      <c r="B94" s="189"/>
      <c r="C94" s="16" t="s">
        <v>4586</v>
      </c>
      <c r="D94" s="184">
        <v>0</v>
      </c>
      <c r="E94" s="41">
        <v>48</v>
      </c>
      <c r="F94" s="185">
        <v>0</v>
      </c>
      <c r="G94" s="154">
        <v>0</v>
      </c>
      <c r="H94" s="154">
        <v>0</v>
      </c>
      <c r="I94" s="154">
        <v>0</v>
      </c>
      <c r="J94" s="154">
        <v>0</v>
      </c>
      <c r="K94" s="154">
        <v>0</v>
      </c>
      <c r="L94" s="154">
        <v>0</v>
      </c>
      <c r="M94" s="154">
        <v>0</v>
      </c>
      <c r="N94" s="154">
        <v>0</v>
      </c>
      <c r="O94" s="154">
        <v>0</v>
      </c>
      <c r="P94" s="154">
        <v>0</v>
      </c>
      <c r="Q94" s="154">
        <v>0</v>
      </c>
      <c r="R94" s="154">
        <v>0</v>
      </c>
      <c r="S94" s="186">
        <f t="shared" si="24"/>
        <v>0</v>
      </c>
      <c r="T94" s="154">
        <f t="shared" si="25"/>
        <v>0</v>
      </c>
      <c r="U94" s="186">
        <f t="shared" si="26"/>
        <v>0</v>
      </c>
    </row>
    <row r="95" spans="1:21">
      <c r="A95" s="189">
        <v>42384</v>
      </c>
      <c r="B95" s="189" t="s">
        <v>4587</v>
      </c>
      <c r="C95" s="16" t="s">
        <v>4588</v>
      </c>
      <c r="D95" s="184">
        <f>15000000+173760000</f>
        <v>188760000</v>
      </c>
      <c r="E95" s="41">
        <v>48</v>
      </c>
      <c r="F95" s="185">
        <v>188760000</v>
      </c>
      <c r="G95" s="154">
        <v>0</v>
      </c>
      <c r="H95" s="154">
        <v>0</v>
      </c>
      <c r="I95" s="154">
        <v>0</v>
      </c>
      <c r="J95" s="154">
        <v>0</v>
      </c>
      <c r="K95" s="154">
        <v>0</v>
      </c>
      <c r="L95" s="154">
        <v>0</v>
      </c>
      <c r="M95" s="154">
        <v>0</v>
      </c>
      <c r="N95" s="154">
        <v>0</v>
      </c>
      <c r="O95" s="154">
        <v>0</v>
      </c>
      <c r="P95" s="154">
        <v>0</v>
      </c>
      <c r="Q95" s="154">
        <v>0</v>
      </c>
      <c r="R95" s="154">
        <v>0</v>
      </c>
      <c r="S95" s="186">
        <f t="shared" si="24"/>
        <v>0</v>
      </c>
      <c r="T95" s="154">
        <f t="shared" si="25"/>
        <v>188760000</v>
      </c>
      <c r="U95" s="186">
        <f t="shared" si="26"/>
        <v>0</v>
      </c>
    </row>
    <row r="96" spans="1:21">
      <c r="A96" s="189" t="s">
        <v>597</v>
      </c>
      <c r="B96" s="189" t="s">
        <v>64</v>
      </c>
      <c r="C96" s="16" t="s">
        <v>4589</v>
      </c>
      <c r="D96" s="190">
        <f>500000000+1000000000+241026554.53</f>
        <v>1741026554.53</v>
      </c>
      <c r="E96" s="41">
        <f>12*5</f>
        <v>60</v>
      </c>
      <c r="F96" s="113">
        <v>1392821243.6239996</v>
      </c>
      <c r="G96" s="154">
        <f t="shared" ref="G96:R96" si="27">$D$96/$E$96</f>
        <v>29017109.242166664</v>
      </c>
      <c r="H96" s="154">
        <f t="shared" si="27"/>
        <v>29017109.242166664</v>
      </c>
      <c r="I96" s="154">
        <f t="shared" si="27"/>
        <v>29017109.242166664</v>
      </c>
      <c r="J96" s="154">
        <f t="shared" si="27"/>
        <v>29017109.242166664</v>
      </c>
      <c r="K96" s="154">
        <f t="shared" si="27"/>
        <v>29017109.242166664</v>
      </c>
      <c r="L96" s="154">
        <f t="shared" si="27"/>
        <v>29017109.242166664</v>
      </c>
      <c r="M96" s="154">
        <f t="shared" si="27"/>
        <v>29017109.242166664</v>
      </c>
      <c r="N96" s="154">
        <f t="shared" si="27"/>
        <v>29017109.242166664</v>
      </c>
      <c r="O96" s="154">
        <f t="shared" si="27"/>
        <v>29017109.242166664</v>
      </c>
      <c r="P96" s="154">
        <f t="shared" si="27"/>
        <v>29017109.242166664</v>
      </c>
      <c r="Q96" s="154">
        <f t="shared" si="27"/>
        <v>29017109.242166664</v>
      </c>
      <c r="R96" s="154">
        <f t="shared" si="27"/>
        <v>29017109.242166664</v>
      </c>
      <c r="S96" s="186">
        <f t="shared" si="24"/>
        <v>348205310.9059999</v>
      </c>
      <c r="T96" s="154">
        <f t="shared" si="25"/>
        <v>1741026554.5299995</v>
      </c>
      <c r="U96" s="186">
        <f t="shared" si="26"/>
        <v>0</v>
      </c>
    </row>
    <row r="97" spans="1:21">
      <c r="A97" s="189">
        <v>42775</v>
      </c>
      <c r="B97" s="189" t="s">
        <v>4587</v>
      </c>
      <c r="C97" s="16" t="s">
        <v>4590</v>
      </c>
      <c r="D97" s="184">
        <f>75152000+157786908</f>
        <v>232938908</v>
      </c>
      <c r="E97" s="41">
        <v>48</v>
      </c>
      <c r="F97" s="185">
        <v>228086014.08333331</v>
      </c>
      <c r="G97" s="154">
        <f>$D$97/$E$97</f>
        <v>4852893.916666667</v>
      </c>
      <c r="H97" s="154">
        <v>0</v>
      </c>
      <c r="I97" s="154">
        <v>0</v>
      </c>
      <c r="J97" s="154">
        <v>0</v>
      </c>
      <c r="K97" s="154">
        <v>0</v>
      </c>
      <c r="L97" s="154">
        <v>0</v>
      </c>
      <c r="M97" s="154">
        <v>0</v>
      </c>
      <c r="N97" s="154">
        <v>0</v>
      </c>
      <c r="O97" s="154">
        <v>0</v>
      </c>
      <c r="P97" s="154">
        <v>0</v>
      </c>
      <c r="Q97" s="154">
        <v>0</v>
      </c>
      <c r="R97" s="154">
        <v>0</v>
      </c>
      <c r="S97" s="186">
        <f t="shared" si="24"/>
        <v>4852893.916666667</v>
      </c>
      <c r="T97" s="154">
        <f t="shared" si="25"/>
        <v>232938907.99999997</v>
      </c>
      <c r="U97" s="186">
        <f t="shared" si="26"/>
        <v>0</v>
      </c>
    </row>
    <row r="98" spans="1:21">
      <c r="A98" s="189">
        <v>42864</v>
      </c>
      <c r="B98" s="189" t="s">
        <v>449</v>
      </c>
      <c r="C98" s="16" t="s">
        <v>4591</v>
      </c>
      <c r="D98" s="184">
        <v>118750000</v>
      </c>
      <c r="E98" s="41">
        <v>48</v>
      </c>
      <c r="F98" s="185">
        <v>116276041.66666666</v>
      </c>
      <c r="G98" s="154">
        <f>$D$98/$E$98</f>
        <v>2473958.3333333335</v>
      </c>
      <c r="H98" s="154">
        <v>0</v>
      </c>
      <c r="I98" s="154">
        <v>0</v>
      </c>
      <c r="J98" s="154">
        <v>0</v>
      </c>
      <c r="K98" s="154">
        <v>0</v>
      </c>
      <c r="L98" s="154">
        <v>0</v>
      </c>
      <c r="M98" s="154">
        <v>0</v>
      </c>
      <c r="N98" s="154">
        <v>0</v>
      </c>
      <c r="O98" s="154">
        <v>0</v>
      </c>
      <c r="P98" s="154">
        <v>0</v>
      </c>
      <c r="Q98" s="154">
        <v>0</v>
      </c>
      <c r="R98" s="154">
        <v>0</v>
      </c>
      <c r="S98" s="186">
        <f t="shared" si="24"/>
        <v>2473958.3333333335</v>
      </c>
      <c r="T98" s="154">
        <f t="shared" si="25"/>
        <v>118749999.99999999</v>
      </c>
      <c r="U98" s="186">
        <f t="shared" si="26"/>
        <v>0</v>
      </c>
    </row>
    <row r="99" spans="1:21">
      <c r="A99" s="189"/>
      <c r="B99" s="189"/>
      <c r="D99" s="184"/>
      <c r="E99" s="41"/>
      <c r="F99" s="185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86"/>
      <c r="T99" s="154"/>
      <c r="U99" s="186"/>
    </row>
    <row r="100" spans="1:21">
      <c r="A100" s="180"/>
      <c r="B100" s="180"/>
      <c r="C100" s="16" t="s">
        <v>4506</v>
      </c>
      <c r="D100" s="192">
        <f>SUM(D91:D99)</f>
        <v>2281475462.5299997</v>
      </c>
      <c r="E100" s="41"/>
      <c r="F100" s="192">
        <f>SUM(F91:F99)</f>
        <v>1925943299.3739996</v>
      </c>
      <c r="G100" s="192">
        <f>SUM(G91:G99)</f>
        <v>36343961.492166668</v>
      </c>
      <c r="H100" s="192">
        <f t="shared" ref="H100:U100" si="28">SUM(H91:H99)</f>
        <v>29017109.242166664</v>
      </c>
      <c r="I100" s="192">
        <f t="shared" si="28"/>
        <v>29017109.242166664</v>
      </c>
      <c r="J100" s="192">
        <f t="shared" si="28"/>
        <v>29017109.242166664</v>
      </c>
      <c r="K100" s="192">
        <f t="shared" si="28"/>
        <v>29017109.242166664</v>
      </c>
      <c r="L100" s="192">
        <f t="shared" si="28"/>
        <v>29017109.242166664</v>
      </c>
      <c r="M100" s="192">
        <f t="shared" si="28"/>
        <v>29017109.242166664</v>
      </c>
      <c r="N100" s="192">
        <f t="shared" si="28"/>
        <v>29017109.242166664</v>
      </c>
      <c r="O100" s="192">
        <f t="shared" si="28"/>
        <v>29017109.242166664</v>
      </c>
      <c r="P100" s="192">
        <f t="shared" si="28"/>
        <v>29017109.242166664</v>
      </c>
      <c r="Q100" s="192">
        <f t="shared" si="28"/>
        <v>29017109.242166664</v>
      </c>
      <c r="R100" s="192">
        <f t="shared" si="28"/>
        <v>29017109.242166664</v>
      </c>
      <c r="S100" s="192">
        <f t="shared" si="28"/>
        <v>355532163.1559999</v>
      </c>
      <c r="T100" s="192">
        <f t="shared" si="28"/>
        <v>2281475462.5299993</v>
      </c>
      <c r="U100" s="192">
        <f t="shared" si="28"/>
        <v>0</v>
      </c>
    </row>
    <row r="101" spans="1:21">
      <c r="C101" s="183"/>
      <c r="D101" s="187"/>
      <c r="F101" s="69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86"/>
    </row>
    <row r="102" spans="1:21">
      <c r="C102" s="183" t="s">
        <v>4592</v>
      </c>
      <c r="D102" s="187">
        <v>0</v>
      </c>
      <c r="F102" s="69">
        <v>0</v>
      </c>
      <c r="G102" s="186">
        <v>0</v>
      </c>
      <c r="H102" s="186">
        <v>0</v>
      </c>
      <c r="I102" s="186">
        <v>0</v>
      </c>
      <c r="J102" s="186">
        <v>0</v>
      </c>
      <c r="K102" s="186">
        <v>0</v>
      </c>
      <c r="L102" s="186">
        <v>0</v>
      </c>
      <c r="M102" s="186">
        <v>0</v>
      </c>
      <c r="N102" s="186">
        <v>0</v>
      </c>
      <c r="O102" s="186">
        <v>0</v>
      </c>
      <c r="P102" s="186">
        <v>0</v>
      </c>
      <c r="Q102" s="186">
        <v>0</v>
      </c>
      <c r="R102" s="186">
        <v>0</v>
      </c>
      <c r="S102" s="154">
        <f>SUM(G102:R102)</f>
        <v>0</v>
      </c>
      <c r="T102" s="154">
        <f>+F102+S102</f>
        <v>0</v>
      </c>
      <c r="U102" s="186">
        <f>+D102-F102-S102</f>
        <v>0</v>
      </c>
    </row>
    <row r="103" spans="1:21">
      <c r="A103" s="189"/>
      <c r="B103" s="189"/>
      <c r="D103" s="192"/>
      <c r="E103" s="41"/>
      <c r="F103" s="154" t="s">
        <v>64</v>
      </c>
      <c r="G103" s="154" t="s">
        <v>4506</v>
      </c>
      <c r="H103" s="154" t="s">
        <v>4506</v>
      </c>
      <c r="I103" s="154" t="s">
        <v>4506</v>
      </c>
      <c r="J103" s="154" t="s">
        <v>4506</v>
      </c>
      <c r="K103" s="154" t="s">
        <v>4506</v>
      </c>
      <c r="L103" s="154" t="s">
        <v>4506</v>
      </c>
      <c r="M103" s="154" t="s">
        <v>4506</v>
      </c>
      <c r="N103" s="154" t="s">
        <v>4506</v>
      </c>
      <c r="O103" s="154" t="s">
        <v>4506</v>
      </c>
      <c r="P103" s="154" t="s">
        <v>4506</v>
      </c>
      <c r="Q103" s="154" t="s">
        <v>4506</v>
      </c>
      <c r="R103" s="154" t="s">
        <v>4506</v>
      </c>
      <c r="S103" s="186" t="s">
        <v>4506</v>
      </c>
      <c r="T103" s="154" t="s">
        <v>4506</v>
      </c>
      <c r="U103" s="186" t="s">
        <v>4506</v>
      </c>
    </row>
    <row r="104" spans="1:21">
      <c r="A104" s="189"/>
      <c r="B104" s="189"/>
      <c r="D104" s="193">
        <f>+D88+D100+D102</f>
        <v>2920023669.5299997</v>
      </c>
      <c r="E104" s="41"/>
      <c r="F104" s="193">
        <f t="shared" ref="F104:U104" si="29">+F88+F100+F102</f>
        <v>2499143118.8184443</v>
      </c>
      <c r="G104" s="193">
        <f t="shared" si="29"/>
        <v>39677789.936611116</v>
      </c>
      <c r="H104" s="193">
        <f t="shared" si="29"/>
        <v>32350937.686611108</v>
      </c>
      <c r="I104" s="193">
        <f t="shared" si="29"/>
        <v>32216909.908833332</v>
      </c>
      <c r="J104" s="193">
        <f t="shared" si="29"/>
        <v>32216909.908833332</v>
      </c>
      <c r="K104" s="193">
        <f t="shared" si="29"/>
        <v>32216909.908833332</v>
      </c>
      <c r="L104" s="193">
        <f t="shared" si="29"/>
        <v>32216901.908833332</v>
      </c>
      <c r="M104" s="193">
        <f t="shared" si="29"/>
        <v>32089131.908833332</v>
      </c>
      <c r="N104" s="193">
        <f t="shared" si="29"/>
        <v>32089131.908833332</v>
      </c>
      <c r="O104" s="193">
        <f t="shared" si="29"/>
        <v>32089131.908833332</v>
      </c>
      <c r="P104" s="193">
        <f t="shared" si="29"/>
        <v>32089131.908833332</v>
      </c>
      <c r="Q104" s="193">
        <f t="shared" si="29"/>
        <v>32089131.908833332</v>
      </c>
      <c r="R104" s="193">
        <f t="shared" si="29"/>
        <v>32089131.908833332</v>
      </c>
      <c r="S104" s="193">
        <f t="shared" si="29"/>
        <v>393431150.71155548</v>
      </c>
      <c r="T104" s="193">
        <f t="shared" si="29"/>
        <v>2892574269.5299993</v>
      </c>
      <c r="U104" s="193">
        <f t="shared" si="29"/>
        <v>27449400.000000004</v>
      </c>
    </row>
    <row r="105" spans="1:21">
      <c r="A105" s="189"/>
      <c r="B105" s="189"/>
      <c r="D105" s="193"/>
      <c r="E105" s="41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</row>
    <row r="106" spans="1:21">
      <c r="A106" s="189"/>
      <c r="B106" s="189"/>
      <c r="D106" s="193">
        <f>2050000000-D96</f>
        <v>308973445.47000003</v>
      </c>
      <c r="E106" s="41"/>
      <c r="F106" s="193"/>
      <c r="G106" s="193">
        <f>+G104</f>
        <v>39677789.936611116</v>
      </c>
      <c r="H106" s="193">
        <f>+G106+H104</f>
        <v>72028727.623222232</v>
      </c>
      <c r="I106" s="193">
        <f t="shared" ref="I106:R106" si="30">+H106+I104</f>
        <v>104245637.53205556</v>
      </c>
      <c r="J106" s="193">
        <f t="shared" si="30"/>
        <v>136462547.44088888</v>
      </c>
      <c r="K106" s="193">
        <f t="shared" si="30"/>
        <v>168679457.34972221</v>
      </c>
      <c r="L106" s="193">
        <f t="shared" si="30"/>
        <v>200896359.25855553</v>
      </c>
      <c r="M106" s="193">
        <f t="shared" si="30"/>
        <v>232985491.16738886</v>
      </c>
      <c r="N106" s="193">
        <f t="shared" si="30"/>
        <v>265074623.07622218</v>
      </c>
      <c r="O106" s="193">
        <f t="shared" si="30"/>
        <v>297163754.98505551</v>
      </c>
      <c r="P106" s="193">
        <f t="shared" si="30"/>
        <v>329252886.89388883</v>
      </c>
      <c r="Q106" s="193">
        <f t="shared" si="30"/>
        <v>361342018.80272216</v>
      </c>
      <c r="R106" s="193">
        <f t="shared" si="30"/>
        <v>393431150.71155548</v>
      </c>
      <c r="S106" s="193"/>
      <c r="T106" s="193"/>
      <c r="U106" s="193"/>
    </row>
    <row r="107" spans="1:21">
      <c r="D107" s="194" t="s">
        <v>4506</v>
      </c>
      <c r="E107" s="41"/>
      <c r="F107" s="185"/>
      <c r="G107" s="186"/>
      <c r="H107" s="186"/>
      <c r="I107" s="186"/>
      <c r="J107" s="186"/>
      <c r="K107" s="186"/>
      <c r="L107" s="186"/>
      <c r="M107" s="195" t="s">
        <v>4506</v>
      </c>
      <c r="N107" s="186"/>
      <c r="O107" s="186"/>
      <c r="P107" s="186"/>
      <c r="Q107" s="186"/>
      <c r="R107" s="186" t="s">
        <v>4506</v>
      </c>
      <c r="S107" s="195" t="s">
        <v>4506</v>
      </c>
      <c r="T107" s="195" t="s">
        <v>4506</v>
      </c>
      <c r="U107" s="195" t="s">
        <v>4506</v>
      </c>
    </row>
    <row r="108" spans="1:21">
      <c r="M108" s="186" t="s">
        <v>64</v>
      </c>
    </row>
    <row r="112" spans="1:21">
      <c r="U112" s="187" t="s">
        <v>4506</v>
      </c>
    </row>
    <row r="124" spans="1:21">
      <c r="A124" s="181"/>
      <c r="B124" s="181"/>
      <c r="D124" s="190"/>
      <c r="F124" s="154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86"/>
    </row>
    <row r="125" spans="1:21">
      <c r="A125" s="181"/>
      <c r="B125" s="181"/>
      <c r="D125" s="190"/>
      <c r="F125" s="154"/>
    </row>
    <row r="126" spans="1:21">
      <c r="A126" s="181"/>
      <c r="B126" s="181"/>
      <c r="D126" s="190"/>
      <c r="F126" s="154"/>
    </row>
    <row r="127" spans="1:21">
      <c r="D127" s="190"/>
      <c r="F127" s="154"/>
    </row>
    <row r="128" spans="1:21">
      <c r="D128" s="190"/>
      <c r="F128" s="154"/>
    </row>
    <row r="129" spans="4:6">
      <c r="D129" s="190"/>
      <c r="F129" s="154"/>
    </row>
    <row r="130" spans="4:6">
      <c r="D130" s="190"/>
      <c r="F130" s="154"/>
    </row>
    <row r="131" spans="4:6">
      <c r="D131" s="190"/>
      <c r="F131" s="154"/>
    </row>
    <row r="132" spans="4:6">
      <c r="D132" s="85"/>
      <c r="F132" s="154"/>
    </row>
    <row r="133" spans="4:6">
      <c r="D133" s="85"/>
      <c r="F133" s="154"/>
    </row>
    <row r="134" spans="4:6">
      <c r="D134" s="85"/>
      <c r="F134" s="154"/>
    </row>
    <row r="135" spans="4:6">
      <c r="D135" s="85"/>
      <c r="F135" s="154"/>
    </row>
    <row r="136" spans="4:6">
      <c r="D136" s="85"/>
      <c r="F136" s="154"/>
    </row>
    <row r="137" spans="4:6">
      <c r="D137" s="85"/>
      <c r="F137" s="154"/>
    </row>
    <row r="138" spans="4:6">
      <c r="D138" s="85"/>
      <c r="F138" s="154"/>
    </row>
    <row r="139" spans="4:6">
      <c r="D139" s="85"/>
      <c r="F139" s="154"/>
    </row>
    <row r="140" spans="4:6">
      <c r="D140" s="85"/>
    </row>
    <row r="141" spans="4:6">
      <c r="D141" s="85"/>
    </row>
    <row r="142" spans="4:6">
      <c r="D142" s="85"/>
    </row>
    <row r="143" spans="4:6">
      <c r="D143" s="85"/>
    </row>
    <row r="144" spans="4:6">
      <c r="D144" s="85"/>
    </row>
    <row r="145" spans="4:4">
      <c r="D145" s="85"/>
    </row>
  </sheetData>
  <printOptions horizontalCentered="1" verticalCentered="1"/>
  <pageMargins left="0.75000000000000011" right="0.75000000000000011" top="1" bottom="1" header="0.5" footer="0.5"/>
  <pageSetup paperSize="9" scale="45" orientation="landscape" horizontalDpi="4294967292" verticalDpi="429496729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A390-BA9E-9944-A58B-6080097D0E5C}">
  <sheetPr>
    <pageSetUpPr fitToPage="1"/>
  </sheetPr>
  <dimension ref="A1:O349"/>
  <sheetViews>
    <sheetView topLeftCell="A264" zoomScale="117" zoomScaleNormal="143" workbookViewId="0">
      <selection activeCell="E277" sqref="E277"/>
    </sheetView>
  </sheetViews>
  <sheetFormatPr baseColWidth="10" defaultRowHeight="16"/>
  <cols>
    <col min="1" max="1" width="7.5" customWidth="1"/>
    <col min="2" max="2" width="49.33203125" customWidth="1"/>
    <col min="3" max="8" width="17.83203125" style="8" customWidth="1"/>
    <col min="9" max="9" width="17.83203125" style="126" customWidth="1"/>
    <col min="10" max="10" width="2" style="126" customWidth="1"/>
    <col min="11" max="11" width="19.5" style="8" customWidth="1"/>
    <col min="12" max="12" width="9.33203125" customWidth="1"/>
    <col min="14" max="14" width="16.6640625" bestFit="1" customWidth="1"/>
    <col min="15" max="15" width="13.33203125" bestFit="1" customWidth="1"/>
  </cols>
  <sheetData>
    <row r="1" spans="1:11" ht="18">
      <c r="A1" s="125" t="s">
        <v>716</v>
      </c>
    </row>
    <row r="2" spans="1:11" ht="18">
      <c r="A2" s="125" t="s">
        <v>4596</v>
      </c>
    </row>
    <row r="5" spans="1:11">
      <c r="B5" s="1" t="s">
        <v>717</v>
      </c>
      <c r="C5" s="78" t="s">
        <v>718</v>
      </c>
      <c r="D5" s="78" t="s">
        <v>456</v>
      </c>
      <c r="E5" s="78" t="s">
        <v>719</v>
      </c>
      <c r="F5" s="78" t="s">
        <v>720</v>
      </c>
      <c r="G5" s="78" t="s">
        <v>721</v>
      </c>
      <c r="K5" s="78" t="s">
        <v>4147</v>
      </c>
    </row>
    <row r="6" spans="1:11">
      <c r="A6" s="74">
        <v>1</v>
      </c>
      <c r="B6" s="168" t="s">
        <v>2970</v>
      </c>
      <c r="C6" s="8">
        <v>115736500</v>
      </c>
      <c r="D6" s="127">
        <v>-10521500</v>
      </c>
      <c r="E6" s="127">
        <f>-10521500-D6</f>
        <v>0</v>
      </c>
      <c r="F6" s="8">
        <v>0</v>
      </c>
      <c r="G6" s="8">
        <v>0</v>
      </c>
      <c r="K6" s="8">
        <f t="shared" ref="K6:K37" si="0">SUM(C6:G6)</f>
        <v>105215000</v>
      </c>
    </row>
    <row r="7" spans="1:11">
      <c r="A7" s="74">
        <f>+A6+1</f>
        <v>2</v>
      </c>
      <c r="B7" s="168" t="s">
        <v>3038</v>
      </c>
      <c r="C7" s="8">
        <v>195000454</v>
      </c>
      <c r="D7" s="127">
        <v>-17727314</v>
      </c>
      <c r="E7" s="127">
        <f>-17727314-D7</f>
        <v>0</v>
      </c>
      <c r="F7" s="8">
        <v>0</v>
      </c>
      <c r="G7" s="8">
        <v>0</v>
      </c>
      <c r="K7" s="8">
        <f t="shared" si="0"/>
        <v>177273140</v>
      </c>
    </row>
    <row r="8" spans="1:11">
      <c r="A8" s="74">
        <f t="shared" ref="A8:A71" si="1">+A7+1</f>
        <v>3</v>
      </c>
      <c r="B8" s="168" t="s">
        <v>2279</v>
      </c>
      <c r="C8" s="8">
        <v>2361633725</v>
      </c>
      <c r="D8" s="127">
        <v>0</v>
      </c>
      <c r="E8" s="127">
        <v>0</v>
      </c>
      <c r="F8" s="8">
        <v>0</v>
      </c>
      <c r="G8" s="8">
        <v>0</v>
      </c>
      <c r="K8" s="8">
        <f t="shared" si="0"/>
        <v>2361633725</v>
      </c>
    </row>
    <row r="9" spans="1:11">
      <c r="A9" s="74">
        <f t="shared" si="1"/>
        <v>4</v>
      </c>
      <c r="B9" s="168" t="s">
        <v>1129</v>
      </c>
      <c r="C9" s="8">
        <v>164844350</v>
      </c>
      <c r="D9" s="127">
        <v>-14985850</v>
      </c>
      <c r="E9" s="127">
        <f>-14985850-D9</f>
        <v>0</v>
      </c>
      <c r="F9" s="8">
        <v>0</v>
      </c>
      <c r="G9" s="8">
        <v>0</v>
      </c>
      <c r="K9" s="8">
        <f t="shared" si="0"/>
        <v>149858500</v>
      </c>
    </row>
    <row r="10" spans="1:11">
      <c r="A10" s="74">
        <f t="shared" si="1"/>
        <v>5</v>
      </c>
      <c r="B10" s="168" t="s">
        <v>1130</v>
      </c>
      <c r="C10" s="8">
        <v>160539775</v>
      </c>
      <c r="D10" s="127">
        <v>-14594525</v>
      </c>
      <c r="E10" s="127">
        <f>-14594525-D10</f>
        <v>0</v>
      </c>
      <c r="F10" s="8">
        <v>0</v>
      </c>
      <c r="G10" s="8">
        <v>0</v>
      </c>
      <c r="K10" s="8">
        <f t="shared" si="0"/>
        <v>145945250</v>
      </c>
    </row>
    <row r="11" spans="1:11">
      <c r="A11" s="74">
        <f t="shared" si="1"/>
        <v>6</v>
      </c>
      <c r="B11" s="168" t="s">
        <v>2954</v>
      </c>
      <c r="C11" s="8">
        <v>163041450</v>
      </c>
      <c r="D11" s="127">
        <v>-14821950</v>
      </c>
      <c r="E11" s="127">
        <f>-14821950-D11</f>
        <v>0</v>
      </c>
      <c r="F11" s="8">
        <v>0</v>
      </c>
      <c r="G11" s="8">
        <v>0</v>
      </c>
      <c r="K11" s="8">
        <f t="shared" si="0"/>
        <v>148219500</v>
      </c>
    </row>
    <row r="12" spans="1:11">
      <c r="A12" s="74">
        <f t="shared" si="1"/>
        <v>7</v>
      </c>
      <c r="B12" s="168" t="s">
        <v>1961</v>
      </c>
      <c r="C12" s="8">
        <v>123973575</v>
      </c>
      <c r="D12" s="127">
        <v>-11270325</v>
      </c>
      <c r="E12" s="127">
        <f>-11270325-D12</f>
        <v>0</v>
      </c>
      <c r="F12" s="8">
        <v>0</v>
      </c>
      <c r="G12" s="8">
        <v>0</v>
      </c>
      <c r="K12" s="8">
        <f t="shared" si="0"/>
        <v>112703250</v>
      </c>
    </row>
    <row r="13" spans="1:11">
      <c r="A13" s="74">
        <f t="shared" si="1"/>
        <v>8</v>
      </c>
      <c r="B13" s="168" t="s">
        <v>3390</v>
      </c>
      <c r="C13" s="8">
        <v>262857001</v>
      </c>
      <c r="D13" s="127">
        <v>-23896091</v>
      </c>
      <c r="E13" s="127">
        <f>-23896091-D13</f>
        <v>0</v>
      </c>
      <c r="F13" s="8">
        <v>0</v>
      </c>
      <c r="G13" s="8">
        <v>0</v>
      </c>
      <c r="K13" s="8">
        <f t="shared" si="0"/>
        <v>238960910</v>
      </c>
    </row>
    <row r="14" spans="1:11">
      <c r="A14" s="74">
        <f t="shared" si="1"/>
        <v>9</v>
      </c>
      <c r="B14" s="168" t="s">
        <v>3010</v>
      </c>
      <c r="C14" s="8">
        <v>162013231.59999999</v>
      </c>
      <c r="D14" s="127">
        <v>-740000</v>
      </c>
      <c r="E14" s="127">
        <f>-14728475.6-D14</f>
        <v>-13988475.6</v>
      </c>
      <c r="F14" s="8">
        <v>0</v>
      </c>
      <c r="G14" s="8">
        <v>0</v>
      </c>
      <c r="K14" s="8">
        <f t="shared" si="0"/>
        <v>147284756</v>
      </c>
    </row>
    <row r="15" spans="1:11">
      <c r="A15" s="74">
        <f t="shared" si="1"/>
        <v>10</v>
      </c>
      <c r="B15" s="168" t="s">
        <v>3020</v>
      </c>
      <c r="C15" s="8">
        <v>261831240.55000001</v>
      </c>
      <c r="D15" s="127">
        <v>-23802840.050000001</v>
      </c>
      <c r="E15" s="127">
        <f>-23802840.05-D15</f>
        <v>0</v>
      </c>
      <c r="F15" s="8">
        <v>0</v>
      </c>
      <c r="G15" s="8">
        <v>0</v>
      </c>
      <c r="K15" s="8">
        <f t="shared" si="0"/>
        <v>238028400.5</v>
      </c>
    </row>
    <row r="16" spans="1:11">
      <c r="A16" s="74">
        <f t="shared" si="1"/>
        <v>11</v>
      </c>
      <c r="B16" s="168" t="s">
        <v>2996</v>
      </c>
      <c r="C16" s="8">
        <v>35680924.950000003</v>
      </c>
      <c r="D16" s="127">
        <v>-2766447.75</v>
      </c>
      <c r="E16" s="127">
        <f>-3243720.75-D16</f>
        <v>-477273</v>
      </c>
      <c r="F16" s="8">
        <v>0</v>
      </c>
      <c r="G16" s="8">
        <v>0</v>
      </c>
      <c r="K16" s="8">
        <f t="shared" si="0"/>
        <v>32437204.200000003</v>
      </c>
    </row>
    <row r="17" spans="1:11">
      <c r="A17" s="74">
        <f t="shared" si="1"/>
        <v>12</v>
      </c>
      <c r="B17" s="168" t="s">
        <v>3019</v>
      </c>
      <c r="C17" s="8">
        <v>115000000.5</v>
      </c>
      <c r="D17" s="127">
        <v>-10454545.5</v>
      </c>
      <c r="E17" s="127">
        <f>-10454545.5-D17</f>
        <v>0</v>
      </c>
      <c r="F17" s="8">
        <v>0</v>
      </c>
      <c r="G17" s="8">
        <v>0</v>
      </c>
      <c r="K17" s="8">
        <f t="shared" si="0"/>
        <v>104545455</v>
      </c>
    </row>
    <row r="18" spans="1:11">
      <c r="A18" s="74">
        <f t="shared" si="1"/>
        <v>13</v>
      </c>
      <c r="B18" s="168" t="s">
        <v>3011</v>
      </c>
      <c r="C18" s="8">
        <v>61000008.299999997</v>
      </c>
      <c r="D18" s="127">
        <v>-5545455.3000000007</v>
      </c>
      <c r="E18" s="127">
        <f>-5545455.3-D18</f>
        <v>0</v>
      </c>
      <c r="F18" s="8">
        <v>0</v>
      </c>
      <c r="G18" s="8">
        <v>0</v>
      </c>
      <c r="K18" s="8">
        <f t="shared" si="0"/>
        <v>55454553</v>
      </c>
    </row>
    <row r="19" spans="1:11">
      <c r="A19" s="74">
        <f t="shared" si="1"/>
        <v>14</v>
      </c>
      <c r="B19" s="168" t="s">
        <v>3012</v>
      </c>
      <c r="C19" s="8">
        <v>283910165</v>
      </c>
      <c r="D19" s="127">
        <v>-25810015</v>
      </c>
      <c r="E19" s="127">
        <f>-25810015-D19</f>
        <v>0</v>
      </c>
      <c r="F19" s="8">
        <v>0</v>
      </c>
      <c r="G19" s="8">
        <v>0</v>
      </c>
      <c r="K19" s="8">
        <f t="shared" si="0"/>
        <v>258100150</v>
      </c>
    </row>
    <row r="20" spans="1:11">
      <c r="A20" s="74">
        <f t="shared" si="1"/>
        <v>15</v>
      </c>
      <c r="B20" s="168" t="s">
        <v>393</v>
      </c>
      <c r="C20" s="8">
        <v>398895000</v>
      </c>
      <c r="D20" s="127">
        <v>-21810600</v>
      </c>
      <c r="E20" s="127">
        <f>-21810600-D20</f>
        <v>0</v>
      </c>
      <c r="F20" s="8">
        <v>0</v>
      </c>
      <c r="G20" s="8">
        <v>0</v>
      </c>
      <c r="K20" s="8">
        <f t="shared" si="0"/>
        <v>377084400</v>
      </c>
    </row>
    <row r="21" spans="1:11">
      <c r="A21" s="74">
        <f t="shared" si="1"/>
        <v>16</v>
      </c>
      <c r="B21" s="168" t="s">
        <v>2982</v>
      </c>
      <c r="C21" s="8">
        <v>331736020</v>
      </c>
      <c r="D21" s="127">
        <v>-30157820</v>
      </c>
      <c r="E21" s="127">
        <f>-30157820-D21</f>
        <v>0</v>
      </c>
      <c r="F21" s="8">
        <v>0</v>
      </c>
      <c r="G21" s="8">
        <v>0</v>
      </c>
      <c r="K21" s="8">
        <f t="shared" si="0"/>
        <v>301578200</v>
      </c>
    </row>
    <row r="22" spans="1:11">
      <c r="A22" s="74">
        <f t="shared" si="1"/>
        <v>17</v>
      </c>
      <c r="B22" s="168" t="s">
        <v>3015</v>
      </c>
      <c r="C22" s="8">
        <v>149999999.81999999</v>
      </c>
      <c r="D22" s="127">
        <v>-13636363.619999999</v>
      </c>
      <c r="E22" s="127">
        <f>-13636363.62-D22</f>
        <v>0</v>
      </c>
      <c r="F22" s="8">
        <v>0</v>
      </c>
      <c r="G22" s="8">
        <v>0</v>
      </c>
      <c r="K22" s="8">
        <f t="shared" si="0"/>
        <v>136363636.19999999</v>
      </c>
    </row>
    <row r="23" spans="1:11">
      <c r="A23" s="74">
        <f t="shared" si="1"/>
        <v>18</v>
      </c>
      <c r="B23" s="168" t="s">
        <v>2998</v>
      </c>
      <c r="C23" s="8">
        <v>45371716</v>
      </c>
      <c r="D23" s="127">
        <v>0</v>
      </c>
      <c r="E23" s="127">
        <v>0</v>
      </c>
      <c r="F23" s="8">
        <v>0</v>
      </c>
      <c r="G23" s="8">
        <v>0</v>
      </c>
      <c r="K23" s="8">
        <f t="shared" si="0"/>
        <v>45371716</v>
      </c>
    </row>
    <row r="24" spans="1:11">
      <c r="A24" s="74">
        <f t="shared" si="1"/>
        <v>19</v>
      </c>
      <c r="B24" s="168" t="s">
        <v>3014</v>
      </c>
      <c r="C24" s="8">
        <v>600000038</v>
      </c>
      <c r="D24" s="127">
        <v>-54545458</v>
      </c>
      <c r="E24" s="127">
        <f>-54545458-D24</f>
        <v>0</v>
      </c>
      <c r="F24" s="8">
        <v>0</v>
      </c>
      <c r="G24" s="8">
        <v>0</v>
      </c>
      <c r="K24" s="8">
        <f t="shared" si="0"/>
        <v>545454580</v>
      </c>
    </row>
    <row r="25" spans="1:11">
      <c r="A25" s="74">
        <f t="shared" si="1"/>
        <v>20</v>
      </c>
      <c r="B25" s="168" t="s">
        <v>3016</v>
      </c>
      <c r="C25" s="8">
        <v>161625750</v>
      </c>
      <c r="D25" s="127">
        <v>-14693250</v>
      </c>
      <c r="E25" s="127">
        <f>-14693250-D25</f>
        <v>0</v>
      </c>
      <c r="F25" s="8">
        <v>0</v>
      </c>
      <c r="G25" s="8">
        <v>0</v>
      </c>
      <c r="K25" s="8">
        <f t="shared" si="0"/>
        <v>146932500</v>
      </c>
    </row>
    <row r="26" spans="1:11">
      <c r="A26" s="74">
        <f t="shared" si="1"/>
        <v>21</v>
      </c>
      <c r="B26" s="168" t="s">
        <v>3022</v>
      </c>
      <c r="C26" s="8">
        <v>108889497.2</v>
      </c>
      <c r="D26" s="127">
        <v>-9899045.2000000011</v>
      </c>
      <c r="E26" s="127">
        <f>-9899045.2-D26</f>
        <v>0</v>
      </c>
      <c r="F26" s="8">
        <v>0</v>
      </c>
      <c r="G26" s="8">
        <v>0</v>
      </c>
      <c r="K26" s="8">
        <f t="shared" si="0"/>
        <v>98990452</v>
      </c>
    </row>
    <row r="27" spans="1:11">
      <c r="A27" s="74">
        <f t="shared" si="1"/>
        <v>22</v>
      </c>
      <c r="B27" s="168" t="s">
        <v>3013</v>
      </c>
      <c r="C27" s="8">
        <v>416884600</v>
      </c>
      <c r="D27" s="127">
        <f>-13508000-24390600</f>
        <v>-37898600</v>
      </c>
      <c r="E27" s="127">
        <f>-37898600-D27</f>
        <v>0</v>
      </c>
      <c r="F27" s="8">
        <v>0</v>
      </c>
      <c r="G27" s="8">
        <v>0</v>
      </c>
      <c r="K27" s="8">
        <f t="shared" si="0"/>
        <v>378986000</v>
      </c>
    </row>
    <row r="28" spans="1:11">
      <c r="A28" s="74">
        <f t="shared" si="1"/>
        <v>23</v>
      </c>
      <c r="B28" s="168" t="s">
        <v>3017</v>
      </c>
      <c r="C28" s="8">
        <v>105754000</v>
      </c>
      <c r="D28" s="127">
        <v>-9614000</v>
      </c>
      <c r="E28" s="127">
        <f>-9614000-D28</f>
        <v>0</v>
      </c>
      <c r="F28" s="8">
        <v>0</v>
      </c>
      <c r="G28" s="8">
        <v>0</v>
      </c>
      <c r="K28" s="8">
        <f t="shared" si="0"/>
        <v>96140000</v>
      </c>
    </row>
    <row r="29" spans="1:11">
      <c r="A29" s="74">
        <f t="shared" si="1"/>
        <v>24</v>
      </c>
      <c r="B29" s="168" t="s">
        <v>3391</v>
      </c>
      <c r="C29" s="8">
        <v>506294250</v>
      </c>
      <c r="D29" s="127">
        <v>0</v>
      </c>
      <c r="E29" s="127">
        <v>-46026750</v>
      </c>
      <c r="F29" s="8">
        <v>0</v>
      </c>
      <c r="G29" s="8">
        <v>0</v>
      </c>
      <c r="K29" s="8">
        <f t="shared" si="0"/>
        <v>460267500</v>
      </c>
    </row>
    <row r="30" spans="1:11">
      <c r="A30" s="74">
        <f t="shared" si="1"/>
        <v>25</v>
      </c>
      <c r="B30" s="168" t="s">
        <v>3018</v>
      </c>
      <c r="C30" s="8">
        <v>383492802</v>
      </c>
      <c r="D30" s="127">
        <v>0</v>
      </c>
      <c r="E30" s="127">
        <v>-34862982</v>
      </c>
      <c r="F30" s="8">
        <v>0</v>
      </c>
      <c r="G30" s="8">
        <v>0</v>
      </c>
      <c r="K30" s="8">
        <f t="shared" si="0"/>
        <v>348629820</v>
      </c>
    </row>
    <row r="31" spans="1:11">
      <c r="A31" s="74">
        <f t="shared" si="1"/>
        <v>26</v>
      </c>
      <c r="B31" s="168" t="s">
        <v>245</v>
      </c>
      <c r="C31" s="8">
        <v>266841300</v>
      </c>
      <c r="D31" s="127">
        <v>-24258300</v>
      </c>
      <c r="E31" s="127">
        <f>-24258300-D31</f>
        <v>0</v>
      </c>
      <c r="F31" s="8">
        <v>0</v>
      </c>
      <c r="G31" s="8">
        <v>0</v>
      </c>
      <c r="K31" s="8">
        <f t="shared" si="0"/>
        <v>242583000</v>
      </c>
    </row>
    <row r="32" spans="1:11">
      <c r="A32" s="74">
        <f t="shared" si="1"/>
        <v>27</v>
      </c>
      <c r="B32" s="168" t="s">
        <v>2984</v>
      </c>
      <c r="C32" s="8">
        <v>298249270</v>
      </c>
      <c r="D32" s="127">
        <v>-27113570</v>
      </c>
      <c r="E32" s="127">
        <f>-27113570-D32</f>
        <v>0</v>
      </c>
      <c r="F32" s="8">
        <v>0</v>
      </c>
      <c r="G32" s="8">
        <v>0</v>
      </c>
      <c r="K32" s="8">
        <f t="shared" si="0"/>
        <v>271135700</v>
      </c>
    </row>
    <row r="33" spans="1:11">
      <c r="A33" s="74">
        <f t="shared" si="1"/>
        <v>28</v>
      </c>
      <c r="B33" s="168" t="s">
        <v>3021</v>
      </c>
      <c r="C33" s="8">
        <v>349983788</v>
      </c>
      <c r="D33" s="127">
        <v>-31816708</v>
      </c>
      <c r="E33" s="127">
        <f>-31816708-D33</f>
        <v>0</v>
      </c>
      <c r="F33" s="8">
        <v>0</v>
      </c>
      <c r="G33" s="8">
        <v>0</v>
      </c>
      <c r="K33" s="8">
        <f t="shared" si="0"/>
        <v>318167080</v>
      </c>
    </row>
    <row r="34" spans="1:11">
      <c r="A34" s="74">
        <f t="shared" si="1"/>
        <v>29</v>
      </c>
      <c r="B34" s="168" t="s">
        <v>3037</v>
      </c>
      <c r="C34" s="8">
        <v>580053430</v>
      </c>
      <c r="D34" s="127">
        <v>0</v>
      </c>
      <c r="E34" s="127">
        <v>-52732130</v>
      </c>
      <c r="F34" s="8">
        <v>0</v>
      </c>
      <c r="G34" s="8">
        <v>0</v>
      </c>
      <c r="K34" s="8">
        <f t="shared" si="0"/>
        <v>527321300</v>
      </c>
    </row>
    <row r="35" spans="1:11">
      <c r="A35" s="74">
        <f t="shared" si="1"/>
        <v>30</v>
      </c>
      <c r="B35" s="168" t="s">
        <v>3041</v>
      </c>
      <c r="C35" s="8">
        <v>20749999.600000001</v>
      </c>
      <c r="D35" s="127">
        <v>-1886363.6</v>
      </c>
      <c r="E35" s="127">
        <f>-1886363.6-D35</f>
        <v>0</v>
      </c>
      <c r="F35" s="8">
        <v>0</v>
      </c>
      <c r="G35" s="8">
        <v>0</v>
      </c>
      <c r="K35" s="8">
        <f t="shared" si="0"/>
        <v>18863636</v>
      </c>
    </row>
    <row r="36" spans="1:11">
      <c r="A36" s="74">
        <f t="shared" si="1"/>
        <v>31</v>
      </c>
      <c r="B36" s="168" t="s">
        <v>3045</v>
      </c>
      <c r="C36" s="8">
        <v>644759250</v>
      </c>
      <c r="D36" s="127">
        <v>0</v>
      </c>
      <c r="E36" s="127">
        <v>-58614477</v>
      </c>
      <c r="F36" s="8">
        <v>0</v>
      </c>
      <c r="G36" s="8">
        <v>0</v>
      </c>
      <c r="K36" s="8">
        <f t="shared" si="0"/>
        <v>586144773</v>
      </c>
    </row>
    <row r="37" spans="1:11">
      <c r="A37" s="74">
        <f t="shared" si="1"/>
        <v>32</v>
      </c>
      <c r="B37" s="168" t="s">
        <v>3031</v>
      </c>
      <c r="C37" s="8">
        <v>177499999.99999997</v>
      </c>
      <c r="D37" s="127">
        <v>-16136363.636363635</v>
      </c>
      <c r="E37" s="127">
        <f>-16136363.6363636-D37</f>
        <v>3.5390257835388184E-8</v>
      </c>
      <c r="F37" s="8">
        <v>0</v>
      </c>
      <c r="G37" s="8">
        <v>0</v>
      </c>
      <c r="K37" s="8">
        <f t="shared" si="0"/>
        <v>161363636.36363637</v>
      </c>
    </row>
    <row r="38" spans="1:11">
      <c r="A38" s="74">
        <f t="shared" si="1"/>
        <v>33</v>
      </c>
      <c r="B38" s="168" t="s">
        <v>3032</v>
      </c>
      <c r="C38" s="8">
        <v>124375900</v>
      </c>
      <c r="D38" s="127">
        <v>-11306900</v>
      </c>
      <c r="E38" s="127">
        <f>-11306900-D38</f>
        <v>0</v>
      </c>
      <c r="F38" s="8">
        <v>0</v>
      </c>
      <c r="G38" s="8">
        <v>0</v>
      </c>
      <c r="K38" s="8">
        <f t="shared" ref="K38:K70" si="2">SUM(C38:G38)</f>
        <v>113069000</v>
      </c>
    </row>
    <row r="39" spans="1:11">
      <c r="A39" s="74">
        <f t="shared" si="1"/>
        <v>34</v>
      </c>
      <c r="B39" s="168" t="s">
        <v>990</v>
      </c>
      <c r="C39" s="8">
        <v>80198800</v>
      </c>
      <c r="D39" s="127">
        <v>-7290800</v>
      </c>
      <c r="E39" s="127">
        <f>-7290800-D39</f>
        <v>0</v>
      </c>
      <c r="F39" s="8">
        <v>0</v>
      </c>
      <c r="G39" s="8">
        <v>0</v>
      </c>
      <c r="K39" s="8">
        <f t="shared" si="2"/>
        <v>72908000</v>
      </c>
    </row>
    <row r="40" spans="1:11">
      <c r="A40" s="74">
        <f t="shared" si="1"/>
        <v>35</v>
      </c>
      <c r="B40" s="168" t="s">
        <v>4140</v>
      </c>
      <c r="C40" s="8">
        <v>102426500</v>
      </c>
      <c r="D40" s="127">
        <v>-9311500</v>
      </c>
      <c r="E40" s="127">
        <f>-9311500-D40</f>
        <v>0</v>
      </c>
      <c r="F40" s="8">
        <v>0</v>
      </c>
      <c r="G40" s="8">
        <v>0</v>
      </c>
      <c r="K40" s="8">
        <f t="shared" si="2"/>
        <v>93115000</v>
      </c>
    </row>
    <row r="41" spans="1:11">
      <c r="A41" s="74">
        <f t="shared" si="1"/>
        <v>36</v>
      </c>
      <c r="B41" s="168" t="s">
        <v>3024</v>
      </c>
      <c r="C41" s="8">
        <v>98000000.559999987</v>
      </c>
      <c r="D41" s="127">
        <v>-8909090.959999999</v>
      </c>
      <c r="E41" s="127">
        <f>-8909090.96-D41</f>
        <v>0</v>
      </c>
      <c r="F41" s="8">
        <v>0</v>
      </c>
      <c r="G41" s="8">
        <v>0</v>
      </c>
      <c r="K41" s="8">
        <f t="shared" si="2"/>
        <v>89090909.599999994</v>
      </c>
    </row>
    <row r="42" spans="1:11">
      <c r="A42" s="74">
        <f t="shared" si="1"/>
        <v>37</v>
      </c>
      <c r="B42" s="168" t="s">
        <v>3025</v>
      </c>
      <c r="C42" s="8">
        <v>102426500</v>
      </c>
      <c r="D42" s="127">
        <v>-9311500</v>
      </c>
      <c r="E42" s="127">
        <f>-9311500-D42</f>
        <v>0</v>
      </c>
      <c r="F42" s="8">
        <v>0</v>
      </c>
      <c r="G42" s="8">
        <v>0</v>
      </c>
      <c r="K42" s="8">
        <f t="shared" si="2"/>
        <v>93115000</v>
      </c>
    </row>
    <row r="43" spans="1:11">
      <c r="A43" s="74">
        <f t="shared" si="1"/>
        <v>38</v>
      </c>
      <c r="B43" s="168" t="s">
        <v>2278</v>
      </c>
      <c r="C43" s="8">
        <v>748679218.11999989</v>
      </c>
      <c r="D43" s="127">
        <v>-56818181.800000004</v>
      </c>
      <c r="E43" s="127">
        <f>-56818181.8-D43</f>
        <v>0</v>
      </c>
      <c r="F43" s="8">
        <v>0</v>
      </c>
      <c r="G43" s="8">
        <v>0</v>
      </c>
      <c r="K43" s="8">
        <f t="shared" si="2"/>
        <v>691861036.31999993</v>
      </c>
    </row>
    <row r="44" spans="1:11">
      <c r="A44" s="74">
        <f t="shared" si="1"/>
        <v>39</v>
      </c>
      <c r="B44" s="168" t="s">
        <v>173</v>
      </c>
      <c r="C44" s="8">
        <v>1655146134.4000001</v>
      </c>
      <c r="D44" s="127">
        <v>-136363636.40000001</v>
      </c>
      <c r="E44" s="127">
        <f>-136363636.4-D44</f>
        <v>0</v>
      </c>
      <c r="F44" s="8">
        <v>0</v>
      </c>
      <c r="G44" s="8">
        <v>0</v>
      </c>
      <c r="K44" s="8">
        <f t="shared" si="2"/>
        <v>1518782498</v>
      </c>
    </row>
    <row r="45" spans="1:11">
      <c r="A45" s="74">
        <f t="shared" si="1"/>
        <v>40</v>
      </c>
      <c r="B45" s="168" t="s">
        <v>5080</v>
      </c>
      <c r="C45" s="8">
        <v>910000000.36000001</v>
      </c>
      <c r="D45" s="127">
        <v>-82727272.760000005</v>
      </c>
      <c r="E45" s="127">
        <f>-82727272.76-D45</f>
        <v>0</v>
      </c>
      <c r="F45" s="8">
        <v>0</v>
      </c>
      <c r="G45" s="8">
        <v>0</v>
      </c>
      <c r="K45" s="8">
        <f t="shared" si="2"/>
        <v>827272727.60000002</v>
      </c>
    </row>
    <row r="46" spans="1:11">
      <c r="A46" s="74">
        <f t="shared" si="1"/>
        <v>41</v>
      </c>
      <c r="B46" s="168" t="s">
        <v>1131</v>
      </c>
      <c r="C46" s="8">
        <v>8076750</v>
      </c>
      <c r="D46" s="127">
        <v>-734250</v>
      </c>
      <c r="E46" s="127">
        <f>-734250-D46</f>
        <v>0</v>
      </c>
      <c r="F46" s="8">
        <v>0</v>
      </c>
      <c r="G46" s="8">
        <v>0</v>
      </c>
      <c r="K46" s="8">
        <f t="shared" si="2"/>
        <v>7342500</v>
      </c>
    </row>
    <row r="47" spans="1:11">
      <c r="A47" s="74">
        <f t="shared" si="1"/>
        <v>42</v>
      </c>
      <c r="B47" s="168" t="s">
        <v>3036</v>
      </c>
      <c r="C47" s="8">
        <v>161172099.22</v>
      </c>
      <c r="D47" s="127">
        <v>-14652009.02</v>
      </c>
      <c r="E47" s="127">
        <f>-14652009.02-D47</f>
        <v>0</v>
      </c>
      <c r="F47" s="8">
        <v>0</v>
      </c>
      <c r="G47" s="8">
        <v>0</v>
      </c>
      <c r="K47" s="8">
        <f t="shared" si="2"/>
        <v>146520090.19999999</v>
      </c>
    </row>
    <row r="48" spans="1:11">
      <c r="A48" s="74">
        <f t="shared" si="1"/>
        <v>43</v>
      </c>
      <c r="B48" s="168" t="s">
        <v>2990</v>
      </c>
      <c r="C48" s="8">
        <v>52414450</v>
      </c>
      <c r="D48" s="127">
        <v>-4764950</v>
      </c>
      <c r="E48" s="127">
        <f>-4764950-D48</f>
        <v>0</v>
      </c>
      <c r="F48" s="8">
        <v>0</v>
      </c>
      <c r="G48" s="8">
        <v>0</v>
      </c>
      <c r="K48" s="8">
        <f t="shared" si="2"/>
        <v>47649500</v>
      </c>
    </row>
    <row r="49" spans="1:11">
      <c r="A49" s="74">
        <f t="shared" si="1"/>
        <v>44</v>
      </c>
      <c r="B49" s="168" t="s">
        <v>883</v>
      </c>
      <c r="C49" s="8">
        <v>88088000</v>
      </c>
      <c r="D49" s="127">
        <v>-8008000</v>
      </c>
      <c r="E49" s="127">
        <f>-8008000-D49</f>
        <v>0</v>
      </c>
      <c r="F49" s="8">
        <v>0</v>
      </c>
      <c r="G49" s="8">
        <v>0</v>
      </c>
      <c r="K49" s="8">
        <f t="shared" si="2"/>
        <v>80080000</v>
      </c>
    </row>
    <row r="50" spans="1:11">
      <c r="A50" s="74">
        <f t="shared" si="1"/>
        <v>45</v>
      </c>
      <c r="B50" s="168" t="s">
        <v>3026</v>
      </c>
      <c r="C50" s="8">
        <v>31680000</v>
      </c>
      <c r="D50" s="127">
        <v>-2880000</v>
      </c>
      <c r="E50" s="127">
        <f>-2880000-D50</f>
        <v>0</v>
      </c>
      <c r="F50" s="8">
        <v>0</v>
      </c>
      <c r="G50" s="8">
        <v>0</v>
      </c>
      <c r="K50" s="8">
        <f t="shared" si="2"/>
        <v>28800000</v>
      </c>
    </row>
    <row r="51" spans="1:11">
      <c r="A51" s="74">
        <f t="shared" si="1"/>
        <v>46</v>
      </c>
      <c r="B51" s="168" t="s">
        <v>1124</v>
      </c>
      <c r="C51" s="8">
        <v>9900000</v>
      </c>
      <c r="D51" s="127">
        <f>-900000</f>
        <v>-900000</v>
      </c>
      <c r="E51" s="127">
        <f>-900000-D51</f>
        <v>0</v>
      </c>
      <c r="F51" s="8">
        <v>0</v>
      </c>
      <c r="G51" s="8">
        <v>0</v>
      </c>
      <c r="K51" s="8">
        <f t="shared" si="2"/>
        <v>9000000</v>
      </c>
    </row>
    <row r="52" spans="1:11">
      <c r="A52" s="74">
        <f t="shared" si="1"/>
        <v>47</v>
      </c>
      <c r="B52" s="168" t="s">
        <v>3040</v>
      </c>
      <c r="C52" s="8">
        <v>16720000</v>
      </c>
      <c r="D52" s="127">
        <v>-1520000</v>
      </c>
      <c r="E52" s="127">
        <f>-1520000-D52</f>
        <v>0</v>
      </c>
      <c r="F52" s="8">
        <v>0</v>
      </c>
      <c r="G52" s="8">
        <v>0</v>
      </c>
      <c r="K52" s="8">
        <f t="shared" si="2"/>
        <v>15200000</v>
      </c>
    </row>
    <row r="53" spans="1:11">
      <c r="A53" s="74">
        <f t="shared" si="1"/>
        <v>48</v>
      </c>
      <c r="B53" s="168" t="s">
        <v>4141</v>
      </c>
      <c r="C53" s="8">
        <v>6719900</v>
      </c>
      <c r="D53" s="127">
        <v>-610900</v>
      </c>
      <c r="E53" s="127">
        <f>-610900-D53</f>
        <v>0</v>
      </c>
      <c r="F53" s="8">
        <v>0</v>
      </c>
      <c r="G53" s="8">
        <v>0</v>
      </c>
      <c r="K53" s="8">
        <f t="shared" si="2"/>
        <v>6109000</v>
      </c>
    </row>
    <row r="54" spans="1:11">
      <c r="A54" s="74">
        <f t="shared" si="1"/>
        <v>49</v>
      </c>
      <c r="B54" s="168" t="s">
        <v>2988</v>
      </c>
      <c r="C54" s="8">
        <v>21000000</v>
      </c>
      <c r="D54" s="127">
        <v>0</v>
      </c>
      <c r="E54" s="127">
        <v>0</v>
      </c>
      <c r="F54" s="8">
        <v>0</v>
      </c>
      <c r="G54" s="8">
        <v>0</v>
      </c>
      <c r="K54" s="8">
        <f t="shared" si="2"/>
        <v>21000000</v>
      </c>
    </row>
    <row r="55" spans="1:11">
      <c r="A55" s="74">
        <f t="shared" si="1"/>
        <v>50</v>
      </c>
      <c r="B55" s="168" t="s">
        <v>3049</v>
      </c>
      <c r="C55" s="8">
        <v>1270000000.5</v>
      </c>
      <c r="D55" s="127">
        <v>-115454545.5</v>
      </c>
      <c r="E55" s="127">
        <f>-115454545.5-D55</f>
        <v>0</v>
      </c>
      <c r="F55" s="8">
        <v>0</v>
      </c>
      <c r="G55" s="8">
        <v>0</v>
      </c>
      <c r="K55" s="8">
        <f t="shared" si="2"/>
        <v>1154545455</v>
      </c>
    </row>
    <row r="56" spans="1:11">
      <c r="A56" s="74">
        <f t="shared" si="1"/>
        <v>51</v>
      </c>
      <c r="B56" s="168" t="s">
        <v>1015</v>
      </c>
      <c r="C56" s="8">
        <v>1373242919.4000001</v>
      </c>
      <c r="D56" s="127">
        <v>-124840265.40000001</v>
      </c>
      <c r="E56" s="127">
        <f>-124840265.4-D56</f>
        <v>0</v>
      </c>
      <c r="F56" s="8">
        <v>0</v>
      </c>
      <c r="G56" s="8">
        <v>0</v>
      </c>
      <c r="K56" s="8">
        <f t="shared" si="2"/>
        <v>1248402654</v>
      </c>
    </row>
    <row r="57" spans="1:11">
      <c r="A57" s="74">
        <f t="shared" si="1"/>
        <v>52</v>
      </c>
      <c r="B57" s="168" t="s">
        <v>3039</v>
      </c>
      <c r="C57" s="8">
        <v>278300000</v>
      </c>
      <c r="D57" s="127">
        <v>-25300000</v>
      </c>
      <c r="E57" s="127">
        <f>-25300000-D57</f>
        <v>0</v>
      </c>
      <c r="F57" s="8">
        <v>0</v>
      </c>
      <c r="G57" s="8">
        <v>0</v>
      </c>
      <c r="K57" s="8">
        <f t="shared" si="2"/>
        <v>253000000</v>
      </c>
    </row>
    <row r="58" spans="1:11">
      <c r="A58" s="74">
        <f t="shared" si="1"/>
        <v>53</v>
      </c>
      <c r="B58" s="168" t="s">
        <v>2994</v>
      </c>
      <c r="C58" s="8">
        <v>154723000.90000001</v>
      </c>
      <c r="D58" s="127">
        <f>-754455-754455.9</f>
        <v>-1508910.9</v>
      </c>
      <c r="E58" s="127">
        <f>-1531910.9-D58</f>
        <v>-23000</v>
      </c>
      <c r="F58" s="8">
        <v>0</v>
      </c>
      <c r="G58" s="8">
        <v>0</v>
      </c>
      <c r="K58" s="8">
        <f t="shared" si="2"/>
        <v>153191090</v>
      </c>
    </row>
    <row r="59" spans="1:11">
      <c r="A59" s="74">
        <f t="shared" si="1"/>
        <v>54</v>
      </c>
      <c r="B59" s="168" t="s">
        <v>3046</v>
      </c>
      <c r="C59" s="8">
        <v>456334725</v>
      </c>
      <c r="D59" s="127">
        <v>-10634925</v>
      </c>
      <c r="E59" s="127">
        <f>-41484975-D59</f>
        <v>-30850050</v>
      </c>
      <c r="F59" s="8">
        <v>0</v>
      </c>
      <c r="G59" s="8">
        <v>0</v>
      </c>
      <c r="K59" s="8">
        <f t="shared" si="2"/>
        <v>414849750</v>
      </c>
    </row>
    <row r="60" spans="1:11">
      <c r="A60" s="74">
        <f t="shared" si="1"/>
        <v>55</v>
      </c>
      <c r="B60" s="168" t="s">
        <v>4862</v>
      </c>
      <c r="C60" s="8">
        <v>42947553</v>
      </c>
      <c r="D60" s="127">
        <v>-3904323</v>
      </c>
      <c r="E60" s="127">
        <f>-3904323-D60</f>
        <v>0</v>
      </c>
      <c r="F60" s="8">
        <v>0</v>
      </c>
      <c r="G60" s="8">
        <v>0</v>
      </c>
      <c r="K60" s="8">
        <f t="shared" si="2"/>
        <v>39043230</v>
      </c>
    </row>
    <row r="61" spans="1:11">
      <c r="A61" s="74">
        <f t="shared" si="1"/>
        <v>56</v>
      </c>
      <c r="B61" s="168" t="s">
        <v>2043</v>
      </c>
      <c r="C61" s="8">
        <v>111100000</v>
      </c>
      <c r="D61" s="127">
        <v>-10100000</v>
      </c>
      <c r="E61" s="127">
        <f>-10100000-D61</f>
        <v>0</v>
      </c>
      <c r="F61" s="8">
        <v>0</v>
      </c>
      <c r="G61" s="8">
        <v>0</v>
      </c>
      <c r="K61" s="8">
        <f t="shared" si="2"/>
        <v>101000000</v>
      </c>
    </row>
    <row r="62" spans="1:11">
      <c r="A62" s="74">
        <f t="shared" si="1"/>
        <v>57</v>
      </c>
      <c r="B62" s="168" t="s">
        <v>2276</v>
      </c>
      <c r="C62" s="8">
        <v>31450650</v>
      </c>
      <c r="D62" s="127"/>
      <c r="E62" s="127">
        <v>0</v>
      </c>
      <c r="F62" s="8">
        <v>0</v>
      </c>
      <c r="G62" s="8">
        <v>0</v>
      </c>
      <c r="K62" s="8">
        <f t="shared" si="2"/>
        <v>31450650</v>
      </c>
    </row>
    <row r="63" spans="1:11">
      <c r="A63" s="74">
        <f t="shared" si="1"/>
        <v>58</v>
      </c>
      <c r="B63" s="168" t="s">
        <v>2277</v>
      </c>
      <c r="C63" s="8">
        <v>312552350</v>
      </c>
      <c r="D63" s="127">
        <v>-28413850</v>
      </c>
      <c r="E63" s="127">
        <f>-28413850-D63</f>
        <v>0</v>
      </c>
      <c r="F63" s="8">
        <v>0</v>
      </c>
      <c r="G63" s="8">
        <v>0</v>
      </c>
      <c r="K63" s="8">
        <f t="shared" si="2"/>
        <v>284138500</v>
      </c>
    </row>
    <row r="64" spans="1:11">
      <c r="A64" s="74">
        <f t="shared" si="1"/>
        <v>59</v>
      </c>
      <c r="B64" s="168" t="s">
        <v>2979</v>
      </c>
      <c r="C64" s="8">
        <v>27500000</v>
      </c>
      <c r="D64" s="127">
        <v>-2500000</v>
      </c>
      <c r="E64" s="127">
        <f>-2500000-D64</f>
        <v>0</v>
      </c>
      <c r="F64" s="8">
        <v>0</v>
      </c>
      <c r="G64" s="8">
        <v>0</v>
      </c>
      <c r="K64" s="8">
        <f t="shared" si="2"/>
        <v>25000000</v>
      </c>
    </row>
    <row r="65" spans="1:11">
      <c r="A65" s="74">
        <f t="shared" si="1"/>
        <v>60</v>
      </c>
      <c r="B65" s="168" t="s">
        <v>3000</v>
      </c>
      <c r="C65" s="8">
        <v>1346303673</v>
      </c>
      <c r="D65" s="127"/>
      <c r="E65" s="127">
        <v>-69660000</v>
      </c>
      <c r="F65" s="8">
        <v>0</v>
      </c>
      <c r="G65" s="8">
        <v>0</v>
      </c>
      <c r="K65" s="8">
        <f t="shared" si="2"/>
        <v>1276643673</v>
      </c>
    </row>
    <row r="66" spans="1:11">
      <c r="A66" s="74">
        <f t="shared" si="1"/>
        <v>61</v>
      </c>
      <c r="B66" s="168" t="s">
        <v>4917</v>
      </c>
      <c r="C66" s="8">
        <v>172920000</v>
      </c>
      <c r="D66" s="127">
        <v>-15720000</v>
      </c>
      <c r="E66" s="127">
        <v>0</v>
      </c>
      <c r="F66" s="8">
        <v>0</v>
      </c>
      <c r="G66" s="8">
        <v>0</v>
      </c>
      <c r="K66" s="8">
        <f t="shared" ref="K66" si="3">SUM(C66:G66)</f>
        <v>157200000</v>
      </c>
    </row>
    <row r="67" spans="1:11">
      <c r="A67" s="74">
        <f t="shared" si="1"/>
        <v>62</v>
      </c>
      <c r="B67" s="168" t="s">
        <v>2986</v>
      </c>
      <c r="C67" s="8">
        <v>137214000</v>
      </c>
      <c r="D67" s="127"/>
      <c r="E67" s="127">
        <v>-12474000</v>
      </c>
      <c r="F67" s="8">
        <v>0</v>
      </c>
      <c r="G67" s="8">
        <v>0</v>
      </c>
      <c r="K67" s="8">
        <f t="shared" si="2"/>
        <v>124740000</v>
      </c>
    </row>
    <row r="68" spans="1:11">
      <c r="A68" s="74">
        <f t="shared" si="1"/>
        <v>63</v>
      </c>
      <c r="B68" s="168" t="s">
        <v>2985</v>
      </c>
      <c r="C68" s="8">
        <v>770013750</v>
      </c>
      <c r="D68" s="127">
        <v>-70001250</v>
      </c>
      <c r="E68" s="127">
        <v>0</v>
      </c>
      <c r="F68" s="8">
        <v>0</v>
      </c>
      <c r="G68" s="8">
        <v>0</v>
      </c>
      <c r="K68" s="8">
        <f t="shared" si="2"/>
        <v>700012500</v>
      </c>
    </row>
    <row r="69" spans="1:11">
      <c r="A69" s="74">
        <f t="shared" si="1"/>
        <v>64</v>
      </c>
      <c r="B69" s="168" t="s">
        <v>2965</v>
      </c>
      <c r="C69" s="8">
        <v>942287500</v>
      </c>
      <c r="D69" s="127">
        <v>-66816750</v>
      </c>
      <c r="E69" s="127">
        <f>-85662500-D69</f>
        <v>-18845750</v>
      </c>
      <c r="F69" s="8">
        <v>0</v>
      </c>
      <c r="G69" s="8">
        <v>0</v>
      </c>
      <c r="K69" s="8">
        <f t="shared" si="2"/>
        <v>856625000</v>
      </c>
    </row>
    <row r="70" spans="1:11">
      <c r="A70" s="74">
        <f t="shared" si="1"/>
        <v>65</v>
      </c>
      <c r="B70" s="168" t="s">
        <v>2991</v>
      </c>
      <c r="C70" s="8">
        <v>224840909</v>
      </c>
      <c r="D70" s="127"/>
      <c r="E70" s="127">
        <v>-19250000</v>
      </c>
      <c r="F70" s="8">
        <v>0</v>
      </c>
      <c r="G70" s="8">
        <v>0</v>
      </c>
      <c r="K70" s="8">
        <f t="shared" si="2"/>
        <v>205590909</v>
      </c>
    </row>
    <row r="71" spans="1:11">
      <c r="A71" s="74">
        <f t="shared" si="1"/>
        <v>66</v>
      </c>
      <c r="B71" s="168" t="s">
        <v>4142</v>
      </c>
      <c r="C71" s="8">
        <v>28422900</v>
      </c>
      <c r="D71" s="127"/>
      <c r="E71" s="127">
        <v>-2583900</v>
      </c>
      <c r="F71" s="8">
        <v>0</v>
      </c>
      <c r="G71" s="8">
        <v>0</v>
      </c>
      <c r="K71" s="8">
        <f t="shared" ref="K71:K99" si="4">SUM(C71:G71)</f>
        <v>25839000</v>
      </c>
    </row>
    <row r="72" spans="1:11">
      <c r="A72" s="74">
        <f t="shared" ref="A72:A74" si="5">+A71+1</f>
        <v>67</v>
      </c>
      <c r="B72" s="168" t="s">
        <v>3033</v>
      </c>
      <c r="C72" s="8">
        <v>114380200</v>
      </c>
      <c r="D72" s="127">
        <v>-10398200</v>
      </c>
      <c r="E72" s="127">
        <f>-10398200-D72</f>
        <v>0</v>
      </c>
      <c r="F72" s="8">
        <v>0</v>
      </c>
      <c r="G72" s="8">
        <v>0</v>
      </c>
      <c r="K72" s="8">
        <f t="shared" si="4"/>
        <v>103982000</v>
      </c>
    </row>
    <row r="73" spans="1:11">
      <c r="A73" s="74">
        <f t="shared" si="5"/>
        <v>68</v>
      </c>
      <c r="B73" s="168" t="s">
        <v>2972</v>
      </c>
      <c r="C73" s="8">
        <v>135119600</v>
      </c>
      <c r="D73" s="127"/>
      <c r="E73" s="127">
        <v>-12283600</v>
      </c>
      <c r="F73" s="8">
        <v>0</v>
      </c>
      <c r="G73" s="8">
        <v>0</v>
      </c>
      <c r="K73" s="8">
        <f t="shared" si="4"/>
        <v>122836000</v>
      </c>
    </row>
    <row r="74" spans="1:11">
      <c r="A74" s="74">
        <f t="shared" si="5"/>
        <v>69</v>
      </c>
      <c r="B74" s="168" t="s">
        <v>4143</v>
      </c>
      <c r="C74" s="8">
        <v>858634128</v>
      </c>
      <c r="D74" s="127"/>
      <c r="E74" s="127">
        <v>-78057648</v>
      </c>
      <c r="F74" s="8">
        <v>0</v>
      </c>
      <c r="G74" s="8">
        <v>0</v>
      </c>
      <c r="K74" s="8">
        <f t="shared" si="4"/>
        <v>780576480</v>
      </c>
    </row>
    <row r="75" spans="1:11">
      <c r="A75" s="74">
        <f t="shared" ref="A75:A99" si="6">+A74+1</f>
        <v>70</v>
      </c>
      <c r="B75" s="168" t="s">
        <v>3001</v>
      </c>
      <c r="C75" s="8">
        <v>19272521</v>
      </c>
      <c r="D75" s="127"/>
      <c r="E75" s="127">
        <v>-1909890</v>
      </c>
      <c r="F75" s="8">
        <v>0</v>
      </c>
      <c r="G75" s="8">
        <v>0</v>
      </c>
      <c r="K75" s="8">
        <f t="shared" si="4"/>
        <v>17362631</v>
      </c>
    </row>
    <row r="76" spans="1:11">
      <c r="A76" s="74">
        <f t="shared" si="6"/>
        <v>71</v>
      </c>
      <c r="B76" s="168" t="s">
        <v>3073</v>
      </c>
      <c r="C76" s="8">
        <v>1079676067.03</v>
      </c>
      <c r="D76" s="127">
        <v>-66025877.829999998</v>
      </c>
      <c r="E76" s="127">
        <f>-98152369.73-D76</f>
        <v>-32126491.900000006</v>
      </c>
      <c r="F76" s="8">
        <v>0</v>
      </c>
      <c r="G76" s="8">
        <v>0</v>
      </c>
      <c r="K76" s="8">
        <f t="shared" si="4"/>
        <v>981523697.29999995</v>
      </c>
    </row>
    <row r="77" spans="1:11">
      <c r="A77" s="74">
        <f t="shared" si="6"/>
        <v>72</v>
      </c>
      <c r="B77" s="168" t="s">
        <v>3044</v>
      </c>
      <c r="C77" s="8">
        <v>1616000</v>
      </c>
      <c r="D77" s="127">
        <f>-8500-7500</f>
        <v>-16000</v>
      </c>
      <c r="E77" s="127">
        <f>-16000-D77</f>
        <v>0</v>
      </c>
      <c r="F77" s="8">
        <v>0</v>
      </c>
      <c r="G77" s="8">
        <v>0</v>
      </c>
      <c r="K77" s="8">
        <f t="shared" si="4"/>
        <v>1600000</v>
      </c>
    </row>
    <row r="78" spans="1:11">
      <c r="A78" s="74">
        <f t="shared" si="6"/>
        <v>73</v>
      </c>
      <c r="B78" s="168" t="s">
        <v>1127</v>
      </c>
      <c r="C78" s="8">
        <v>166586488</v>
      </c>
      <c r="D78" s="127">
        <v>-14884740</v>
      </c>
      <c r="E78" s="127">
        <f>-14884740-D78</f>
        <v>0</v>
      </c>
      <c r="F78" s="8">
        <v>0</v>
      </c>
      <c r="G78" s="8">
        <v>0</v>
      </c>
      <c r="K78" s="8">
        <f t="shared" si="4"/>
        <v>151701748</v>
      </c>
    </row>
    <row r="79" spans="1:11">
      <c r="A79" s="74">
        <f t="shared" si="6"/>
        <v>74</v>
      </c>
      <c r="B79" s="168" t="s">
        <v>4748</v>
      </c>
      <c r="C79" s="8">
        <v>392694400</v>
      </c>
      <c r="D79" s="127">
        <v>-1790400</v>
      </c>
      <c r="E79" s="127">
        <f>-1790400-D79</f>
        <v>0</v>
      </c>
      <c r="F79" s="8">
        <v>0</v>
      </c>
      <c r="G79" s="8">
        <v>0</v>
      </c>
      <c r="K79" s="8">
        <f t="shared" si="4"/>
        <v>390904000</v>
      </c>
    </row>
    <row r="80" spans="1:11">
      <c r="A80" s="74">
        <f t="shared" si="6"/>
        <v>75</v>
      </c>
      <c r="B80" s="168" t="s">
        <v>1126</v>
      </c>
      <c r="C80" s="8">
        <v>93324000</v>
      </c>
      <c r="D80" s="127">
        <v>-8484000</v>
      </c>
      <c r="E80" s="127">
        <f>-8484000-D80</f>
        <v>0</v>
      </c>
      <c r="F80" s="8">
        <v>0</v>
      </c>
      <c r="G80" s="8">
        <v>0</v>
      </c>
      <c r="K80" s="8">
        <f t="shared" si="4"/>
        <v>84840000</v>
      </c>
    </row>
    <row r="81" spans="1:11">
      <c r="A81" s="74">
        <f t="shared" si="6"/>
        <v>76</v>
      </c>
      <c r="B81" s="168" t="s">
        <v>602</v>
      </c>
      <c r="C81" s="8">
        <v>96800000</v>
      </c>
      <c r="D81" s="127">
        <v>-8800000</v>
      </c>
      <c r="E81" s="127">
        <f>-8800000-D81</f>
        <v>0</v>
      </c>
      <c r="F81" s="8">
        <v>0</v>
      </c>
      <c r="G81" s="8">
        <v>0</v>
      </c>
      <c r="K81" s="8">
        <f t="shared" si="4"/>
        <v>88000000</v>
      </c>
    </row>
    <row r="82" spans="1:11">
      <c r="A82" s="74">
        <f t="shared" si="6"/>
        <v>77</v>
      </c>
      <c r="B82" s="168" t="s">
        <v>3030</v>
      </c>
      <c r="C82" s="8">
        <v>372349999.12</v>
      </c>
      <c r="D82" s="127">
        <v>-16924999.960000001</v>
      </c>
      <c r="E82" s="127">
        <f>-33849999.92-D82</f>
        <v>-16924999.960000001</v>
      </c>
      <c r="F82" s="8">
        <v>0</v>
      </c>
      <c r="G82" s="8">
        <v>0</v>
      </c>
      <c r="K82" s="8">
        <f t="shared" si="4"/>
        <v>338499999.20000005</v>
      </c>
    </row>
    <row r="83" spans="1:11" s="168" customFormat="1">
      <c r="A83" s="74">
        <f t="shared" si="6"/>
        <v>78</v>
      </c>
      <c r="B83" s="168" t="s">
        <v>4144</v>
      </c>
      <c r="C83" s="127">
        <v>117823750</v>
      </c>
      <c r="D83" s="127"/>
      <c r="E83" s="127">
        <v>-10711250</v>
      </c>
      <c r="F83" s="127">
        <v>0</v>
      </c>
      <c r="G83" s="127">
        <v>0</v>
      </c>
      <c r="H83" s="127"/>
      <c r="I83" s="172"/>
      <c r="J83" s="172"/>
      <c r="K83" s="8">
        <f t="shared" si="4"/>
        <v>107112500</v>
      </c>
    </row>
    <row r="84" spans="1:11">
      <c r="A84" s="74">
        <f t="shared" si="6"/>
        <v>79</v>
      </c>
      <c r="B84" s="168" t="s">
        <v>2992</v>
      </c>
      <c r="C84" s="8">
        <v>466384407</v>
      </c>
      <c r="D84" s="127">
        <v>-538583</v>
      </c>
      <c r="E84" s="127">
        <f>-42398583-D84</f>
        <v>-41860000</v>
      </c>
      <c r="F84" s="8">
        <v>0</v>
      </c>
      <c r="G84" s="8">
        <v>0</v>
      </c>
      <c r="K84" s="8">
        <f t="shared" si="4"/>
        <v>423985824</v>
      </c>
    </row>
    <row r="85" spans="1:11">
      <c r="A85" s="74">
        <f t="shared" si="6"/>
        <v>80</v>
      </c>
      <c r="B85" s="168" t="s">
        <v>2953</v>
      </c>
      <c r="C85" s="8">
        <v>140046720</v>
      </c>
      <c r="D85" s="127">
        <v>-12731520</v>
      </c>
      <c r="E85" s="127">
        <f>-12731520-D85</f>
        <v>0</v>
      </c>
      <c r="F85" s="8">
        <v>0</v>
      </c>
      <c r="G85" s="8">
        <v>0</v>
      </c>
      <c r="K85" s="8">
        <f t="shared" si="4"/>
        <v>127315200</v>
      </c>
    </row>
    <row r="86" spans="1:11">
      <c r="A86" s="74">
        <f t="shared" si="6"/>
        <v>81</v>
      </c>
      <c r="B86" s="168" t="s">
        <v>1128</v>
      </c>
      <c r="C86" s="8">
        <v>412906700.80000001</v>
      </c>
      <c r="D86" s="127">
        <v>-37536972.800000004</v>
      </c>
      <c r="E86" s="127">
        <f>-37536972.8-D86</f>
        <v>0</v>
      </c>
      <c r="F86" s="8">
        <v>0</v>
      </c>
      <c r="G86" s="8">
        <v>0</v>
      </c>
      <c r="K86" s="8">
        <f t="shared" si="4"/>
        <v>375369728</v>
      </c>
    </row>
    <row r="87" spans="1:11">
      <c r="A87" s="74">
        <f t="shared" si="6"/>
        <v>82</v>
      </c>
      <c r="B87" s="168" t="s">
        <v>603</v>
      </c>
      <c r="C87" s="8">
        <v>361390700</v>
      </c>
      <c r="D87" s="127">
        <v>-32853700</v>
      </c>
      <c r="E87" s="127">
        <f>-32853700-D87</f>
        <v>0</v>
      </c>
      <c r="F87" s="8">
        <v>0</v>
      </c>
      <c r="G87" s="8">
        <v>0</v>
      </c>
      <c r="K87" s="8">
        <f t="shared" si="4"/>
        <v>328537000</v>
      </c>
    </row>
    <row r="88" spans="1:11">
      <c r="A88" s="74">
        <f t="shared" si="6"/>
        <v>83</v>
      </c>
      <c r="B88" s="168" t="s">
        <v>2960</v>
      </c>
      <c r="C88" s="8">
        <v>480599350</v>
      </c>
      <c r="D88" s="127">
        <v>-43690850</v>
      </c>
      <c r="E88" s="127">
        <f>-43690850-D88</f>
        <v>0</v>
      </c>
      <c r="F88" s="8">
        <v>0</v>
      </c>
      <c r="G88" s="8">
        <v>0</v>
      </c>
      <c r="K88" s="8">
        <f t="shared" si="4"/>
        <v>436908500</v>
      </c>
    </row>
    <row r="89" spans="1:11">
      <c r="A89" s="74">
        <f t="shared" si="6"/>
        <v>84</v>
      </c>
      <c r="B89" s="168" t="s">
        <v>2952</v>
      </c>
      <c r="C89" s="8">
        <v>208936750</v>
      </c>
      <c r="D89" s="127">
        <v>-18994250</v>
      </c>
      <c r="E89" s="127">
        <f>-18994250-D89</f>
        <v>0</v>
      </c>
      <c r="F89" s="8">
        <v>0</v>
      </c>
      <c r="G89" s="8">
        <v>0</v>
      </c>
      <c r="K89" s="8">
        <f t="shared" si="4"/>
        <v>189942500</v>
      </c>
    </row>
    <row r="90" spans="1:11">
      <c r="A90" s="74">
        <f t="shared" si="6"/>
        <v>85</v>
      </c>
      <c r="B90" s="168" t="s">
        <v>251</v>
      </c>
      <c r="C90" s="8">
        <v>307672750</v>
      </c>
      <c r="D90" s="127">
        <v>-27970250</v>
      </c>
      <c r="E90" s="127">
        <f>-27970250-D90</f>
        <v>0</v>
      </c>
      <c r="F90" s="8">
        <v>0</v>
      </c>
      <c r="G90" s="8">
        <v>0</v>
      </c>
      <c r="K90" s="8">
        <f t="shared" si="4"/>
        <v>279702500</v>
      </c>
    </row>
    <row r="91" spans="1:11">
      <c r="A91" s="74">
        <f t="shared" si="6"/>
        <v>86</v>
      </c>
      <c r="B91" s="168" t="s">
        <v>4145</v>
      </c>
      <c r="C91" s="8">
        <v>43037940</v>
      </c>
      <c r="D91" s="127">
        <v>-3912540</v>
      </c>
      <c r="E91" s="127">
        <f>-3912540-D91</f>
        <v>0</v>
      </c>
      <c r="F91" s="8">
        <v>0</v>
      </c>
      <c r="G91" s="8">
        <v>0</v>
      </c>
      <c r="K91" s="8">
        <f t="shared" si="4"/>
        <v>39125400</v>
      </c>
    </row>
    <row r="92" spans="1:11">
      <c r="A92" s="74">
        <f t="shared" si="6"/>
        <v>87</v>
      </c>
      <c r="B92" s="168" t="s">
        <v>2975</v>
      </c>
      <c r="C92" s="8">
        <v>317715750</v>
      </c>
      <c r="D92" s="127">
        <v>-28883250</v>
      </c>
      <c r="E92" s="127">
        <f>-28883250-D92</f>
        <v>0</v>
      </c>
      <c r="F92" s="8">
        <v>0</v>
      </c>
      <c r="G92" s="8">
        <v>0</v>
      </c>
      <c r="K92" s="8">
        <f t="shared" si="4"/>
        <v>288832500</v>
      </c>
    </row>
    <row r="93" spans="1:11">
      <c r="A93" s="74">
        <f t="shared" si="6"/>
        <v>88</v>
      </c>
      <c r="B93" s="168" t="s">
        <v>2974</v>
      </c>
      <c r="C93" s="8">
        <v>294030000</v>
      </c>
      <c r="D93" s="127">
        <v>-26730000</v>
      </c>
      <c r="E93" s="127">
        <f>-26730000-D93</f>
        <v>0</v>
      </c>
      <c r="F93" s="8">
        <v>0</v>
      </c>
      <c r="G93" s="8">
        <v>0</v>
      </c>
      <c r="K93" s="8">
        <f t="shared" si="4"/>
        <v>267300000</v>
      </c>
    </row>
    <row r="94" spans="1:11">
      <c r="A94" s="74">
        <f t="shared" si="6"/>
        <v>89</v>
      </c>
      <c r="B94" s="168" t="s">
        <v>2981</v>
      </c>
      <c r="C94" s="8">
        <v>2500000</v>
      </c>
      <c r="D94" s="127"/>
      <c r="E94" s="127">
        <v>0</v>
      </c>
      <c r="F94" s="8">
        <v>0</v>
      </c>
      <c r="G94" s="8">
        <v>0</v>
      </c>
      <c r="K94" s="8">
        <f t="shared" si="4"/>
        <v>2500000</v>
      </c>
    </row>
    <row r="95" spans="1:11">
      <c r="A95" s="74">
        <f t="shared" si="6"/>
        <v>90</v>
      </c>
      <c r="B95" s="168" t="s">
        <v>4146</v>
      </c>
      <c r="C95" s="8">
        <v>23947123.199999999</v>
      </c>
      <c r="D95" s="127">
        <v>-2177011.2000000002</v>
      </c>
      <c r="E95" s="127">
        <f>-2177011.2-D95</f>
        <v>0</v>
      </c>
      <c r="F95" s="8">
        <v>0</v>
      </c>
      <c r="G95" s="8">
        <v>0</v>
      </c>
      <c r="K95" s="8">
        <f t="shared" si="4"/>
        <v>21770112</v>
      </c>
    </row>
    <row r="96" spans="1:11">
      <c r="A96" s="74">
        <f t="shared" si="6"/>
        <v>91</v>
      </c>
      <c r="B96" s="168" t="s">
        <v>3042</v>
      </c>
      <c r="C96" s="8">
        <v>149864000</v>
      </c>
      <c r="D96" s="127">
        <v>-13624000</v>
      </c>
      <c r="E96" s="127">
        <f>-13624000-D96</f>
        <v>0</v>
      </c>
      <c r="F96" s="8">
        <v>0</v>
      </c>
      <c r="G96" s="8">
        <v>0</v>
      </c>
      <c r="K96" s="8">
        <f t="shared" si="4"/>
        <v>136240000</v>
      </c>
    </row>
    <row r="97" spans="1:12">
      <c r="A97" s="74">
        <f t="shared" si="6"/>
        <v>92</v>
      </c>
      <c r="B97" s="168" t="s">
        <v>3395</v>
      </c>
      <c r="C97" s="8">
        <v>854352373</v>
      </c>
      <c r="D97" s="72" t="s">
        <v>64</v>
      </c>
      <c r="E97" s="170">
        <v>-82188073</v>
      </c>
      <c r="F97" s="8">
        <v>0</v>
      </c>
      <c r="G97" s="8">
        <v>0</v>
      </c>
      <c r="K97" s="8">
        <f t="shared" si="4"/>
        <v>772164300</v>
      </c>
    </row>
    <row r="98" spans="1:12" s="168" customFormat="1">
      <c r="A98" s="171">
        <f t="shared" si="6"/>
        <v>93</v>
      </c>
      <c r="B98" s="168" t="s">
        <v>4137</v>
      </c>
      <c r="C98" s="127">
        <v>442333800</v>
      </c>
      <c r="D98" s="170" t="s">
        <v>64</v>
      </c>
      <c r="E98" s="170">
        <v>-32989000</v>
      </c>
      <c r="F98" s="127">
        <v>0</v>
      </c>
      <c r="G98" s="127">
        <v>0</v>
      </c>
      <c r="H98" s="127"/>
      <c r="I98" s="172"/>
      <c r="J98" s="172"/>
      <c r="K98" s="8">
        <f t="shared" si="4"/>
        <v>409344800</v>
      </c>
    </row>
    <row r="99" spans="1:12">
      <c r="A99" s="74">
        <f t="shared" si="6"/>
        <v>94</v>
      </c>
      <c r="B99" s="168" t="s">
        <v>175</v>
      </c>
      <c r="C99" s="8">
        <v>164076000</v>
      </c>
      <c r="D99" s="53">
        <v>-14916000</v>
      </c>
      <c r="E99" s="170">
        <f>-14916000-D99</f>
        <v>0</v>
      </c>
      <c r="F99" s="8">
        <v>0</v>
      </c>
      <c r="G99" s="8">
        <v>0</v>
      </c>
      <c r="K99" s="8">
        <f t="shared" si="4"/>
        <v>149160000</v>
      </c>
    </row>
    <row r="100" spans="1:12">
      <c r="A100" s="74"/>
      <c r="B100" s="168"/>
      <c r="C100" s="200">
        <f>SUM(C6:C99)</f>
        <v>30029392812.129993</v>
      </c>
      <c r="D100" s="200">
        <f>SUM(D6:D99)</f>
        <v>-1693590256.1863637</v>
      </c>
      <c r="E100" s="200">
        <f>SUM(E6:E99)</f>
        <v>-669439740.46000004</v>
      </c>
      <c r="F100" s="170"/>
    </row>
    <row r="101" spans="1:12">
      <c r="A101" s="74"/>
      <c r="K101" s="9">
        <f>SUM(K6:K99)</f>
        <v>27666362815.483635</v>
      </c>
      <c r="L101" s="128" t="s">
        <v>64</v>
      </c>
    </row>
    <row r="102" spans="1:12">
      <c r="B102" s="1" t="s">
        <v>722</v>
      </c>
      <c r="C102" s="78" t="s">
        <v>0</v>
      </c>
      <c r="D102" s="78" t="s">
        <v>449</v>
      </c>
      <c r="E102" s="78" t="s">
        <v>428</v>
      </c>
      <c r="F102" s="78" t="s">
        <v>1125</v>
      </c>
      <c r="G102" s="129" t="s">
        <v>429</v>
      </c>
      <c r="H102" s="78" t="s">
        <v>430</v>
      </c>
      <c r="I102" s="78" t="s">
        <v>723</v>
      </c>
    </row>
    <row r="103" spans="1:12">
      <c r="A103" s="74">
        <v>1</v>
      </c>
      <c r="B103" s="168" t="str">
        <f>B6</f>
        <v xml:space="preserve">BNI Signing Ceremony </v>
      </c>
      <c r="C103" s="8">
        <v>-33791600</v>
      </c>
      <c r="D103" s="8">
        <v>0</v>
      </c>
      <c r="E103" s="8">
        <v>0</v>
      </c>
      <c r="F103" s="8">
        <v>0</v>
      </c>
      <c r="G103" s="8">
        <v>-300000</v>
      </c>
      <c r="H103" s="8">
        <v>-918200</v>
      </c>
      <c r="I103" s="8">
        <v>0</v>
      </c>
      <c r="K103" s="8">
        <f t="shared" ref="K103:K134" si="7">SUM(C103:I103)</f>
        <v>-35009800</v>
      </c>
    </row>
    <row r="104" spans="1:12">
      <c r="A104" s="74">
        <f>+A103+1</f>
        <v>2</v>
      </c>
      <c r="B104" s="168" t="str">
        <f t="shared" ref="B104:B167" si="8">B7</f>
        <v>BRI Agro RUPS Luar Biasa</v>
      </c>
      <c r="C104" s="8">
        <v>-90100000</v>
      </c>
      <c r="D104" s="8">
        <v>-25000000</v>
      </c>
      <c r="E104" s="8">
        <v>0</v>
      </c>
      <c r="F104" s="8">
        <v>0</v>
      </c>
      <c r="G104" s="8">
        <v>0</v>
      </c>
      <c r="H104" s="8">
        <v>-2885300</v>
      </c>
      <c r="I104" s="8">
        <v>-1200000</v>
      </c>
      <c r="K104" s="8">
        <f t="shared" si="7"/>
        <v>-119185300</v>
      </c>
    </row>
    <row r="105" spans="1:12">
      <c r="A105" s="74">
        <f t="shared" ref="A105:A169" si="9">+A104+1</f>
        <v>3</v>
      </c>
      <c r="B105" s="168" t="str">
        <f t="shared" si="8"/>
        <v>BRI Cyperos Bali</v>
      </c>
      <c r="C105" s="8">
        <v>-796263652</v>
      </c>
      <c r="D105" s="8">
        <v>-909529500</v>
      </c>
      <c r="E105" s="8">
        <v>0</v>
      </c>
      <c r="F105" s="8">
        <v>0</v>
      </c>
      <c r="G105" s="8">
        <v>-510000</v>
      </c>
      <c r="H105" s="8">
        <v>-83282890</v>
      </c>
      <c r="I105" s="8">
        <v>-4794325</v>
      </c>
      <c r="K105" s="8">
        <f t="shared" si="7"/>
        <v>-1794380367</v>
      </c>
    </row>
    <row r="106" spans="1:12">
      <c r="A106" s="74">
        <f t="shared" si="9"/>
        <v>4</v>
      </c>
      <c r="B106" s="168" t="str">
        <f t="shared" si="8"/>
        <v>BRI FGD Ayana 1</v>
      </c>
      <c r="C106" s="8">
        <v>-10547600</v>
      </c>
      <c r="D106" s="8">
        <v>0</v>
      </c>
      <c r="E106" s="8">
        <v>-10800000</v>
      </c>
      <c r="F106" s="8">
        <v>0</v>
      </c>
      <c r="G106" s="8">
        <v>-345000</v>
      </c>
      <c r="H106" s="8">
        <v>-83029896</v>
      </c>
      <c r="I106" s="8">
        <v>-1050000</v>
      </c>
      <c r="K106" s="8">
        <f t="shared" si="7"/>
        <v>-105772496</v>
      </c>
    </row>
    <row r="107" spans="1:12">
      <c r="A107" s="74">
        <f t="shared" si="9"/>
        <v>5</v>
      </c>
      <c r="B107" s="168" t="str">
        <f t="shared" si="8"/>
        <v>BRI FGD Ayana 2</v>
      </c>
      <c r="C107" s="8">
        <v>-7997600</v>
      </c>
      <c r="D107" s="8">
        <v>0</v>
      </c>
      <c r="E107" s="8">
        <v>-12375000</v>
      </c>
      <c r="F107" s="8">
        <v>0</v>
      </c>
      <c r="G107" s="8">
        <v>-1006500</v>
      </c>
      <c r="H107" s="8">
        <v>-76941570</v>
      </c>
      <c r="I107" s="8">
        <v>-1200000</v>
      </c>
      <c r="K107" s="8">
        <f t="shared" si="7"/>
        <v>-99520670</v>
      </c>
    </row>
    <row r="108" spans="1:12">
      <c r="A108" s="74">
        <f t="shared" si="9"/>
        <v>6</v>
      </c>
      <c r="B108" s="168" t="str">
        <f t="shared" si="8"/>
        <v>BRI FGD Ayana 3</v>
      </c>
      <c r="C108" s="8">
        <v>-9734600</v>
      </c>
      <c r="D108" s="8">
        <v>0</v>
      </c>
      <c r="E108" s="8">
        <v>-9225000</v>
      </c>
      <c r="F108" s="8">
        <v>0</v>
      </c>
      <c r="G108" s="8">
        <v>-195000</v>
      </c>
      <c r="H108" s="8">
        <v>-80755529</v>
      </c>
      <c r="I108" s="8">
        <v>-1200000</v>
      </c>
      <c r="K108" s="8">
        <f t="shared" si="7"/>
        <v>-101110129</v>
      </c>
    </row>
    <row r="109" spans="1:12">
      <c r="A109" s="74">
        <f t="shared" si="9"/>
        <v>7</v>
      </c>
      <c r="B109" s="168" t="str">
        <f t="shared" si="8"/>
        <v>BRI FGD Ayana 4</v>
      </c>
      <c r="C109" s="8">
        <v>-8400000</v>
      </c>
      <c r="D109" s="8">
        <v>0</v>
      </c>
      <c r="E109" s="8">
        <v>-3825000</v>
      </c>
      <c r="F109" s="8">
        <v>0</v>
      </c>
      <c r="G109" s="8">
        <v>-934346</v>
      </c>
      <c r="H109" s="8">
        <v>-57443200</v>
      </c>
      <c r="I109" s="8">
        <v>-400000</v>
      </c>
      <c r="K109" s="8">
        <f t="shared" si="7"/>
        <v>-71002546</v>
      </c>
    </row>
    <row r="110" spans="1:12">
      <c r="A110" s="74">
        <f t="shared" si="9"/>
        <v>8</v>
      </c>
      <c r="B110" s="168" t="str">
        <f t="shared" si="8"/>
        <v>BRI FGD DPR Komisi VI</v>
      </c>
      <c r="C110" s="8">
        <v>-32778000</v>
      </c>
      <c r="D110" s="8">
        <v>0</v>
      </c>
      <c r="E110" s="8">
        <v>0</v>
      </c>
      <c r="F110" s="8">
        <v>0</v>
      </c>
      <c r="G110" s="8">
        <v>0</v>
      </c>
      <c r="H110" s="8">
        <v>-476500</v>
      </c>
      <c r="I110" s="8">
        <v>-95324400</v>
      </c>
      <c r="K110" s="8">
        <f t="shared" si="7"/>
        <v>-128578900</v>
      </c>
    </row>
    <row r="111" spans="1:12">
      <c r="A111" s="74">
        <f t="shared" si="9"/>
        <v>9</v>
      </c>
      <c r="B111" s="168" t="str">
        <f t="shared" si="8"/>
        <v>BRI FGD K BUMN</v>
      </c>
      <c r="C111" s="8">
        <v>-50975000</v>
      </c>
      <c r="D111" s="8">
        <v>0</v>
      </c>
      <c r="E111" s="8">
        <v>0</v>
      </c>
      <c r="F111" s="8">
        <v>0</v>
      </c>
      <c r="G111" s="8">
        <v>0</v>
      </c>
      <c r="H111" s="8">
        <v>-10174970</v>
      </c>
      <c r="I111" s="8">
        <v>-1450000</v>
      </c>
      <c r="K111" s="8">
        <f t="shared" si="7"/>
        <v>-62599970</v>
      </c>
    </row>
    <row r="112" spans="1:12">
      <c r="A112" s="74">
        <f t="shared" si="9"/>
        <v>10</v>
      </c>
      <c r="B112" s="168" t="str">
        <f t="shared" si="8"/>
        <v>BRI FGD Lintas Kementerian</v>
      </c>
      <c r="C112" s="8">
        <v>-62140171</v>
      </c>
      <c r="D112" s="8">
        <v>-17600000</v>
      </c>
      <c r="E112" s="8">
        <v>-4425000</v>
      </c>
      <c r="F112" s="8">
        <v>0</v>
      </c>
      <c r="G112" s="8">
        <v>-1256500</v>
      </c>
      <c r="H112" s="8">
        <v>-43009046</v>
      </c>
      <c r="I112" s="8">
        <v>-9975000</v>
      </c>
      <c r="K112" s="8">
        <f t="shared" si="7"/>
        <v>-138405717</v>
      </c>
    </row>
    <row r="113" spans="1:11">
      <c r="A113" s="74">
        <f t="shared" si="9"/>
        <v>11</v>
      </c>
      <c r="B113" s="168" t="str">
        <f t="shared" si="8"/>
        <v xml:space="preserve">BRI FIT SKP Media </v>
      </c>
      <c r="C113" s="8">
        <v>0</v>
      </c>
      <c r="D113" s="8">
        <v>-9639900</v>
      </c>
      <c r="E113" s="8">
        <v>0</v>
      </c>
      <c r="F113" s="8">
        <v>0</v>
      </c>
      <c r="G113" s="8">
        <v>0</v>
      </c>
      <c r="H113" s="8">
        <v>-10568496</v>
      </c>
      <c r="I113" s="8">
        <v>-1500000</v>
      </c>
      <c r="K113" s="8">
        <f t="shared" si="7"/>
        <v>-21708396</v>
      </c>
    </row>
    <row r="114" spans="1:11">
      <c r="A114" s="74">
        <f t="shared" si="9"/>
        <v>12</v>
      </c>
      <c r="B114" s="168" t="str">
        <f t="shared" si="8"/>
        <v>BRI Hampers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-70514500</v>
      </c>
      <c r="I114" s="8">
        <v>0</v>
      </c>
      <c r="K114" s="8">
        <f t="shared" si="7"/>
        <v>-70514500</v>
      </c>
    </row>
    <row r="115" spans="1:11">
      <c r="A115" s="74">
        <f t="shared" si="9"/>
        <v>13</v>
      </c>
      <c r="B115" s="168" t="str">
        <f t="shared" si="8"/>
        <v>BRI Hampers Pemimpin Redaksi</v>
      </c>
      <c r="C115" s="8">
        <v>0</v>
      </c>
      <c r="D115" s="8">
        <v>-1030800</v>
      </c>
      <c r="E115" s="8">
        <v>0</v>
      </c>
      <c r="F115" s="8">
        <v>0</v>
      </c>
      <c r="G115" s="8">
        <v>0</v>
      </c>
      <c r="H115" s="8">
        <v>-38175150</v>
      </c>
      <c r="I115" s="8">
        <v>0</v>
      </c>
      <c r="K115" s="8">
        <f t="shared" si="7"/>
        <v>-39205950</v>
      </c>
    </row>
    <row r="116" spans="1:11">
      <c r="A116" s="74">
        <f t="shared" si="9"/>
        <v>14</v>
      </c>
      <c r="B116" s="168" t="str">
        <f t="shared" si="8"/>
        <v>BRI Himbara Pemimpin Redaksi Bali</v>
      </c>
      <c r="C116" s="8">
        <v>-22350000</v>
      </c>
      <c r="D116" s="8">
        <v>-48610000</v>
      </c>
      <c r="E116" s="8">
        <v>0</v>
      </c>
      <c r="F116" s="8">
        <v>0</v>
      </c>
      <c r="G116" s="8">
        <v>-1646000</v>
      </c>
      <c r="H116" s="8">
        <v>-29070100</v>
      </c>
      <c r="I116" s="8">
        <v>0</v>
      </c>
      <c r="K116" s="8">
        <f t="shared" si="7"/>
        <v>-101676100</v>
      </c>
    </row>
    <row r="117" spans="1:11">
      <c r="A117" s="74">
        <f t="shared" si="9"/>
        <v>15</v>
      </c>
      <c r="B117" s="168" t="str">
        <f t="shared" si="8"/>
        <v>BRI Himbara Pemimpin Redaksi Gathering</v>
      </c>
      <c r="C117" s="8">
        <v>-82144500</v>
      </c>
      <c r="D117" s="8">
        <v>-16600000</v>
      </c>
      <c r="E117" s="8">
        <v>0</v>
      </c>
      <c r="F117" s="8">
        <v>0</v>
      </c>
      <c r="G117" s="8">
        <v>-263300</v>
      </c>
      <c r="H117" s="8">
        <v>-211942297</v>
      </c>
      <c r="I117" s="8">
        <v>-1050000</v>
      </c>
      <c r="K117" s="8">
        <f t="shared" si="7"/>
        <v>-312000097</v>
      </c>
    </row>
    <row r="118" spans="1:11">
      <c r="A118" s="74">
        <f t="shared" si="9"/>
        <v>16</v>
      </c>
      <c r="B118" s="168" t="str">
        <f t="shared" si="8"/>
        <v>BRI IDX Opening Bell Right Issue</v>
      </c>
      <c r="C118" s="8">
        <v>-137858346</v>
      </c>
      <c r="D118" s="8">
        <v>0</v>
      </c>
      <c r="E118" s="8">
        <v>0</v>
      </c>
      <c r="F118" s="8">
        <v>0</v>
      </c>
      <c r="G118" s="8">
        <v>0</v>
      </c>
      <c r="H118" s="8">
        <v>-937000</v>
      </c>
      <c r="I118" s="8">
        <v>-15896455</v>
      </c>
      <c r="K118" s="8">
        <f t="shared" si="7"/>
        <v>-154691801</v>
      </c>
    </row>
    <row r="119" spans="1:11">
      <c r="A119" s="74">
        <f t="shared" si="9"/>
        <v>17</v>
      </c>
      <c r="B119" s="168" t="str">
        <f t="shared" si="8"/>
        <v xml:space="preserve">BRI Investor Ultra Micro Ecosystem </v>
      </c>
      <c r="C119" s="8">
        <v>-28250000</v>
      </c>
      <c r="D119" s="8">
        <v>0</v>
      </c>
      <c r="E119" s="8">
        <v>0</v>
      </c>
      <c r="F119" s="8">
        <v>0</v>
      </c>
      <c r="G119" s="8">
        <v>-363500</v>
      </c>
      <c r="H119" s="8">
        <v>0</v>
      </c>
      <c r="I119" s="8">
        <v>-1050000</v>
      </c>
      <c r="K119" s="8">
        <f t="shared" si="7"/>
        <v>-29663500</v>
      </c>
    </row>
    <row r="120" spans="1:11">
      <c r="A120" s="74">
        <f t="shared" si="9"/>
        <v>18</v>
      </c>
      <c r="B120" s="168" t="str">
        <f t="shared" si="8"/>
        <v>BRI Iwabri Bandung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-25441156</v>
      </c>
      <c r="I120" s="8">
        <v>-3800000</v>
      </c>
      <c r="K120" s="8">
        <f t="shared" si="7"/>
        <v>-29241156</v>
      </c>
    </row>
    <row r="121" spans="1:11">
      <c r="A121" s="74">
        <f t="shared" si="9"/>
        <v>19</v>
      </c>
      <c r="B121" s="168" t="str">
        <f t="shared" si="8"/>
        <v>BRI Kunjungan Kerja DPR Bandung</v>
      </c>
      <c r="C121" s="8">
        <v>-69175000</v>
      </c>
      <c r="D121" s="8">
        <v>0</v>
      </c>
      <c r="E121" s="8">
        <v>-9475000</v>
      </c>
      <c r="F121" s="8">
        <v>0</v>
      </c>
      <c r="G121" s="8">
        <v>-238500</v>
      </c>
      <c r="H121" s="8">
        <v>-345185719</v>
      </c>
      <c r="I121" s="8">
        <v>-1100000</v>
      </c>
      <c r="K121" s="8">
        <f t="shared" si="7"/>
        <v>-425174219</v>
      </c>
    </row>
    <row r="122" spans="1:11">
      <c r="A122" s="74">
        <f t="shared" si="9"/>
        <v>20</v>
      </c>
      <c r="B122" s="168" t="str">
        <f t="shared" si="8"/>
        <v>BRI Kunjungan Kerja DPR Jogja</v>
      </c>
      <c r="C122" s="8">
        <v>-38550000</v>
      </c>
      <c r="D122" s="8">
        <v>-1005400</v>
      </c>
      <c r="E122" s="8">
        <v>0</v>
      </c>
      <c r="F122" s="8">
        <v>0</v>
      </c>
      <c r="G122" s="8">
        <v>0</v>
      </c>
      <c r="H122" s="8">
        <v>-24997756</v>
      </c>
      <c r="I122" s="8">
        <v>0</v>
      </c>
      <c r="K122" s="8">
        <f t="shared" si="7"/>
        <v>-64553156</v>
      </c>
    </row>
    <row r="123" spans="1:11">
      <c r="A123" s="74">
        <f t="shared" si="9"/>
        <v>21</v>
      </c>
      <c r="B123" s="168" t="str">
        <f t="shared" si="8"/>
        <v xml:space="preserve">BRI Kunjungan Kerja Serang </v>
      </c>
      <c r="C123" s="8">
        <v>-25460260</v>
      </c>
      <c r="D123" s="8">
        <v>0</v>
      </c>
      <c r="E123" s="8">
        <v>-5375000</v>
      </c>
      <c r="F123" s="8">
        <v>0</v>
      </c>
      <c r="G123" s="8">
        <v>0</v>
      </c>
      <c r="H123" s="8">
        <v>-15698085</v>
      </c>
      <c r="I123" s="8">
        <v>-1300000</v>
      </c>
      <c r="K123" s="8">
        <f t="shared" si="7"/>
        <v>-47833345</v>
      </c>
    </row>
    <row r="124" spans="1:11">
      <c r="A124" s="74">
        <f t="shared" si="9"/>
        <v>22</v>
      </c>
      <c r="B124" s="168" t="str">
        <f t="shared" si="8"/>
        <v>BRI Launching Double Care</v>
      </c>
      <c r="C124" s="8">
        <v>-296226900</v>
      </c>
      <c r="D124" s="8">
        <v>-2500000</v>
      </c>
      <c r="E124" s="8">
        <v>-3800000</v>
      </c>
      <c r="F124" s="8">
        <v>0</v>
      </c>
      <c r="G124" s="8">
        <v>-1261700</v>
      </c>
      <c r="H124" s="8">
        <v>-2211400</v>
      </c>
      <c r="I124" s="8">
        <v>-4642192</v>
      </c>
      <c r="K124" s="8">
        <f t="shared" si="7"/>
        <v>-310642192</v>
      </c>
    </row>
    <row r="125" spans="1:11">
      <c r="A125" s="74">
        <f t="shared" si="9"/>
        <v>23</v>
      </c>
      <c r="B125" s="168" t="str">
        <f t="shared" si="8"/>
        <v>BRI Launching Liga 1</v>
      </c>
      <c r="C125" s="8">
        <v>-33600000</v>
      </c>
      <c r="D125" s="8">
        <v>0</v>
      </c>
      <c r="E125" s="8">
        <v>0</v>
      </c>
      <c r="F125" s="8">
        <v>0</v>
      </c>
      <c r="G125" s="8">
        <v>-150000</v>
      </c>
      <c r="H125" s="8">
        <v>-1136553</v>
      </c>
      <c r="I125" s="8">
        <v>-2740000</v>
      </c>
      <c r="K125" s="8">
        <f t="shared" si="7"/>
        <v>-37626553</v>
      </c>
    </row>
    <row r="126" spans="1:11">
      <c r="A126" s="74">
        <f t="shared" si="9"/>
        <v>24</v>
      </c>
      <c r="B126" s="168" t="str">
        <f t="shared" si="8"/>
        <v>BRI Launching OVO U Card</v>
      </c>
      <c r="C126" s="8">
        <v>-268352250</v>
      </c>
      <c r="D126" s="8">
        <v>0</v>
      </c>
      <c r="E126" s="8">
        <v>0</v>
      </c>
      <c r="F126" s="8">
        <v>0</v>
      </c>
      <c r="G126" s="8">
        <v>0</v>
      </c>
      <c r="H126" s="8">
        <v>-4007792</v>
      </c>
      <c r="I126" s="8">
        <v>-67050906</v>
      </c>
      <c r="K126" s="8">
        <f t="shared" si="7"/>
        <v>-339410948</v>
      </c>
    </row>
    <row r="127" spans="1:11">
      <c r="A127" s="74">
        <f t="shared" si="9"/>
        <v>25</v>
      </c>
      <c r="B127" s="168" t="str">
        <f t="shared" si="8"/>
        <v>BRI Lombok</v>
      </c>
      <c r="C127" s="8">
        <v>-104985400</v>
      </c>
      <c r="D127" s="8">
        <v>-32591900</v>
      </c>
      <c r="E127" s="8">
        <v>0</v>
      </c>
      <c r="F127" s="8">
        <v>0</v>
      </c>
      <c r="G127" s="8">
        <v>0</v>
      </c>
      <c r="H127" s="8">
        <v>-110839550</v>
      </c>
      <c r="I127" s="8">
        <v>-3500000</v>
      </c>
      <c r="K127" s="8">
        <f t="shared" si="7"/>
        <v>-251916850</v>
      </c>
    </row>
    <row r="128" spans="1:11">
      <c r="A128" s="74">
        <f t="shared" si="9"/>
        <v>26</v>
      </c>
      <c r="B128" s="168" t="str">
        <f t="shared" si="8"/>
        <v>BRI Meeting Analyst Triwulan 4</v>
      </c>
      <c r="C128" s="8">
        <v>-118296275</v>
      </c>
      <c r="D128" s="8">
        <v>-30000000</v>
      </c>
      <c r="E128" s="8">
        <v>-6025000</v>
      </c>
      <c r="F128" s="8">
        <v>0</v>
      </c>
      <c r="G128" s="8">
        <v>-234600</v>
      </c>
      <c r="H128" s="8">
        <v>-2079160</v>
      </c>
      <c r="I128" s="8">
        <v>-1200000</v>
      </c>
      <c r="K128" s="8">
        <f t="shared" si="7"/>
        <v>-157835035</v>
      </c>
    </row>
    <row r="129" spans="1:11">
      <c r="A129" s="74">
        <f t="shared" si="9"/>
        <v>27</v>
      </c>
      <c r="B129" s="168" t="str">
        <f t="shared" si="8"/>
        <v>BRI Mikro Bali</v>
      </c>
      <c r="C129" s="8">
        <v>-82257500</v>
      </c>
      <c r="D129" s="8">
        <v>-92098800</v>
      </c>
      <c r="E129" s="8">
        <v>0</v>
      </c>
      <c r="F129" s="8">
        <v>0</v>
      </c>
      <c r="G129" s="8">
        <v>0</v>
      </c>
      <c r="H129" s="8">
        <v>-8260482</v>
      </c>
      <c r="I129" s="8">
        <v>-1837385</v>
      </c>
      <c r="K129" s="8">
        <f t="shared" si="7"/>
        <v>-184454167</v>
      </c>
    </row>
    <row r="130" spans="1:11">
      <c r="A130" s="74">
        <f t="shared" si="9"/>
        <v>28</v>
      </c>
      <c r="B130" s="168" t="str">
        <f t="shared" si="8"/>
        <v>BRI Monthly Meeting Agenda Setting</v>
      </c>
      <c r="C130" s="8">
        <v>-85126500</v>
      </c>
      <c r="D130" s="8">
        <v>0</v>
      </c>
      <c r="E130" s="8">
        <v>-30055000</v>
      </c>
      <c r="F130" s="8">
        <v>0</v>
      </c>
      <c r="G130" s="8">
        <v>-13000</v>
      </c>
      <c r="H130" s="8">
        <v>-9974850</v>
      </c>
      <c r="I130" s="8">
        <v>-39267500</v>
      </c>
      <c r="K130" s="8">
        <f t="shared" si="7"/>
        <v>-164436850</v>
      </c>
    </row>
    <row r="131" spans="1:11">
      <c r="A131" s="74">
        <f t="shared" si="9"/>
        <v>29</v>
      </c>
      <c r="B131" s="168" t="str">
        <f t="shared" si="8"/>
        <v>BRI MOU UMI</v>
      </c>
      <c r="C131" s="8">
        <v>-160808500</v>
      </c>
      <c r="D131" s="8">
        <v>0</v>
      </c>
      <c r="E131" s="8">
        <v>0</v>
      </c>
      <c r="F131" s="8">
        <v>0</v>
      </c>
      <c r="G131" s="8">
        <v>-343700</v>
      </c>
      <c r="H131" s="8">
        <v>-20326385</v>
      </c>
      <c r="I131" s="8">
        <v>-55250000</v>
      </c>
      <c r="K131" s="8">
        <f t="shared" si="7"/>
        <v>-236728585</v>
      </c>
    </row>
    <row r="132" spans="1:11">
      <c r="A132" s="74">
        <f t="shared" si="9"/>
        <v>30</v>
      </c>
      <c r="B132" s="168" t="str">
        <f t="shared" si="8"/>
        <v>BRI No Hoax</v>
      </c>
      <c r="C132" s="8">
        <v>-4200000</v>
      </c>
      <c r="D132" s="8">
        <v>0</v>
      </c>
      <c r="E132" s="8">
        <v>0</v>
      </c>
      <c r="F132" s="8">
        <v>0</v>
      </c>
      <c r="G132" s="8">
        <v>-150000</v>
      </c>
      <c r="H132" s="8">
        <v>-1383250</v>
      </c>
      <c r="I132" s="8">
        <v>-400000</v>
      </c>
      <c r="K132" s="8">
        <f t="shared" si="7"/>
        <v>-6133250</v>
      </c>
    </row>
    <row r="133" spans="1:11">
      <c r="A133" s="74">
        <f t="shared" si="9"/>
        <v>31</v>
      </c>
      <c r="B133" s="168" t="str">
        <f t="shared" si="8"/>
        <v>BRI Paralimpiade</v>
      </c>
      <c r="C133" s="8">
        <v>-60680000</v>
      </c>
      <c r="D133" s="8">
        <v>0</v>
      </c>
      <c r="E133" s="8">
        <v>0</v>
      </c>
      <c r="F133" s="8">
        <v>0</v>
      </c>
      <c r="G133" s="8">
        <v>0</v>
      </c>
      <c r="H133" s="8">
        <v>-21788551</v>
      </c>
      <c r="I133" s="8">
        <v>-222480890</v>
      </c>
      <c r="K133" s="8">
        <f t="shared" si="7"/>
        <v>-304949441</v>
      </c>
    </row>
    <row r="134" spans="1:11">
      <c r="A134" s="74">
        <f t="shared" si="9"/>
        <v>32</v>
      </c>
      <c r="B134" s="168" t="str">
        <f t="shared" si="8"/>
        <v>BRI Pengukuhan Team Elang</v>
      </c>
      <c r="C134" s="8">
        <v>-35624900</v>
      </c>
      <c r="D134" s="8">
        <v>-2300000</v>
      </c>
      <c r="E134" s="8">
        <v>-5175000</v>
      </c>
      <c r="F134" s="8">
        <v>0</v>
      </c>
      <c r="G134" s="8">
        <v>-1810127</v>
      </c>
      <c r="H134" s="8">
        <v>-8430100</v>
      </c>
      <c r="I134" s="8">
        <v>-5800000</v>
      </c>
      <c r="K134" s="8">
        <f t="shared" si="7"/>
        <v>-59140127</v>
      </c>
    </row>
    <row r="135" spans="1:11">
      <c r="A135" s="74">
        <f t="shared" si="9"/>
        <v>33</v>
      </c>
      <c r="B135" s="168" t="str">
        <f t="shared" si="8"/>
        <v>BRI Press Conference Lebaran</v>
      </c>
      <c r="C135" s="8">
        <v>-27720000</v>
      </c>
      <c r="D135" s="8">
        <v>-1900000</v>
      </c>
      <c r="E135" s="8">
        <v>-3575000</v>
      </c>
      <c r="F135" s="8">
        <v>0</v>
      </c>
      <c r="G135" s="8">
        <v>-150000</v>
      </c>
      <c r="H135" s="8">
        <v>-1823000</v>
      </c>
      <c r="I135" s="8">
        <v>-545276</v>
      </c>
      <c r="K135" s="8">
        <f t="shared" ref="K135:K167" si="10">SUM(C135:I135)</f>
        <v>-35713276</v>
      </c>
    </row>
    <row r="136" spans="1:11">
      <c r="A136" s="74">
        <f t="shared" si="9"/>
        <v>34</v>
      </c>
      <c r="B136" s="168" t="str">
        <f t="shared" si="8"/>
        <v>BRI Press Conference Mikro SME</v>
      </c>
      <c r="C136" s="8">
        <v>-34648795</v>
      </c>
      <c r="D136" s="8">
        <v>0</v>
      </c>
      <c r="E136" s="8">
        <v>0</v>
      </c>
      <c r="F136" s="8">
        <v>0</v>
      </c>
      <c r="G136" s="8">
        <v>-29000</v>
      </c>
      <c r="H136" s="8">
        <v>-4837200</v>
      </c>
      <c r="I136" s="8">
        <v>-1050000</v>
      </c>
      <c r="K136" s="8">
        <f t="shared" si="10"/>
        <v>-40564995</v>
      </c>
    </row>
    <row r="137" spans="1:11">
      <c r="A137" s="74">
        <f t="shared" si="9"/>
        <v>35</v>
      </c>
      <c r="B137" s="168" t="str">
        <f t="shared" si="8"/>
        <v>BRI Press Conference Triwulan 1</v>
      </c>
      <c r="C137" s="8">
        <v>-24920000</v>
      </c>
      <c r="D137" s="8">
        <v>0</v>
      </c>
      <c r="E137" s="8">
        <v>0</v>
      </c>
      <c r="F137" s="8">
        <v>0</v>
      </c>
      <c r="G137" s="8">
        <v>0</v>
      </c>
      <c r="H137" s="8">
        <v>-1837400</v>
      </c>
      <c r="I137" s="8">
        <v>-1284142</v>
      </c>
      <c r="K137" s="8">
        <f t="shared" si="10"/>
        <v>-28041542</v>
      </c>
    </row>
    <row r="138" spans="1:11">
      <c r="A138" s="74">
        <f t="shared" si="9"/>
        <v>36</v>
      </c>
      <c r="B138" s="168" t="str">
        <f t="shared" si="8"/>
        <v>BRI Press Conference Triwulan 2</v>
      </c>
      <c r="C138" s="8">
        <v>-28150000</v>
      </c>
      <c r="D138" s="8">
        <v>0</v>
      </c>
      <c r="E138" s="8">
        <v>0</v>
      </c>
      <c r="F138" s="8">
        <v>0</v>
      </c>
      <c r="G138" s="8">
        <v>-350000</v>
      </c>
      <c r="H138" s="8">
        <v>-1203500</v>
      </c>
      <c r="I138" s="8">
        <v>-800000</v>
      </c>
      <c r="K138" s="8">
        <f t="shared" si="10"/>
        <v>-30503500</v>
      </c>
    </row>
    <row r="139" spans="1:11">
      <c r="A139" s="74">
        <f t="shared" si="9"/>
        <v>37</v>
      </c>
      <c r="B139" s="168" t="str">
        <f t="shared" si="8"/>
        <v>BRI Press Conference Triwulan 3</v>
      </c>
      <c r="C139" s="8">
        <v>-22821000</v>
      </c>
      <c r="D139" s="8">
        <v>0</v>
      </c>
      <c r="E139" s="8">
        <v>0</v>
      </c>
      <c r="F139" s="8">
        <v>0</v>
      </c>
      <c r="G139" s="8">
        <v>-130000</v>
      </c>
      <c r="H139" s="8">
        <v>-4865800</v>
      </c>
      <c r="I139" s="8">
        <v>-1150000</v>
      </c>
      <c r="K139" s="8">
        <f t="shared" si="10"/>
        <v>-28966800</v>
      </c>
    </row>
    <row r="140" spans="1:11">
      <c r="A140" s="74">
        <f t="shared" si="9"/>
        <v>38</v>
      </c>
      <c r="B140" s="168" t="str">
        <f t="shared" si="8"/>
        <v>BRI Raker BUMN Labuan Bajo</v>
      </c>
      <c r="C140" s="8">
        <v>-249064812</v>
      </c>
      <c r="D140" s="8">
        <v>-155306000</v>
      </c>
      <c r="E140" s="8">
        <v>0</v>
      </c>
      <c r="F140" s="8">
        <v>0</v>
      </c>
      <c r="G140" s="8">
        <v>-133000</v>
      </c>
      <c r="H140" s="8">
        <v>-112224545</v>
      </c>
      <c r="I140" s="8">
        <v>-15000</v>
      </c>
      <c r="K140" s="8">
        <f t="shared" si="10"/>
        <v>-516743357</v>
      </c>
    </row>
    <row r="141" spans="1:11">
      <c r="A141" s="74">
        <f t="shared" si="9"/>
        <v>39</v>
      </c>
      <c r="B141" s="168" t="str">
        <f t="shared" si="8"/>
        <v>BRI RUPS Luar Biasa</v>
      </c>
      <c r="C141" s="8">
        <v>-915404426</v>
      </c>
      <c r="D141" s="8">
        <v>-88283050</v>
      </c>
      <c r="E141" s="8">
        <v>-29100000</v>
      </c>
      <c r="F141" s="8">
        <v>0</v>
      </c>
      <c r="G141" s="8">
        <v>-1915040</v>
      </c>
      <c r="H141" s="8">
        <v>-71415743</v>
      </c>
      <c r="I141" s="8">
        <v>-1650000</v>
      </c>
      <c r="K141" s="8">
        <f t="shared" si="10"/>
        <v>-1107768259</v>
      </c>
    </row>
    <row r="142" spans="1:11">
      <c r="A142" s="74">
        <f t="shared" si="9"/>
        <v>40</v>
      </c>
      <c r="B142" s="168" t="str">
        <f t="shared" si="8"/>
        <v>BRI RUPST Luar Biasa Juli</v>
      </c>
      <c r="C142" s="8">
        <v>-348426010</v>
      </c>
      <c r="D142" s="8">
        <v>-24000000</v>
      </c>
      <c r="E142" s="8">
        <v>-91725000</v>
      </c>
      <c r="F142" s="8">
        <v>0</v>
      </c>
      <c r="G142" s="8">
        <v>-1767200</v>
      </c>
      <c r="H142" s="8">
        <v>-8612250</v>
      </c>
      <c r="I142" s="8">
        <v>-14530000</v>
      </c>
      <c r="K142" s="8">
        <f t="shared" si="10"/>
        <v>-489060460</v>
      </c>
    </row>
    <row r="143" spans="1:11">
      <c r="A143" s="74">
        <f t="shared" si="9"/>
        <v>41</v>
      </c>
      <c r="B143" s="168" t="str">
        <f t="shared" si="8"/>
        <v>BRI Sentra Vaksinasi BUMN</v>
      </c>
      <c r="C143" s="8">
        <v>-2498130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K143" s="8">
        <f t="shared" si="10"/>
        <v>-2498130</v>
      </c>
    </row>
    <row r="144" spans="1:11">
      <c r="A144" s="74">
        <f t="shared" si="9"/>
        <v>42</v>
      </c>
      <c r="B144" s="168" t="str">
        <f t="shared" si="8"/>
        <v>BRI SMESCO</v>
      </c>
      <c r="C144" s="8">
        <v>-51177300</v>
      </c>
      <c r="D144" s="8">
        <v>0</v>
      </c>
      <c r="E144" s="8">
        <v>-6330000</v>
      </c>
      <c r="F144" s="8">
        <v>0</v>
      </c>
      <c r="G144" s="8">
        <v>-1111200</v>
      </c>
      <c r="H144" s="8">
        <v>-33675820</v>
      </c>
      <c r="I144" s="8">
        <v>-800000</v>
      </c>
      <c r="K144" s="8">
        <f t="shared" si="10"/>
        <v>-93094320</v>
      </c>
    </row>
    <row r="145" spans="1:11">
      <c r="A145" s="74">
        <f t="shared" si="9"/>
        <v>43</v>
      </c>
      <c r="B145" s="168" t="str">
        <f t="shared" si="8"/>
        <v>BRI Souvenir Dubai</v>
      </c>
      <c r="C145" s="8">
        <v>-19900000</v>
      </c>
      <c r="D145" s="8">
        <v>0</v>
      </c>
      <c r="E145" s="8">
        <v>-5920000</v>
      </c>
      <c r="F145" s="8">
        <v>0</v>
      </c>
      <c r="G145" s="8">
        <v>0</v>
      </c>
      <c r="H145" s="8">
        <v>-9189000</v>
      </c>
      <c r="I145" s="8">
        <v>0</v>
      </c>
      <c r="K145" s="8">
        <f t="shared" si="10"/>
        <v>-35009000</v>
      </c>
    </row>
    <row r="146" spans="1:11">
      <c r="A146" s="74">
        <f t="shared" si="9"/>
        <v>44</v>
      </c>
      <c r="B146" s="168" t="str">
        <f t="shared" si="8"/>
        <v>BRI Totem Gambir</v>
      </c>
      <c r="C146" s="8">
        <v>-300000</v>
      </c>
      <c r="D146" s="8">
        <v>-53750000</v>
      </c>
      <c r="E146" s="8">
        <v>0</v>
      </c>
      <c r="F146" s="8">
        <v>0</v>
      </c>
      <c r="G146" s="8">
        <v>0</v>
      </c>
      <c r="H146" s="8">
        <v>0</v>
      </c>
      <c r="I146" s="8">
        <v>-900000</v>
      </c>
      <c r="K146" s="8">
        <f t="shared" si="10"/>
        <v>-54950000</v>
      </c>
    </row>
    <row r="147" spans="1:11">
      <c r="A147" s="74">
        <f t="shared" si="9"/>
        <v>45</v>
      </c>
      <c r="B147" s="168" t="str">
        <f t="shared" si="8"/>
        <v>BRI Transport 1</v>
      </c>
      <c r="C147" s="8">
        <v>-23400000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K147" s="8">
        <f t="shared" si="10"/>
        <v>-23400000</v>
      </c>
    </row>
    <row r="148" spans="1:11">
      <c r="A148" s="74">
        <f t="shared" si="9"/>
        <v>46</v>
      </c>
      <c r="B148" s="168" t="str">
        <f t="shared" si="8"/>
        <v>BRI Transport 2</v>
      </c>
      <c r="C148" s="8">
        <v>-8100000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K148" s="8">
        <f t="shared" si="10"/>
        <v>-8100000</v>
      </c>
    </row>
    <row r="149" spans="1:11">
      <c r="A149" s="74">
        <f t="shared" si="9"/>
        <v>47</v>
      </c>
      <c r="B149" s="168" t="str">
        <f t="shared" si="8"/>
        <v>BRI Transport 3</v>
      </c>
      <c r="C149" s="8">
        <v>-10800000</v>
      </c>
      <c r="D149" s="8">
        <v>0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K149" s="8">
        <f t="shared" si="10"/>
        <v>-10800000</v>
      </c>
    </row>
    <row r="150" spans="1:11">
      <c r="A150" s="74">
        <f t="shared" si="9"/>
        <v>48</v>
      </c>
      <c r="B150" s="168" t="str">
        <f t="shared" si="8"/>
        <v>BRI Transport 4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-5509000</v>
      </c>
      <c r="K150" s="8">
        <f t="shared" si="10"/>
        <v>-5509000</v>
      </c>
    </row>
    <row r="151" spans="1:11">
      <c r="A151" s="74">
        <f t="shared" si="9"/>
        <v>49</v>
      </c>
      <c r="B151" s="168" t="str">
        <f t="shared" si="8"/>
        <v>BRI Transport 5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-18900000</v>
      </c>
      <c r="K151" s="8">
        <f t="shared" si="10"/>
        <v>-18900000</v>
      </c>
    </row>
    <row r="152" spans="1:11">
      <c r="A152" s="74">
        <f t="shared" si="9"/>
        <v>50</v>
      </c>
      <c r="B152" s="168" t="str">
        <f t="shared" si="8"/>
        <v>BRI Video Mapping UAE</v>
      </c>
      <c r="C152" s="8">
        <v>-23000000</v>
      </c>
      <c r="D152" s="8">
        <v>-855000000</v>
      </c>
      <c r="E152" s="8">
        <v>-4000000</v>
      </c>
      <c r="F152" s="8">
        <v>0</v>
      </c>
      <c r="G152" s="8">
        <v>0</v>
      </c>
      <c r="H152" s="8">
        <v>0</v>
      </c>
      <c r="I152" s="8">
        <v>0</v>
      </c>
      <c r="K152" s="8">
        <f t="shared" si="10"/>
        <v>-882000000</v>
      </c>
    </row>
    <row r="153" spans="1:11">
      <c r="A153" s="74">
        <f t="shared" si="9"/>
        <v>51</v>
      </c>
      <c r="B153" s="168" t="str">
        <f t="shared" si="8"/>
        <v>BTN RUPS Terbatas</v>
      </c>
      <c r="C153" s="8">
        <v>-660980717</v>
      </c>
      <c r="D153" s="8">
        <v>-95017000</v>
      </c>
      <c r="E153" s="8">
        <v>0</v>
      </c>
      <c r="F153" s="8">
        <v>0</v>
      </c>
      <c r="G153" s="8">
        <v>-4051700</v>
      </c>
      <c r="H153" s="8">
        <v>-13465072</v>
      </c>
      <c r="I153" s="8">
        <v>-4200000</v>
      </c>
      <c r="K153" s="8">
        <f t="shared" si="10"/>
        <v>-777714489</v>
      </c>
    </row>
    <row r="154" spans="1:11">
      <c r="A154" s="74">
        <f t="shared" si="9"/>
        <v>52</v>
      </c>
      <c r="B154" s="168" t="str">
        <f t="shared" si="8"/>
        <v>Indonesia Power HUT ke 26 Tahun</v>
      </c>
      <c r="C154" s="8">
        <v>-183357500</v>
      </c>
      <c r="D154" s="8">
        <v>0</v>
      </c>
      <c r="E154" s="8">
        <v>0</v>
      </c>
      <c r="F154" s="8">
        <v>0</v>
      </c>
      <c r="G154" s="8">
        <v>-248000</v>
      </c>
      <c r="H154" s="8">
        <v>-1886600</v>
      </c>
      <c r="I154" s="8">
        <v>-800000</v>
      </c>
      <c r="K154" s="8">
        <f t="shared" si="10"/>
        <v>-186292100</v>
      </c>
    </row>
    <row r="155" spans="1:11">
      <c r="A155" s="74">
        <f t="shared" si="9"/>
        <v>53</v>
      </c>
      <c r="B155" s="168" t="str">
        <f t="shared" si="8"/>
        <v>Jotun Bali Trip</v>
      </c>
      <c r="C155" s="8">
        <v>-121359200</v>
      </c>
      <c r="D155" s="8">
        <v>0</v>
      </c>
      <c r="E155" s="8">
        <v>0</v>
      </c>
      <c r="F155" s="8">
        <v>0</v>
      </c>
      <c r="G155" s="8">
        <v>-18000</v>
      </c>
      <c r="H155" s="8">
        <v>0</v>
      </c>
      <c r="I155" s="8">
        <v>-3789000</v>
      </c>
      <c r="K155" s="8">
        <f t="shared" si="10"/>
        <v>-125166200</v>
      </c>
    </row>
    <row r="156" spans="1:11">
      <c r="A156" s="74">
        <f t="shared" si="9"/>
        <v>54</v>
      </c>
      <c r="B156" s="168" t="str">
        <f t="shared" si="8"/>
        <v>KPEI Team Building Virtual</v>
      </c>
      <c r="C156" s="8">
        <v>-199234500</v>
      </c>
      <c r="D156" s="8">
        <v>-7189000</v>
      </c>
      <c r="E156" s="8">
        <v>0</v>
      </c>
      <c r="F156" s="8">
        <v>0</v>
      </c>
      <c r="G156" s="8">
        <v>-70600</v>
      </c>
      <c r="H156" s="8">
        <v>-13076997</v>
      </c>
      <c r="I156" s="8">
        <v>-86429000</v>
      </c>
      <c r="K156" s="8">
        <f t="shared" si="10"/>
        <v>-306000097</v>
      </c>
    </row>
    <row r="157" spans="1:11">
      <c r="A157" s="74">
        <f t="shared" si="9"/>
        <v>55</v>
      </c>
      <c r="B157" s="168" t="str">
        <f t="shared" si="8"/>
        <v>Link Aja Pelatihan Agent CTP, BES dan e-KYC</v>
      </c>
      <c r="C157" s="8">
        <v>-7029000</v>
      </c>
      <c r="D157" s="8">
        <v>0</v>
      </c>
      <c r="E157" s="8">
        <v>0</v>
      </c>
      <c r="F157" s="8">
        <v>0</v>
      </c>
      <c r="G157" s="8">
        <v>0</v>
      </c>
      <c r="H157" s="8">
        <v>-21414502</v>
      </c>
      <c r="I157" s="8">
        <v>0</v>
      </c>
      <c r="K157" s="8">
        <f t="shared" si="10"/>
        <v>-28443502</v>
      </c>
    </row>
    <row r="158" spans="1:11">
      <c r="A158" s="74">
        <f t="shared" si="9"/>
        <v>56</v>
      </c>
      <c r="B158" s="168" t="str">
        <f t="shared" si="8"/>
        <v>Mandiri Akselerasi Vaksinasi Nasional</v>
      </c>
      <c r="C158" s="8">
        <v>-42321867</v>
      </c>
      <c r="D158" s="8">
        <v>0</v>
      </c>
      <c r="E158" s="8">
        <v>0</v>
      </c>
      <c r="F158" s="8">
        <v>0</v>
      </c>
      <c r="G158" s="8">
        <v>-333900</v>
      </c>
      <c r="H158" s="8">
        <v>-1981508</v>
      </c>
      <c r="I158" s="8">
        <v>0</v>
      </c>
      <c r="K158" s="8">
        <f t="shared" si="10"/>
        <v>-44637275</v>
      </c>
    </row>
    <row r="159" spans="1:11">
      <c r="A159" s="74">
        <f t="shared" si="9"/>
        <v>57</v>
      </c>
      <c r="B159" s="168" t="str">
        <f t="shared" si="8"/>
        <v>Mandiri Dekorasi HUT RI 76 Thn</v>
      </c>
      <c r="C159" s="8">
        <v>-17103900</v>
      </c>
      <c r="D159" s="8">
        <v>0</v>
      </c>
      <c r="E159" s="8">
        <v>0</v>
      </c>
      <c r="F159" s="8">
        <v>0</v>
      </c>
      <c r="G159" s="8">
        <v>-15000</v>
      </c>
      <c r="H159" s="8">
        <v>0</v>
      </c>
      <c r="I159" s="8">
        <v>-800000</v>
      </c>
      <c r="K159" s="8">
        <f t="shared" si="10"/>
        <v>-17918900</v>
      </c>
    </row>
    <row r="160" spans="1:11">
      <c r="A160" s="74">
        <f t="shared" si="9"/>
        <v>58</v>
      </c>
      <c r="B160" s="168" t="str">
        <f t="shared" si="8"/>
        <v>Mandiri Launching Android EDC</v>
      </c>
      <c r="C160" s="8">
        <v>-203700915</v>
      </c>
      <c r="D160" s="8">
        <v>-1600000</v>
      </c>
      <c r="E160" s="8">
        <v>-3775000</v>
      </c>
      <c r="F160" s="8">
        <v>0</v>
      </c>
      <c r="G160" s="8">
        <v>-600000</v>
      </c>
      <c r="H160" s="8">
        <v>-2403900</v>
      </c>
      <c r="I160" s="8">
        <v>0</v>
      </c>
      <c r="K160" s="8">
        <f t="shared" si="10"/>
        <v>-212079815</v>
      </c>
    </row>
    <row r="161" spans="1:11">
      <c r="A161" s="74">
        <f t="shared" si="9"/>
        <v>59</v>
      </c>
      <c r="B161" s="168" t="str">
        <f t="shared" si="8"/>
        <v>SGI Gyproc Migration</v>
      </c>
      <c r="C161" s="8">
        <v>-24500000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K161" s="8">
        <f t="shared" si="10"/>
        <v>-24500000</v>
      </c>
    </row>
    <row r="162" spans="1:11">
      <c r="A162" s="74">
        <f t="shared" si="9"/>
        <v>60</v>
      </c>
      <c r="B162" s="168" t="str">
        <f t="shared" si="8"/>
        <v>Telkom Indonesia Keren Dubai Expo</v>
      </c>
      <c r="C162" s="8">
        <v>-11000000</v>
      </c>
      <c r="D162" s="8">
        <v>-314883000</v>
      </c>
      <c r="E162" s="8">
        <v>-388744704.80000001</v>
      </c>
      <c r="F162" s="8">
        <v>0</v>
      </c>
      <c r="G162" s="8">
        <v>0</v>
      </c>
      <c r="H162" s="8">
        <v>-64622720</v>
      </c>
      <c r="I162" s="8">
        <v>-343802896</v>
      </c>
      <c r="K162" s="8">
        <f t="shared" si="10"/>
        <v>-1123053320.8</v>
      </c>
    </row>
    <row r="163" spans="1:11">
      <c r="A163" s="74">
        <f t="shared" si="9"/>
        <v>61</v>
      </c>
      <c r="B163" s="168" t="str">
        <f t="shared" si="8"/>
        <v>Telkomsel by U Delivery With Joy</v>
      </c>
      <c r="C163" s="8">
        <v>0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-105663536</v>
      </c>
      <c r="K163" s="8">
        <f t="shared" si="10"/>
        <v>-105663536</v>
      </c>
    </row>
    <row r="164" spans="1:11">
      <c r="A164" s="74">
        <f t="shared" si="9"/>
        <v>62</v>
      </c>
      <c r="B164" s="168" t="str">
        <f t="shared" si="8"/>
        <v>Telkomsel Campaign Outlet via MyAds</v>
      </c>
      <c r="C164" s="8">
        <v>-61605000</v>
      </c>
      <c r="D164" s="8">
        <v>0</v>
      </c>
      <c r="E164" s="8">
        <v>0</v>
      </c>
      <c r="F164" s="8">
        <v>0</v>
      </c>
      <c r="G164" s="8">
        <v>0</v>
      </c>
      <c r="H164" s="8">
        <v>-18801500</v>
      </c>
      <c r="I164" s="8">
        <v>-32991000</v>
      </c>
      <c r="K164" s="8">
        <f t="shared" si="10"/>
        <v>-113397500</v>
      </c>
    </row>
    <row r="165" spans="1:11">
      <c r="A165" s="74">
        <f t="shared" si="9"/>
        <v>63</v>
      </c>
      <c r="B165" s="168" t="str">
        <f t="shared" si="8"/>
        <v>Telkomsel Change Champion</v>
      </c>
      <c r="C165" s="8">
        <v>-20000000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-619009000</v>
      </c>
      <c r="K165" s="8">
        <f t="shared" si="10"/>
        <v>-639009000</v>
      </c>
    </row>
    <row r="166" spans="1:11">
      <c r="A166" s="74">
        <f t="shared" si="9"/>
        <v>64</v>
      </c>
      <c r="B166" s="168" t="str">
        <f t="shared" si="8"/>
        <v xml:space="preserve">Telkomsel CIMA </v>
      </c>
      <c r="C166" s="8">
        <v>0</v>
      </c>
      <c r="D166" s="8">
        <v>0</v>
      </c>
      <c r="E166" s="8">
        <v>-590291164.28999996</v>
      </c>
      <c r="F166" s="8">
        <v>0</v>
      </c>
      <c r="G166" s="8">
        <v>-7000</v>
      </c>
      <c r="H166" s="8">
        <v>4729972</v>
      </c>
      <c r="I166" s="8">
        <f>-169270028-35472</f>
        <v>-169305500</v>
      </c>
      <c r="K166" s="8">
        <f t="shared" si="10"/>
        <v>-754873692.28999996</v>
      </c>
    </row>
    <row r="167" spans="1:11">
      <c r="A167" s="74">
        <f t="shared" si="9"/>
        <v>65</v>
      </c>
      <c r="B167" s="168" t="str">
        <f t="shared" si="8"/>
        <v>Telkomsel E-Commerce Program Q4</v>
      </c>
      <c r="C167" s="8">
        <v>-149010000</v>
      </c>
      <c r="D167" s="8">
        <v>0</v>
      </c>
      <c r="E167" s="8">
        <v>0</v>
      </c>
      <c r="F167" s="8">
        <v>0</v>
      </c>
      <c r="G167" s="8">
        <v>0</v>
      </c>
      <c r="H167" s="8">
        <v>-11673400</v>
      </c>
      <c r="I167" s="8">
        <v>-39316600</v>
      </c>
      <c r="K167" s="8">
        <f t="shared" si="10"/>
        <v>-200000000</v>
      </c>
    </row>
    <row r="168" spans="1:11">
      <c r="A168" s="74">
        <f t="shared" si="9"/>
        <v>66</v>
      </c>
      <c r="B168" s="168" t="str">
        <f t="shared" ref="B168:B196" si="11">B71</f>
        <v>Telkomsel Evaluasi Performasi and Konseling</v>
      </c>
      <c r="C168" s="8">
        <v>0</v>
      </c>
      <c r="D168" s="8">
        <v>-22973220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K168" s="8">
        <f t="shared" ref="K168:K196" si="12">SUM(C168:I168)</f>
        <v>-22973220</v>
      </c>
    </row>
    <row r="169" spans="1:11">
      <c r="A169" s="74">
        <f t="shared" si="9"/>
        <v>67</v>
      </c>
      <c r="B169" s="168" t="str">
        <f t="shared" si="11"/>
        <v>Telkomsel From Good to Great</v>
      </c>
      <c r="C169" s="8">
        <v>-9509000</v>
      </c>
      <c r="D169" s="8">
        <v>-5540100</v>
      </c>
      <c r="E169" s="8">
        <v>0</v>
      </c>
      <c r="F169" s="8">
        <v>0</v>
      </c>
      <c r="G169" s="8">
        <v>-610000</v>
      </c>
      <c r="H169" s="8">
        <v>-71754297</v>
      </c>
      <c r="I169" s="8">
        <v>0</v>
      </c>
      <c r="K169" s="8">
        <f t="shared" si="12"/>
        <v>-87413397</v>
      </c>
    </row>
    <row r="170" spans="1:11">
      <c r="A170" s="74">
        <f t="shared" ref="A170" si="13">+A169+1</f>
        <v>68</v>
      </c>
      <c r="B170" s="168" t="str">
        <f t="shared" si="11"/>
        <v>Telkomsel Inject Paket Data/Top Up Pulsa/ Token Listrik</v>
      </c>
      <c r="C170" s="8">
        <v>-81536000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-32762500</v>
      </c>
      <c r="K170" s="8">
        <f t="shared" si="12"/>
        <v>-114298500</v>
      </c>
    </row>
    <row r="171" spans="1:11">
      <c r="A171" s="74">
        <f t="shared" ref="A171:A196" si="14">+A170+1</f>
        <v>69</v>
      </c>
      <c r="B171" s="168" t="str">
        <f t="shared" si="11"/>
        <v>Telkomsel Leveraging Message</v>
      </c>
      <c r="C171" s="8">
        <v>-48783847</v>
      </c>
      <c r="D171" s="8">
        <v>0</v>
      </c>
      <c r="E171" s="8">
        <v>0</v>
      </c>
      <c r="F171" s="8">
        <v>0</v>
      </c>
      <c r="G171" s="8">
        <v>0</v>
      </c>
      <c r="H171" s="8">
        <v>-2265000</v>
      </c>
      <c r="I171" s="8">
        <v>-669827753</v>
      </c>
      <c r="K171" s="8">
        <f t="shared" si="12"/>
        <v>-720876600</v>
      </c>
    </row>
    <row r="172" spans="1:11">
      <c r="A172" s="74">
        <f t="shared" si="14"/>
        <v>70</v>
      </c>
      <c r="B172" s="168" t="str">
        <f t="shared" si="11"/>
        <v>Telkomsel Meeting Joint Program BNI 2022</v>
      </c>
      <c r="C172" s="8">
        <v>-800000</v>
      </c>
      <c r="D172" s="8">
        <v>0</v>
      </c>
      <c r="E172" s="8">
        <v>0</v>
      </c>
      <c r="F172" s="8">
        <v>0</v>
      </c>
      <c r="G172" s="8">
        <v>0</v>
      </c>
      <c r="H172" s="8">
        <v>-13058750</v>
      </c>
      <c r="I172" s="8">
        <v>0</v>
      </c>
      <c r="K172" s="8">
        <f t="shared" si="12"/>
        <v>-13858750</v>
      </c>
    </row>
    <row r="173" spans="1:11">
      <c r="A173" s="74">
        <f t="shared" si="14"/>
        <v>71</v>
      </c>
      <c r="B173" s="168" t="str">
        <f t="shared" si="11"/>
        <v xml:space="preserve">Telkomsel MICE InnoXtion </v>
      </c>
      <c r="C173" s="8">
        <v>-227046270</v>
      </c>
      <c r="D173" s="8">
        <v>-406505637</v>
      </c>
      <c r="E173" s="8">
        <v>-50500000</v>
      </c>
      <c r="F173" s="8">
        <v>0</v>
      </c>
      <c r="G173" s="8">
        <v>-1200000</v>
      </c>
      <c r="H173" s="8">
        <v>-19630924</v>
      </c>
      <c r="I173" s="8">
        <v>-120388544</v>
      </c>
      <c r="K173" s="8">
        <f t="shared" si="12"/>
        <v>-825271375</v>
      </c>
    </row>
    <row r="174" spans="1:11">
      <c r="A174" s="74">
        <f t="shared" si="14"/>
        <v>72</v>
      </c>
      <c r="B174" s="168" t="str">
        <f t="shared" si="11"/>
        <v>Telkomsel Moana Agustus</v>
      </c>
      <c r="C174" s="8">
        <v>-554399</v>
      </c>
      <c r="D174" s="8">
        <v>0</v>
      </c>
      <c r="E174" s="8">
        <v>0</v>
      </c>
      <c r="F174" s="8">
        <v>0</v>
      </c>
      <c r="G174" s="8">
        <v>0</v>
      </c>
      <c r="H174" s="8">
        <v>-627000</v>
      </c>
      <c r="I174" s="8">
        <v>0</v>
      </c>
      <c r="K174" s="8">
        <f t="shared" si="12"/>
        <v>-1181399</v>
      </c>
    </row>
    <row r="175" spans="1:11">
      <c r="A175" s="74">
        <f t="shared" si="14"/>
        <v>73</v>
      </c>
      <c r="B175" s="168" t="str">
        <f t="shared" si="11"/>
        <v>Telkomsel Monetize Business Sector</v>
      </c>
      <c r="C175" s="8">
        <v>-35384300</v>
      </c>
      <c r="D175" s="8">
        <v>-65074371</v>
      </c>
      <c r="E175" s="8">
        <v>-5000000</v>
      </c>
      <c r="F175" s="8">
        <v>0</v>
      </c>
      <c r="G175" s="8">
        <v>-1366530</v>
      </c>
      <c r="H175" s="8">
        <v>-10783669</v>
      </c>
      <c r="I175" s="8">
        <v>0</v>
      </c>
      <c r="K175" s="8">
        <f t="shared" si="12"/>
        <v>-117608870</v>
      </c>
    </row>
    <row r="176" spans="1:11">
      <c r="A176" s="74">
        <f t="shared" si="14"/>
        <v>74</v>
      </c>
      <c r="B176" s="168" t="str">
        <f t="shared" si="11"/>
        <v>Telkomsel OBC Survey Market and Modern Trade</v>
      </c>
      <c r="C176" s="8">
        <v>-87455803</v>
      </c>
      <c r="D176" s="8">
        <v>0</v>
      </c>
      <c r="E176" s="8">
        <v>0</v>
      </c>
      <c r="F176" s="8">
        <v>0</v>
      </c>
      <c r="G176" s="8">
        <v>0</v>
      </c>
      <c r="H176" s="8">
        <v>-149493746</v>
      </c>
      <c r="I176" s="8">
        <v>-97130522</v>
      </c>
      <c r="K176" s="8">
        <f t="shared" si="12"/>
        <v>-334080071</v>
      </c>
    </row>
    <row r="177" spans="1:11">
      <c r="A177" s="74">
        <f t="shared" si="14"/>
        <v>75</v>
      </c>
      <c r="B177" s="168" t="str">
        <f t="shared" si="11"/>
        <v>Telkomsel Odading</v>
      </c>
      <c r="C177" s="8">
        <v>-41245000</v>
      </c>
      <c r="D177" s="8">
        <v>-38757900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K177" s="8">
        <f t="shared" si="12"/>
        <v>-80002900</v>
      </c>
    </row>
    <row r="178" spans="1:11">
      <c r="A178" s="74">
        <f t="shared" si="14"/>
        <v>76</v>
      </c>
      <c r="B178" s="168" t="str">
        <f t="shared" si="11"/>
        <v>Telkomsel Office to Office</v>
      </c>
      <c r="C178" s="8">
        <v>-62585134</v>
      </c>
      <c r="D178" s="8">
        <v>-10808830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K178" s="8">
        <f t="shared" si="12"/>
        <v>-73393964</v>
      </c>
    </row>
    <row r="179" spans="1:11">
      <c r="A179" s="74">
        <f t="shared" si="14"/>
        <v>77</v>
      </c>
      <c r="B179" s="168" t="str">
        <f t="shared" si="11"/>
        <v>Telkomsel Onboarding</v>
      </c>
      <c r="C179" s="8">
        <v>-92836023</v>
      </c>
      <c r="D179" s="8">
        <v>-18885469</v>
      </c>
      <c r="E179" s="8">
        <v>0</v>
      </c>
      <c r="F179" s="8">
        <v>0</v>
      </c>
      <c r="G179" s="8">
        <v>-792280</v>
      </c>
      <c r="H179" s="8">
        <v>-57264696</v>
      </c>
      <c r="I179" s="8">
        <v>-97542179</v>
      </c>
      <c r="K179" s="8">
        <f t="shared" si="12"/>
        <v>-267320647</v>
      </c>
    </row>
    <row r="180" spans="1:11">
      <c r="A180" s="74">
        <f t="shared" si="14"/>
        <v>78</v>
      </c>
      <c r="B180" s="168" t="str">
        <f t="shared" si="11"/>
        <v>Telkomsel Operationalitation After Sales and Billing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-71267600</v>
      </c>
      <c r="I180" s="8">
        <v>-26917988</v>
      </c>
      <c r="K180" s="8">
        <f t="shared" si="12"/>
        <v>-98185588</v>
      </c>
    </row>
    <row r="181" spans="1:11">
      <c r="A181" s="74">
        <f t="shared" si="14"/>
        <v>79</v>
      </c>
      <c r="B181" s="168" t="str">
        <f t="shared" si="11"/>
        <v>Telkomsel Pengadaan Gimmicks Payload User</v>
      </c>
      <c r="C181" s="8">
        <v>-401912941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K181" s="8">
        <f t="shared" si="12"/>
        <v>-401912941</v>
      </c>
    </row>
    <row r="182" spans="1:11">
      <c r="A182" s="74">
        <f t="shared" si="14"/>
        <v>80</v>
      </c>
      <c r="B182" s="168" t="str">
        <f t="shared" si="11"/>
        <v>Telkomsel Pengadaan Voucher</v>
      </c>
      <c r="C182" s="8">
        <v>-2804912</v>
      </c>
      <c r="D182" s="8">
        <v>-51735900</v>
      </c>
      <c r="E182" s="8">
        <v>0</v>
      </c>
      <c r="F182" s="8">
        <v>0</v>
      </c>
      <c r="G182" s="8">
        <v>0</v>
      </c>
      <c r="H182" s="8">
        <v>-277500</v>
      </c>
      <c r="I182" s="8">
        <v>-64207794</v>
      </c>
      <c r="K182" s="8">
        <f t="shared" si="12"/>
        <v>-119026106</v>
      </c>
    </row>
    <row r="183" spans="1:11">
      <c r="A183" s="74">
        <f t="shared" si="14"/>
        <v>81</v>
      </c>
      <c r="B183" s="168" t="str">
        <f t="shared" si="11"/>
        <v>Telkomsel Pengiriman Simcard Corporate</v>
      </c>
      <c r="C183" s="8">
        <v>-126753160</v>
      </c>
      <c r="D183" s="8">
        <v>-177205000</v>
      </c>
      <c r="E183" s="8">
        <v>0</v>
      </c>
      <c r="F183" s="8">
        <v>0</v>
      </c>
      <c r="G183" s="8">
        <v>-329000</v>
      </c>
      <c r="H183" s="8">
        <v>-46799776</v>
      </c>
      <c r="I183" s="8">
        <v>0</v>
      </c>
      <c r="K183" s="8">
        <f t="shared" si="12"/>
        <v>-351086936</v>
      </c>
    </row>
    <row r="184" spans="1:11">
      <c r="A184" s="74">
        <f t="shared" si="14"/>
        <v>82</v>
      </c>
      <c r="B184" s="168" t="str">
        <f t="shared" si="11"/>
        <v>Telkomsel Pilkada Racing</v>
      </c>
      <c r="C184" s="8">
        <v>-144767352</v>
      </c>
      <c r="D184" s="8">
        <v>-60388055</v>
      </c>
      <c r="E184" s="8">
        <v>0</v>
      </c>
      <c r="F184" s="8">
        <v>0</v>
      </c>
      <c r="G184" s="8">
        <v>-179000</v>
      </c>
      <c r="H184" s="8">
        <v>-83966355</v>
      </c>
      <c r="I184" s="8">
        <v>0</v>
      </c>
      <c r="K184" s="8">
        <f t="shared" si="12"/>
        <v>-289300762</v>
      </c>
    </row>
    <row r="185" spans="1:11">
      <c r="A185" s="74">
        <f t="shared" si="14"/>
        <v>83</v>
      </c>
      <c r="B185" s="168" t="str">
        <f t="shared" si="11"/>
        <v xml:space="preserve">Telkomsel Program Games Publishing </v>
      </c>
      <c r="C185" s="8">
        <v>-13702203</v>
      </c>
      <c r="D185" s="8">
        <v>-3401329</v>
      </c>
      <c r="E185" s="8">
        <v>0</v>
      </c>
      <c r="F185" s="8">
        <v>0</v>
      </c>
      <c r="G185" s="8">
        <v>0</v>
      </c>
      <c r="H185" s="8">
        <v>0</v>
      </c>
      <c r="I185" s="8">
        <v>-399398468</v>
      </c>
      <c r="K185" s="8">
        <f t="shared" si="12"/>
        <v>-416502000</v>
      </c>
    </row>
    <row r="186" spans="1:11">
      <c r="A186" s="74">
        <f t="shared" si="14"/>
        <v>84</v>
      </c>
      <c r="B186" s="168" t="str">
        <f t="shared" si="11"/>
        <v>Telkomsel Program Media Agency</v>
      </c>
      <c r="C186" s="8">
        <v>-74699193</v>
      </c>
      <c r="D186" s="8">
        <v>-20000000</v>
      </c>
      <c r="E186" s="8">
        <v>0</v>
      </c>
      <c r="F186" s="8">
        <v>0</v>
      </c>
      <c r="G186" s="8">
        <v>-20000</v>
      </c>
      <c r="H186" s="8">
        <v>-39373110</v>
      </c>
      <c r="I186" s="8">
        <v>-52099877</v>
      </c>
      <c r="K186" s="8">
        <f t="shared" si="12"/>
        <v>-186192180</v>
      </c>
    </row>
    <row r="187" spans="1:11">
      <c r="A187" s="74">
        <f t="shared" si="14"/>
        <v>85</v>
      </c>
      <c r="B187" s="168" t="str">
        <f t="shared" si="11"/>
        <v>Telkomsel Program Uplift Revenue</v>
      </c>
      <c r="C187" s="8">
        <v>-109476731</v>
      </c>
      <c r="D187" s="8">
        <v>-52412176</v>
      </c>
      <c r="E187" s="8">
        <v>0</v>
      </c>
      <c r="F187" s="8">
        <v>0</v>
      </c>
      <c r="G187" s="8">
        <v>-1988575</v>
      </c>
      <c r="H187" s="8">
        <v>-90866024</v>
      </c>
      <c r="I187" s="8">
        <v>0</v>
      </c>
      <c r="K187" s="8">
        <f t="shared" si="12"/>
        <v>-254743506</v>
      </c>
    </row>
    <row r="188" spans="1:11">
      <c r="A188" s="74">
        <f t="shared" si="14"/>
        <v>86</v>
      </c>
      <c r="B188" s="168" t="str">
        <f t="shared" si="11"/>
        <v>Telkomsel Program With Legal On Policy and Compliance</v>
      </c>
      <c r="C188" s="8">
        <v>-7601000</v>
      </c>
      <c r="D188" s="8">
        <v>-29000000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K188" s="8">
        <f t="shared" si="12"/>
        <v>-36601000</v>
      </c>
    </row>
    <row r="189" spans="1:11">
      <c r="A189" s="74">
        <f t="shared" si="14"/>
        <v>87</v>
      </c>
      <c r="B189" s="168" t="str">
        <f t="shared" si="11"/>
        <v>Telkomsel Racing Competition Program</v>
      </c>
      <c r="C189" s="8">
        <v>-192327132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-64510218</v>
      </c>
      <c r="K189" s="8">
        <f t="shared" si="12"/>
        <v>-256837350</v>
      </c>
    </row>
    <row r="190" spans="1:11">
      <c r="A190" s="74">
        <f t="shared" si="14"/>
        <v>88</v>
      </c>
      <c r="B190" s="168" t="str">
        <f t="shared" si="11"/>
        <v>Telkomsel Sales Colaboration with EAM Team</v>
      </c>
      <c r="C190" s="8">
        <v>-30000000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-207769000</v>
      </c>
      <c r="K190" s="8">
        <f t="shared" si="12"/>
        <v>-237769000</v>
      </c>
    </row>
    <row r="191" spans="1:11">
      <c r="A191" s="74">
        <f t="shared" si="14"/>
        <v>89</v>
      </c>
      <c r="B191" s="168" t="str">
        <f t="shared" si="11"/>
        <v>Telkomsel Sewa Mobil</v>
      </c>
      <c r="C191" s="8">
        <v>0</v>
      </c>
      <c r="D191" s="8">
        <v>0</v>
      </c>
      <c r="E191" s="8">
        <v>0</v>
      </c>
      <c r="F191" s="8">
        <v>0</v>
      </c>
      <c r="G191" s="8">
        <v>0</v>
      </c>
      <c r="H191" s="8">
        <v>0</v>
      </c>
      <c r="I191" s="8">
        <v>-2300000</v>
      </c>
      <c r="K191" s="8">
        <f t="shared" si="12"/>
        <v>-2300000</v>
      </c>
    </row>
    <row r="192" spans="1:11">
      <c r="A192" s="74">
        <f t="shared" si="14"/>
        <v>90</v>
      </c>
      <c r="B192" s="168" t="str">
        <f t="shared" si="11"/>
        <v>Telkomsel Sosialisasi New Fitur My Enterprise</v>
      </c>
      <c r="C192" s="8">
        <v>0</v>
      </c>
      <c r="D192" s="8">
        <v>-19976320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K192" s="8">
        <f t="shared" si="12"/>
        <v>-19976320</v>
      </c>
    </row>
    <row r="193" spans="1:12">
      <c r="A193" s="74">
        <f t="shared" si="14"/>
        <v>91</v>
      </c>
      <c r="B193" s="168" t="str">
        <f t="shared" si="11"/>
        <v>Telkomsel Transaction Program Q2</v>
      </c>
      <c r="C193" s="8">
        <v>-81319452</v>
      </c>
      <c r="D193" s="8">
        <v>-19001462</v>
      </c>
      <c r="E193" s="8">
        <v>0</v>
      </c>
      <c r="F193" s="8">
        <v>0</v>
      </c>
      <c r="G193" s="8">
        <v>-273000</v>
      </c>
      <c r="H193" s="8">
        <v>-27557300</v>
      </c>
      <c r="I193" s="8">
        <v>0</v>
      </c>
      <c r="K193" s="8">
        <f t="shared" si="12"/>
        <v>-128151214</v>
      </c>
    </row>
    <row r="194" spans="1:12">
      <c r="A194" s="74">
        <f t="shared" si="14"/>
        <v>92</v>
      </c>
      <c r="B194" s="168" t="str">
        <f t="shared" si="11"/>
        <v>Telkomsel Undian Jelajah Nusantara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-75182800</v>
      </c>
      <c r="I194" s="8">
        <v>-606155980</v>
      </c>
      <c r="K194" s="8">
        <f t="shared" si="12"/>
        <v>-681338780</v>
      </c>
    </row>
    <row r="195" spans="1:12">
      <c r="A195" s="74">
        <f t="shared" si="14"/>
        <v>93</v>
      </c>
      <c r="B195" s="168" t="str">
        <f t="shared" si="11"/>
        <v>Telkomsel WS Subdir Sales Strategy Group</v>
      </c>
      <c r="C195" s="8">
        <v>-64784000</v>
      </c>
      <c r="D195" s="8">
        <v>-147410000</v>
      </c>
      <c r="E195" s="8">
        <v>0</v>
      </c>
      <c r="F195" s="8">
        <v>0</v>
      </c>
      <c r="G195" s="8">
        <v>-70000</v>
      </c>
      <c r="H195" s="8">
        <v>-98288209</v>
      </c>
      <c r="I195" s="8">
        <v>-73176997</v>
      </c>
      <c r="K195" s="8">
        <f t="shared" si="12"/>
        <v>-383729206</v>
      </c>
    </row>
    <row r="196" spans="1:12">
      <c r="A196" s="74">
        <f t="shared" si="14"/>
        <v>94</v>
      </c>
      <c r="B196" s="168" t="str">
        <f t="shared" si="11"/>
        <v>Vivo Annual Gathering</v>
      </c>
      <c r="C196" s="8">
        <v>-41320000</v>
      </c>
      <c r="D196" s="8">
        <v>-2956000</v>
      </c>
      <c r="E196" s="8">
        <v>0</v>
      </c>
      <c r="F196" s="8">
        <v>0</v>
      </c>
      <c r="G196" s="8">
        <v>-209500</v>
      </c>
      <c r="H196" s="8">
        <v>-554409</v>
      </c>
      <c r="I196" s="8">
        <v>-1050000</v>
      </c>
      <c r="K196" s="8">
        <f t="shared" si="12"/>
        <v>-46089909</v>
      </c>
    </row>
    <row r="197" spans="1:12">
      <c r="B197" t="s">
        <v>64</v>
      </c>
    </row>
    <row r="198" spans="1:12">
      <c r="C198" s="9">
        <f t="shared" ref="C198:K198" si="15">SUBTOTAL(9,C103:C197)</f>
        <v>-8227411478</v>
      </c>
      <c r="D198" s="9">
        <f t="shared" si="15"/>
        <v>-3937466119</v>
      </c>
      <c r="E198" s="9">
        <f t="shared" si="15"/>
        <v>-1279515869.0899999</v>
      </c>
      <c r="F198" s="9">
        <f t="shared" si="15"/>
        <v>0</v>
      </c>
      <c r="G198" s="9">
        <f t="shared" si="15"/>
        <v>-28989298</v>
      </c>
      <c r="H198" s="9">
        <f t="shared" si="15"/>
        <v>-2655177083</v>
      </c>
      <c r="I198" s="9">
        <f t="shared" si="15"/>
        <v>-4514936823</v>
      </c>
      <c r="K198" s="9">
        <f t="shared" si="15"/>
        <v>-20643496670.09</v>
      </c>
    </row>
    <row r="199" spans="1:12">
      <c r="B199" s="1" t="s">
        <v>724</v>
      </c>
    </row>
    <row r="200" spans="1:12">
      <c r="A200" s="74">
        <v>1</v>
      </c>
      <c r="B200" s="168" t="str">
        <f>B103</f>
        <v xml:space="preserve">BNI Signing Ceremony </v>
      </c>
      <c r="C200" s="8" t="s">
        <v>64</v>
      </c>
      <c r="D200" s="8" t="s">
        <v>64</v>
      </c>
      <c r="K200" s="8">
        <f t="shared" ref="K200:K231" si="16">K6+K103</f>
        <v>70205200</v>
      </c>
      <c r="L200" s="130">
        <f t="shared" ref="L200:L231" si="17">K200/K6</f>
        <v>0.66725466901107255</v>
      </c>
    </row>
    <row r="201" spans="1:12">
      <c r="A201" s="74">
        <f t="shared" ref="A201:A241" si="18">A200+1</f>
        <v>2</v>
      </c>
      <c r="B201" s="168" t="str">
        <f t="shared" ref="B201:B264" si="19">B104</f>
        <v>BRI Agro RUPS Luar Biasa</v>
      </c>
      <c r="C201" s="8" t="s">
        <v>64</v>
      </c>
      <c r="D201" s="8" t="s">
        <v>64</v>
      </c>
      <c r="K201" s="8">
        <f t="shared" si="16"/>
        <v>58087840</v>
      </c>
      <c r="L201" s="130">
        <f t="shared" si="17"/>
        <v>0.32767423197896761</v>
      </c>
    </row>
    <row r="202" spans="1:12">
      <c r="A202" s="74">
        <f t="shared" si="18"/>
        <v>3</v>
      </c>
      <c r="B202" s="168" t="str">
        <f t="shared" si="19"/>
        <v>BRI Cyperos Bali</v>
      </c>
      <c r="D202" s="8" t="s">
        <v>64</v>
      </c>
      <c r="K202" s="8">
        <f t="shared" si="16"/>
        <v>567253358</v>
      </c>
      <c r="L202" s="130">
        <f t="shared" si="17"/>
        <v>0.24019531563896515</v>
      </c>
    </row>
    <row r="203" spans="1:12" s="168" customFormat="1">
      <c r="A203" s="171">
        <f t="shared" si="18"/>
        <v>4</v>
      </c>
      <c r="B203" s="168" t="str">
        <f t="shared" si="19"/>
        <v>BRI FGD Ayana 1</v>
      </c>
      <c r="C203" s="127"/>
      <c r="D203" s="127" t="s">
        <v>64</v>
      </c>
      <c r="E203" s="127"/>
      <c r="F203" s="127"/>
      <c r="G203" s="127"/>
      <c r="H203" s="127"/>
      <c r="I203" s="172"/>
      <c r="J203" s="172"/>
      <c r="K203" s="127">
        <f t="shared" si="16"/>
        <v>44086004</v>
      </c>
      <c r="L203" s="173">
        <f t="shared" si="17"/>
        <v>0.29418420710203291</v>
      </c>
    </row>
    <row r="204" spans="1:12">
      <c r="A204" s="74">
        <f t="shared" si="18"/>
        <v>5</v>
      </c>
      <c r="B204" s="168" t="str">
        <f t="shared" si="19"/>
        <v>BRI FGD Ayana 2</v>
      </c>
      <c r="D204" s="8" t="s">
        <v>64</v>
      </c>
      <c r="K204" s="8">
        <f t="shared" si="16"/>
        <v>46424580</v>
      </c>
      <c r="L204" s="130">
        <f t="shared" si="17"/>
        <v>0.3180958612904497</v>
      </c>
    </row>
    <row r="205" spans="1:12">
      <c r="A205" s="74">
        <f t="shared" si="18"/>
        <v>6</v>
      </c>
      <c r="B205" s="168" t="str">
        <f t="shared" si="19"/>
        <v>BRI FGD Ayana 3</v>
      </c>
      <c r="D205" s="8" t="s">
        <v>64</v>
      </c>
      <c r="K205" s="8">
        <f t="shared" si="16"/>
        <v>47109371</v>
      </c>
      <c r="L205" s="130">
        <f t="shared" si="17"/>
        <v>0.31783517688293378</v>
      </c>
    </row>
    <row r="206" spans="1:12">
      <c r="A206" s="74">
        <f t="shared" si="18"/>
        <v>7</v>
      </c>
      <c r="B206" s="168" t="str">
        <f t="shared" si="19"/>
        <v>BRI FGD Ayana 4</v>
      </c>
      <c r="D206" s="8" t="s">
        <v>64</v>
      </c>
      <c r="K206" s="8">
        <f t="shared" si="16"/>
        <v>41700704</v>
      </c>
      <c r="L206" s="130">
        <f t="shared" si="17"/>
        <v>0.37000444973858343</v>
      </c>
    </row>
    <row r="207" spans="1:12">
      <c r="A207" s="74">
        <f t="shared" si="18"/>
        <v>8</v>
      </c>
      <c r="B207" s="168" t="str">
        <f t="shared" si="19"/>
        <v>BRI FGD DPR Komisi VI</v>
      </c>
      <c r="D207" s="8" t="s">
        <v>64</v>
      </c>
      <c r="K207" s="8">
        <f t="shared" si="16"/>
        <v>110382010</v>
      </c>
      <c r="L207" s="130">
        <f t="shared" si="17"/>
        <v>0.46192496504972297</v>
      </c>
    </row>
    <row r="208" spans="1:12" s="168" customFormat="1">
      <c r="A208" s="171">
        <f t="shared" si="18"/>
        <v>9</v>
      </c>
      <c r="B208" s="168" t="str">
        <f t="shared" si="19"/>
        <v>BRI FGD K BUMN</v>
      </c>
      <c r="C208" s="127"/>
      <c r="D208" s="127" t="s">
        <v>64</v>
      </c>
      <c r="E208" s="127"/>
      <c r="F208" s="127"/>
      <c r="G208" s="127"/>
      <c r="H208" s="127"/>
      <c r="I208" s="172"/>
      <c r="J208" s="172"/>
      <c r="K208" s="127">
        <f t="shared" si="16"/>
        <v>84684786</v>
      </c>
      <c r="L208" s="173">
        <f t="shared" si="17"/>
        <v>0.57497319002925196</v>
      </c>
    </row>
    <row r="209" spans="1:12">
      <c r="A209" s="74">
        <f t="shared" si="18"/>
        <v>10</v>
      </c>
      <c r="B209" s="168" t="str">
        <f t="shared" si="19"/>
        <v>BRI FGD Lintas Kementerian</v>
      </c>
      <c r="D209" s="8" t="s">
        <v>64</v>
      </c>
      <c r="K209" s="8">
        <f t="shared" si="16"/>
        <v>99622683.5</v>
      </c>
      <c r="L209" s="130">
        <f t="shared" si="17"/>
        <v>0.41853276033756315</v>
      </c>
    </row>
    <row r="210" spans="1:12" s="168" customFormat="1">
      <c r="A210" s="171">
        <f t="shared" si="18"/>
        <v>11</v>
      </c>
      <c r="B210" s="168" t="str">
        <f t="shared" si="19"/>
        <v xml:space="preserve">BRI FIT SKP Media </v>
      </c>
      <c r="C210" s="127"/>
      <c r="D210" s="127" t="s">
        <v>64</v>
      </c>
      <c r="E210" s="127"/>
      <c r="F210" s="127"/>
      <c r="G210" s="127"/>
      <c r="H210" s="127"/>
      <c r="I210" s="172"/>
      <c r="J210" s="172"/>
      <c r="K210" s="127">
        <f t="shared" si="16"/>
        <v>10728808.200000003</v>
      </c>
      <c r="L210" s="173">
        <f t="shared" si="17"/>
        <v>0.33075625549750687</v>
      </c>
    </row>
    <row r="211" spans="1:12">
      <c r="A211" s="74">
        <f t="shared" si="18"/>
        <v>12</v>
      </c>
      <c r="B211" s="168" t="str">
        <f t="shared" si="19"/>
        <v>BRI Hampers</v>
      </c>
      <c r="D211" s="8" t="s">
        <v>64</v>
      </c>
      <c r="K211" s="8">
        <f t="shared" si="16"/>
        <v>34030955</v>
      </c>
      <c r="L211" s="130">
        <f t="shared" si="17"/>
        <v>0.32551348119341966</v>
      </c>
    </row>
    <row r="212" spans="1:12" s="168" customFormat="1">
      <c r="A212" s="171">
        <f t="shared" si="18"/>
        <v>13</v>
      </c>
      <c r="B212" s="168" t="str">
        <f t="shared" si="19"/>
        <v>BRI Hampers Pemimpin Redaksi</v>
      </c>
      <c r="C212" s="127"/>
      <c r="D212" s="127" t="s">
        <v>64</v>
      </c>
      <c r="E212" s="127"/>
      <c r="F212" s="127"/>
      <c r="G212" s="127"/>
      <c r="H212" s="127"/>
      <c r="I212" s="172"/>
      <c r="J212" s="172"/>
      <c r="K212" s="127">
        <f t="shared" si="16"/>
        <v>16248603</v>
      </c>
      <c r="L212" s="173">
        <f t="shared" si="17"/>
        <v>0.29300755521372607</v>
      </c>
    </row>
    <row r="213" spans="1:12">
      <c r="A213" s="74">
        <f t="shared" si="18"/>
        <v>14</v>
      </c>
      <c r="B213" s="168" t="str">
        <f t="shared" si="19"/>
        <v>BRI Himbara Pemimpin Redaksi Bali</v>
      </c>
      <c r="D213" s="8" t="s">
        <v>64</v>
      </c>
      <c r="K213" s="8">
        <f t="shared" si="16"/>
        <v>156424050</v>
      </c>
      <c r="L213" s="130">
        <f t="shared" si="17"/>
        <v>0.60605950829552013</v>
      </c>
    </row>
    <row r="214" spans="1:12">
      <c r="A214" s="74">
        <f t="shared" si="18"/>
        <v>15</v>
      </c>
      <c r="B214" s="168" t="str">
        <f t="shared" si="19"/>
        <v>BRI Himbara Pemimpin Redaksi Gathering</v>
      </c>
      <c r="D214" s="8" t="s">
        <v>64</v>
      </c>
      <c r="K214" s="8">
        <f t="shared" si="16"/>
        <v>65084303</v>
      </c>
      <c r="L214" s="130">
        <f t="shared" si="17"/>
        <v>0.17259876833939564</v>
      </c>
    </row>
    <row r="215" spans="1:12">
      <c r="A215" s="74">
        <f t="shared" si="18"/>
        <v>16</v>
      </c>
      <c r="B215" s="168" t="str">
        <f t="shared" si="19"/>
        <v>BRI IDX Opening Bell Right Issue</v>
      </c>
      <c r="D215" s="8" t="s">
        <v>64</v>
      </c>
      <c r="K215" s="8">
        <f t="shared" si="16"/>
        <v>146886399</v>
      </c>
      <c r="L215" s="130">
        <f t="shared" si="17"/>
        <v>0.48705907456175546</v>
      </c>
    </row>
    <row r="216" spans="1:12">
      <c r="A216" s="74">
        <f t="shared" si="18"/>
        <v>17</v>
      </c>
      <c r="B216" s="168" t="str">
        <f t="shared" si="19"/>
        <v xml:space="preserve">BRI Investor Ultra Micro Ecosystem </v>
      </c>
      <c r="D216" s="8" t="s">
        <v>64</v>
      </c>
      <c r="K216" s="8">
        <f t="shared" si="16"/>
        <v>106700136.19999999</v>
      </c>
      <c r="L216" s="130">
        <f t="shared" si="17"/>
        <v>0.78246766640562782</v>
      </c>
    </row>
    <row r="217" spans="1:12">
      <c r="A217" s="74">
        <f t="shared" si="18"/>
        <v>18</v>
      </c>
      <c r="B217" s="168" t="str">
        <f t="shared" si="19"/>
        <v>BRI Iwabri Bandung</v>
      </c>
      <c r="D217" s="8" t="s">
        <v>64</v>
      </c>
      <c r="K217" s="8">
        <f t="shared" si="16"/>
        <v>16130560</v>
      </c>
      <c r="L217" s="130">
        <f t="shared" si="17"/>
        <v>0.35552016591129154</v>
      </c>
    </row>
    <row r="218" spans="1:12">
      <c r="A218" s="74">
        <f t="shared" si="18"/>
        <v>19</v>
      </c>
      <c r="B218" s="168" t="str">
        <f t="shared" si="19"/>
        <v>BRI Kunjungan Kerja DPR Bandung</v>
      </c>
      <c r="D218" s="8" t="s">
        <v>64</v>
      </c>
      <c r="K218" s="8">
        <f t="shared" si="16"/>
        <v>120280361</v>
      </c>
      <c r="L218" s="130">
        <f t="shared" si="17"/>
        <v>0.2205139812007812</v>
      </c>
    </row>
    <row r="219" spans="1:12" s="168" customFormat="1">
      <c r="A219" s="171">
        <f t="shared" si="18"/>
        <v>20</v>
      </c>
      <c r="B219" s="168" t="str">
        <f t="shared" si="19"/>
        <v>BRI Kunjungan Kerja DPR Jogja</v>
      </c>
      <c r="C219" s="127"/>
      <c r="D219" s="127" t="s">
        <v>64</v>
      </c>
      <c r="E219" s="127"/>
      <c r="F219" s="127"/>
      <c r="G219" s="127"/>
      <c r="H219" s="127"/>
      <c r="I219" s="172"/>
      <c r="J219" s="172"/>
      <c r="K219" s="127">
        <f t="shared" si="16"/>
        <v>82379344</v>
      </c>
      <c r="L219" s="173">
        <f t="shared" si="17"/>
        <v>0.56066114712538073</v>
      </c>
    </row>
    <row r="220" spans="1:12" s="14" customFormat="1">
      <c r="A220" s="51">
        <f t="shared" si="18"/>
        <v>21</v>
      </c>
      <c r="B220" s="168" t="str">
        <f t="shared" si="19"/>
        <v xml:space="preserve">BRI Kunjungan Kerja Serang </v>
      </c>
      <c r="C220" s="50"/>
      <c r="D220" s="50" t="s">
        <v>64</v>
      </c>
      <c r="E220" s="50"/>
      <c r="F220" s="50"/>
      <c r="G220" s="50"/>
      <c r="H220" s="50"/>
      <c r="I220" s="131"/>
      <c r="J220" s="131"/>
      <c r="K220" s="8">
        <f t="shared" si="16"/>
        <v>51157107</v>
      </c>
      <c r="L220" s="130">
        <f t="shared" si="17"/>
        <v>0.51678829590554853</v>
      </c>
    </row>
    <row r="221" spans="1:12">
      <c r="A221" s="74">
        <f t="shared" si="18"/>
        <v>22</v>
      </c>
      <c r="B221" s="168" t="str">
        <f t="shared" si="19"/>
        <v>BRI Launching Double Care</v>
      </c>
      <c r="D221" s="8" t="s">
        <v>64</v>
      </c>
      <c r="K221" s="8">
        <f t="shared" si="16"/>
        <v>68343808</v>
      </c>
      <c r="L221" s="130">
        <f t="shared" si="17"/>
        <v>0.18033333157425341</v>
      </c>
    </row>
    <row r="222" spans="1:12">
      <c r="A222" s="74">
        <f t="shared" si="18"/>
        <v>23</v>
      </c>
      <c r="B222" s="168" t="str">
        <f t="shared" si="19"/>
        <v>BRI Launching Liga 1</v>
      </c>
      <c r="D222" s="8" t="s">
        <v>64</v>
      </c>
      <c r="K222" s="8">
        <f t="shared" si="16"/>
        <v>58513447</v>
      </c>
      <c r="L222" s="130">
        <f t="shared" si="17"/>
        <v>0.60862749115872683</v>
      </c>
    </row>
    <row r="223" spans="1:12" s="14" customFormat="1">
      <c r="A223" s="51">
        <f t="shared" si="18"/>
        <v>24</v>
      </c>
      <c r="B223" s="168" t="str">
        <f t="shared" si="19"/>
        <v>BRI Launching OVO U Card</v>
      </c>
      <c r="C223" s="50"/>
      <c r="D223" s="50" t="s">
        <v>64</v>
      </c>
      <c r="E223" s="50"/>
      <c r="F223" s="50"/>
      <c r="G223" s="50"/>
      <c r="H223" s="50"/>
      <c r="I223" s="131"/>
      <c r="J223" s="131"/>
      <c r="K223" s="8">
        <f t="shared" si="16"/>
        <v>120856552</v>
      </c>
      <c r="L223" s="130">
        <f t="shared" si="17"/>
        <v>0.2625789394210975</v>
      </c>
    </row>
    <row r="224" spans="1:12">
      <c r="A224" s="74">
        <f t="shared" si="18"/>
        <v>25</v>
      </c>
      <c r="B224" s="168" t="str">
        <f t="shared" si="19"/>
        <v>BRI Lombok</v>
      </c>
      <c r="D224" s="8" t="s">
        <v>64</v>
      </c>
      <c r="K224" s="8">
        <f t="shared" si="16"/>
        <v>96712970</v>
      </c>
      <c r="L224" s="130">
        <f t="shared" si="17"/>
        <v>0.27740877128640345</v>
      </c>
    </row>
    <row r="225" spans="1:12">
      <c r="A225" s="74">
        <f t="shared" si="18"/>
        <v>26</v>
      </c>
      <c r="B225" s="168" t="str">
        <f t="shared" si="19"/>
        <v>BRI Meeting Analyst Triwulan 4</v>
      </c>
      <c r="D225" s="8" t="s">
        <v>64</v>
      </c>
      <c r="K225" s="8">
        <f t="shared" si="16"/>
        <v>84747965</v>
      </c>
      <c r="L225" s="130">
        <f t="shared" si="17"/>
        <v>0.34935657074073617</v>
      </c>
    </row>
    <row r="226" spans="1:12">
      <c r="A226" s="74">
        <f t="shared" si="18"/>
        <v>27</v>
      </c>
      <c r="B226" s="168" t="str">
        <f t="shared" si="19"/>
        <v>BRI Mikro Bali</v>
      </c>
      <c r="D226" s="8" t="s">
        <v>64</v>
      </c>
      <c r="K226" s="8">
        <f t="shared" si="16"/>
        <v>86681533</v>
      </c>
      <c r="L226" s="130">
        <f t="shared" si="17"/>
        <v>0.319697970425879</v>
      </c>
    </row>
    <row r="227" spans="1:12">
      <c r="A227" s="74">
        <f t="shared" si="18"/>
        <v>28</v>
      </c>
      <c r="B227" s="168" t="str">
        <f t="shared" si="19"/>
        <v>BRI Monthly Meeting Agenda Setting</v>
      </c>
      <c r="D227" s="8" t="s">
        <v>64</v>
      </c>
      <c r="K227" s="8">
        <f t="shared" si="16"/>
        <v>153730230</v>
      </c>
      <c r="L227" s="130">
        <f t="shared" si="17"/>
        <v>0.48317453207289707</v>
      </c>
    </row>
    <row r="228" spans="1:12">
      <c r="A228" s="74">
        <f t="shared" si="18"/>
        <v>29</v>
      </c>
      <c r="B228" s="168" t="str">
        <f t="shared" si="19"/>
        <v>BRI MOU UMI</v>
      </c>
      <c r="D228" s="8" t="s">
        <v>64</v>
      </c>
      <c r="K228" s="8">
        <f t="shared" si="16"/>
        <v>290592715</v>
      </c>
      <c r="L228" s="130">
        <f t="shared" si="17"/>
        <v>0.55107334939817532</v>
      </c>
    </row>
    <row r="229" spans="1:12">
      <c r="A229" s="74">
        <f t="shared" si="18"/>
        <v>30</v>
      </c>
      <c r="B229" s="168" t="str">
        <f t="shared" si="19"/>
        <v>BRI No Hoax</v>
      </c>
      <c r="D229" s="8" t="s">
        <v>64</v>
      </c>
      <c r="K229" s="8">
        <f t="shared" si="16"/>
        <v>12730386</v>
      </c>
      <c r="L229" s="130">
        <f t="shared" si="17"/>
        <v>0.67486384915400188</v>
      </c>
    </row>
    <row r="230" spans="1:12" s="168" customFormat="1">
      <c r="A230" s="171">
        <f t="shared" si="18"/>
        <v>31</v>
      </c>
      <c r="B230" s="168" t="str">
        <f t="shared" si="19"/>
        <v>BRI Paralimpiade</v>
      </c>
      <c r="C230" s="127"/>
      <c r="D230" s="127" t="s">
        <v>64</v>
      </c>
      <c r="E230" s="127"/>
      <c r="F230" s="127"/>
      <c r="G230" s="127"/>
      <c r="H230" s="127"/>
      <c r="I230" s="172"/>
      <c r="J230" s="172"/>
      <c r="K230" s="127">
        <f t="shared" si="16"/>
        <v>281195332</v>
      </c>
      <c r="L230" s="173">
        <f t="shared" si="17"/>
        <v>0.47973699494203287</v>
      </c>
    </row>
    <row r="231" spans="1:12">
      <c r="A231" s="74">
        <f t="shared" si="18"/>
        <v>32</v>
      </c>
      <c r="B231" s="168" t="str">
        <f t="shared" si="19"/>
        <v>BRI Pengukuhan Team Elang</v>
      </c>
      <c r="D231" s="8" t="s">
        <v>64</v>
      </c>
      <c r="K231" s="8">
        <f t="shared" si="16"/>
        <v>102223509.36363637</v>
      </c>
      <c r="L231" s="130">
        <f t="shared" si="17"/>
        <v>0.63349780450704229</v>
      </c>
    </row>
    <row r="232" spans="1:12">
      <c r="A232" s="74">
        <f t="shared" si="18"/>
        <v>33</v>
      </c>
      <c r="B232" s="168" t="str">
        <f t="shared" si="19"/>
        <v>BRI Press Conference Lebaran</v>
      </c>
      <c r="D232" s="8" t="s">
        <v>64</v>
      </c>
      <c r="K232" s="8">
        <f t="shared" ref="K232:K258" si="20">K38+K135</f>
        <v>77355724</v>
      </c>
      <c r="L232" s="130">
        <f t="shared" ref="L232:L258" si="21">K232/K38</f>
        <v>0.68414617622867457</v>
      </c>
    </row>
    <row r="233" spans="1:12" s="64" customFormat="1">
      <c r="A233" s="51">
        <f t="shared" si="18"/>
        <v>34</v>
      </c>
      <c r="B233" s="168" t="str">
        <f t="shared" si="19"/>
        <v>BRI Press Conference Mikro SME</v>
      </c>
      <c r="C233" s="50"/>
      <c r="D233" s="50" t="s">
        <v>64</v>
      </c>
      <c r="E233" s="50"/>
      <c r="F233" s="50"/>
      <c r="G233" s="50"/>
      <c r="H233" s="50"/>
      <c r="I233" s="131"/>
      <c r="J233" s="131"/>
      <c r="K233" s="8">
        <f t="shared" si="20"/>
        <v>32343005</v>
      </c>
      <c r="L233" s="130">
        <f t="shared" si="21"/>
        <v>0.44361393811378724</v>
      </c>
    </row>
    <row r="234" spans="1:12">
      <c r="A234" s="51">
        <f t="shared" si="18"/>
        <v>35</v>
      </c>
      <c r="B234" s="168" t="str">
        <f t="shared" si="19"/>
        <v>BRI Press Conference Triwulan 1</v>
      </c>
      <c r="C234" s="50"/>
      <c r="D234" s="50" t="s">
        <v>64</v>
      </c>
      <c r="E234" s="50"/>
      <c r="F234" s="50"/>
      <c r="G234" s="50"/>
      <c r="H234" s="50"/>
      <c r="I234" s="131"/>
      <c r="J234" s="131"/>
      <c r="K234" s="8">
        <f t="shared" si="20"/>
        <v>65073458</v>
      </c>
      <c r="L234" s="130">
        <f t="shared" si="21"/>
        <v>0.69885043226118237</v>
      </c>
    </row>
    <row r="235" spans="1:12" s="64" customFormat="1">
      <c r="A235" s="51">
        <f t="shared" si="18"/>
        <v>36</v>
      </c>
      <c r="B235" s="168" t="str">
        <f t="shared" si="19"/>
        <v>BRI Press Conference Triwulan 2</v>
      </c>
      <c r="C235" s="50"/>
      <c r="D235" s="50" t="s">
        <v>64</v>
      </c>
      <c r="E235" s="50"/>
      <c r="F235" s="50"/>
      <c r="G235" s="50"/>
      <c r="H235" s="50"/>
      <c r="I235" s="131"/>
      <c r="J235" s="131"/>
      <c r="K235" s="8">
        <f t="shared" si="20"/>
        <v>58587409.599999994</v>
      </c>
      <c r="L235" s="130">
        <f t="shared" si="21"/>
        <v>0.6576137774666968</v>
      </c>
    </row>
    <row r="236" spans="1:12">
      <c r="A236" s="74">
        <f t="shared" si="18"/>
        <v>37</v>
      </c>
      <c r="B236" s="168" t="str">
        <f t="shared" si="19"/>
        <v>BRI Press Conference Triwulan 3</v>
      </c>
      <c r="D236" s="8" t="s">
        <v>64</v>
      </c>
      <c r="K236" s="8">
        <f t="shared" si="20"/>
        <v>64148200</v>
      </c>
      <c r="L236" s="130">
        <f t="shared" si="21"/>
        <v>0.68891370885464209</v>
      </c>
    </row>
    <row r="237" spans="1:12" s="168" customFormat="1">
      <c r="A237" s="171">
        <f t="shared" si="18"/>
        <v>38</v>
      </c>
      <c r="B237" s="168" t="str">
        <f t="shared" si="19"/>
        <v>BRI Raker BUMN Labuan Bajo</v>
      </c>
      <c r="C237" s="127"/>
      <c r="D237" s="127" t="s">
        <v>64</v>
      </c>
      <c r="E237" s="127"/>
      <c r="F237" s="127"/>
      <c r="G237" s="127"/>
      <c r="H237" s="127"/>
      <c r="I237" s="172"/>
      <c r="J237" s="172"/>
      <c r="K237" s="127">
        <f t="shared" si="20"/>
        <v>175117679.31999993</v>
      </c>
      <c r="L237" s="173">
        <f t="shared" si="21"/>
        <v>0.25311105861872008</v>
      </c>
    </row>
    <row r="238" spans="1:12">
      <c r="A238" s="74">
        <f t="shared" si="18"/>
        <v>39</v>
      </c>
      <c r="B238" s="168" t="str">
        <f t="shared" si="19"/>
        <v>BRI RUPS Luar Biasa</v>
      </c>
      <c r="D238" s="8" t="s">
        <v>64</v>
      </c>
      <c r="K238" s="8">
        <f t="shared" si="20"/>
        <v>411014239</v>
      </c>
      <c r="L238" s="130">
        <f t="shared" si="21"/>
        <v>0.27062086871638419</v>
      </c>
    </row>
    <row r="239" spans="1:12">
      <c r="A239" s="74">
        <f t="shared" si="18"/>
        <v>40</v>
      </c>
      <c r="B239" s="168" t="str">
        <f t="shared" si="19"/>
        <v>BRI RUPST Luar Biasa Juli</v>
      </c>
      <c r="D239" s="8" t="s">
        <v>64</v>
      </c>
      <c r="K239" s="8">
        <f t="shared" si="20"/>
        <v>338212267.60000002</v>
      </c>
      <c r="L239" s="130">
        <f t="shared" si="21"/>
        <v>0.40882801561848564</v>
      </c>
    </row>
    <row r="240" spans="1:12">
      <c r="A240" s="74">
        <f t="shared" si="18"/>
        <v>41</v>
      </c>
      <c r="B240" s="168" t="str">
        <f t="shared" si="19"/>
        <v>BRI Sentra Vaksinasi BUMN</v>
      </c>
      <c r="D240" s="8" t="s">
        <v>64</v>
      </c>
      <c r="K240" s="8">
        <f t="shared" si="20"/>
        <v>4844370</v>
      </c>
      <c r="L240" s="130">
        <f t="shared" si="21"/>
        <v>0.65977119509703774</v>
      </c>
    </row>
    <row r="241" spans="1:12">
      <c r="A241" s="74">
        <f t="shared" si="18"/>
        <v>42</v>
      </c>
      <c r="B241" s="168" t="str">
        <f t="shared" si="19"/>
        <v>BRI SMESCO</v>
      </c>
      <c r="D241" s="8" t="s">
        <v>64</v>
      </c>
      <c r="K241" s="8">
        <f t="shared" si="20"/>
        <v>53425770.199999988</v>
      </c>
      <c r="L241" s="130">
        <f t="shared" si="21"/>
        <v>0.36463102177369527</v>
      </c>
    </row>
    <row r="242" spans="1:12">
      <c r="A242" s="74">
        <f>A241+1</f>
        <v>43</v>
      </c>
      <c r="B242" s="168" t="str">
        <f t="shared" si="19"/>
        <v>BRI Souvenir Dubai</v>
      </c>
      <c r="D242" s="8" t="s">
        <v>64</v>
      </c>
      <c r="K242" s="8">
        <f t="shared" si="20"/>
        <v>12640500</v>
      </c>
      <c r="L242" s="130">
        <f t="shared" si="21"/>
        <v>0.26528085289457393</v>
      </c>
    </row>
    <row r="243" spans="1:12">
      <c r="A243" s="74">
        <f t="shared" ref="A243:A293" si="22">A242+1</f>
        <v>44</v>
      </c>
      <c r="B243" s="168" t="str">
        <f t="shared" si="19"/>
        <v>BRI Totem Gambir</v>
      </c>
      <c r="D243" s="8" t="s">
        <v>64</v>
      </c>
      <c r="K243" s="8">
        <f t="shared" si="20"/>
        <v>25130000</v>
      </c>
      <c r="L243" s="130">
        <f t="shared" si="21"/>
        <v>0.3138111888111888</v>
      </c>
    </row>
    <row r="244" spans="1:12" s="168" customFormat="1">
      <c r="A244" s="171">
        <f t="shared" si="22"/>
        <v>45</v>
      </c>
      <c r="B244" s="168" t="str">
        <f t="shared" si="19"/>
        <v>BRI Transport 1</v>
      </c>
      <c r="C244" s="127"/>
      <c r="D244" s="127" t="s">
        <v>64</v>
      </c>
      <c r="E244" s="127"/>
      <c r="F244" s="127"/>
      <c r="G244" s="127"/>
      <c r="H244" s="127"/>
      <c r="I244" s="172"/>
      <c r="J244" s="172"/>
      <c r="K244" s="127">
        <f t="shared" si="20"/>
        <v>5400000</v>
      </c>
      <c r="L244" s="173">
        <f t="shared" si="21"/>
        <v>0.1875</v>
      </c>
    </row>
    <row r="245" spans="1:12" s="14" customFormat="1">
      <c r="A245" s="74">
        <f t="shared" si="22"/>
        <v>46</v>
      </c>
      <c r="B245" s="168" t="str">
        <f t="shared" si="19"/>
        <v>BRI Transport 2</v>
      </c>
      <c r="C245" s="50"/>
      <c r="D245" s="50" t="s">
        <v>64</v>
      </c>
      <c r="E245" s="50"/>
      <c r="F245" s="50"/>
      <c r="G245" s="50"/>
      <c r="H245" s="50"/>
      <c r="I245" s="131"/>
      <c r="J245" s="131"/>
      <c r="K245" s="8">
        <f t="shared" si="20"/>
        <v>900000</v>
      </c>
      <c r="L245" s="130">
        <f t="shared" si="21"/>
        <v>0.1</v>
      </c>
    </row>
    <row r="246" spans="1:12">
      <c r="A246" s="74">
        <f t="shared" si="22"/>
        <v>47</v>
      </c>
      <c r="B246" s="168" t="str">
        <f t="shared" si="19"/>
        <v>BRI Transport 3</v>
      </c>
      <c r="D246" s="8" t="s">
        <v>64</v>
      </c>
      <c r="K246" s="8">
        <f t="shared" si="20"/>
        <v>4400000</v>
      </c>
      <c r="L246" s="130">
        <f t="shared" si="21"/>
        <v>0.28947368421052633</v>
      </c>
    </row>
    <row r="247" spans="1:12" s="168" customFormat="1">
      <c r="A247" s="171">
        <f t="shared" si="22"/>
        <v>48</v>
      </c>
      <c r="B247" s="168" t="str">
        <f t="shared" si="19"/>
        <v>BRI Transport 4</v>
      </c>
      <c r="C247" s="127"/>
      <c r="D247" s="127" t="s">
        <v>64</v>
      </c>
      <c r="E247" s="127"/>
      <c r="F247" s="127"/>
      <c r="G247" s="127"/>
      <c r="H247" s="127"/>
      <c r="I247" s="172"/>
      <c r="J247" s="172"/>
      <c r="K247" s="127">
        <f t="shared" si="20"/>
        <v>600000</v>
      </c>
      <c r="L247" s="173">
        <f t="shared" si="21"/>
        <v>9.8215747258143721E-2</v>
      </c>
    </row>
    <row r="248" spans="1:12" s="168" customFormat="1">
      <c r="A248" s="171">
        <f t="shared" si="22"/>
        <v>49</v>
      </c>
      <c r="B248" s="168" t="str">
        <f t="shared" si="19"/>
        <v>BRI Transport 5</v>
      </c>
      <c r="C248" s="127"/>
      <c r="D248" s="127" t="s">
        <v>64</v>
      </c>
      <c r="E248" s="127"/>
      <c r="F248" s="127"/>
      <c r="G248" s="127"/>
      <c r="H248" s="127"/>
      <c r="I248" s="172"/>
      <c r="J248" s="172"/>
      <c r="K248" s="127">
        <f t="shared" si="20"/>
        <v>2100000</v>
      </c>
      <c r="L248" s="173">
        <f t="shared" si="21"/>
        <v>0.1</v>
      </c>
    </row>
    <row r="249" spans="1:12">
      <c r="A249" s="74">
        <f t="shared" si="22"/>
        <v>50</v>
      </c>
      <c r="B249" s="168" t="str">
        <f t="shared" si="19"/>
        <v>BRI Video Mapping UAE</v>
      </c>
      <c r="D249" s="8" t="s">
        <v>64</v>
      </c>
      <c r="K249" s="8">
        <f t="shared" si="20"/>
        <v>272545455</v>
      </c>
      <c r="L249" s="130">
        <f t="shared" si="21"/>
        <v>0.23606299242674686</v>
      </c>
    </row>
    <row r="250" spans="1:12">
      <c r="A250" s="74">
        <f t="shared" si="22"/>
        <v>51</v>
      </c>
      <c r="B250" s="168" t="str">
        <f t="shared" si="19"/>
        <v>BTN RUPS Terbatas</v>
      </c>
      <c r="D250" s="8" t="s">
        <v>64</v>
      </c>
      <c r="K250" s="8">
        <f t="shared" si="20"/>
        <v>470688165</v>
      </c>
      <c r="L250" s="130">
        <f t="shared" si="21"/>
        <v>0.37703233287102578</v>
      </c>
    </row>
    <row r="251" spans="1:12">
      <c r="A251" s="74">
        <f t="shared" si="22"/>
        <v>52</v>
      </c>
      <c r="B251" s="168" t="str">
        <f t="shared" si="19"/>
        <v>Indonesia Power HUT ke 26 Tahun</v>
      </c>
      <c r="D251" s="8" t="s">
        <v>64</v>
      </c>
      <c r="K251" s="8">
        <f t="shared" si="20"/>
        <v>66707900</v>
      </c>
      <c r="L251" s="130">
        <f t="shared" si="21"/>
        <v>0.26366758893280634</v>
      </c>
    </row>
    <row r="252" spans="1:12">
      <c r="A252" s="74">
        <f t="shared" si="22"/>
        <v>53</v>
      </c>
      <c r="B252" s="168" t="str">
        <f t="shared" si="19"/>
        <v>Jotun Bali Trip</v>
      </c>
      <c r="K252" s="8">
        <f t="shared" si="20"/>
        <v>28024890</v>
      </c>
      <c r="L252" s="130">
        <f t="shared" si="21"/>
        <v>0.18294073108298922</v>
      </c>
    </row>
    <row r="253" spans="1:12">
      <c r="A253" s="74">
        <f t="shared" si="22"/>
        <v>54</v>
      </c>
      <c r="B253" s="168" t="str">
        <f t="shared" si="19"/>
        <v>KPEI Team Building Virtual</v>
      </c>
      <c r="K253" s="8">
        <f t="shared" si="20"/>
        <v>108849653</v>
      </c>
      <c r="L253" s="130">
        <f t="shared" si="21"/>
        <v>0.262383315887258</v>
      </c>
    </row>
    <row r="254" spans="1:12">
      <c r="A254" s="74">
        <f t="shared" si="22"/>
        <v>55</v>
      </c>
      <c r="B254" s="168" t="str">
        <f t="shared" si="19"/>
        <v>Link Aja Pelatihan Agent CTP, BES dan e-KYC</v>
      </c>
      <c r="K254" s="8">
        <f t="shared" si="20"/>
        <v>10599728</v>
      </c>
      <c r="L254" s="130">
        <f t="shared" si="21"/>
        <v>0.27148696457746962</v>
      </c>
    </row>
    <row r="255" spans="1:12">
      <c r="A255" s="74">
        <f t="shared" si="22"/>
        <v>56</v>
      </c>
      <c r="B255" s="168" t="str">
        <f t="shared" si="19"/>
        <v>Mandiri Akselerasi Vaksinasi Nasional</v>
      </c>
      <c r="K255" s="8">
        <f t="shared" si="20"/>
        <v>56362725</v>
      </c>
      <c r="L255" s="130">
        <f t="shared" si="21"/>
        <v>0.55804678217821779</v>
      </c>
    </row>
    <row r="256" spans="1:12">
      <c r="A256" s="74">
        <f t="shared" si="22"/>
        <v>57</v>
      </c>
      <c r="B256" s="168" t="str">
        <f t="shared" si="19"/>
        <v>Mandiri Dekorasi HUT RI 76 Thn</v>
      </c>
      <c r="K256" s="8">
        <f t="shared" si="20"/>
        <v>13531750</v>
      </c>
      <c r="L256" s="130">
        <f t="shared" si="21"/>
        <v>0.43025342878446071</v>
      </c>
    </row>
    <row r="257" spans="1:12">
      <c r="A257" s="74">
        <f t="shared" si="22"/>
        <v>58</v>
      </c>
      <c r="B257" s="168" t="str">
        <f t="shared" si="19"/>
        <v>Mandiri Launching Android EDC</v>
      </c>
      <c r="K257" s="8">
        <f t="shared" si="20"/>
        <v>72058685</v>
      </c>
      <c r="L257" s="130">
        <f t="shared" si="21"/>
        <v>0.25360408744327151</v>
      </c>
    </row>
    <row r="258" spans="1:12">
      <c r="A258" s="74">
        <f t="shared" si="22"/>
        <v>59</v>
      </c>
      <c r="B258" s="168" t="str">
        <f t="shared" si="19"/>
        <v>SGI Gyproc Migration</v>
      </c>
      <c r="K258" s="8">
        <f t="shared" si="20"/>
        <v>500000</v>
      </c>
      <c r="L258" s="130">
        <f t="shared" si="21"/>
        <v>0.02</v>
      </c>
    </row>
    <row r="259" spans="1:12">
      <c r="A259" s="74">
        <f t="shared" si="22"/>
        <v>60</v>
      </c>
      <c r="B259" s="168" t="str">
        <f t="shared" si="19"/>
        <v>Telkom Indonesia Keren Dubai Expo</v>
      </c>
      <c r="K259" s="8">
        <f t="shared" ref="K259:K265" si="23">K65+K162</f>
        <v>153590352.20000005</v>
      </c>
      <c r="L259" s="130">
        <f t="shared" ref="L259:L264" si="24">K259/K65</f>
        <v>0.12030792573394913</v>
      </c>
    </row>
    <row r="260" spans="1:12">
      <c r="A260" s="74">
        <f t="shared" si="22"/>
        <v>61</v>
      </c>
      <c r="B260" s="168" t="str">
        <f t="shared" si="19"/>
        <v>Telkomsel by U Delivery With Joy</v>
      </c>
      <c r="K260" s="8">
        <f t="shared" si="23"/>
        <v>51536464</v>
      </c>
      <c r="L260" s="130">
        <f t="shared" si="24"/>
        <v>0.32784010178117046</v>
      </c>
    </row>
    <row r="261" spans="1:12">
      <c r="A261" s="74">
        <f t="shared" si="22"/>
        <v>62</v>
      </c>
      <c r="B261" s="168" t="str">
        <f t="shared" si="19"/>
        <v>Telkomsel Campaign Outlet via MyAds</v>
      </c>
      <c r="K261" s="8">
        <f t="shared" si="23"/>
        <v>11342500</v>
      </c>
      <c r="L261" s="130">
        <f t="shared" si="24"/>
        <v>9.0929132595799267E-2</v>
      </c>
    </row>
    <row r="262" spans="1:12">
      <c r="A262" s="74">
        <f t="shared" si="22"/>
        <v>63</v>
      </c>
      <c r="B262" s="168" t="str">
        <f t="shared" si="19"/>
        <v>Telkomsel Change Champion</v>
      </c>
      <c r="K262" s="8">
        <f t="shared" si="23"/>
        <v>61003500</v>
      </c>
      <c r="L262" s="130">
        <f t="shared" si="24"/>
        <v>8.7146300958911446E-2</v>
      </c>
    </row>
    <row r="263" spans="1:12">
      <c r="A263" s="74">
        <f t="shared" si="22"/>
        <v>64</v>
      </c>
      <c r="B263" s="168" t="str">
        <f t="shared" si="19"/>
        <v xml:space="preserve">Telkomsel CIMA </v>
      </c>
      <c r="K263" s="8">
        <f t="shared" si="23"/>
        <v>101751307.71000004</v>
      </c>
      <c r="L263" s="130">
        <f t="shared" si="24"/>
        <v>0.11878162289216405</v>
      </c>
    </row>
    <row r="264" spans="1:12">
      <c r="A264" s="74">
        <f t="shared" si="22"/>
        <v>65</v>
      </c>
      <c r="B264" s="168" t="str">
        <f t="shared" si="19"/>
        <v>Telkomsel E-Commerce Program Q4</v>
      </c>
      <c r="K264" s="8">
        <f t="shared" si="23"/>
        <v>5590909</v>
      </c>
      <c r="L264" s="130">
        <f t="shared" si="24"/>
        <v>2.7194339609637116E-2</v>
      </c>
    </row>
    <row r="265" spans="1:12">
      <c r="A265" s="74">
        <f t="shared" si="22"/>
        <v>66</v>
      </c>
      <c r="B265" s="168" t="str">
        <f t="shared" ref="B265:B293" si="25">B168</f>
        <v>Telkomsel Evaluasi Performasi and Konseling</v>
      </c>
      <c r="K265" s="8">
        <f t="shared" si="23"/>
        <v>2865780</v>
      </c>
      <c r="L265" s="130">
        <f t="shared" ref="L265:L293" si="26">K265/K71</f>
        <v>0.11090909090909092</v>
      </c>
    </row>
    <row r="266" spans="1:12">
      <c r="A266" s="74">
        <f t="shared" si="22"/>
        <v>67</v>
      </c>
      <c r="B266" s="168" t="str">
        <f t="shared" si="25"/>
        <v>Telkomsel From Good to Great</v>
      </c>
      <c r="K266" s="8">
        <f t="shared" ref="K266:K293" si="27">K72+K169</f>
        <v>16568603</v>
      </c>
      <c r="L266" s="130">
        <f t="shared" si="26"/>
        <v>0.1593410686464965</v>
      </c>
    </row>
    <row r="267" spans="1:12">
      <c r="A267" s="74">
        <f t="shared" si="22"/>
        <v>68</v>
      </c>
      <c r="B267" s="168" t="str">
        <f t="shared" si="25"/>
        <v>Telkomsel Inject Paket Data/Top Up Pulsa/ Token Listrik</v>
      </c>
      <c r="K267" s="8">
        <f t="shared" si="27"/>
        <v>8537500</v>
      </c>
      <c r="L267" s="130">
        <f t="shared" si="26"/>
        <v>6.9503240092481031E-2</v>
      </c>
    </row>
    <row r="268" spans="1:12">
      <c r="A268" s="74">
        <f t="shared" si="22"/>
        <v>69</v>
      </c>
      <c r="B268" s="168" t="str">
        <f t="shared" si="25"/>
        <v>Telkomsel Leveraging Message</v>
      </c>
      <c r="K268" s="8">
        <f t="shared" si="27"/>
        <v>59699880</v>
      </c>
      <c r="L268" s="130">
        <f t="shared" si="26"/>
        <v>7.6481781772363935E-2</v>
      </c>
    </row>
    <row r="269" spans="1:12" s="168" customFormat="1">
      <c r="A269" s="74">
        <f t="shared" si="22"/>
        <v>70</v>
      </c>
      <c r="B269" s="168" t="str">
        <f t="shared" si="25"/>
        <v>Telkomsel Meeting Joint Program BNI 2022</v>
      </c>
      <c r="C269" s="127"/>
      <c r="D269" s="127"/>
      <c r="E269" s="127"/>
      <c r="F269" s="127"/>
      <c r="G269" s="127"/>
      <c r="H269" s="127"/>
      <c r="I269" s="172"/>
      <c r="J269" s="172"/>
      <c r="K269" s="127">
        <f t="shared" si="27"/>
        <v>3503881</v>
      </c>
      <c r="L269" s="173">
        <f t="shared" si="26"/>
        <v>0.20180587838329342</v>
      </c>
    </row>
    <row r="270" spans="1:12" s="168" customFormat="1">
      <c r="A270" s="74">
        <f t="shared" si="22"/>
        <v>71</v>
      </c>
      <c r="B270" s="168" t="str">
        <f t="shared" si="25"/>
        <v xml:space="preserve">Telkomsel MICE InnoXtion </v>
      </c>
      <c r="C270" s="127"/>
      <c r="D270" s="127"/>
      <c r="E270" s="127"/>
      <c r="F270" s="127"/>
      <c r="G270" s="127"/>
      <c r="H270" s="127"/>
      <c r="I270" s="172"/>
      <c r="J270" s="172"/>
      <c r="K270" s="127">
        <f t="shared" si="27"/>
        <v>156252322.29999995</v>
      </c>
      <c r="L270" s="173">
        <f t="shared" si="26"/>
        <v>0.15919363203336076</v>
      </c>
    </row>
    <row r="271" spans="1:12">
      <c r="A271" s="74">
        <f t="shared" si="22"/>
        <v>72</v>
      </c>
      <c r="B271" s="168" t="str">
        <f t="shared" si="25"/>
        <v>Telkomsel Moana Agustus</v>
      </c>
      <c r="K271" s="8">
        <f t="shared" si="27"/>
        <v>418601</v>
      </c>
      <c r="L271" s="130">
        <f t="shared" si="26"/>
        <v>0.26162562499999997</v>
      </c>
    </row>
    <row r="272" spans="1:12">
      <c r="A272" s="74">
        <f t="shared" si="22"/>
        <v>73</v>
      </c>
      <c r="B272" s="168" t="str">
        <f t="shared" si="25"/>
        <v>Telkomsel Monetize Business Sector</v>
      </c>
      <c r="K272" s="8">
        <f t="shared" si="27"/>
        <v>34092878</v>
      </c>
      <c r="L272" s="130">
        <f t="shared" si="26"/>
        <v>0.22473622387001105</v>
      </c>
    </row>
    <row r="273" spans="1:15">
      <c r="A273" s="74">
        <f t="shared" si="22"/>
        <v>74</v>
      </c>
      <c r="B273" s="168" t="str">
        <f t="shared" si="25"/>
        <v>Telkomsel OBC Survey Market and Modern Trade</v>
      </c>
      <c r="K273" s="8">
        <f t="shared" si="27"/>
        <v>56823929</v>
      </c>
      <c r="L273" s="130">
        <f t="shared" si="26"/>
        <v>0.14536543243353867</v>
      </c>
    </row>
    <row r="274" spans="1:15">
      <c r="A274" s="74">
        <f t="shared" si="22"/>
        <v>75</v>
      </c>
      <c r="B274" s="168" t="str">
        <f t="shared" si="25"/>
        <v>Telkomsel Odading</v>
      </c>
      <c r="K274" s="8">
        <f t="shared" si="27"/>
        <v>4837100</v>
      </c>
      <c r="L274" s="130">
        <f t="shared" si="26"/>
        <v>5.7014380009429516E-2</v>
      </c>
    </row>
    <row r="275" spans="1:15">
      <c r="A275" s="74">
        <f t="shared" si="22"/>
        <v>76</v>
      </c>
      <c r="B275" s="168" t="str">
        <f t="shared" si="25"/>
        <v>Telkomsel Office to Office</v>
      </c>
      <c r="K275" s="8">
        <f t="shared" si="27"/>
        <v>14606036</v>
      </c>
      <c r="L275" s="130">
        <f t="shared" si="26"/>
        <v>0.16597768181818182</v>
      </c>
    </row>
    <row r="276" spans="1:15">
      <c r="A276" s="74">
        <f t="shared" si="22"/>
        <v>77</v>
      </c>
      <c r="B276" s="168" t="str">
        <f t="shared" si="25"/>
        <v>Telkomsel Onboarding</v>
      </c>
      <c r="K276" s="8">
        <f t="shared" si="27"/>
        <v>71179352.200000048</v>
      </c>
      <c r="L276" s="130">
        <f t="shared" si="26"/>
        <v>0.21027873668603553</v>
      </c>
    </row>
    <row r="277" spans="1:15" s="168" customFormat="1">
      <c r="A277" s="171">
        <f t="shared" si="22"/>
        <v>78</v>
      </c>
      <c r="B277" s="168" t="str">
        <f t="shared" si="25"/>
        <v>Telkomsel Operationalitation After Sales and Billing</v>
      </c>
      <c r="C277" s="127"/>
      <c r="D277" s="127"/>
      <c r="E277" s="127"/>
      <c r="F277" s="127"/>
      <c r="G277" s="127"/>
      <c r="H277" s="127"/>
      <c r="I277" s="172"/>
      <c r="J277" s="172"/>
      <c r="K277" s="127">
        <f t="shared" si="27"/>
        <v>8926912</v>
      </c>
      <c r="L277" s="173">
        <f t="shared" si="26"/>
        <v>8.3341458746644878E-2</v>
      </c>
      <c r="N277" s="226" t="s">
        <v>64</v>
      </c>
      <c r="O277" s="226" t="s">
        <v>64</v>
      </c>
    </row>
    <row r="278" spans="1:15">
      <c r="A278" s="74">
        <f t="shared" si="22"/>
        <v>79</v>
      </c>
      <c r="B278" s="168" t="str">
        <f t="shared" si="25"/>
        <v>Telkomsel Pengadaan Gimmicks Payload User</v>
      </c>
      <c r="K278" s="8">
        <f t="shared" si="27"/>
        <v>22072883</v>
      </c>
      <c r="L278" s="130">
        <f t="shared" si="26"/>
        <v>5.2060426907103385E-2</v>
      </c>
    </row>
    <row r="279" spans="1:15">
      <c r="A279" s="74">
        <f t="shared" si="22"/>
        <v>80</v>
      </c>
      <c r="B279" s="168" t="str">
        <f t="shared" si="25"/>
        <v>Telkomsel Pengadaan Voucher</v>
      </c>
      <c r="K279" s="8">
        <f t="shared" si="27"/>
        <v>8289094</v>
      </c>
      <c r="L279" s="130">
        <f t="shared" si="26"/>
        <v>6.5106868622128389E-2</v>
      </c>
    </row>
    <row r="280" spans="1:15">
      <c r="A280" s="74">
        <f t="shared" si="22"/>
        <v>81</v>
      </c>
      <c r="B280" s="168" t="str">
        <f t="shared" si="25"/>
        <v>Telkomsel Pengiriman Simcard Corporate</v>
      </c>
      <c r="K280" s="8">
        <f t="shared" si="27"/>
        <v>24282792</v>
      </c>
      <c r="L280" s="130">
        <f t="shared" si="26"/>
        <v>6.4690331128673215E-2</v>
      </c>
    </row>
    <row r="281" spans="1:15">
      <c r="A281" s="74">
        <f t="shared" si="22"/>
        <v>82</v>
      </c>
      <c r="B281" s="168" t="str">
        <f t="shared" si="25"/>
        <v>Telkomsel Pilkada Racing</v>
      </c>
      <c r="K281" s="8">
        <f t="shared" si="27"/>
        <v>39236238</v>
      </c>
      <c r="L281" s="130">
        <f t="shared" si="26"/>
        <v>0.11942715127976453</v>
      </c>
    </row>
    <row r="282" spans="1:15">
      <c r="A282" s="74">
        <f t="shared" si="22"/>
        <v>83</v>
      </c>
      <c r="B282" s="168" t="str">
        <f t="shared" si="25"/>
        <v xml:space="preserve">Telkomsel Program Games Publishing </v>
      </c>
      <c r="K282" s="8">
        <f t="shared" si="27"/>
        <v>20406500</v>
      </c>
      <c r="L282" s="130">
        <f t="shared" si="26"/>
        <v>4.670657586199399E-2</v>
      </c>
    </row>
    <row r="283" spans="1:15" s="168" customFormat="1">
      <c r="A283" s="171">
        <f t="shared" si="22"/>
        <v>84</v>
      </c>
      <c r="B283" s="168" t="str">
        <f t="shared" si="25"/>
        <v>Telkomsel Program Media Agency</v>
      </c>
      <c r="C283" s="170"/>
      <c r="D283" s="170"/>
      <c r="E283" s="170"/>
      <c r="F283" s="170"/>
      <c r="G283" s="170"/>
      <c r="H283" s="170"/>
      <c r="I283" s="172"/>
      <c r="J283" s="172"/>
      <c r="K283" s="170">
        <f t="shared" si="27"/>
        <v>3750320</v>
      </c>
      <c r="L283" s="213">
        <f t="shared" si="26"/>
        <v>1.9744501625491927E-2</v>
      </c>
    </row>
    <row r="284" spans="1:15">
      <c r="A284" s="74">
        <f t="shared" si="22"/>
        <v>85</v>
      </c>
      <c r="B284" s="168" t="str">
        <f t="shared" si="25"/>
        <v>Telkomsel Program Uplift Revenue</v>
      </c>
      <c r="K284" s="8">
        <f t="shared" si="27"/>
        <v>24958994</v>
      </c>
      <c r="L284" s="130">
        <f t="shared" si="26"/>
        <v>8.9234075490923395E-2</v>
      </c>
    </row>
    <row r="285" spans="1:15">
      <c r="A285" s="74">
        <f t="shared" si="22"/>
        <v>86</v>
      </c>
      <c r="B285" s="168" t="str">
        <f t="shared" si="25"/>
        <v>Telkomsel Program With Legal On Policy and Compliance</v>
      </c>
      <c r="K285" s="8">
        <f t="shared" si="27"/>
        <v>2524400</v>
      </c>
      <c r="L285" s="130">
        <f t="shared" si="26"/>
        <v>6.4520746113777755E-2</v>
      </c>
    </row>
    <row r="286" spans="1:15">
      <c r="A286" s="74">
        <f t="shared" si="22"/>
        <v>87</v>
      </c>
      <c r="B286" s="168" t="str">
        <f t="shared" si="25"/>
        <v>Telkomsel Racing Competition Program</v>
      </c>
      <c r="K286" s="8">
        <f t="shared" si="27"/>
        <v>31995150</v>
      </c>
      <c r="L286" s="130">
        <f t="shared" si="26"/>
        <v>0.11077406455298486</v>
      </c>
    </row>
    <row r="287" spans="1:15">
      <c r="A287" s="74">
        <f t="shared" si="22"/>
        <v>88</v>
      </c>
      <c r="B287" s="168" t="str">
        <f t="shared" si="25"/>
        <v>Telkomsel Sales Colaboration with EAM Team</v>
      </c>
      <c r="K287" s="8">
        <f t="shared" si="27"/>
        <v>29531000</v>
      </c>
      <c r="L287" s="130">
        <f t="shared" si="26"/>
        <v>0.11047886270108492</v>
      </c>
    </row>
    <row r="288" spans="1:15" s="168" customFormat="1">
      <c r="A288" s="171">
        <f t="shared" si="22"/>
        <v>89</v>
      </c>
      <c r="B288" s="168" t="str">
        <f t="shared" si="25"/>
        <v>Telkomsel Sewa Mobil</v>
      </c>
      <c r="C288" s="127"/>
      <c r="D288" s="127"/>
      <c r="E288" s="127"/>
      <c r="F288" s="127"/>
      <c r="G288" s="127"/>
      <c r="H288" s="127"/>
      <c r="I288" s="172"/>
      <c r="J288" s="172"/>
      <c r="K288" s="127">
        <f t="shared" si="27"/>
        <v>200000</v>
      </c>
      <c r="L288" s="173">
        <f t="shared" si="26"/>
        <v>0.08</v>
      </c>
    </row>
    <row r="289" spans="1:12">
      <c r="A289" s="74">
        <f t="shared" si="22"/>
        <v>90</v>
      </c>
      <c r="B289" s="168" t="str">
        <f t="shared" si="25"/>
        <v>Telkomsel Sosialisasi New Fitur My Enterprise</v>
      </c>
      <c r="K289" s="8">
        <f t="shared" si="27"/>
        <v>1793792</v>
      </c>
      <c r="L289" s="130">
        <f t="shared" si="26"/>
        <v>8.2397003745318345E-2</v>
      </c>
    </row>
    <row r="290" spans="1:12" s="168" customFormat="1">
      <c r="A290" s="171">
        <f t="shared" si="22"/>
        <v>91</v>
      </c>
      <c r="B290" s="168" t="str">
        <f t="shared" si="25"/>
        <v>Telkomsel Transaction Program Q2</v>
      </c>
      <c r="C290" s="127"/>
      <c r="D290" s="127"/>
      <c r="E290" s="127"/>
      <c r="F290" s="127"/>
      <c r="G290" s="127"/>
      <c r="H290" s="127"/>
      <c r="I290" s="172"/>
      <c r="J290" s="172"/>
      <c r="K290" s="127">
        <f t="shared" si="27"/>
        <v>8088786</v>
      </c>
      <c r="L290" s="173">
        <f t="shared" si="26"/>
        <v>5.9371594245449209E-2</v>
      </c>
    </row>
    <row r="291" spans="1:12" s="168" customFormat="1">
      <c r="A291" s="171">
        <f t="shared" si="22"/>
        <v>92</v>
      </c>
      <c r="B291" s="168" t="str">
        <f t="shared" si="25"/>
        <v>Telkomsel Undian Jelajah Nusantara</v>
      </c>
      <c r="C291" s="127"/>
      <c r="D291" s="127"/>
      <c r="E291" s="127"/>
      <c r="F291" s="127"/>
      <c r="G291" s="127"/>
      <c r="H291" s="127"/>
      <c r="I291" s="172"/>
      <c r="J291" s="172"/>
      <c r="K291" s="127">
        <f t="shared" si="27"/>
        <v>90825520</v>
      </c>
      <c r="L291" s="173">
        <f t="shared" si="26"/>
        <v>0.11762460398648318</v>
      </c>
    </row>
    <row r="292" spans="1:12">
      <c r="A292" s="74">
        <f t="shared" si="22"/>
        <v>93</v>
      </c>
      <c r="B292" s="168" t="str">
        <f t="shared" si="25"/>
        <v>Telkomsel WS Subdir Sales Strategy Group</v>
      </c>
      <c r="K292" s="8">
        <f t="shared" si="27"/>
        <v>25615594</v>
      </c>
      <c r="L292" s="130">
        <f t="shared" si="26"/>
        <v>6.2577059730574328E-2</v>
      </c>
    </row>
    <row r="293" spans="1:12">
      <c r="A293" s="74">
        <f t="shared" si="22"/>
        <v>94</v>
      </c>
      <c r="B293" s="168" t="str">
        <f t="shared" si="25"/>
        <v>Vivo Annual Gathering</v>
      </c>
      <c r="K293" s="8">
        <f t="shared" si="27"/>
        <v>103070091</v>
      </c>
      <c r="L293" s="130">
        <f t="shared" si="26"/>
        <v>0.69100355993563956</v>
      </c>
    </row>
    <row r="294" spans="1:12">
      <c r="A294" s="74"/>
      <c r="B294" s="168"/>
      <c r="L294" s="130"/>
    </row>
    <row r="295" spans="1:12">
      <c r="K295" s="9">
        <f>SUBTOTAL(9,K200:K293)</f>
        <v>7022866145.3936367</v>
      </c>
      <c r="L295" s="132">
        <f>K295/K101</f>
        <v>0.25384132320650588</v>
      </c>
    </row>
    <row r="296" spans="1:12">
      <c r="B296" s="133" t="s">
        <v>725</v>
      </c>
      <c r="C296" s="78" t="s">
        <v>0</v>
      </c>
      <c r="D296" s="78" t="s">
        <v>449</v>
      </c>
      <c r="E296" s="78" t="s">
        <v>428</v>
      </c>
      <c r="F296" s="78" t="s">
        <v>1125</v>
      </c>
      <c r="G296" s="129" t="s">
        <v>429</v>
      </c>
      <c r="H296" s="78" t="s">
        <v>430</v>
      </c>
      <c r="I296" s="78" t="s">
        <v>723</v>
      </c>
    </row>
    <row r="297" spans="1:12">
      <c r="B297" s="134" t="s">
        <v>64</v>
      </c>
    </row>
    <row r="298" spans="1:12">
      <c r="B298" s="133" t="s">
        <v>726</v>
      </c>
    </row>
    <row r="299" spans="1:12">
      <c r="B299" s="135" t="s">
        <v>727</v>
      </c>
      <c r="C299" s="8">
        <v>-21500000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K299" s="8">
        <f t="shared" ref="K299:K337" si="28">SUM(C299:I299)</f>
        <v>-21500000</v>
      </c>
    </row>
    <row r="300" spans="1:12">
      <c r="B300" s="135" t="s">
        <v>728</v>
      </c>
      <c r="C300" s="8">
        <v>-6500000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K300" s="8">
        <f t="shared" si="28"/>
        <v>-6500000</v>
      </c>
    </row>
    <row r="301" spans="1:12">
      <c r="B301" s="135" t="s">
        <v>729</v>
      </c>
      <c r="C301" s="8">
        <v>-35908000</v>
      </c>
      <c r="D301" s="8">
        <v>-1400000</v>
      </c>
      <c r="E301" s="8">
        <v>0</v>
      </c>
      <c r="F301" s="8">
        <v>0</v>
      </c>
      <c r="G301" s="8">
        <v>0</v>
      </c>
      <c r="H301" s="8">
        <v>-2709400</v>
      </c>
      <c r="I301" s="8">
        <v>0</v>
      </c>
      <c r="K301" s="8">
        <f t="shared" si="28"/>
        <v>-40017400</v>
      </c>
    </row>
    <row r="302" spans="1:12">
      <c r="B302" s="135" t="s">
        <v>730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-800000000</v>
      </c>
      <c r="K302" s="8">
        <f t="shared" si="28"/>
        <v>-800000000</v>
      </c>
    </row>
    <row r="303" spans="1:12">
      <c r="B303" s="135" t="s">
        <v>407</v>
      </c>
      <c r="C303" s="8">
        <v>-556828</v>
      </c>
      <c r="D303" s="8">
        <v>0</v>
      </c>
      <c r="E303" s="8">
        <v>0</v>
      </c>
      <c r="F303" s="8">
        <v>0</v>
      </c>
      <c r="G303" s="8">
        <v>-2137600</v>
      </c>
      <c r="H303" s="8">
        <v>-8374400</v>
      </c>
      <c r="I303" s="8">
        <v>0</v>
      </c>
      <c r="K303" s="8">
        <f t="shared" si="28"/>
        <v>-11068828</v>
      </c>
    </row>
    <row r="304" spans="1:12">
      <c r="B304" s="135" t="s">
        <v>391</v>
      </c>
      <c r="C304" s="8">
        <v>-15112111</v>
      </c>
      <c r="D304" s="8">
        <v>0</v>
      </c>
      <c r="E304" s="8">
        <v>0</v>
      </c>
      <c r="F304" s="8">
        <v>0</v>
      </c>
      <c r="G304" s="8">
        <v>-2612150</v>
      </c>
      <c r="H304" s="8">
        <v>-38583874</v>
      </c>
      <c r="I304" s="8">
        <v>0</v>
      </c>
      <c r="K304" s="8">
        <f t="shared" si="28"/>
        <v>-56308135</v>
      </c>
    </row>
    <row r="305" spans="2:11">
      <c r="B305" s="135" t="s">
        <v>130</v>
      </c>
      <c r="C305" s="8">
        <v>-46580000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-4572500</v>
      </c>
      <c r="K305" s="8">
        <f t="shared" si="28"/>
        <v>-51152500</v>
      </c>
    </row>
    <row r="306" spans="2:11">
      <c r="B306" s="135" t="s">
        <v>249</v>
      </c>
      <c r="C306" s="8">
        <v>-1100895000</v>
      </c>
      <c r="D306" s="8">
        <v>-954700942</v>
      </c>
      <c r="E306" s="8">
        <v>0</v>
      </c>
      <c r="F306" s="8">
        <v>0</v>
      </c>
      <c r="G306" s="8">
        <v>0</v>
      </c>
      <c r="H306" s="8">
        <v>0</v>
      </c>
      <c r="I306" s="8">
        <v>-810729358</v>
      </c>
      <c r="K306" s="8">
        <f t="shared" si="28"/>
        <v>-2866325300</v>
      </c>
    </row>
    <row r="307" spans="2:11">
      <c r="B307" s="133" t="s">
        <v>319</v>
      </c>
      <c r="K307" s="8">
        <f t="shared" si="28"/>
        <v>0</v>
      </c>
    </row>
    <row r="308" spans="2:11">
      <c r="B308" s="135" t="s">
        <v>467</v>
      </c>
      <c r="C308" s="8">
        <v>0</v>
      </c>
      <c r="D308" s="8">
        <v>-78351056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K308" s="8">
        <f t="shared" si="28"/>
        <v>-78351056</v>
      </c>
    </row>
    <row r="309" spans="2:11">
      <c r="B309" s="135" t="s">
        <v>731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K309" s="8">
        <f t="shared" si="28"/>
        <v>0</v>
      </c>
    </row>
    <row r="310" spans="2:11">
      <c r="B310" s="135" t="s">
        <v>732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K310" s="8">
        <f t="shared" si="28"/>
        <v>0</v>
      </c>
    </row>
    <row r="311" spans="2:11">
      <c r="B311" s="135" t="s">
        <v>320</v>
      </c>
      <c r="C311" s="8">
        <v>-976500</v>
      </c>
      <c r="D311" s="8">
        <v>0</v>
      </c>
      <c r="E311" s="8">
        <v>0</v>
      </c>
      <c r="F311" s="8">
        <v>0</v>
      </c>
      <c r="G311" s="8">
        <v>0</v>
      </c>
      <c r="H311" s="8">
        <v>-15237639</v>
      </c>
      <c r="I311" s="8">
        <v>0</v>
      </c>
      <c r="K311" s="8">
        <f t="shared" si="28"/>
        <v>-16214139</v>
      </c>
    </row>
    <row r="312" spans="2:11">
      <c r="B312" s="135" t="s">
        <v>453</v>
      </c>
      <c r="C312" s="8">
        <v>0</v>
      </c>
      <c r="D312" s="8">
        <v>0</v>
      </c>
      <c r="E312" s="8">
        <v>0</v>
      </c>
      <c r="F312" s="8">
        <v>0</v>
      </c>
      <c r="G312" s="8">
        <v>-6868450</v>
      </c>
      <c r="H312" s="8">
        <v>-154200</v>
      </c>
      <c r="I312" s="8">
        <v>0</v>
      </c>
      <c r="K312" s="8">
        <f t="shared" si="28"/>
        <v>-7022650</v>
      </c>
    </row>
    <row r="313" spans="2:11">
      <c r="B313" s="135" t="s">
        <v>733</v>
      </c>
      <c r="C313" s="8">
        <v>-44601371</v>
      </c>
      <c r="D313" s="8">
        <v>0</v>
      </c>
      <c r="E313" s="8">
        <v>0</v>
      </c>
      <c r="F313" s="8">
        <v>0</v>
      </c>
      <c r="G313" s="8">
        <v>-273050</v>
      </c>
      <c r="H313" s="8">
        <v>-12532676</v>
      </c>
      <c r="I313" s="8">
        <v>0</v>
      </c>
      <c r="K313" s="8">
        <f t="shared" si="28"/>
        <v>-57407097</v>
      </c>
    </row>
    <row r="314" spans="2:11">
      <c r="B314" s="135" t="s">
        <v>676</v>
      </c>
      <c r="C314" s="8">
        <v>-1830000</v>
      </c>
      <c r="D314" s="8">
        <v>0</v>
      </c>
      <c r="E314" s="8">
        <v>0</v>
      </c>
      <c r="F314" s="8">
        <v>0</v>
      </c>
      <c r="G314" s="8">
        <v>0</v>
      </c>
      <c r="H314" s="8">
        <v>-39684000</v>
      </c>
      <c r="I314" s="8">
        <v>0</v>
      </c>
      <c r="K314" s="8">
        <f t="shared" si="28"/>
        <v>-41514000</v>
      </c>
    </row>
    <row r="315" spans="2:11">
      <c r="B315" s="135" t="s">
        <v>647</v>
      </c>
      <c r="C315" s="8">
        <v>-16401300</v>
      </c>
      <c r="D315" s="8">
        <v>0</v>
      </c>
      <c r="E315" s="8">
        <v>0</v>
      </c>
      <c r="F315" s="8">
        <v>0</v>
      </c>
      <c r="G315" s="8">
        <v>-1942000</v>
      </c>
      <c r="H315" s="8">
        <v>-22967047</v>
      </c>
      <c r="I315" s="8">
        <v>0</v>
      </c>
      <c r="K315" s="8">
        <f t="shared" si="28"/>
        <v>-41310347</v>
      </c>
    </row>
    <row r="316" spans="2:11">
      <c r="B316" s="135" t="s">
        <v>734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K316" s="8">
        <f t="shared" si="28"/>
        <v>0</v>
      </c>
    </row>
    <row r="317" spans="2:11">
      <c r="B317" s="135" t="s">
        <v>244</v>
      </c>
      <c r="C317" s="8">
        <v>-8222500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K317" s="8">
        <f t="shared" si="28"/>
        <v>-8222500</v>
      </c>
    </row>
    <row r="318" spans="2:11">
      <c r="B318" s="135" t="s">
        <v>735</v>
      </c>
      <c r="C318" s="8">
        <v>0</v>
      </c>
      <c r="D318" s="8">
        <v>0</v>
      </c>
      <c r="E318" s="8">
        <v>0</v>
      </c>
      <c r="F318" s="8">
        <v>0</v>
      </c>
      <c r="G318" s="8">
        <v>-4883000</v>
      </c>
      <c r="H318" s="8">
        <v>0</v>
      </c>
      <c r="I318" s="8">
        <v>0</v>
      </c>
      <c r="K318" s="8">
        <f t="shared" si="28"/>
        <v>-4883000</v>
      </c>
    </row>
    <row r="319" spans="2:11">
      <c r="B319" s="135" t="s">
        <v>454</v>
      </c>
      <c r="C319" s="8">
        <v>-8584000</v>
      </c>
      <c r="D319" s="8">
        <v>0</v>
      </c>
      <c r="E319" s="8">
        <v>0</v>
      </c>
      <c r="F319" s="8">
        <v>0</v>
      </c>
      <c r="G319" s="8">
        <v>-4060000</v>
      </c>
      <c r="H319" s="8">
        <v>-845600</v>
      </c>
      <c r="I319" s="8">
        <v>0</v>
      </c>
      <c r="K319" s="8">
        <f t="shared" si="28"/>
        <v>-13489600</v>
      </c>
    </row>
    <row r="320" spans="2:11">
      <c r="B320" s="135" t="s">
        <v>392</v>
      </c>
      <c r="C320" s="8">
        <v>0</v>
      </c>
      <c r="D320" s="8">
        <v>-3510000</v>
      </c>
      <c r="E320" s="8">
        <v>0</v>
      </c>
      <c r="F320" s="8">
        <v>0</v>
      </c>
      <c r="G320" s="8">
        <v>0</v>
      </c>
      <c r="H320" s="8">
        <v>-3200000</v>
      </c>
      <c r="I320" s="8">
        <v>0</v>
      </c>
      <c r="K320" s="8">
        <f t="shared" si="28"/>
        <v>-6710000</v>
      </c>
    </row>
    <row r="321" spans="2:11">
      <c r="B321" s="135" t="s">
        <v>1016</v>
      </c>
      <c r="C321" s="8">
        <v>-10899788</v>
      </c>
      <c r="D321" s="8">
        <v>-2000000</v>
      </c>
      <c r="E321" s="8">
        <v>0</v>
      </c>
      <c r="F321" s="8">
        <v>0</v>
      </c>
      <c r="G321" s="8">
        <v>-6014948</v>
      </c>
      <c r="H321" s="8">
        <v>-192500</v>
      </c>
      <c r="I321" s="8">
        <v>-791644</v>
      </c>
      <c r="K321" s="8">
        <f t="shared" si="28"/>
        <v>-19898880</v>
      </c>
    </row>
    <row r="322" spans="2:11">
      <c r="B322" s="135" t="s">
        <v>117</v>
      </c>
      <c r="C322" s="8">
        <v>0</v>
      </c>
      <c r="D322" s="8">
        <v>0</v>
      </c>
      <c r="E322" s="8">
        <v>0</v>
      </c>
      <c r="F322" s="8">
        <v>0</v>
      </c>
      <c r="G322" s="8">
        <v>-34758984</v>
      </c>
      <c r="H322" s="8">
        <v>-68404396</v>
      </c>
      <c r="I322" s="8">
        <v>-1621720</v>
      </c>
      <c r="K322" s="8">
        <f t="shared" si="28"/>
        <v>-104785100</v>
      </c>
    </row>
    <row r="323" spans="2:11">
      <c r="B323" s="133" t="s">
        <v>736</v>
      </c>
      <c r="K323" s="8">
        <f t="shared" si="28"/>
        <v>0</v>
      </c>
    </row>
    <row r="324" spans="2:11">
      <c r="B324" s="135" t="s">
        <v>737</v>
      </c>
      <c r="C324" s="8">
        <v>-4125101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K324" s="8">
        <f t="shared" si="28"/>
        <v>-4125101</v>
      </c>
    </row>
    <row r="325" spans="2:11">
      <c r="B325" s="135" t="s">
        <v>455</v>
      </c>
      <c r="C325" s="8">
        <v>-4501000</v>
      </c>
      <c r="D325" s="8">
        <v>0</v>
      </c>
      <c r="E325" s="8">
        <v>0</v>
      </c>
      <c r="F325" s="8">
        <v>0</v>
      </c>
      <c r="G325" s="8">
        <v>-134900</v>
      </c>
      <c r="H325" s="8">
        <v>-17754529</v>
      </c>
      <c r="I325" s="8">
        <v>-1800000</v>
      </c>
      <c r="K325" s="8">
        <f t="shared" si="28"/>
        <v>-24190429</v>
      </c>
    </row>
    <row r="326" spans="2:11">
      <c r="B326" s="135" t="s">
        <v>738</v>
      </c>
      <c r="C326" s="8">
        <v>-10000000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K326" s="8">
        <f t="shared" si="28"/>
        <v>-10000000</v>
      </c>
    </row>
    <row r="327" spans="2:11">
      <c r="B327" s="135" t="s">
        <v>739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K327" s="8">
        <f t="shared" si="28"/>
        <v>0</v>
      </c>
    </row>
    <row r="328" spans="2:11">
      <c r="B328" s="135" t="s">
        <v>3994</v>
      </c>
      <c r="C328" s="8">
        <v>-35450000</v>
      </c>
      <c r="D328" s="8">
        <v>-2396460</v>
      </c>
      <c r="E328" s="8">
        <v>-1202800</v>
      </c>
      <c r="F328" s="8">
        <v>0</v>
      </c>
      <c r="G328" s="8">
        <v>-2646900</v>
      </c>
      <c r="H328" s="8">
        <v>-38472831</v>
      </c>
      <c r="I328" s="8">
        <v>0</v>
      </c>
      <c r="K328" s="8">
        <f t="shared" si="28"/>
        <v>-80168991</v>
      </c>
    </row>
    <row r="329" spans="2:11">
      <c r="B329" s="135" t="s">
        <v>740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K329" s="8">
        <f t="shared" si="28"/>
        <v>0</v>
      </c>
    </row>
    <row r="330" spans="2:11">
      <c r="B330" s="133" t="s">
        <v>113</v>
      </c>
      <c r="K330" s="8" t="s">
        <v>64</v>
      </c>
    </row>
    <row r="331" spans="2:11">
      <c r="B331" s="135" t="s">
        <v>114</v>
      </c>
      <c r="C331" s="8">
        <v>-501300</v>
      </c>
      <c r="D331" s="8">
        <v>-1578700</v>
      </c>
      <c r="E331" s="8">
        <v>-2783100</v>
      </c>
      <c r="F331" s="8">
        <v>-512000</v>
      </c>
      <c r="G331" s="8">
        <v>-96500</v>
      </c>
      <c r="H331" s="8">
        <v>-700800</v>
      </c>
      <c r="I331" s="8">
        <v>0</v>
      </c>
      <c r="K331" s="8">
        <f t="shared" si="28"/>
        <v>-6172400</v>
      </c>
    </row>
    <row r="332" spans="2:11">
      <c r="B332" s="135" t="s">
        <v>478</v>
      </c>
      <c r="C332" s="8">
        <v>-16729866</v>
      </c>
      <c r="D332" s="8">
        <v>-10340145</v>
      </c>
      <c r="E332" s="8">
        <v>0</v>
      </c>
      <c r="F332" s="8">
        <v>0</v>
      </c>
      <c r="G332" s="8">
        <v>0</v>
      </c>
      <c r="H332" s="8">
        <v>-18431358</v>
      </c>
      <c r="I332" s="8">
        <v>-3254796</v>
      </c>
      <c r="K332" s="8">
        <f t="shared" si="28"/>
        <v>-48756165</v>
      </c>
    </row>
    <row r="333" spans="2:11">
      <c r="B333" s="133" t="s">
        <v>741</v>
      </c>
      <c r="K333" s="8">
        <f t="shared" si="28"/>
        <v>0</v>
      </c>
    </row>
    <row r="334" spans="2:11">
      <c r="B334" s="135" t="s">
        <v>742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63">
        <v>0</v>
      </c>
      <c r="K334" s="8">
        <f t="shared" si="28"/>
        <v>0</v>
      </c>
    </row>
    <row r="335" spans="2:11">
      <c r="B335" s="135" t="s">
        <v>253</v>
      </c>
      <c r="C335" s="8">
        <v>82726.77</v>
      </c>
      <c r="D335" s="8">
        <v>2355257.25</v>
      </c>
      <c r="E335" s="8">
        <v>2512304</v>
      </c>
      <c r="F335" s="8">
        <v>212832.26999999993</v>
      </c>
      <c r="G335" s="8">
        <v>0</v>
      </c>
      <c r="H335" s="8">
        <v>0</v>
      </c>
      <c r="I335" s="8">
        <v>0</v>
      </c>
      <c r="K335" s="8">
        <f t="shared" si="28"/>
        <v>5163120.2899999991</v>
      </c>
    </row>
    <row r="336" spans="2:11">
      <c r="B336" s="135" t="s">
        <v>665</v>
      </c>
      <c r="C336" s="8">
        <v>0</v>
      </c>
      <c r="D336" s="8">
        <v>-1290200</v>
      </c>
      <c r="E336" s="8">
        <v>0</v>
      </c>
      <c r="F336" s="8">
        <v>0</v>
      </c>
      <c r="G336" s="8">
        <v>0</v>
      </c>
      <c r="H336" s="54">
        <v>-20355198.899999999</v>
      </c>
      <c r="I336" s="8">
        <v>-16578258</v>
      </c>
      <c r="K336" s="8">
        <f t="shared" si="28"/>
        <v>-38223656.899999999</v>
      </c>
    </row>
    <row r="337" spans="2:15">
      <c r="B337" s="135" t="s">
        <v>664</v>
      </c>
      <c r="C337" s="8">
        <v>15563995</v>
      </c>
      <c r="D337" s="8">
        <v>3082000.3920000196</v>
      </c>
      <c r="E337" s="8">
        <v>8416310</v>
      </c>
      <c r="F337" s="8">
        <v>0</v>
      </c>
      <c r="G337" s="8">
        <v>0</v>
      </c>
      <c r="H337" s="54">
        <v>534035178.67799997</v>
      </c>
      <c r="I337" s="63">
        <v>1.9137344360351562</v>
      </c>
      <c r="K337" s="8">
        <f t="shared" si="28"/>
        <v>561097485.98373437</v>
      </c>
    </row>
    <row r="338" spans="2:15">
      <c r="B338" s="135"/>
    </row>
    <row r="339" spans="2:15">
      <c r="B339" s="136" t="s">
        <v>743</v>
      </c>
      <c r="C339" s="9">
        <f t="shared" ref="C339:I339" si="29">SUBTOTAL(9,C299:C337)</f>
        <v>-1374227943.23</v>
      </c>
      <c r="D339" s="9">
        <f t="shared" si="29"/>
        <v>-1050130245.358</v>
      </c>
      <c r="E339" s="9">
        <f t="shared" si="29"/>
        <v>6942714</v>
      </c>
      <c r="F339" s="9">
        <f t="shared" ref="F339" si="30">SUBTOTAL(9,F299:F337)</f>
        <v>-299167.7300000001</v>
      </c>
      <c r="G339" s="9">
        <f t="shared" si="29"/>
        <v>-66428482</v>
      </c>
      <c r="H339" s="9">
        <f t="shared" si="29"/>
        <v>225434729.778</v>
      </c>
      <c r="I339" s="9">
        <f t="shared" si="29"/>
        <v>-1639348274.0862656</v>
      </c>
      <c r="K339" s="9">
        <f>SUBTOTAL(9,K299:K337)</f>
        <v>-3898056668.6262655</v>
      </c>
    </row>
    <row r="341" spans="2:15">
      <c r="B341" s="136" t="s">
        <v>744</v>
      </c>
      <c r="K341" s="9">
        <f>K295+K339</f>
        <v>3124809476.7673712</v>
      </c>
    </row>
    <row r="343" spans="2:15">
      <c r="B343" t="s">
        <v>745</v>
      </c>
      <c r="C343" s="8">
        <v>0</v>
      </c>
      <c r="D343" s="8">
        <v>0</v>
      </c>
      <c r="E343" s="8">
        <v>0</v>
      </c>
      <c r="G343" s="8">
        <v>0</v>
      </c>
      <c r="H343" s="8">
        <v>0</v>
      </c>
      <c r="I343" s="8">
        <v>0</v>
      </c>
      <c r="K343" s="8">
        <f>-'Deprec 2021'!S104</f>
        <v>-393431150.71155548</v>
      </c>
    </row>
    <row r="345" spans="2:15">
      <c r="B345" s="136" t="s">
        <v>746</v>
      </c>
      <c r="K345" s="9">
        <f>K341+K343</f>
        <v>2731378326.0558157</v>
      </c>
    </row>
    <row r="347" spans="2:15">
      <c r="B347" t="s">
        <v>714</v>
      </c>
      <c r="C347" s="8">
        <v>0</v>
      </c>
      <c r="D347" s="8">
        <v>0</v>
      </c>
      <c r="E347" s="8">
        <v>0</v>
      </c>
      <c r="G347" s="8">
        <v>0</v>
      </c>
      <c r="H347" s="8">
        <v>-320488833.58563638</v>
      </c>
      <c r="I347" s="8">
        <v>-129931910.932</v>
      </c>
      <c r="K347" s="8">
        <f>SUM(C347:I347)</f>
        <v>-450420744.51763636</v>
      </c>
    </row>
    <row r="349" spans="2:15">
      <c r="B349" s="136" t="s">
        <v>747</v>
      </c>
      <c r="K349" s="137">
        <f>K345+K347</f>
        <v>2280957581.5381794</v>
      </c>
      <c r="L349" s="130">
        <f>K349/K101</f>
        <v>8.2445155395042699E-2</v>
      </c>
      <c r="N349" s="84">
        <f>K349-510000000</f>
        <v>1770957581.5381794</v>
      </c>
      <c r="O349" s="219">
        <f>N349/K101</f>
        <v>6.4011218003222778E-2</v>
      </c>
    </row>
  </sheetData>
  <pageMargins left="0.7" right="0.7" top="0.75" bottom="0.75" header="0.3" footer="0.3"/>
  <pageSetup paperSize="9" scale="38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22EB-15CE-6449-BCD4-5EE26E5560C9}">
  <sheetPr>
    <pageSetUpPr fitToPage="1"/>
  </sheetPr>
  <dimension ref="B1:H112"/>
  <sheetViews>
    <sheetView topLeftCell="A55" workbookViewId="0">
      <selection activeCell="H74" sqref="H74"/>
    </sheetView>
  </sheetViews>
  <sheetFormatPr baseColWidth="10" defaultRowHeight="16"/>
  <cols>
    <col min="1" max="1" width="10.83203125" style="16"/>
    <col min="2" max="2" width="48" style="16" customWidth="1"/>
    <col min="3" max="3" width="24.5" style="16" customWidth="1"/>
    <col min="4" max="4" width="17.33203125" style="16" customWidth="1"/>
    <col min="5" max="5" width="32.1640625" style="16" customWidth="1"/>
    <col min="6" max="6" width="3.5" style="16" customWidth="1"/>
    <col min="7" max="7" width="10.83203125" style="16"/>
    <col min="8" max="8" width="22.1640625" style="16" customWidth="1"/>
    <col min="9" max="16384" width="10.83203125" style="16"/>
  </cols>
  <sheetData>
    <row r="1" spans="2:5">
      <c r="B1" s="16" t="s">
        <v>64</v>
      </c>
    </row>
    <row r="2" spans="2:5" ht="18">
      <c r="B2" s="244" t="s">
        <v>812</v>
      </c>
      <c r="C2" s="244"/>
      <c r="D2" s="244"/>
      <c r="E2" s="244"/>
    </row>
    <row r="3" spans="2:5" ht="18">
      <c r="B3" s="245" t="s">
        <v>4905</v>
      </c>
      <c r="C3" s="245"/>
      <c r="D3" s="245"/>
      <c r="E3" s="245"/>
    </row>
    <row r="4" spans="2:5">
      <c r="B4" s="139"/>
      <c r="C4" s="139"/>
      <c r="D4" s="139"/>
      <c r="E4" s="139"/>
    </row>
    <row r="5" spans="2:5">
      <c r="B5" s="140" t="s">
        <v>813</v>
      </c>
      <c r="C5" s="141" t="s">
        <v>814</v>
      </c>
      <c r="D5" s="141" t="s">
        <v>815</v>
      </c>
      <c r="E5" s="142">
        <v>14500</v>
      </c>
    </row>
    <row r="6" spans="2:5">
      <c r="B6" s="143" t="s">
        <v>816</v>
      </c>
      <c r="C6" s="139"/>
      <c r="D6" s="139"/>
      <c r="E6" s="144"/>
    </row>
    <row r="7" spans="2:5">
      <c r="B7" s="145" t="s">
        <v>817</v>
      </c>
      <c r="E7" s="144" t="s">
        <v>64</v>
      </c>
    </row>
    <row r="8" spans="2:5">
      <c r="B8" s="146" t="s">
        <v>429</v>
      </c>
      <c r="C8" s="147">
        <v>65026</v>
      </c>
      <c r="D8" s="147">
        <v>0</v>
      </c>
      <c r="E8" s="144">
        <f>+((C8)+(D8*$E$5))</f>
        <v>65026</v>
      </c>
    </row>
    <row r="9" spans="2:5">
      <c r="B9" s="146" t="s">
        <v>818</v>
      </c>
      <c r="C9" s="147">
        <v>0</v>
      </c>
      <c r="D9" s="147">
        <v>0</v>
      </c>
      <c r="E9" s="144">
        <f>+((C9)+(D9*$E$5))</f>
        <v>0</v>
      </c>
    </row>
    <row r="10" spans="2:5">
      <c r="B10" s="146"/>
      <c r="C10" s="147"/>
      <c r="D10" s="147"/>
      <c r="E10" s="144"/>
    </row>
    <row r="11" spans="2:5">
      <c r="B11" s="145" t="s">
        <v>819</v>
      </c>
      <c r="C11" s="147"/>
      <c r="D11" s="147"/>
      <c r="E11" s="144" t="s">
        <v>64</v>
      </c>
    </row>
    <row r="12" spans="2:5">
      <c r="B12" s="146" t="s">
        <v>820</v>
      </c>
      <c r="C12" s="147">
        <v>0</v>
      </c>
      <c r="D12" s="147">
        <v>0</v>
      </c>
      <c r="E12" s="144">
        <f t="shared" ref="E12:E18" si="0">+((C12)+(D12*$E$5))</f>
        <v>0</v>
      </c>
    </row>
    <row r="13" spans="2:5">
      <c r="B13" s="146" t="s">
        <v>821</v>
      </c>
      <c r="C13" s="147">
        <v>15689882.42</v>
      </c>
      <c r="D13" s="147">
        <v>0</v>
      </c>
      <c r="E13" s="144">
        <f t="shared" si="0"/>
        <v>15689882.42</v>
      </c>
    </row>
    <row r="14" spans="2:5">
      <c r="B14" s="146" t="s">
        <v>822</v>
      </c>
      <c r="C14" s="147">
        <v>250052841.66999999</v>
      </c>
      <c r="D14" s="147">
        <v>0</v>
      </c>
      <c r="E14" s="144">
        <f t="shared" si="0"/>
        <v>250052841.66999999</v>
      </c>
    </row>
    <row r="15" spans="2:5">
      <c r="B15" s="146" t="s">
        <v>823</v>
      </c>
      <c r="C15" s="147">
        <v>0</v>
      </c>
      <c r="D15" s="147">
        <v>0</v>
      </c>
      <c r="E15" s="144">
        <f t="shared" si="0"/>
        <v>0</v>
      </c>
    </row>
    <row r="16" spans="2:5">
      <c r="B16" s="146" t="s">
        <v>824</v>
      </c>
      <c r="C16" s="147">
        <v>0</v>
      </c>
      <c r="D16" s="147">
        <v>0</v>
      </c>
      <c r="E16" s="144">
        <f t="shared" si="0"/>
        <v>0</v>
      </c>
    </row>
    <row r="17" spans="2:8">
      <c r="B17" s="146" t="s">
        <v>2969</v>
      </c>
      <c r="C17" s="147">
        <v>0</v>
      </c>
      <c r="D17" s="147">
        <v>0</v>
      </c>
      <c r="E17" s="144">
        <f>+((C17)+(D17*$E$5))</f>
        <v>0</v>
      </c>
    </row>
    <row r="18" spans="2:8">
      <c r="B18" s="146" t="s">
        <v>428</v>
      </c>
      <c r="C18" s="147">
        <v>613513200.90999997</v>
      </c>
      <c r="D18" s="147">
        <v>0</v>
      </c>
      <c r="E18" s="144">
        <f t="shared" si="0"/>
        <v>613513200.90999997</v>
      </c>
    </row>
    <row r="19" spans="2:8">
      <c r="B19" s="146" t="s">
        <v>1125</v>
      </c>
      <c r="C19" s="147">
        <v>38655378.270000018</v>
      </c>
      <c r="D19" s="147">
        <v>0</v>
      </c>
      <c r="E19" s="144">
        <f t="shared" ref="E19" si="1">+((C19)+(D19*$E$5))</f>
        <v>38655378.270000018</v>
      </c>
      <c r="H19" s="214">
        <f>SUM(E8:E19)</f>
        <v>917976329.26999998</v>
      </c>
    </row>
    <row r="20" spans="2:8">
      <c r="B20" s="146"/>
      <c r="C20" s="147"/>
      <c r="D20" s="147"/>
      <c r="E20" s="144"/>
    </row>
    <row r="21" spans="2:8">
      <c r="B21" s="145" t="s">
        <v>825</v>
      </c>
      <c r="C21" s="147"/>
      <c r="D21" s="147"/>
      <c r="E21" s="144" t="s">
        <v>64</v>
      </c>
    </row>
    <row r="22" spans="2:8">
      <c r="B22" s="146" t="s">
        <v>826</v>
      </c>
      <c r="C22" s="147">
        <v>478913078</v>
      </c>
      <c r="D22" s="147">
        <v>0</v>
      </c>
      <c r="E22" s="144">
        <f>+((C22)+(D22*$E$5))</f>
        <v>478913078</v>
      </c>
    </row>
    <row r="23" spans="2:8">
      <c r="C23" s="139"/>
      <c r="D23" s="139"/>
    </row>
    <row r="24" spans="2:8">
      <c r="B24" s="145" t="s">
        <v>827</v>
      </c>
      <c r="C24" s="147"/>
      <c r="D24" s="147"/>
      <c r="E24" s="144" t="s">
        <v>828</v>
      </c>
    </row>
    <row r="25" spans="2:8">
      <c r="B25" s="146" t="s">
        <v>118</v>
      </c>
      <c r="C25" s="147">
        <v>4258751397.2799997</v>
      </c>
      <c r="D25" s="147">
        <v>0</v>
      </c>
      <c r="E25" s="144">
        <f t="shared" ref="E25:E30" si="2">+((C25)+(D25*$E$5))</f>
        <v>4258751397.2799997</v>
      </c>
    </row>
    <row r="26" spans="2:8">
      <c r="B26" s="146" t="s">
        <v>629</v>
      </c>
      <c r="C26" s="147">
        <v>16988000</v>
      </c>
      <c r="D26" s="147">
        <v>0</v>
      </c>
      <c r="E26" s="144">
        <f t="shared" si="2"/>
        <v>16988000</v>
      </c>
    </row>
    <row r="27" spans="2:8">
      <c r="B27" s="146" t="s">
        <v>620</v>
      </c>
      <c r="C27" s="147">
        <v>331341199</v>
      </c>
      <c r="D27" s="147">
        <v>0</v>
      </c>
      <c r="E27" s="144">
        <f t="shared" si="2"/>
        <v>331341199</v>
      </c>
    </row>
    <row r="28" spans="2:8">
      <c r="B28" s="146" t="s">
        <v>628</v>
      </c>
      <c r="C28" s="147">
        <v>0</v>
      </c>
      <c r="D28" s="147">
        <v>0</v>
      </c>
      <c r="E28" s="144">
        <f t="shared" si="2"/>
        <v>0</v>
      </c>
    </row>
    <row r="29" spans="2:8">
      <c r="B29" s="146" t="s">
        <v>829</v>
      </c>
      <c r="C29" s="147">
        <v>7678764346.7600002</v>
      </c>
      <c r="D29" s="147">
        <v>0</v>
      </c>
      <c r="E29" s="144">
        <f t="shared" si="2"/>
        <v>7678764346.7600002</v>
      </c>
    </row>
    <row r="30" spans="2:8">
      <c r="B30" s="146" t="s">
        <v>111</v>
      </c>
      <c r="C30" s="147">
        <v>0</v>
      </c>
      <c r="D30" s="147">
        <v>0</v>
      </c>
      <c r="E30" s="144">
        <f t="shared" si="2"/>
        <v>0</v>
      </c>
    </row>
    <row r="31" spans="2:8">
      <c r="C31" s="139"/>
      <c r="D31" s="139"/>
    </row>
    <row r="32" spans="2:8">
      <c r="B32" s="145" t="s">
        <v>830</v>
      </c>
      <c r="C32" s="147"/>
      <c r="D32" s="147"/>
      <c r="E32" s="144" t="s">
        <v>828</v>
      </c>
    </row>
    <row r="33" spans="2:5">
      <c r="B33" s="148" t="s">
        <v>596</v>
      </c>
      <c r="C33" s="147">
        <v>0</v>
      </c>
      <c r="D33" s="147">
        <v>0</v>
      </c>
      <c r="E33" s="144">
        <f>+((C33)+(D33*$E$5))</f>
        <v>0</v>
      </c>
    </row>
    <row r="34" spans="2:5">
      <c r="B34" s="148" t="s">
        <v>593</v>
      </c>
      <c r="C34" s="147">
        <v>23845736</v>
      </c>
      <c r="D34" s="149">
        <v>0</v>
      </c>
      <c r="E34" s="144">
        <f>+((C34)+(D34*$E$5))</f>
        <v>23845736</v>
      </c>
    </row>
    <row r="35" spans="2:5">
      <c r="B35" s="148" t="s">
        <v>831</v>
      </c>
      <c r="C35" s="147">
        <v>0</v>
      </c>
      <c r="D35" s="147">
        <v>0</v>
      </c>
      <c r="E35" s="144">
        <f>+((C35)+(D35*$E$5))</f>
        <v>0</v>
      </c>
    </row>
    <row r="37" spans="2:5">
      <c r="B37" s="150" t="s">
        <v>832</v>
      </c>
      <c r="C37" s="147" t="s">
        <v>64</v>
      </c>
      <c r="D37" s="147" t="s">
        <v>64</v>
      </c>
      <c r="E37" s="151">
        <f>SUM(E8:E36)</f>
        <v>13706580086.309999</v>
      </c>
    </row>
    <row r="39" spans="2:5">
      <c r="B39" s="140" t="s">
        <v>833</v>
      </c>
      <c r="C39" s="147"/>
      <c r="D39" s="147"/>
      <c r="E39" s="144"/>
    </row>
    <row r="40" spans="2:5">
      <c r="B40" s="152" t="s">
        <v>834</v>
      </c>
      <c r="C40" s="147" t="s">
        <v>64</v>
      </c>
      <c r="D40" s="147" t="s">
        <v>64</v>
      </c>
      <c r="E40" s="144">
        <v>638548207</v>
      </c>
    </row>
    <row r="41" spans="2:5">
      <c r="B41" s="152" t="s">
        <v>835</v>
      </c>
      <c r="C41" s="147" t="s">
        <v>64</v>
      </c>
      <c r="D41" s="147" t="s">
        <v>64</v>
      </c>
      <c r="E41" s="144">
        <v>2281475462.5299997</v>
      </c>
    </row>
    <row r="42" spans="2:5">
      <c r="B42" s="152" t="s">
        <v>836</v>
      </c>
      <c r="C42" s="147" t="s">
        <v>64</v>
      </c>
      <c r="D42" s="147" t="s">
        <v>64</v>
      </c>
      <c r="E42" s="144">
        <v>-2892574269.5300002</v>
      </c>
    </row>
    <row r="43" spans="2:5">
      <c r="B43" s="139" t="s">
        <v>837</v>
      </c>
      <c r="C43" s="147" t="s">
        <v>64</v>
      </c>
      <c r="D43" s="147" t="s">
        <v>64</v>
      </c>
      <c r="E43" s="144">
        <v>0</v>
      </c>
    </row>
    <row r="44" spans="2:5">
      <c r="B44" s="150" t="s">
        <v>838</v>
      </c>
      <c r="C44" s="153">
        <f>SUM(C40:C43)</f>
        <v>0</v>
      </c>
      <c r="D44" s="153">
        <f>SUM(D40:D43)</f>
        <v>0</v>
      </c>
      <c r="E44" s="153">
        <f>SUM(E40:E43)</f>
        <v>27449399.999999523</v>
      </c>
    </row>
    <row r="45" spans="2:5">
      <c r="B45" s="139"/>
      <c r="C45" s="147"/>
      <c r="D45" s="147"/>
      <c r="E45" s="144"/>
    </row>
    <row r="47" spans="2:5">
      <c r="B47" s="155" t="s">
        <v>839</v>
      </c>
      <c r="C47" s="156" t="s">
        <v>828</v>
      </c>
      <c r="D47" s="156" t="s">
        <v>828</v>
      </c>
      <c r="E47" s="157">
        <f>+E37+E44</f>
        <v>13734029486.309999</v>
      </c>
    </row>
    <row r="51" spans="2:5">
      <c r="B51" s="140" t="s">
        <v>840</v>
      </c>
      <c r="C51" s="141" t="s">
        <v>814</v>
      </c>
      <c r="D51" s="141" t="s">
        <v>815</v>
      </c>
      <c r="E51" s="139"/>
    </row>
    <row r="52" spans="2:5">
      <c r="B52" s="140" t="s">
        <v>841</v>
      </c>
      <c r="C52" s="147"/>
      <c r="D52" s="147"/>
      <c r="E52" s="139"/>
    </row>
    <row r="53" spans="2:5">
      <c r="B53" s="145" t="s">
        <v>842</v>
      </c>
      <c r="C53" s="147">
        <v>367646306</v>
      </c>
      <c r="D53" s="147"/>
      <c r="E53" s="139" t="s">
        <v>64</v>
      </c>
    </row>
    <row r="54" spans="2:5">
      <c r="B54" s="146" t="s">
        <v>799</v>
      </c>
      <c r="D54" s="147">
        <v>0</v>
      </c>
      <c r="E54" s="144">
        <f>+((C53)+(D54*$E$5))</f>
        <v>367646306</v>
      </c>
    </row>
    <row r="55" spans="2:5">
      <c r="B55" s="146" t="s">
        <v>843</v>
      </c>
      <c r="C55" s="147">
        <v>0</v>
      </c>
      <c r="D55" s="147">
        <v>0</v>
      </c>
      <c r="E55" s="144">
        <f t="shared" ref="E55:E62" si="3">+((C55)+(D55*$E$5))</f>
        <v>0</v>
      </c>
    </row>
    <row r="56" spans="2:5">
      <c r="B56" s="146" t="s">
        <v>116</v>
      </c>
      <c r="C56" s="147">
        <v>1663969248</v>
      </c>
      <c r="D56" s="147">
        <v>0</v>
      </c>
      <c r="E56" s="144">
        <f t="shared" si="3"/>
        <v>1663969248</v>
      </c>
    </row>
    <row r="57" spans="2:5">
      <c r="B57" s="146" t="s">
        <v>440</v>
      </c>
      <c r="C57" s="147">
        <v>16495749</v>
      </c>
      <c r="D57" s="147">
        <v>0</v>
      </c>
      <c r="E57" s="144">
        <f t="shared" si="3"/>
        <v>16495749</v>
      </c>
    </row>
    <row r="58" spans="2:5">
      <c r="B58" s="146" t="s">
        <v>246</v>
      </c>
      <c r="C58" s="147">
        <v>0</v>
      </c>
      <c r="D58" s="147">
        <v>0</v>
      </c>
      <c r="E58" s="144">
        <f t="shared" si="3"/>
        <v>0</v>
      </c>
    </row>
    <row r="59" spans="2:5">
      <c r="B59" s="146" t="s">
        <v>844</v>
      </c>
      <c r="C59" s="147">
        <v>0</v>
      </c>
      <c r="D59" s="147">
        <v>0</v>
      </c>
      <c r="E59" s="144">
        <f t="shared" si="3"/>
        <v>0</v>
      </c>
    </row>
    <row r="60" spans="2:5">
      <c r="B60" s="146" t="s">
        <v>441</v>
      </c>
      <c r="C60" s="147">
        <v>800731651.39199996</v>
      </c>
      <c r="D60" s="147">
        <v>0</v>
      </c>
      <c r="E60" s="144">
        <f t="shared" si="3"/>
        <v>800731651.39199996</v>
      </c>
    </row>
    <row r="61" spans="2:5">
      <c r="B61" s="146" t="s">
        <v>120</v>
      </c>
      <c r="C61" s="147">
        <v>5027869633</v>
      </c>
      <c r="D61" s="147">
        <v>0</v>
      </c>
      <c r="E61" s="144">
        <f t="shared" si="3"/>
        <v>5027869633</v>
      </c>
    </row>
    <row r="62" spans="2:5">
      <c r="B62" s="146" t="s">
        <v>439</v>
      </c>
      <c r="C62" s="158">
        <v>28480375</v>
      </c>
      <c r="D62" s="147">
        <v>0</v>
      </c>
      <c r="E62" s="144">
        <f t="shared" si="3"/>
        <v>28480375</v>
      </c>
    </row>
    <row r="63" spans="2:5">
      <c r="B63" s="146"/>
      <c r="C63" s="147"/>
      <c r="D63" s="147"/>
      <c r="E63" s="144"/>
    </row>
    <row r="64" spans="2:5">
      <c r="B64" s="145" t="s">
        <v>825</v>
      </c>
      <c r="C64" s="147" t="s">
        <v>64</v>
      </c>
      <c r="D64" s="147" t="s">
        <v>64</v>
      </c>
      <c r="E64" s="144" t="s">
        <v>64</v>
      </c>
    </row>
    <row r="65" spans="2:8">
      <c r="B65" s="146" t="s">
        <v>845</v>
      </c>
      <c r="C65" s="147">
        <v>0</v>
      </c>
      <c r="D65" s="147">
        <v>0</v>
      </c>
      <c r="E65" s="144">
        <f>+((C65)+(D65*$E$5))</f>
        <v>0</v>
      </c>
    </row>
    <row r="66" spans="2:8">
      <c r="B66" s="145"/>
      <c r="C66" s="147"/>
      <c r="D66" s="147"/>
      <c r="E66" s="144"/>
    </row>
    <row r="67" spans="2:8">
      <c r="B67" s="145" t="s">
        <v>846</v>
      </c>
      <c r="C67" s="147"/>
      <c r="D67" s="147"/>
      <c r="E67" s="144"/>
    </row>
    <row r="68" spans="2:8">
      <c r="B68" s="146" t="s">
        <v>847</v>
      </c>
      <c r="C68" s="147">
        <v>690991035</v>
      </c>
      <c r="D68" s="147">
        <v>0</v>
      </c>
      <c r="E68" s="144">
        <f>+((C68)+(D68*$E$5))</f>
        <v>690991035</v>
      </c>
    </row>
    <row r="69" spans="2:8">
      <c r="B69" s="150" t="s">
        <v>849</v>
      </c>
      <c r="C69" s="159" t="s">
        <v>64</v>
      </c>
      <c r="D69" s="159" t="s">
        <v>64</v>
      </c>
      <c r="E69" s="160">
        <f>SUM(E53:E68)</f>
        <v>8596183997.3920002</v>
      </c>
    </row>
    <row r="71" spans="2:8">
      <c r="B71" s="140" t="s">
        <v>850</v>
      </c>
      <c r="C71" s="147"/>
      <c r="D71" s="147"/>
      <c r="E71" s="139"/>
    </row>
    <row r="72" spans="2:8">
      <c r="B72" s="145" t="s">
        <v>851</v>
      </c>
      <c r="C72" s="147">
        <v>0</v>
      </c>
      <c r="D72" s="147">
        <v>0</v>
      </c>
      <c r="E72" s="144">
        <v>500000000</v>
      </c>
      <c r="F72" s="62"/>
    </row>
    <row r="73" spans="2:8">
      <c r="B73" s="145" t="s">
        <v>852</v>
      </c>
      <c r="C73" s="147"/>
      <c r="D73" s="147"/>
      <c r="E73" s="147" t="s">
        <v>64</v>
      </c>
    </row>
    <row r="74" spans="2:8">
      <c r="B74" s="146" t="s">
        <v>853</v>
      </c>
      <c r="C74" s="147">
        <v>0</v>
      </c>
      <c r="D74" s="147">
        <v>0</v>
      </c>
      <c r="E74" s="144">
        <v>2356887907.3798194</v>
      </c>
      <c r="H74" s="214">
        <f>E74+E76</f>
        <v>4637845488.9179993</v>
      </c>
    </row>
    <row r="75" spans="2:8">
      <c r="B75" s="146" t="s">
        <v>854</v>
      </c>
      <c r="C75" s="147">
        <v>0</v>
      </c>
      <c r="D75" s="147">
        <v>0</v>
      </c>
      <c r="E75" s="144">
        <v>0</v>
      </c>
    </row>
    <row r="76" spans="2:8">
      <c r="B76" s="146" t="s">
        <v>4671</v>
      </c>
      <c r="C76" s="147">
        <v>0</v>
      </c>
      <c r="D76" s="147">
        <v>0</v>
      </c>
      <c r="E76" s="144">
        <f>PL!K349</f>
        <v>2280957581.5381794</v>
      </c>
      <c r="G76" s="161" t="s">
        <v>64</v>
      </c>
      <c r="H76" s="66" t="s">
        <v>64</v>
      </c>
    </row>
    <row r="77" spans="2:8">
      <c r="B77" s="150" t="s">
        <v>855</v>
      </c>
      <c r="C77" s="147"/>
      <c r="D77" s="147"/>
      <c r="E77" s="151">
        <f>SUM(E72:E76)</f>
        <v>5137845488.9179993</v>
      </c>
    </row>
    <row r="78" spans="2:8">
      <c r="B78" s="139"/>
      <c r="C78" s="147"/>
      <c r="D78" s="147"/>
      <c r="E78" s="139"/>
    </row>
    <row r="79" spans="2:8">
      <c r="B79" s="139"/>
      <c r="C79" s="147"/>
      <c r="D79" s="147"/>
      <c r="E79" s="139"/>
    </row>
    <row r="80" spans="2:8">
      <c r="B80" s="141" t="s">
        <v>856</v>
      </c>
      <c r="C80" s="151" t="s">
        <v>828</v>
      </c>
      <c r="D80" s="151" t="s">
        <v>828</v>
      </c>
      <c r="E80" s="151">
        <f>+E69+E77</f>
        <v>13734029486.309999</v>
      </c>
    </row>
    <row r="81" spans="3:5">
      <c r="D81" s="139"/>
      <c r="E81" s="139"/>
    </row>
    <row r="82" spans="3:5">
      <c r="D82" s="139"/>
      <c r="E82" s="139"/>
    </row>
    <row r="83" spans="3:5">
      <c r="C83" s="65" t="s">
        <v>64</v>
      </c>
      <c r="D83" s="139"/>
      <c r="E83" s="162">
        <f>+E47-E80</f>
        <v>0</v>
      </c>
    </row>
    <row r="84" spans="3:5">
      <c r="D84" s="163">
        <v>14500</v>
      </c>
      <c r="E84" s="147">
        <f>+E83/D84</f>
        <v>0</v>
      </c>
    </row>
    <row r="85" spans="3:5">
      <c r="D85" s="139"/>
      <c r="E85" s="139"/>
    </row>
    <row r="86" spans="3:5">
      <c r="D86" s="139"/>
      <c r="E86" s="159" t="s">
        <v>64</v>
      </c>
    </row>
    <row r="87" spans="3:5">
      <c r="D87" s="139"/>
      <c r="E87" s="139"/>
    </row>
    <row r="88" spans="3:5">
      <c r="D88" s="139"/>
      <c r="E88" s="139"/>
    </row>
    <row r="89" spans="3:5">
      <c r="D89" s="139"/>
      <c r="E89" s="139"/>
    </row>
    <row r="90" spans="3:5">
      <c r="D90" s="139"/>
      <c r="E90" s="139"/>
    </row>
    <row r="91" spans="3:5">
      <c r="D91" s="139"/>
      <c r="E91" s="147" t="s">
        <v>64</v>
      </c>
    </row>
    <row r="92" spans="3:5">
      <c r="D92" s="139"/>
      <c r="E92" s="147" t="s">
        <v>64</v>
      </c>
    </row>
    <row r="93" spans="3:5">
      <c r="D93" s="139"/>
      <c r="E93" s="139"/>
    </row>
    <row r="94" spans="3:5">
      <c r="D94" s="139"/>
      <c r="E94" s="139"/>
    </row>
    <row r="95" spans="3:5">
      <c r="E95" s="139"/>
    </row>
    <row r="96" spans="3:5">
      <c r="E96" s="139"/>
    </row>
    <row r="97" spans="5:5">
      <c r="E97" s="139"/>
    </row>
    <row r="98" spans="5:5">
      <c r="E98" s="139"/>
    </row>
    <row r="99" spans="5:5">
      <c r="E99" s="139"/>
    </row>
    <row r="100" spans="5:5">
      <c r="E100" s="139"/>
    </row>
    <row r="101" spans="5:5">
      <c r="E101" s="139"/>
    </row>
    <row r="102" spans="5:5">
      <c r="E102" s="139"/>
    </row>
    <row r="103" spans="5:5">
      <c r="E103" s="139"/>
    </row>
    <row r="104" spans="5:5">
      <c r="E104" s="139"/>
    </row>
    <row r="105" spans="5:5">
      <c r="E105" s="139"/>
    </row>
    <row r="106" spans="5:5">
      <c r="E106" s="139"/>
    </row>
    <row r="107" spans="5:5">
      <c r="E107" s="139"/>
    </row>
    <row r="108" spans="5:5">
      <c r="E108" s="139"/>
    </row>
    <row r="109" spans="5:5">
      <c r="E109" s="139"/>
    </row>
    <row r="110" spans="5:5">
      <c r="E110" s="139"/>
    </row>
    <row r="111" spans="5:5">
      <c r="E111" s="139"/>
    </row>
    <row r="112" spans="5:5">
      <c r="E112" s="139"/>
    </row>
  </sheetData>
  <mergeCells count="2">
    <mergeCell ref="B2:E2"/>
    <mergeCell ref="B3:E3"/>
  </mergeCells>
  <conditionalFormatting sqref="E74 E76">
    <cfRule type="cellIs" dxfId="1" priority="1" stopIfTrue="1" operator="greaterThanOrEqual">
      <formula>0</formula>
    </cfRule>
    <cfRule type="cellIs" dxfId="0" priority="2" stopIfTrue="1" operator="lessThan">
      <formula>0</formula>
    </cfRule>
  </conditionalFormatting>
  <printOptions horizontalCentered="1" verticalCentered="1"/>
  <pageMargins left="0.75000000000000011" right="0.75000000000000011" top="1" bottom="1" header="0.5" footer="0.5"/>
  <pageSetup paperSize="9" scale="55" orientation="portrait" horizontalDpi="4294967292" verticalDpi="42949672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BCBA-6DB9-244F-8BCC-B676899A4EA0}">
  <dimension ref="B3:I34"/>
  <sheetViews>
    <sheetView tabSelected="1" topLeftCell="A8" workbookViewId="0">
      <selection activeCell="C14" sqref="C14"/>
    </sheetView>
  </sheetViews>
  <sheetFormatPr baseColWidth="10" defaultRowHeight="16"/>
  <cols>
    <col min="2" max="2" width="31.1640625" customWidth="1"/>
    <col min="3" max="8" width="20.1640625" customWidth="1"/>
    <col min="9" max="9" width="16.83203125" style="64" customWidth="1"/>
  </cols>
  <sheetData>
    <row r="3" spans="2:9">
      <c r="C3" s="76" t="s">
        <v>0</v>
      </c>
      <c r="D3" s="76" t="s">
        <v>449</v>
      </c>
      <c r="E3" s="76" t="s">
        <v>428</v>
      </c>
      <c r="F3" s="76" t="s">
        <v>1125</v>
      </c>
      <c r="G3" s="76" t="s">
        <v>429</v>
      </c>
      <c r="H3" s="76" t="s">
        <v>4287</v>
      </c>
      <c r="I3" s="246" t="s">
        <v>5197</v>
      </c>
    </row>
    <row r="4" spans="2:9">
      <c r="B4" t="s">
        <v>109</v>
      </c>
      <c r="C4" s="2">
        <v>-571205741</v>
      </c>
      <c r="D4" s="2">
        <v>571205741</v>
      </c>
      <c r="E4" s="2"/>
      <c r="F4" s="2"/>
      <c r="G4" s="2"/>
      <c r="H4" s="2"/>
      <c r="I4" s="167">
        <f>SUM(C4:H4)</f>
        <v>0</v>
      </c>
    </row>
    <row r="5" spans="2:9">
      <c r="B5" t="s">
        <v>2886</v>
      </c>
      <c r="C5" s="2">
        <v>-170000000</v>
      </c>
      <c r="D5" s="2"/>
      <c r="E5" s="2">
        <v>170000000</v>
      </c>
      <c r="F5" s="2"/>
      <c r="G5" s="2"/>
      <c r="H5" s="2"/>
      <c r="I5" s="167">
        <f t="shared" ref="I5:I32" si="0">SUM(C5:H5)</f>
        <v>0</v>
      </c>
    </row>
    <row r="6" spans="2:9">
      <c r="B6" t="s">
        <v>4274</v>
      </c>
      <c r="C6" s="2"/>
      <c r="D6" s="2"/>
      <c r="E6" s="2"/>
      <c r="F6" s="2"/>
      <c r="G6" s="2"/>
      <c r="H6" s="2"/>
      <c r="I6" s="167">
        <f t="shared" si="0"/>
        <v>0</v>
      </c>
    </row>
    <row r="7" spans="2:9">
      <c r="B7" t="s">
        <v>129</v>
      </c>
      <c r="C7" s="2">
        <v>-101418644</v>
      </c>
      <c r="D7" s="2"/>
      <c r="E7" s="2"/>
      <c r="F7" s="2"/>
      <c r="G7" s="2">
        <v>101418644</v>
      </c>
      <c r="H7" s="2"/>
      <c r="I7" s="167">
        <f t="shared" si="0"/>
        <v>0</v>
      </c>
    </row>
    <row r="8" spans="2:9">
      <c r="B8" t="s">
        <v>666</v>
      </c>
      <c r="C8" s="2">
        <v>-1511919714</v>
      </c>
      <c r="D8" s="2"/>
      <c r="E8" s="2"/>
      <c r="F8" s="2"/>
      <c r="G8" s="2"/>
      <c r="H8" s="2">
        <v>1511919714</v>
      </c>
      <c r="I8" s="167">
        <f t="shared" si="0"/>
        <v>0</v>
      </c>
    </row>
    <row r="9" spans="2:9">
      <c r="B9" t="s">
        <v>108</v>
      </c>
      <c r="C9" s="2">
        <v>5294276862</v>
      </c>
      <c r="D9" s="2">
        <v>-5294276862</v>
      </c>
      <c r="E9" s="2"/>
      <c r="F9" s="2"/>
      <c r="G9" s="2"/>
      <c r="H9" s="2"/>
      <c r="I9" s="167">
        <f t="shared" si="0"/>
        <v>0</v>
      </c>
    </row>
    <row r="10" spans="2:9">
      <c r="B10" t="s">
        <v>145</v>
      </c>
      <c r="C10" s="2"/>
      <c r="D10" s="2">
        <v>-2608902811</v>
      </c>
      <c r="E10" s="2">
        <v>2608902811</v>
      </c>
      <c r="F10" s="2"/>
      <c r="G10" s="2"/>
      <c r="H10" s="2"/>
      <c r="I10" s="167">
        <f t="shared" si="0"/>
        <v>0</v>
      </c>
    </row>
    <row r="11" spans="2:9">
      <c r="B11" t="s">
        <v>1523</v>
      </c>
      <c r="C11" s="2"/>
      <c r="D11" s="2">
        <v>-1500000</v>
      </c>
      <c r="E11" s="2"/>
      <c r="F11" s="2">
        <v>1500000</v>
      </c>
      <c r="G11" s="2"/>
      <c r="H11" s="2"/>
      <c r="I11" s="167">
        <f t="shared" si="0"/>
        <v>0</v>
      </c>
    </row>
    <row r="12" spans="2:9">
      <c r="B12" t="s">
        <v>4275</v>
      </c>
      <c r="C12" s="2"/>
      <c r="D12" s="2"/>
      <c r="E12" s="2"/>
      <c r="F12" s="2"/>
      <c r="G12" s="2"/>
      <c r="H12" s="2"/>
      <c r="I12" s="167">
        <f t="shared" si="0"/>
        <v>0</v>
      </c>
    </row>
    <row r="13" spans="2:9">
      <c r="B13" t="s">
        <v>274</v>
      </c>
      <c r="C13" s="2"/>
      <c r="D13" s="2">
        <v>-1690504646</v>
      </c>
      <c r="E13" s="2"/>
      <c r="F13" s="2"/>
      <c r="G13" s="2"/>
      <c r="H13" s="2">
        <v>1690504646</v>
      </c>
      <c r="I13" s="167">
        <f t="shared" si="0"/>
        <v>0</v>
      </c>
    </row>
    <row r="14" spans="2:9">
      <c r="B14" t="s">
        <v>254</v>
      </c>
      <c r="C14" s="2">
        <v>3606519218</v>
      </c>
      <c r="D14" s="2"/>
      <c r="E14" s="2">
        <v>-3606519218</v>
      </c>
      <c r="F14" s="2"/>
      <c r="G14" s="2"/>
      <c r="H14" s="2"/>
      <c r="I14" s="167">
        <f t="shared" si="0"/>
        <v>0</v>
      </c>
    </row>
    <row r="15" spans="2:9">
      <c r="B15" t="s">
        <v>144</v>
      </c>
      <c r="C15" s="2"/>
      <c r="D15" s="2">
        <v>4535528266</v>
      </c>
      <c r="E15" s="2">
        <v>-4535528266</v>
      </c>
      <c r="F15" s="2"/>
      <c r="G15" s="2"/>
      <c r="H15" s="2"/>
      <c r="I15" s="167">
        <f t="shared" si="0"/>
        <v>0</v>
      </c>
    </row>
    <row r="16" spans="2:9">
      <c r="B16" t="s">
        <v>4276</v>
      </c>
      <c r="C16" s="2"/>
      <c r="D16" s="2"/>
      <c r="E16" s="2"/>
      <c r="F16" s="2"/>
      <c r="G16" s="2"/>
      <c r="H16" s="2"/>
      <c r="I16" s="167">
        <f t="shared" si="0"/>
        <v>0</v>
      </c>
    </row>
    <row r="17" spans="2:9">
      <c r="B17" t="s">
        <v>4277</v>
      </c>
      <c r="C17" s="2"/>
      <c r="D17" s="2"/>
      <c r="E17" s="2"/>
      <c r="F17" s="2"/>
      <c r="G17" s="2"/>
      <c r="H17" s="2"/>
      <c r="I17" s="167">
        <f t="shared" si="0"/>
        <v>0</v>
      </c>
    </row>
    <row r="18" spans="2:9">
      <c r="B18" t="s">
        <v>3760</v>
      </c>
      <c r="C18" s="2"/>
      <c r="D18" s="2"/>
      <c r="E18" s="2"/>
      <c r="F18" s="2"/>
      <c r="G18" s="2"/>
      <c r="H18" s="2"/>
      <c r="I18" s="167">
        <f t="shared" si="0"/>
        <v>0</v>
      </c>
    </row>
    <row r="19" spans="2:9">
      <c r="B19" t="s">
        <v>2947</v>
      </c>
      <c r="C19" s="2">
        <v>785980056</v>
      </c>
      <c r="D19" s="2"/>
      <c r="E19" s="2"/>
      <c r="F19" s="2">
        <v>-785980056</v>
      </c>
      <c r="G19" s="2"/>
      <c r="H19" s="2"/>
      <c r="I19" s="167">
        <f t="shared" si="0"/>
        <v>0</v>
      </c>
    </row>
    <row r="20" spans="2:9">
      <c r="B20" t="s">
        <v>2082</v>
      </c>
      <c r="C20" s="2"/>
      <c r="D20" s="2">
        <v>400000000</v>
      </c>
      <c r="E20" s="2"/>
      <c r="F20" s="2">
        <v>-400000000</v>
      </c>
      <c r="G20" s="2"/>
      <c r="H20" s="2"/>
      <c r="I20" s="167">
        <f t="shared" si="0"/>
        <v>0</v>
      </c>
    </row>
    <row r="21" spans="2:9">
      <c r="B21" t="s">
        <v>4279</v>
      </c>
      <c r="C21" s="2"/>
      <c r="D21" s="2"/>
      <c r="E21" s="2"/>
      <c r="F21" s="2"/>
      <c r="G21" s="2"/>
      <c r="H21" s="2"/>
      <c r="I21" s="167">
        <f t="shared" si="0"/>
        <v>0</v>
      </c>
    </row>
    <row r="22" spans="2:9">
      <c r="B22" t="s">
        <v>4278</v>
      </c>
      <c r="C22" s="2"/>
      <c r="D22" s="2"/>
      <c r="E22" s="2"/>
      <c r="F22" s="2"/>
      <c r="G22" s="2"/>
      <c r="H22" s="2"/>
      <c r="I22" s="167">
        <f t="shared" si="0"/>
        <v>0</v>
      </c>
    </row>
    <row r="23" spans="2:9">
      <c r="B23" t="s">
        <v>3760</v>
      </c>
      <c r="C23" s="2"/>
      <c r="D23" s="2"/>
      <c r="E23" s="2"/>
      <c r="F23" s="2"/>
      <c r="G23" s="2"/>
      <c r="H23" s="2"/>
      <c r="I23" s="167">
        <f t="shared" si="0"/>
        <v>0</v>
      </c>
    </row>
    <row r="24" spans="2:9">
      <c r="B24" s="10" t="s">
        <v>4283</v>
      </c>
      <c r="C24" s="2"/>
      <c r="D24" s="2"/>
      <c r="E24" s="2"/>
      <c r="F24" s="2"/>
      <c r="G24" s="2"/>
      <c r="H24" s="2"/>
      <c r="I24" s="167">
        <f t="shared" si="0"/>
        <v>0</v>
      </c>
    </row>
    <row r="25" spans="2:9">
      <c r="B25" s="10" t="s">
        <v>4280</v>
      </c>
      <c r="C25" s="2"/>
      <c r="D25" s="2"/>
      <c r="E25" s="2"/>
      <c r="F25" s="2"/>
      <c r="G25" s="2"/>
      <c r="H25" s="2"/>
      <c r="I25" s="167">
        <f t="shared" si="0"/>
        <v>0</v>
      </c>
    </row>
    <row r="26" spans="2:9">
      <c r="B26" s="10" t="s">
        <v>4282</v>
      </c>
      <c r="C26" s="2"/>
      <c r="D26" s="2"/>
      <c r="E26" s="2">
        <v>1100000</v>
      </c>
      <c r="F26" s="2"/>
      <c r="G26" s="2">
        <v>-1100000</v>
      </c>
      <c r="H26" s="2"/>
      <c r="I26" s="167">
        <f t="shared" si="0"/>
        <v>0</v>
      </c>
    </row>
    <row r="27" spans="2:9">
      <c r="B27" s="10" t="s">
        <v>4281</v>
      </c>
      <c r="C27" s="2"/>
      <c r="D27" s="2"/>
      <c r="E27" s="2"/>
      <c r="F27" s="2"/>
      <c r="G27" s="2"/>
      <c r="H27" s="2"/>
      <c r="I27" s="167">
        <f t="shared" si="0"/>
        <v>0</v>
      </c>
    </row>
    <row r="28" spans="2:9">
      <c r="B28" s="10" t="s">
        <v>3699</v>
      </c>
      <c r="C28" s="2"/>
      <c r="D28" s="2"/>
      <c r="E28" s="2"/>
      <c r="F28" s="2"/>
      <c r="G28" s="2">
        <v>-303656</v>
      </c>
      <c r="H28" s="2">
        <v>303656</v>
      </c>
      <c r="I28" s="167">
        <f t="shared" si="0"/>
        <v>0</v>
      </c>
    </row>
    <row r="29" spans="2:9">
      <c r="B29" s="10" t="s">
        <v>668</v>
      </c>
      <c r="C29" s="2">
        <v>84144971</v>
      </c>
      <c r="D29" s="2"/>
      <c r="E29" s="2"/>
      <c r="F29" s="2"/>
      <c r="G29" s="2"/>
      <c r="H29" s="2">
        <v>-84144971</v>
      </c>
      <c r="I29" s="167">
        <f t="shared" si="0"/>
        <v>0</v>
      </c>
    </row>
    <row r="30" spans="2:9">
      <c r="B30" s="10" t="s">
        <v>3698</v>
      </c>
      <c r="C30" s="2"/>
      <c r="D30" s="2">
        <v>286306000</v>
      </c>
      <c r="E30" s="2"/>
      <c r="F30" s="2"/>
      <c r="G30" s="2"/>
      <c r="H30" s="2">
        <v>-286306000</v>
      </c>
      <c r="I30" s="167">
        <f t="shared" si="0"/>
        <v>0</v>
      </c>
    </row>
    <row r="31" spans="2:9">
      <c r="B31" s="10" t="s">
        <v>4284</v>
      </c>
      <c r="C31" s="2"/>
      <c r="D31" s="2"/>
      <c r="E31" s="2"/>
      <c r="F31" s="2"/>
      <c r="G31" s="2"/>
      <c r="H31" s="2"/>
      <c r="I31" s="167">
        <f t="shared" si="0"/>
        <v>0</v>
      </c>
    </row>
    <row r="32" spans="2:9">
      <c r="B32" s="10" t="s">
        <v>4285</v>
      </c>
      <c r="C32" s="2"/>
      <c r="D32" s="2"/>
      <c r="E32" s="2"/>
      <c r="F32" s="2"/>
      <c r="G32" s="2"/>
      <c r="H32" s="2"/>
      <c r="I32" s="167">
        <f t="shared" si="0"/>
        <v>0</v>
      </c>
    </row>
    <row r="33" spans="2:8">
      <c r="B33" s="10" t="s">
        <v>4286</v>
      </c>
      <c r="C33" s="2"/>
      <c r="D33" s="2"/>
      <c r="E33" s="2"/>
      <c r="F33" s="2"/>
      <c r="G33" s="2"/>
      <c r="H33" s="2"/>
    </row>
    <row r="34" spans="2:8">
      <c r="C34" s="5">
        <f t="shared" ref="C34:H34" si="1">SUM(C4:C33)</f>
        <v>7416377008</v>
      </c>
      <c r="D34" s="5">
        <f t="shared" si="1"/>
        <v>-3802144312</v>
      </c>
      <c r="E34" s="5">
        <f t="shared" si="1"/>
        <v>-5362044673</v>
      </c>
      <c r="F34" s="5">
        <f t="shared" si="1"/>
        <v>-1184480056</v>
      </c>
      <c r="G34" s="5">
        <f t="shared" si="1"/>
        <v>100014988</v>
      </c>
      <c r="H34" s="5">
        <f t="shared" si="1"/>
        <v>2832277045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BCA</vt:lpstr>
      <vt:lpstr>Mandiri</vt:lpstr>
      <vt:lpstr>BRI</vt:lpstr>
      <vt:lpstr>BTN</vt:lpstr>
      <vt:lpstr>Cash IDR</vt:lpstr>
      <vt:lpstr>Non CB</vt:lpstr>
      <vt:lpstr>Sales</vt:lpstr>
      <vt:lpstr>AR</vt:lpstr>
      <vt:lpstr>AP </vt:lpstr>
      <vt:lpstr>Deprec 2021</vt:lpstr>
      <vt:lpstr>PL</vt:lpstr>
      <vt:lpstr>Balance Sheet 2021</vt:lpstr>
      <vt:lpstr>Inter Accounts</vt:lpstr>
      <vt:lpstr>'AP '!Print_Area</vt:lpstr>
      <vt:lpstr>AR!Print_Area</vt:lpstr>
      <vt:lpstr>'Balance Sheet 2021'!Print_Area</vt:lpstr>
      <vt:lpstr>'Deprec 2021'!Print_Area</vt:lpstr>
      <vt:lpstr>PL!Print_Area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DAVID Harsamto</cp:lastModifiedBy>
  <cp:lastPrinted>2022-01-13T18:04:45Z</cp:lastPrinted>
  <dcterms:created xsi:type="dcterms:W3CDTF">2021-01-16T06:54:35Z</dcterms:created>
  <dcterms:modified xsi:type="dcterms:W3CDTF">2026-04-13T02:53:53Z</dcterms:modified>
</cp:coreProperties>
</file>